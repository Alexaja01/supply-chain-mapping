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jalexanderinc.sharepoint.com/Customers/Benchmark/Benchmark Final Deliverables/Costings Wrap Up/"/>
    </mc:Choice>
  </mc:AlternateContent>
  <xr:revisionPtr revIDLastSave="216" documentId="8_{063105FD-7C4D-41ED-B802-220B702FAFC4}" xr6:coauthVersionLast="47" xr6:coauthVersionMax="47" xr10:uidLastSave="{4F9F5CA3-C925-45A5-AB00-21B491A04B6C}"/>
  <bookViews>
    <workbookView xWindow="-38510" yWindow="-110" windowWidth="38620" windowHeight="21100" activeTab="1" xr2:uid="{415D570E-0AE8-4B32-A9C9-5B1480005653}"/>
  </bookViews>
  <sheets>
    <sheet name="Shipping Line Items" sheetId="4" r:id="rId1"/>
    <sheet name="Costing Detail" sheetId="3" r:id="rId2"/>
    <sheet name="Paths and Tariffs" sheetId="1" r:id="rId3"/>
    <sheet name="Tariff Cross Reference" sheetId="2" r:id="rId4"/>
  </sheets>
  <definedNames>
    <definedName name="_xlnm._FilterDatabase" localSheetId="1" hidden="1">'Costing Detail'!$A$3:$AI$230</definedName>
    <definedName name="_xlnm._FilterDatabase" localSheetId="2" hidden="1">'Paths and Tariffs'!$A$1:$Q$3607</definedName>
    <definedName name="_xlnm._FilterDatabase" localSheetId="0" hidden="1">'Shipping Line Items'!$A$1:$H$3309</definedName>
    <definedName name="_xlnm._FilterDatabase" localSheetId="3" hidden="1">'Tariff Cross Reference'!$A$1:$N$1502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5" i="3" l="1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4" i="3"/>
  <c r="AI65" i="3"/>
  <c r="AI66" i="3"/>
  <c r="AI67" i="3"/>
  <c r="AI68" i="3"/>
  <c r="AI69" i="3"/>
  <c r="AI70" i="3"/>
  <c r="AI71" i="3"/>
  <c r="AI72" i="3"/>
  <c r="AI73" i="3"/>
  <c r="AI74" i="3"/>
  <c r="AI75" i="3"/>
  <c r="AI76" i="3"/>
  <c r="AI77" i="3"/>
  <c r="AI78" i="3"/>
  <c r="AI79" i="3"/>
  <c r="AI80" i="3"/>
  <c r="AI81" i="3"/>
  <c r="AI82" i="3"/>
  <c r="AI83" i="3"/>
  <c r="AI84" i="3"/>
  <c r="AI85" i="3"/>
  <c r="AI86" i="3"/>
  <c r="AI87" i="3"/>
  <c r="AI88" i="3"/>
  <c r="AI89" i="3"/>
  <c r="AI90" i="3"/>
  <c r="AI91" i="3"/>
  <c r="AI92" i="3"/>
  <c r="AI93" i="3"/>
  <c r="AI94" i="3"/>
  <c r="AI95" i="3"/>
  <c r="AI96" i="3"/>
  <c r="AI97" i="3"/>
  <c r="AI98" i="3"/>
  <c r="AI99" i="3"/>
  <c r="AI100" i="3"/>
  <c r="AI101" i="3"/>
  <c r="AI102" i="3"/>
  <c r="AI103" i="3"/>
  <c r="AI104" i="3"/>
  <c r="AI105" i="3"/>
  <c r="AI106" i="3"/>
  <c r="AI107" i="3"/>
  <c r="AI108" i="3"/>
  <c r="AI109" i="3"/>
  <c r="AI110" i="3"/>
  <c r="AI111" i="3"/>
  <c r="AI112" i="3"/>
  <c r="AI113" i="3"/>
  <c r="AI114" i="3"/>
  <c r="AI115" i="3"/>
  <c r="AI116" i="3"/>
  <c r="AI117" i="3"/>
  <c r="AI118" i="3"/>
  <c r="AI119" i="3"/>
  <c r="AI120" i="3"/>
  <c r="AI121" i="3"/>
  <c r="AI122" i="3"/>
  <c r="AI123" i="3"/>
  <c r="AI124" i="3"/>
  <c r="AI125" i="3"/>
  <c r="AI126" i="3"/>
  <c r="AI127" i="3"/>
  <c r="AI128" i="3"/>
  <c r="AI129" i="3"/>
  <c r="AI130" i="3"/>
  <c r="AI131" i="3"/>
  <c r="AI132" i="3"/>
  <c r="AI133" i="3"/>
  <c r="AI134" i="3"/>
  <c r="AI135" i="3"/>
  <c r="AI136" i="3"/>
  <c r="AI137" i="3"/>
  <c r="AI138" i="3"/>
  <c r="AI139" i="3"/>
  <c r="AI140" i="3"/>
  <c r="AI141" i="3"/>
  <c r="AI142" i="3"/>
  <c r="AI143" i="3"/>
  <c r="AI144" i="3"/>
  <c r="AI145" i="3"/>
  <c r="AI146" i="3"/>
  <c r="AI147" i="3"/>
  <c r="AI148" i="3"/>
  <c r="AI149" i="3"/>
  <c r="AI150" i="3"/>
  <c r="AI151" i="3"/>
  <c r="AI152" i="3"/>
  <c r="AI153" i="3"/>
  <c r="AI154" i="3"/>
  <c r="AI155" i="3"/>
  <c r="AI156" i="3"/>
  <c r="AI157" i="3"/>
  <c r="AI158" i="3"/>
  <c r="AI159" i="3"/>
  <c r="AI160" i="3"/>
  <c r="AI161" i="3"/>
  <c r="AI162" i="3"/>
  <c r="AI163" i="3"/>
  <c r="AI164" i="3"/>
  <c r="AI165" i="3"/>
  <c r="AI166" i="3"/>
  <c r="AI167" i="3"/>
  <c r="AI168" i="3"/>
  <c r="AI169" i="3"/>
  <c r="AI170" i="3"/>
  <c r="AI171" i="3"/>
  <c r="AI172" i="3"/>
  <c r="AI173" i="3"/>
  <c r="AI174" i="3"/>
  <c r="AI175" i="3"/>
  <c r="AI176" i="3"/>
  <c r="AI177" i="3"/>
  <c r="AI178" i="3"/>
  <c r="AI179" i="3"/>
  <c r="AI180" i="3"/>
  <c r="AI181" i="3"/>
  <c r="AI182" i="3"/>
  <c r="AI183" i="3"/>
  <c r="AI184" i="3"/>
  <c r="AI185" i="3"/>
  <c r="AI186" i="3"/>
  <c r="AI187" i="3"/>
  <c r="AI188" i="3"/>
  <c r="AI189" i="3"/>
  <c r="AI190" i="3"/>
  <c r="AI191" i="3"/>
  <c r="AI192" i="3"/>
  <c r="AI193" i="3"/>
  <c r="AI194" i="3"/>
  <c r="AI195" i="3"/>
  <c r="AI196" i="3"/>
  <c r="AI197" i="3"/>
  <c r="AI198" i="3"/>
  <c r="AI199" i="3"/>
  <c r="AI200" i="3"/>
  <c r="AI201" i="3"/>
  <c r="AI202" i="3"/>
  <c r="AI203" i="3"/>
  <c r="AI204" i="3"/>
  <c r="AI205" i="3"/>
  <c r="AI206" i="3"/>
  <c r="AI207" i="3"/>
  <c r="AI208" i="3"/>
  <c r="AI209" i="3"/>
  <c r="AI210" i="3"/>
  <c r="AI211" i="3"/>
  <c r="AI212" i="3"/>
  <c r="AI213" i="3"/>
  <c r="AI214" i="3"/>
  <c r="AI215" i="3"/>
  <c r="AI216" i="3"/>
  <c r="AI217" i="3"/>
  <c r="AI218" i="3"/>
  <c r="AI219" i="3"/>
  <c r="AI220" i="3"/>
  <c r="AI221" i="3"/>
  <c r="AI222" i="3"/>
  <c r="AI223" i="3"/>
  <c r="AI224" i="3"/>
  <c r="AI225" i="3"/>
  <c r="AI226" i="3"/>
  <c r="AI227" i="3"/>
  <c r="AI228" i="3"/>
  <c r="AI229" i="3"/>
  <c r="AI230" i="3"/>
  <c r="AI4" i="3"/>
  <c r="AC230" i="3"/>
  <c r="X230" i="3"/>
  <c r="S230" i="3"/>
  <c r="J230" i="3"/>
  <c r="AC229" i="3"/>
  <c r="X229" i="3"/>
  <c r="S229" i="3"/>
  <c r="J229" i="3"/>
  <c r="AC228" i="3"/>
  <c r="X228" i="3"/>
  <c r="S228" i="3"/>
  <c r="J228" i="3"/>
  <c r="AC227" i="3"/>
  <c r="X227" i="3"/>
  <c r="S227" i="3"/>
  <c r="J227" i="3"/>
  <c r="AC226" i="3"/>
  <c r="X226" i="3"/>
  <c r="S226" i="3"/>
  <c r="J226" i="3"/>
  <c r="AC225" i="3"/>
  <c r="X225" i="3"/>
  <c r="S225" i="3"/>
  <c r="J225" i="3"/>
  <c r="AC224" i="3"/>
  <c r="X224" i="3"/>
  <c r="S224" i="3"/>
  <c r="J224" i="3"/>
  <c r="AC223" i="3"/>
  <c r="X223" i="3"/>
  <c r="S223" i="3"/>
  <c r="J223" i="3"/>
  <c r="AC222" i="3"/>
  <c r="X222" i="3"/>
  <c r="S222" i="3"/>
  <c r="J222" i="3"/>
  <c r="AC221" i="3"/>
  <c r="X221" i="3"/>
  <c r="S221" i="3"/>
  <c r="J221" i="3"/>
  <c r="AC220" i="3"/>
  <c r="X220" i="3"/>
  <c r="S220" i="3"/>
  <c r="J220" i="3"/>
  <c r="AC219" i="3"/>
  <c r="X219" i="3"/>
  <c r="S219" i="3"/>
  <c r="J219" i="3"/>
  <c r="AC218" i="3"/>
  <c r="X218" i="3"/>
  <c r="S218" i="3"/>
  <c r="J218" i="3"/>
  <c r="AC217" i="3"/>
  <c r="X217" i="3"/>
  <c r="S217" i="3"/>
  <c r="J217" i="3"/>
  <c r="AC216" i="3"/>
  <c r="X216" i="3"/>
  <c r="S216" i="3"/>
  <c r="J216" i="3"/>
  <c r="AC215" i="3"/>
  <c r="X215" i="3"/>
  <c r="S215" i="3"/>
  <c r="J215" i="3"/>
  <c r="AC214" i="3"/>
  <c r="X214" i="3"/>
  <c r="S214" i="3"/>
  <c r="J214" i="3"/>
  <c r="AC213" i="3"/>
  <c r="X213" i="3"/>
  <c r="S213" i="3"/>
  <c r="J213" i="3"/>
  <c r="AC212" i="3"/>
  <c r="X212" i="3"/>
  <c r="S212" i="3"/>
  <c r="J212" i="3"/>
  <c r="AC211" i="3"/>
  <c r="X211" i="3"/>
  <c r="S211" i="3"/>
  <c r="J211" i="3"/>
  <c r="AC210" i="3"/>
  <c r="X210" i="3"/>
  <c r="S210" i="3"/>
  <c r="J210" i="3"/>
  <c r="AC209" i="3"/>
  <c r="X209" i="3"/>
  <c r="S209" i="3"/>
  <c r="J209" i="3"/>
  <c r="AC208" i="3"/>
  <c r="X208" i="3"/>
  <c r="S208" i="3"/>
  <c r="J208" i="3"/>
  <c r="AC207" i="3"/>
  <c r="X207" i="3"/>
  <c r="S207" i="3"/>
  <c r="J207" i="3"/>
  <c r="AC206" i="3"/>
  <c r="X206" i="3"/>
  <c r="S206" i="3"/>
  <c r="J206" i="3"/>
  <c r="AC205" i="3"/>
  <c r="X205" i="3"/>
  <c r="S205" i="3"/>
  <c r="J205" i="3"/>
  <c r="AC204" i="3"/>
  <c r="X204" i="3"/>
  <c r="S204" i="3"/>
  <c r="J204" i="3"/>
  <c r="AC203" i="3"/>
  <c r="X203" i="3"/>
  <c r="S203" i="3"/>
  <c r="J203" i="3"/>
  <c r="AC202" i="3"/>
  <c r="X202" i="3"/>
  <c r="S202" i="3"/>
  <c r="J202" i="3"/>
  <c r="AC201" i="3"/>
  <c r="X201" i="3"/>
  <c r="S201" i="3"/>
  <c r="J201" i="3"/>
  <c r="AC200" i="3"/>
  <c r="X200" i="3"/>
  <c r="S200" i="3"/>
  <c r="J200" i="3"/>
  <c r="AC199" i="3"/>
  <c r="X199" i="3"/>
  <c r="S199" i="3"/>
  <c r="J199" i="3"/>
  <c r="AC198" i="3"/>
  <c r="X198" i="3"/>
  <c r="S198" i="3"/>
  <c r="J198" i="3"/>
  <c r="AC197" i="3"/>
  <c r="X197" i="3"/>
  <c r="S197" i="3"/>
  <c r="J197" i="3"/>
  <c r="AC196" i="3"/>
  <c r="X196" i="3"/>
  <c r="S196" i="3"/>
  <c r="J196" i="3"/>
  <c r="AC195" i="3"/>
  <c r="X195" i="3"/>
  <c r="S195" i="3"/>
  <c r="J195" i="3"/>
  <c r="AC194" i="3"/>
  <c r="X194" i="3"/>
  <c r="S194" i="3"/>
  <c r="J194" i="3"/>
  <c r="AC193" i="3"/>
  <c r="X193" i="3"/>
  <c r="S193" i="3"/>
  <c r="J193" i="3"/>
  <c r="AC192" i="3"/>
  <c r="X192" i="3"/>
  <c r="S192" i="3"/>
  <c r="J192" i="3"/>
  <c r="AC191" i="3"/>
  <c r="X191" i="3"/>
  <c r="S191" i="3"/>
  <c r="J191" i="3"/>
  <c r="AC190" i="3"/>
  <c r="X190" i="3"/>
  <c r="S190" i="3"/>
  <c r="J190" i="3"/>
  <c r="AC189" i="3"/>
  <c r="X189" i="3"/>
  <c r="S189" i="3"/>
  <c r="J189" i="3"/>
  <c r="AC188" i="3"/>
  <c r="X188" i="3"/>
  <c r="S188" i="3"/>
  <c r="J188" i="3"/>
  <c r="AC187" i="3"/>
  <c r="X187" i="3"/>
  <c r="S187" i="3"/>
  <c r="J187" i="3"/>
  <c r="AC186" i="3"/>
  <c r="X186" i="3"/>
  <c r="S186" i="3"/>
  <c r="J186" i="3"/>
  <c r="AC185" i="3"/>
  <c r="X185" i="3"/>
  <c r="S185" i="3"/>
  <c r="J185" i="3"/>
  <c r="AC184" i="3"/>
  <c r="X184" i="3"/>
  <c r="S184" i="3"/>
  <c r="J184" i="3"/>
  <c r="AC183" i="3"/>
  <c r="X183" i="3"/>
  <c r="S183" i="3"/>
  <c r="J183" i="3"/>
  <c r="AC182" i="3"/>
  <c r="X182" i="3"/>
  <c r="S182" i="3"/>
  <c r="J182" i="3"/>
  <c r="AC181" i="3"/>
  <c r="X181" i="3"/>
  <c r="S181" i="3"/>
  <c r="J181" i="3"/>
  <c r="AC180" i="3"/>
  <c r="X180" i="3"/>
  <c r="S180" i="3"/>
  <c r="J180" i="3"/>
  <c r="AC179" i="3"/>
  <c r="X179" i="3"/>
  <c r="S179" i="3"/>
  <c r="J179" i="3"/>
  <c r="AC178" i="3"/>
  <c r="X178" i="3"/>
  <c r="S178" i="3"/>
  <c r="J178" i="3"/>
  <c r="AC177" i="3"/>
  <c r="X177" i="3"/>
  <c r="S177" i="3"/>
  <c r="J177" i="3"/>
  <c r="AC176" i="3"/>
  <c r="X176" i="3"/>
  <c r="S176" i="3"/>
  <c r="J176" i="3"/>
  <c r="AC175" i="3"/>
  <c r="X175" i="3"/>
  <c r="S175" i="3"/>
  <c r="J175" i="3"/>
  <c r="AC174" i="3"/>
  <c r="X174" i="3"/>
  <c r="S174" i="3"/>
  <c r="J174" i="3"/>
  <c r="AC173" i="3"/>
  <c r="X173" i="3"/>
  <c r="S173" i="3"/>
  <c r="J173" i="3"/>
  <c r="AC172" i="3"/>
  <c r="X172" i="3"/>
  <c r="S172" i="3"/>
  <c r="J172" i="3"/>
  <c r="AC171" i="3"/>
  <c r="X171" i="3"/>
  <c r="S171" i="3"/>
  <c r="J171" i="3"/>
  <c r="AC170" i="3"/>
  <c r="X170" i="3"/>
  <c r="S170" i="3"/>
  <c r="J170" i="3"/>
  <c r="AC169" i="3"/>
  <c r="X169" i="3"/>
  <c r="S169" i="3"/>
  <c r="J169" i="3"/>
  <c r="AC168" i="3"/>
  <c r="X168" i="3"/>
  <c r="S168" i="3"/>
  <c r="J168" i="3"/>
  <c r="AC167" i="3"/>
  <c r="X167" i="3"/>
  <c r="S167" i="3"/>
  <c r="J167" i="3"/>
  <c r="AC166" i="3"/>
  <c r="X166" i="3"/>
  <c r="S166" i="3"/>
  <c r="J166" i="3"/>
  <c r="AC165" i="3"/>
  <c r="X165" i="3"/>
  <c r="S165" i="3"/>
  <c r="J165" i="3"/>
  <c r="AC164" i="3"/>
  <c r="X164" i="3"/>
  <c r="S164" i="3"/>
  <c r="J164" i="3"/>
  <c r="AC163" i="3"/>
  <c r="X163" i="3"/>
  <c r="S163" i="3"/>
  <c r="J163" i="3"/>
  <c r="AC162" i="3"/>
  <c r="X162" i="3"/>
  <c r="S162" i="3"/>
  <c r="J162" i="3"/>
  <c r="AC161" i="3"/>
  <c r="X161" i="3"/>
  <c r="S161" i="3"/>
  <c r="J161" i="3"/>
  <c r="AC160" i="3"/>
  <c r="X160" i="3"/>
  <c r="S160" i="3"/>
  <c r="J160" i="3"/>
  <c r="AC159" i="3"/>
  <c r="X159" i="3"/>
  <c r="S159" i="3"/>
  <c r="J159" i="3"/>
  <c r="AC158" i="3"/>
  <c r="X158" i="3"/>
  <c r="S158" i="3"/>
  <c r="J158" i="3"/>
  <c r="AC157" i="3"/>
  <c r="X157" i="3"/>
  <c r="S157" i="3"/>
  <c r="J157" i="3"/>
  <c r="AC156" i="3"/>
  <c r="X156" i="3"/>
  <c r="S156" i="3"/>
  <c r="J156" i="3"/>
  <c r="AC155" i="3"/>
  <c r="X155" i="3"/>
  <c r="S155" i="3"/>
  <c r="J155" i="3"/>
  <c r="AC154" i="3"/>
  <c r="X154" i="3"/>
  <c r="S154" i="3"/>
  <c r="J154" i="3"/>
  <c r="AC153" i="3"/>
  <c r="X153" i="3"/>
  <c r="S153" i="3"/>
  <c r="J153" i="3"/>
  <c r="AC152" i="3"/>
  <c r="X152" i="3"/>
  <c r="S152" i="3"/>
  <c r="J152" i="3"/>
  <c r="AC151" i="3"/>
  <c r="X151" i="3"/>
  <c r="S151" i="3"/>
  <c r="J151" i="3"/>
  <c r="AC150" i="3"/>
  <c r="X150" i="3"/>
  <c r="S150" i="3"/>
  <c r="J150" i="3"/>
  <c r="AC149" i="3"/>
  <c r="X149" i="3"/>
  <c r="S149" i="3"/>
  <c r="J149" i="3"/>
  <c r="AC148" i="3"/>
  <c r="X148" i="3"/>
  <c r="S148" i="3"/>
  <c r="J148" i="3"/>
  <c r="AC147" i="3"/>
  <c r="X147" i="3"/>
  <c r="S147" i="3"/>
  <c r="J147" i="3"/>
  <c r="AC146" i="3"/>
  <c r="X146" i="3"/>
  <c r="S146" i="3"/>
  <c r="J146" i="3"/>
  <c r="AC145" i="3"/>
  <c r="X145" i="3"/>
  <c r="S145" i="3"/>
  <c r="J145" i="3"/>
  <c r="AC144" i="3"/>
  <c r="X144" i="3"/>
  <c r="S144" i="3"/>
  <c r="J144" i="3"/>
  <c r="AC143" i="3"/>
  <c r="X143" i="3"/>
  <c r="S143" i="3"/>
  <c r="J143" i="3"/>
  <c r="AC142" i="3"/>
  <c r="X142" i="3"/>
  <c r="S142" i="3"/>
  <c r="J142" i="3"/>
  <c r="AC141" i="3"/>
  <c r="X141" i="3"/>
  <c r="S141" i="3"/>
  <c r="J141" i="3"/>
  <c r="AC140" i="3"/>
  <c r="X140" i="3"/>
  <c r="S140" i="3"/>
  <c r="J140" i="3"/>
  <c r="AC139" i="3"/>
  <c r="X139" i="3"/>
  <c r="S139" i="3"/>
  <c r="J139" i="3"/>
  <c r="AC138" i="3"/>
  <c r="X138" i="3"/>
  <c r="S138" i="3"/>
  <c r="J138" i="3"/>
  <c r="AC137" i="3"/>
  <c r="X137" i="3"/>
  <c r="S137" i="3"/>
  <c r="J137" i="3"/>
  <c r="AC136" i="3"/>
  <c r="X136" i="3"/>
  <c r="S136" i="3"/>
  <c r="J136" i="3"/>
  <c r="AC135" i="3"/>
  <c r="X135" i="3"/>
  <c r="S135" i="3"/>
  <c r="J135" i="3"/>
  <c r="AC134" i="3"/>
  <c r="X134" i="3"/>
  <c r="S134" i="3"/>
  <c r="J134" i="3"/>
  <c r="AC133" i="3"/>
  <c r="X133" i="3"/>
  <c r="S133" i="3"/>
  <c r="J133" i="3"/>
  <c r="AC132" i="3"/>
  <c r="X132" i="3"/>
  <c r="S132" i="3"/>
  <c r="J132" i="3"/>
  <c r="AC131" i="3"/>
  <c r="X131" i="3"/>
  <c r="S131" i="3"/>
  <c r="J131" i="3"/>
  <c r="AC130" i="3"/>
  <c r="X130" i="3"/>
  <c r="S130" i="3"/>
  <c r="J130" i="3"/>
  <c r="AC129" i="3"/>
  <c r="X129" i="3"/>
  <c r="S129" i="3"/>
  <c r="J129" i="3"/>
  <c r="AC128" i="3"/>
  <c r="X128" i="3"/>
  <c r="S128" i="3"/>
  <c r="J128" i="3"/>
  <c r="AC127" i="3"/>
  <c r="X127" i="3"/>
  <c r="S127" i="3"/>
  <c r="J127" i="3"/>
  <c r="AC126" i="3"/>
  <c r="X126" i="3"/>
  <c r="S126" i="3"/>
  <c r="J126" i="3"/>
  <c r="AC125" i="3"/>
  <c r="X125" i="3"/>
  <c r="S125" i="3"/>
  <c r="J125" i="3"/>
  <c r="AC124" i="3"/>
  <c r="X124" i="3"/>
  <c r="S124" i="3"/>
  <c r="J124" i="3"/>
  <c r="AC123" i="3"/>
  <c r="X123" i="3"/>
  <c r="S123" i="3"/>
  <c r="J123" i="3"/>
  <c r="AC122" i="3"/>
  <c r="X122" i="3"/>
  <c r="S122" i="3"/>
  <c r="J122" i="3"/>
  <c r="AC121" i="3"/>
  <c r="X121" i="3"/>
  <c r="S121" i="3"/>
  <c r="J121" i="3"/>
  <c r="AC120" i="3"/>
  <c r="X120" i="3"/>
  <c r="S120" i="3"/>
  <c r="J120" i="3"/>
  <c r="AC119" i="3"/>
  <c r="X119" i="3"/>
  <c r="S119" i="3"/>
  <c r="J119" i="3"/>
  <c r="AC118" i="3"/>
  <c r="X118" i="3"/>
  <c r="S118" i="3"/>
  <c r="J118" i="3"/>
  <c r="AC117" i="3"/>
  <c r="X117" i="3"/>
  <c r="S117" i="3"/>
  <c r="J117" i="3"/>
  <c r="AC116" i="3"/>
  <c r="X116" i="3"/>
  <c r="S116" i="3"/>
  <c r="J116" i="3"/>
  <c r="AC115" i="3"/>
  <c r="X115" i="3"/>
  <c r="S115" i="3"/>
  <c r="J115" i="3"/>
  <c r="AC114" i="3"/>
  <c r="X114" i="3"/>
  <c r="S114" i="3"/>
  <c r="J114" i="3"/>
  <c r="AC113" i="3"/>
  <c r="X113" i="3"/>
  <c r="S113" i="3"/>
  <c r="J113" i="3"/>
  <c r="AC112" i="3"/>
  <c r="X112" i="3"/>
  <c r="S112" i="3"/>
  <c r="J112" i="3"/>
  <c r="AC111" i="3"/>
  <c r="X111" i="3"/>
  <c r="S111" i="3"/>
  <c r="J111" i="3"/>
  <c r="AC110" i="3"/>
  <c r="X110" i="3"/>
  <c r="S110" i="3"/>
  <c r="J110" i="3"/>
  <c r="AC109" i="3"/>
  <c r="X109" i="3"/>
  <c r="S109" i="3"/>
  <c r="J109" i="3"/>
  <c r="AC108" i="3"/>
  <c r="X108" i="3"/>
  <c r="S108" i="3"/>
  <c r="J108" i="3"/>
  <c r="AC107" i="3"/>
  <c r="X107" i="3"/>
  <c r="S107" i="3"/>
  <c r="J107" i="3"/>
  <c r="AC106" i="3"/>
  <c r="X106" i="3"/>
  <c r="S106" i="3"/>
  <c r="J106" i="3"/>
  <c r="AC105" i="3"/>
  <c r="X105" i="3"/>
  <c r="S105" i="3"/>
  <c r="J105" i="3"/>
  <c r="AC104" i="3"/>
  <c r="X104" i="3"/>
  <c r="S104" i="3"/>
  <c r="J104" i="3"/>
  <c r="AC103" i="3"/>
  <c r="X103" i="3"/>
  <c r="S103" i="3"/>
  <c r="J103" i="3"/>
  <c r="AC102" i="3"/>
  <c r="X102" i="3"/>
  <c r="S102" i="3"/>
  <c r="J102" i="3"/>
  <c r="AC101" i="3"/>
  <c r="X101" i="3"/>
  <c r="S101" i="3"/>
  <c r="J101" i="3"/>
  <c r="AC100" i="3"/>
  <c r="X100" i="3"/>
  <c r="S100" i="3"/>
  <c r="J100" i="3"/>
  <c r="AC99" i="3"/>
  <c r="X99" i="3"/>
  <c r="S99" i="3"/>
  <c r="J99" i="3"/>
  <c r="AC98" i="3"/>
  <c r="X98" i="3"/>
  <c r="S98" i="3"/>
  <c r="J98" i="3"/>
  <c r="AC97" i="3"/>
  <c r="X97" i="3"/>
  <c r="S97" i="3"/>
  <c r="J97" i="3"/>
  <c r="AC96" i="3"/>
  <c r="X96" i="3"/>
  <c r="S96" i="3"/>
  <c r="J96" i="3"/>
  <c r="AC95" i="3"/>
  <c r="X95" i="3"/>
  <c r="S95" i="3"/>
  <c r="J95" i="3"/>
  <c r="AC94" i="3"/>
  <c r="X94" i="3"/>
  <c r="S94" i="3"/>
  <c r="J94" i="3"/>
  <c r="AC93" i="3"/>
  <c r="X93" i="3"/>
  <c r="S93" i="3"/>
  <c r="J93" i="3"/>
  <c r="AC92" i="3"/>
  <c r="X92" i="3"/>
  <c r="S92" i="3"/>
  <c r="J92" i="3"/>
  <c r="AC91" i="3"/>
  <c r="X91" i="3"/>
  <c r="S91" i="3"/>
  <c r="J91" i="3"/>
  <c r="AC90" i="3"/>
  <c r="X90" i="3"/>
  <c r="S90" i="3"/>
  <c r="J90" i="3"/>
  <c r="AC89" i="3"/>
  <c r="X89" i="3"/>
  <c r="S89" i="3"/>
  <c r="J89" i="3"/>
  <c r="AC88" i="3"/>
  <c r="X88" i="3"/>
  <c r="S88" i="3"/>
  <c r="J88" i="3"/>
  <c r="AC87" i="3"/>
  <c r="X87" i="3"/>
  <c r="S87" i="3"/>
  <c r="J87" i="3"/>
  <c r="AC86" i="3"/>
  <c r="X86" i="3"/>
  <c r="S86" i="3"/>
  <c r="J86" i="3"/>
  <c r="AC85" i="3"/>
  <c r="X85" i="3"/>
  <c r="S85" i="3"/>
  <c r="J85" i="3"/>
  <c r="AC84" i="3"/>
  <c r="X84" i="3"/>
  <c r="S84" i="3"/>
  <c r="J84" i="3"/>
  <c r="AC83" i="3"/>
  <c r="X83" i="3"/>
  <c r="S83" i="3"/>
  <c r="J83" i="3"/>
  <c r="AC82" i="3"/>
  <c r="X82" i="3"/>
  <c r="S82" i="3"/>
  <c r="J82" i="3"/>
  <c r="AC81" i="3"/>
  <c r="X81" i="3"/>
  <c r="S81" i="3"/>
  <c r="J81" i="3"/>
  <c r="AC80" i="3"/>
  <c r="X80" i="3"/>
  <c r="S80" i="3"/>
  <c r="J80" i="3"/>
  <c r="AC79" i="3"/>
  <c r="X79" i="3"/>
  <c r="S79" i="3"/>
  <c r="J79" i="3"/>
  <c r="AC78" i="3"/>
  <c r="X78" i="3"/>
  <c r="S78" i="3"/>
  <c r="J78" i="3"/>
  <c r="AC77" i="3"/>
  <c r="X77" i="3"/>
  <c r="S77" i="3"/>
  <c r="J77" i="3"/>
  <c r="AC76" i="3"/>
  <c r="X76" i="3"/>
  <c r="S76" i="3"/>
  <c r="J76" i="3"/>
  <c r="AC75" i="3"/>
  <c r="X75" i="3"/>
  <c r="S75" i="3"/>
  <c r="J75" i="3"/>
  <c r="AC74" i="3"/>
  <c r="X74" i="3"/>
  <c r="S74" i="3"/>
  <c r="J74" i="3"/>
  <c r="AC73" i="3"/>
  <c r="X73" i="3"/>
  <c r="S73" i="3"/>
  <c r="J73" i="3"/>
  <c r="AC72" i="3"/>
  <c r="X72" i="3"/>
  <c r="S72" i="3"/>
  <c r="J72" i="3"/>
  <c r="AC71" i="3"/>
  <c r="X71" i="3"/>
  <c r="S71" i="3"/>
  <c r="J71" i="3"/>
  <c r="AC70" i="3"/>
  <c r="X70" i="3"/>
  <c r="S70" i="3"/>
  <c r="J70" i="3"/>
  <c r="AC69" i="3"/>
  <c r="X69" i="3"/>
  <c r="S69" i="3"/>
  <c r="J69" i="3"/>
  <c r="AC68" i="3"/>
  <c r="X68" i="3"/>
  <c r="S68" i="3"/>
  <c r="J68" i="3"/>
  <c r="AC67" i="3"/>
  <c r="X67" i="3"/>
  <c r="S67" i="3"/>
  <c r="J67" i="3"/>
  <c r="AC66" i="3"/>
  <c r="X66" i="3"/>
  <c r="S66" i="3"/>
  <c r="J66" i="3"/>
  <c r="AC65" i="3"/>
  <c r="X65" i="3"/>
  <c r="S65" i="3"/>
  <c r="J65" i="3"/>
  <c r="AC64" i="3"/>
  <c r="X64" i="3"/>
  <c r="S64" i="3"/>
  <c r="J64" i="3"/>
  <c r="AC63" i="3"/>
  <c r="X63" i="3"/>
  <c r="S63" i="3"/>
  <c r="J63" i="3"/>
  <c r="AC62" i="3"/>
  <c r="X62" i="3"/>
  <c r="S62" i="3"/>
  <c r="J62" i="3"/>
  <c r="AC61" i="3"/>
  <c r="X61" i="3"/>
  <c r="S61" i="3"/>
  <c r="J61" i="3"/>
  <c r="AC60" i="3"/>
  <c r="X60" i="3"/>
  <c r="S60" i="3"/>
  <c r="J60" i="3"/>
  <c r="AC59" i="3"/>
  <c r="X59" i="3"/>
  <c r="S59" i="3"/>
  <c r="J59" i="3"/>
  <c r="AC58" i="3"/>
  <c r="X58" i="3"/>
  <c r="S58" i="3"/>
  <c r="J58" i="3"/>
  <c r="AC57" i="3"/>
  <c r="X57" i="3"/>
  <c r="S57" i="3"/>
  <c r="J57" i="3"/>
  <c r="AC56" i="3"/>
  <c r="X56" i="3"/>
  <c r="S56" i="3"/>
  <c r="J56" i="3"/>
  <c r="AC55" i="3"/>
  <c r="X55" i="3"/>
  <c r="S55" i="3"/>
  <c r="J55" i="3"/>
  <c r="AC54" i="3"/>
  <c r="X54" i="3"/>
  <c r="S54" i="3"/>
  <c r="J54" i="3"/>
  <c r="AC53" i="3"/>
  <c r="X53" i="3"/>
  <c r="S53" i="3"/>
  <c r="J53" i="3"/>
  <c r="AC52" i="3"/>
  <c r="X52" i="3"/>
  <c r="S52" i="3"/>
  <c r="J52" i="3"/>
  <c r="AC51" i="3"/>
  <c r="X51" i="3"/>
  <c r="S51" i="3"/>
  <c r="J51" i="3"/>
  <c r="AC50" i="3"/>
  <c r="X50" i="3"/>
  <c r="S50" i="3"/>
  <c r="J50" i="3"/>
  <c r="AC49" i="3"/>
  <c r="X49" i="3"/>
  <c r="S49" i="3"/>
  <c r="J49" i="3"/>
  <c r="AC48" i="3"/>
  <c r="X48" i="3"/>
  <c r="S48" i="3"/>
  <c r="J48" i="3"/>
  <c r="AC47" i="3"/>
  <c r="X47" i="3"/>
  <c r="S47" i="3"/>
  <c r="J47" i="3"/>
  <c r="AC46" i="3"/>
  <c r="X46" i="3"/>
  <c r="S46" i="3"/>
  <c r="J46" i="3"/>
  <c r="AC45" i="3"/>
  <c r="X45" i="3"/>
  <c r="S45" i="3"/>
  <c r="J45" i="3"/>
  <c r="AC44" i="3"/>
  <c r="X44" i="3"/>
  <c r="S44" i="3"/>
  <c r="J44" i="3"/>
  <c r="AC43" i="3"/>
  <c r="X43" i="3"/>
  <c r="S43" i="3"/>
  <c r="J43" i="3"/>
  <c r="AC42" i="3"/>
  <c r="X42" i="3"/>
  <c r="S42" i="3"/>
  <c r="J42" i="3"/>
  <c r="AC41" i="3"/>
  <c r="X41" i="3"/>
  <c r="S41" i="3"/>
  <c r="J41" i="3"/>
  <c r="AC40" i="3"/>
  <c r="X40" i="3"/>
  <c r="S40" i="3"/>
  <c r="J40" i="3"/>
  <c r="AC39" i="3"/>
  <c r="X39" i="3"/>
  <c r="S39" i="3"/>
  <c r="J39" i="3"/>
  <c r="AC38" i="3"/>
  <c r="X38" i="3"/>
  <c r="S38" i="3"/>
  <c r="J38" i="3"/>
  <c r="AC37" i="3"/>
  <c r="X37" i="3"/>
  <c r="S37" i="3"/>
  <c r="J37" i="3"/>
  <c r="AC36" i="3"/>
  <c r="X36" i="3"/>
  <c r="S36" i="3"/>
  <c r="J36" i="3"/>
  <c r="AC35" i="3"/>
  <c r="X35" i="3"/>
  <c r="S35" i="3"/>
  <c r="J35" i="3"/>
  <c r="AC34" i="3"/>
  <c r="X34" i="3"/>
  <c r="S34" i="3"/>
  <c r="J34" i="3"/>
  <c r="AC33" i="3"/>
  <c r="X33" i="3"/>
  <c r="S33" i="3"/>
  <c r="J33" i="3"/>
  <c r="AC32" i="3"/>
  <c r="X32" i="3"/>
  <c r="S32" i="3"/>
  <c r="J32" i="3"/>
  <c r="AC31" i="3"/>
  <c r="X31" i="3"/>
  <c r="S31" i="3"/>
  <c r="J31" i="3"/>
  <c r="AC30" i="3"/>
  <c r="X30" i="3"/>
  <c r="S30" i="3"/>
  <c r="J30" i="3"/>
  <c r="AC29" i="3"/>
  <c r="X29" i="3"/>
  <c r="S29" i="3"/>
  <c r="J29" i="3"/>
  <c r="AC28" i="3"/>
  <c r="X28" i="3"/>
  <c r="S28" i="3"/>
  <c r="J28" i="3"/>
  <c r="AC27" i="3"/>
  <c r="X27" i="3"/>
  <c r="S27" i="3"/>
  <c r="J27" i="3"/>
  <c r="AC26" i="3"/>
  <c r="X26" i="3"/>
  <c r="S26" i="3"/>
  <c r="J26" i="3"/>
  <c r="AC25" i="3"/>
  <c r="X25" i="3"/>
  <c r="S25" i="3"/>
  <c r="J25" i="3"/>
  <c r="AC24" i="3"/>
  <c r="X24" i="3"/>
  <c r="S24" i="3"/>
  <c r="J24" i="3"/>
  <c r="AC23" i="3"/>
  <c r="X23" i="3"/>
  <c r="S23" i="3"/>
  <c r="J23" i="3"/>
  <c r="AC22" i="3"/>
  <c r="X22" i="3"/>
  <c r="S22" i="3"/>
  <c r="J22" i="3"/>
  <c r="AC21" i="3"/>
  <c r="X21" i="3"/>
  <c r="S21" i="3"/>
  <c r="J21" i="3"/>
  <c r="AC20" i="3"/>
  <c r="X20" i="3"/>
  <c r="S20" i="3"/>
  <c r="J20" i="3"/>
  <c r="AC19" i="3"/>
  <c r="X19" i="3"/>
  <c r="S19" i="3"/>
  <c r="J19" i="3"/>
  <c r="AC18" i="3"/>
  <c r="X18" i="3"/>
  <c r="S18" i="3"/>
  <c r="J18" i="3"/>
  <c r="AC17" i="3"/>
  <c r="X17" i="3"/>
  <c r="S17" i="3"/>
  <c r="J17" i="3"/>
  <c r="AC16" i="3"/>
  <c r="X16" i="3"/>
  <c r="S16" i="3"/>
  <c r="J16" i="3"/>
  <c r="AC15" i="3"/>
  <c r="X15" i="3"/>
  <c r="S15" i="3"/>
  <c r="J15" i="3"/>
  <c r="AC14" i="3"/>
  <c r="X14" i="3"/>
  <c r="S14" i="3"/>
  <c r="J14" i="3"/>
  <c r="AC13" i="3"/>
  <c r="X13" i="3"/>
  <c r="S13" i="3"/>
  <c r="J13" i="3"/>
  <c r="AC12" i="3"/>
  <c r="X12" i="3"/>
  <c r="S12" i="3"/>
  <c r="J12" i="3"/>
  <c r="AC11" i="3"/>
  <c r="X11" i="3"/>
  <c r="S11" i="3"/>
  <c r="J11" i="3"/>
  <c r="AC10" i="3"/>
  <c r="X10" i="3"/>
  <c r="S10" i="3"/>
  <c r="J10" i="3"/>
  <c r="AC9" i="3"/>
  <c r="X9" i="3"/>
  <c r="S9" i="3"/>
  <c r="J9" i="3"/>
  <c r="AC8" i="3"/>
  <c r="X8" i="3"/>
  <c r="S8" i="3"/>
  <c r="J8" i="3"/>
  <c r="AC7" i="3"/>
  <c r="X7" i="3"/>
  <c r="S7" i="3"/>
  <c r="J7" i="3"/>
  <c r="AC6" i="3"/>
  <c r="X6" i="3"/>
  <c r="S6" i="3"/>
  <c r="J6" i="3"/>
  <c r="AC5" i="3"/>
  <c r="X5" i="3"/>
  <c r="S5" i="3"/>
  <c r="J5" i="3"/>
  <c r="AC4" i="3"/>
  <c r="X4" i="3"/>
  <c r="S4" i="3"/>
  <c r="J4" i="3"/>
  <c r="T101" i="3" l="1"/>
  <c r="T143" i="3"/>
  <c r="T227" i="3"/>
  <c r="T229" i="3"/>
  <c r="T102" i="3"/>
  <c r="T112" i="3"/>
  <c r="T126" i="3"/>
  <c r="T136" i="3"/>
  <c r="AE136" i="3" s="1"/>
  <c r="T138" i="3"/>
  <c r="T150" i="3"/>
  <c r="T152" i="3"/>
  <c r="T154" i="3"/>
  <c r="T162" i="3"/>
  <c r="T164" i="3"/>
  <c r="T168" i="3"/>
  <c r="T170" i="3"/>
  <c r="T174" i="3"/>
  <c r="T214" i="3"/>
  <c r="AD196" i="3"/>
  <c r="AD212" i="3"/>
  <c r="T140" i="3"/>
  <c r="AD99" i="3"/>
  <c r="T132" i="3"/>
  <c r="AD63" i="3"/>
  <c r="AD65" i="3"/>
  <c r="AD67" i="3"/>
  <c r="AD75" i="3"/>
  <c r="AD81" i="3"/>
  <c r="AD87" i="3"/>
  <c r="AD89" i="3"/>
  <c r="AD91" i="3"/>
  <c r="AD43" i="3"/>
  <c r="AD101" i="3"/>
  <c r="AE101" i="3" s="1"/>
  <c r="AD107" i="3"/>
  <c r="AD163" i="3"/>
  <c r="AD165" i="3"/>
  <c r="AD171" i="3"/>
  <c r="AD211" i="3"/>
  <c r="AD41" i="3"/>
  <c r="T5" i="3"/>
  <c r="T7" i="3"/>
  <c r="T11" i="3"/>
  <c r="AD58" i="3"/>
  <c r="AD110" i="3"/>
  <c r="AD114" i="3"/>
  <c r="AD19" i="3"/>
  <c r="AD37" i="3"/>
  <c r="AD95" i="3"/>
  <c r="T97" i="3"/>
  <c r="T12" i="3"/>
  <c r="T14" i="3"/>
  <c r="T16" i="3"/>
  <c r="T20" i="3"/>
  <c r="T26" i="3"/>
  <c r="T28" i="3"/>
  <c r="T36" i="3"/>
  <c r="AD173" i="3"/>
  <c r="AD175" i="3"/>
  <c r="AD183" i="3"/>
  <c r="T156" i="3"/>
  <c r="T216" i="3"/>
  <c r="T218" i="3"/>
  <c r="T220" i="3"/>
  <c r="AG220" i="3" s="1"/>
  <c r="T222" i="3"/>
  <c r="T230" i="3"/>
  <c r="AD116" i="3"/>
  <c r="AD136" i="3"/>
  <c r="AD140" i="3"/>
  <c r="AD160" i="3"/>
  <c r="AD172" i="3"/>
  <c r="AD188" i="3"/>
  <c r="AD216" i="3"/>
  <c r="AD218" i="3"/>
  <c r="AD226" i="3"/>
  <c r="AD230" i="3"/>
  <c r="T139" i="3"/>
  <c r="T147" i="3"/>
  <c r="T151" i="3"/>
  <c r="T60" i="3"/>
  <c r="T84" i="3"/>
  <c r="T191" i="3"/>
  <c r="T195" i="3"/>
  <c r="T203" i="3"/>
  <c r="T99" i="3"/>
  <c r="AD70" i="3"/>
  <c r="AD76" i="3"/>
  <c r="AD78" i="3"/>
  <c r="AD80" i="3"/>
  <c r="AD86" i="3"/>
  <c r="AD92" i="3"/>
  <c r="AD96" i="3"/>
  <c r="T158" i="3"/>
  <c r="AD179" i="3"/>
  <c r="AD195" i="3"/>
  <c r="AD197" i="3"/>
  <c r="AD201" i="3"/>
  <c r="AD203" i="3"/>
  <c r="AD205" i="3"/>
  <c r="T215" i="3"/>
  <c r="AD50" i="3"/>
  <c r="AD68" i="3"/>
  <c r="AD74" i="3"/>
  <c r="T29" i="3"/>
  <c r="T49" i="3"/>
  <c r="T53" i="3"/>
  <c r="T65" i="3"/>
  <c r="AG65" i="3" s="1"/>
  <c r="T69" i="3"/>
  <c r="AD124" i="3"/>
  <c r="AD148" i="3"/>
  <c r="T200" i="3"/>
  <c r="T210" i="3"/>
  <c r="AD217" i="3"/>
  <c r="T22" i="3"/>
  <c r="T135" i="3"/>
  <c r="T171" i="3"/>
  <c r="AD10" i="3"/>
  <c r="T104" i="3"/>
  <c r="T38" i="3"/>
  <c r="AD111" i="3"/>
  <c r="AD155" i="3"/>
  <c r="AD157" i="3"/>
  <c r="T175" i="3"/>
  <c r="AG175" i="3" s="1"/>
  <c r="T181" i="3"/>
  <c r="T183" i="3"/>
  <c r="AD42" i="3"/>
  <c r="AD90" i="3"/>
  <c r="AD115" i="3"/>
  <c r="AD123" i="3"/>
  <c r="AD127" i="3"/>
  <c r="AD131" i="3"/>
  <c r="AD133" i="3"/>
  <c r="AD135" i="3"/>
  <c r="AD139" i="3"/>
  <c r="AD147" i="3"/>
  <c r="AD149" i="3"/>
  <c r="AD153" i="3"/>
  <c r="AD167" i="3"/>
  <c r="T173" i="3"/>
  <c r="AD176" i="3"/>
  <c r="AD178" i="3"/>
  <c r="AD180" i="3"/>
  <c r="AD186" i="3"/>
  <c r="AD52" i="3"/>
  <c r="AD66" i="3"/>
  <c r="AD33" i="3"/>
  <c r="AD35" i="3"/>
  <c r="T73" i="3"/>
  <c r="T179" i="3"/>
  <c r="AD198" i="3"/>
  <c r="AD202" i="3"/>
  <c r="AD204" i="3"/>
  <c r="AD208" i="3"/>
  <c r="AD210" i="3"/>
  <c r="AD225" i="3"/>
  <c r="AD227" i="3"/>
  <c r="AE227" i="3" s="1"/>
  <c r="AD229" i="3"/>
  <c r="AG229" i="3" s="1"/>
  <c r="AD62" i="3"/>
  <c r="T30" i="3"/>
  <c r="T57" i="3"/>
  <c r="T160" i="3"/>
  <c r="AD21" i="3"/>
  <c r="AD22" i="3"/>
  <c r="AD49" i="3"/>
  <c r="AD57" i="3"/>
  <c r="AD120" i="3"/>
  <c r="T224" i="3"/>
  <c r="AD25" i="3"/>
  <c r="AD60" i="3"/>
  <c r="T119" i="3"/>
  <c r="T178" i="3"/>
  <c r="AD181" i="3"/>
  <c r="AD224" i="3"/>
  <c r="AD15" i="3"/>
  <c r="T17" i="3"/>
  <c r="T19" i="3"/>
  <c r="T23" i="3"/>
  <c r="T25" i="3"/>
  <c r="T56" i="3"/>
  <c r="T62" i="3"/>
  <c r="T68" i="3"/>
  <c r="T92" i="3"/>
  <c r="T96" i="3"/>
  <c r="T98" i="3"/>
  <c r="AD103" i="3"/>
  <c r="T155" i="3"/>
  <c r="T159" i="3"/>
  <c r="T167" i="3"/>
  <c r="T180" i="3"/>
  <c r="T182" i="3"/>
  <c r="T184" i="3"/>
  <c r="T186" i="3"/>
  <c r="AD209" i="3"/>
  <c r="T217" i="3"/>
  <c r="T219" i="3"/>
  <c r="T6" i="3"/>
  <c r="AD17" i="3"/>
  <c r="AD30" i="3"/>
  <c r="T44" i="3"/>
  <c r="T46" i="3"/>
  <c r="AD69" i="3"/>
  <c r="T77" i="3"/>
  <c r="T81" i="3"/>
  <c r="AD82" i="3"/>
  <c r="T190" i="3"/>
  <c r="AD6" i="3"/>
  <c r="T31" i="3"/>
  <c r="T52" i="3"/>
  <c r="AF52" i="3" s="1"/>
  <c r="AD55" i="3"/>
  <c r="T61" i="3"/>
  <c r="T134" i="3"/>
  <c r="T176" i="3"/>
  <c r="AG176" i="3" s="1"/>
  <c r="AD184" i="3"/>
  <c r="AD220" i="3"/>
  <c r="AD38" i="3"/>
  <c r="AG38" i="3" s="1"/>
  <c r="AD40" i="3"/>
  <c r="AD71" i="3"/>
  <c r="AD73" i="3"/>
  <c r="AD77" i="3"/>
  <c r="T85" i="3"/>
  <c r="AD94" i="3"/>
  <c r="AD109" i="3"/>
  <c r="T123" i="3"/>
  <c r="T130" i="3"/>
  <c r="AD146" i="3"/>
  <c r="AD150" i="3"/>
  <c r="AE150" i="3" s="1"/>
  <c r="T166" i="3"/>
  <c r="AD169" i="3"/>
  <c r="T185" i="3"/>
  <c r="T198" i="3"/>
  <c r="T206" i="3"/>
  <c r="T212" i="3"/>
  <c r="AD213" i="3"/>
  <c r="AD215" i="3"/>
  <c r="T37" i="3"/>
  <c r="AD46" i="3"/>
  <c r="T72" i="3"/>
  <c r="T89" i="3"/>
  <c r="T110" i="3"/>
  <c r="AD117" i="3"/>
  <c r="T149" i="3"/>
  <c r="AD156" i="3"/>
  <c r="T13" i="3"/>
  <c r="AD18" i="3"/>
  <c r="AD31" i="3"/>
  <c r="T41" i="3"/>
  <c r="T67" i="3"/>
  <c r="T76" i="3"/>
  <c r="T93" i="3"/>
  <c r="T125" i="3"/>
  <c r="AD126" i="3"/>
  <c r="AD128" i="3"/>
  <c r="AD130" i="3"/>
  <c r="AD132" i="3"/>
  <c r="AD164" i="3"/>
  <c r="T172" i="3"/>
  <c r="T189" i="3"/>
  <c r="AD194" i="3"/>
  <c r="AD219" i="3"/>
  <c r="AF219" i="3" s="1"/>
  <c r="T45" i="3"/>
  <c r="AD54" i="3"/>
  <c r="T82" i="3"/>
  <c r="AD106" i="3"/>
  <c r="T118" i="3"/>
  <c r="T120" i="3"/>
  <c r="T129" i="3"/>
  <c r="T133" i="3"/>
  <c r="AD141" i="3"/>
  <c r="T197" i="3"/>
  <c r="T199" i="3"/>
  <c r="T207" i="3"/>
  <c r="AD221" i="3"/>
  <c r="AD9" i="3"/>
  <c r="AD26" i="3"/>
  <c r="T32" i="3"/>
  <c r="AD45" i="3"/>
  <c r="AF45" i="3" s="1"/>
  <c r="AD72" i="3"/>
  <c r="AD93" i="3"/>
  <c r="T105" i="3"/>
  <c r="T127" i="3"/>
  <c r="AD168" i="3"/>
  <c r="AD170" i="3"/>
  <c r="AD187" i="3"/>
  <c r="T109" i="3"/>
  <c r="AD138" i="3"/>
  <c r="AF138" i="3" s="1"/>
  <c r="T142" i="3"/>
  <c r="AD159" i="3"/>
  <c r="T169" i="3"/>
  <c r="AD177" i="3"/>
  <c r="AD182" i="3"/>
  <c r="T188" i="3"/>
  <c r="AD189" i="3"/>
  <c r="T213" i="3"/>
  <c r="AD228" i="3"/>
  <c r="AD13" i="3"/>
  <c r="AF101" i="3"/>
  <c r="T115" i="3"/>
  <c r="AD122" i="3"/>
  <c r="AD144" i="3"/>
  <c r="AD154" i="3"/>
  <c r="AG154" i="3" s="1"/>
  <c r="AD161" i="3"/>
  <c r="AD185" i="3"/>
  <c r="AD192" i="3"/>
  <c r="T21" i="3"/>
  <c r="AD64" i="3"/>
  <c r="T24" i="3"/>
  <c r="AD28" i="3"/>
  <c r="T39" i="3"/>
  <c r="AD79" i="3"/>
  <c r="AD84" i="3"/>
  <c r="AD5" i="3"/>
  <c r="AD59" i="3"/>
  <c r="T9" i="3"/>
  <c r="T42" i="3"/>
  <c r="T50" i="3"/>
  <c r="T70" i="3"/>
  <c r="T75" i="3"/>
  <c r="T80" i="3"/>
  <c r="AD104" i="3"/>
  <c r="AD112" i="3"/>
  <c r="AG112" i="3" s="1"/>
  <c r="AD125" i="3"/>
  <c r="T128" i="3"/>
  <c r="AD142" i="3"/>
  <c r="T157" i="3"/>
  <c r="AG157" i="3" s="1"/>
  <c r="AD166" i="3"/>
  <c r="T205" i="3"/>
  <c r="AD214" i="3"/>
  <c r="AG214" i="3" s="1"/>
  <c r="AD207" i="3"/>
  <c r="T4" i="3"/>
  <c r="AD14" i="3"/>
  <c r="AD24" i="3"/>
  <c r="T27" i="3"/>
  <c r="AD34" i="3"/>
  <c r="AD39" i="3"/>
  <c r="T48" i="3"/>
  <c r="T88" i="3"/>
  <c r="AD102" i="3"/>
  <c r="T108" i="3"/>
  <c r="T131" i="3"/>
  <c r="AD145" i="3"/>
  <c r="T148" i="3"/>
  <c r="AD152" i="3"/>
  <c r="AD162" i="3"/>
  <c r="AF162" i="3" s="1"/>
  <c r="AD193" i="3"/>
  <c r="T196" i="3"/>
  <c r="AD200" i="3"/>
  <c r="T15" i="3"/>
  <c r="T35" i="3"/>
  <c r="T40" i="3"/>
  <c r="T78" i="3"/>
  <c r="T83" i="3"/>
  <c r="AD85" i="3"/>
  <c r="T141" i="3"/>
  <c r="T146" i="3"/>
  <c r="T153" i="3"/>
  <c r="T165" i="3"/>
  <c r="T194" i="3"/>
  <c r="T201" i="3"/>
  <c r="T208" i="3"/>
  <c r="AD222" i="3"/>
  <c r="T225" i="3"/>
  <c r="AD4" i="3"/>
  <c r="T10" i="3"/>
  <c r="AD12" i="3"/>
  <c r="AD27" i="3"/>
  <c r="AD29" i="3"/>
  <c r="T43" i="3"/>
  <c r="AD48" i="3"/>
  <c r="T51" i="3"/>
  <c r="AD53" i="3"/>
  <c r="T66" i="3"/>
  <c r="T86" i="3"/>
  <c r="AD88" i="3"/>
  <c r="T91" i="3"/>
  <c r="AD100" i="3"/>
  <c r="T103" i="3"/>
  <c r="T106" i="3"/>
  <c r="AD108" i="3"/>
  <c r="T111" i="3"/>
  <c r="T114" i="3"/>
  <c r="T124" i="3"/>
  <c r="AD143" i="3"/>
  <c r="AF143" i="3" s="1"/>
  <c r="T163" i="3"/>
  <c r="T187" i="3"/>
  <c r="AD191" i="3"/>
  <c r="T211" i="3"/>
  <c r="T223" i="3"/>
  <c r="T228" i="3"/>
  <c r="T33" i="3"/>
  <c r="T54" i="3"/>
  <c r="AD56" i="3"/>
  <c r="T59" i="3"/>
  <c r="T64" i="3"/>
  <c r="AD98" i="3"/>
  <c r="T122" i="3"/>
  <c r="T202" i="3"/>
  <c r="T204" i="3"/>
  <c r="T221" i="3"/>
  <c r="T226" i="3"/>
  <c r="T8" i="3"/>
  <c r="AD20" i="3"/>
  <c r="AD61" i="3"/>
  <c r="T94" i="3"/>
  <c r="T117" i="3"/>
  <c r="AD119" i="3"/>
  <c r="T144" i="3"/>
  <c r="AD151" i="3"/>
  <c r="T192" i="3"/>
  <c r="AD199" i="3"/>
  <c r="AD11" i="3"/>
  <c r="AD51" i="3"/>
  <c r="AD83" i="3"/>
  <c r="AD23" i="3"/>
  <c r="AD47" i="3"/>
  <c r="AD16" i="3"/>
  <c r="T34" i="3"/>
  <c r="T55" i="3"/>
  <c r="T71" i="3"/>
  <c r="T87" i="3"/>
  <c r="AD7" i="3"/>
  <c r="AF7" i="3" s="1"/>
  <c r="AD44" i="3"/>
  <c r="AD8" i="3"/>
  <c r="AD36" i="3"/>
  <c r="AD32" i="3"/>
  <c r="T47" i="3"/>
  <c r="T63" i="3"/>
  <c r="T79" i="3"/>
  <c r="T95" i="3"/>
  <c r="T107" i="3"/>
  <c r="T18" i="3"/>
  <c r="T58" i="3"/>
  <c r="T74" i="3"/>
  <c r="T90" i="3"/>
  <c r="AD97" i="3"/>
  <c r="T113" i="3"/>
  <c r="AD118" i="3"/>
  <c r="AD129" i="3"/>
  <c r="T137" i="3"/>
  <c r="T121" i="3"/>
  <c r="T145" i="3"/>
  <c r="T161" i="3"/>
  <c r="T177" i="3"/>
  <c r="T193" i="3"/>
  <c r="T209" i="3"/>
  <c r="AD223" i="3"/>
  <c r="AD113" i="3"/>
  <c r="AD134" i="3"/>
  <c r="AD137" i="3"/>
  <c r="T100" i="3"/>
  <c r="AD121" i="3"/>
  <c r="AD105" i="3"/>
  <c r="T116" i="3"/>
  <c r="AD158" i="3"/>
  <c r="AD174" i="3"/>
  <c r="AE174" i="3" s="1"/>
  <c r="AD190" i="3"/>
  <c r="AD206" i="3"/>
  <c r="AG80" i="3" l="1"/>
  <c r="AF84" i="3"/>
  <c r="AG89" i="3"/>
  <c r="AE68" i="3"/>
  <c r="AF222" i="3"/>
  <c r="AF208" i="3"/>
  <c r="AG101" i="3"/>
  <c r="AG78" i="3"/>
  <c r="AG203" i="3"/>
  <c r="AE230" i="3"/>
  <c r="AF140" i="3"/>
  <c r="AG126" i="3"/>
  <c r="AF43" i="3"/>
  <c r="AE5" i="3"/>
  <c r="AE164" i="3"/>
  <c r="AF109" i="3"/>
  <c r="AE215" i="3"/>
  <c r="AF136" i="3"/>
  <c r="AF188" i="3"/>
  <c r="AF170" i="3"/>
  <c r="AE195" i="3"/>
  <c r="AE196" i="3"/>
  <c r="AE102" i="3"/>
  <c r="AE168" i="3"/>
  <c r="AG212" i="3"/>
  <c r="AE152" i="3"/>
  <c r="AE132" i="3"/>
  <c r="AF225" i="3"/>
  <c r="AF141" i="3"/>
  <c r="AF49" i="3"/>
  <c r="AF67" i="3"/>
  <c r="AF128" i="3"/>
  <c r="AG97" i="3"/>
  <c r="AE154" i="3"/>
  <c r="AG136" i="3"/>
  <c r="AE180" i="3"/>
  <c r="AF183" i="3"/>
  <c r="AF99" i="3"/>
  <c r="AF133" i="3"/>
  <c r="AF81" i="3"/>
  <c r="AF230" i="3"/>
  <c r="AG32" i="3"/>
  <c r="AE176" i="3"/>
  <c r="AG201" i="3"/>
  <c r="AF217" i="3"/>
  <c r="AF155" i="3"/>
  <c r="AE203" i="3"/>
  <c r="AG230" i="3"/>
  <c r="AE36" i="3"/>
  <c r="AG12" i="3"/>
  <c r="AF165" i="3"/>
  <c r="AE66" i="3"/>
  <c r="AG153" i="3"/>
  <c r="AF227" i="3"/>
  <c r="AF207" i="3"/>
  <c r="AF96" i="3"/>
  <c r="AG17" i="3"/>
  <c r="AG195" i="3"/>
  <c r="AG218" i="3"/>
  <c r="AE14" i="3"/>
  <c r="AG92" i="3"/>
  <c r="AE120" i="3"/>
  <c r="AE216" i="3"/>
  <c r="AF110" i="3"/>
  <c r="AG31" i="3"/>
  <c r="AE38" i="3"/>
  <c r="AE200" i="3"/>
  <c r="AE182" i="3"/>
  <c r="AF180" i="3"/>
  <c r="AE190" i="3"/>
  <c r="AG140" i="3"/>
  <c r="AF144" i="3"/>
  <c r="AF195" i="3"/>
  <c r="AG99" i="3"/>
  <c r="AE109" i="3"/>
  <c r="AF68" i="3"/>
  <c r="AE140" i="3"/>
  <c r="AE99" i="3"/>
  <c r="AE211" i="3"/>
  <c r="AG75" i="3"/>
  <c r="AG171" i="3"/>
  <c r="AG96" i="3"/>
  <c r="AF65" i="3"/>
  <c r="AE218" i="3"/>
  <c r="AG202" i="3"/>
  <c r="AG26" i="3"/>
  <c r="AF200" i="3"/>
  <c r="AG44" i="3"/>
  <c r="AG200" i="3"/>
  <c r="AF151" i="3"/>
  <c r="AE226" i="3"/>
  <c r="AE163" i="3"/>
  <c r="AG41" i="3"/>
  <c r="AG216" i="3"/>
  <c r="AE157" i="3"/>
  <c r="AF89" i="3"/>
  <c r="AG91" i="3"/>
  <c r="AF159" i="3"/>
  <c r="AG172" i="3"/>
  <c r="AF76" i="3"/>
  <c r="AE46" i="3"/>
  <c r="AG186" i="3"/>
  <c r="AE19" i="3"/>
  <c r="AF210" i="3"/>
  <c r="AF220" i="3"/>
  <c r="AG28" i="3"/>
  <c r="AF150" i="3"/>
  <c r="AE65" i="3"/>
  <c r="AF127" i="3"/>
  <c r="AG159" i="3"/>
  <c r="AE225" i="3"/>
  <c r="AF218" i="3"/>
  <c r="AF86" i="3"/>
  <c r="AF30" i="3"/>
  <c r="AE92" i="3"/>
  <c r="AE198" i="3"/>
  <c r="AG180" i="3"/>
  <c r="AG68" i="3"/>
  <c r="AF147" i="3"/>
  <c r="AG29" i="3"/>
  <c r="AE117" i="3"/>
  <c r="AG194" i="3"/>
  <c r="AE21" i="3"/>
  <c r="AF157" i="3"/>
  <c r="AF111" i="3"/>
  <c r="AG205" i="3"/>
  <c r="AE45" i="3"/>
  <c r="AG197" i="3"/>
  <c r="AF17" i="3"/>
  <c r="AF224" i="3"/>
  <c r="AF124" i="3"/>
  <c r="AF139" i="3"/>
  <c r="AE222" i="3"/>
  <c r="AG150" i="3"/>
  <c r="AE202" i="3"/>
  <c r="AE220" i="3"/>
  <c r="AF168" i="3"/>
  <c r="AG53" i="3"/>
  <c r="AE188" i="3"/>
  <c r="AE167" i="3"/>
  <c r="AE39" i="3"/>
  <c r="AG173" i="3"/>
  <c r="AG179" i="3"/>
  <c r="AE147" i="3"/>
  <c r="AG30" i="3"/>
  <c r="AG204" i="3"/>
  <c r="AE29" i="3"/>
  <c r="AF28" i="3"/>
  <c r="AG147" i="3"/>
  <c r="AF182" i="3"/>
  <c r="AG37" i="3"/>
  <c r="AF166" i="3"/>
  <c r="AE6" i="3"/>
  <c r="AE62" i="3"/>
  <c r="AG73" i="3"/>
  <c r="AF181" i="3"/>
  <c r="AG69" i="3"/>
  <c r="AF215" i="3"/>
  <c r="AE54" i="3"/>
  <c r="AE197" i="3"/>
  <c r="AF197" i="3"/>
  <c r="AE139" i="3"/>
  <c r="AE124" i="3"/>
  <c r="AF78" i="3"/>
  <c r="AF39" i="3"/>
  <c r="AG128" i="3"/>
  <c r="AE42" i="3"/>
  <c r="AG156" i="3"/>
  <c r="AF70" i="3"/>
  <c r="AG139" i="3"/>
  <c r="AF114" i="3"/>
  <c r="AG148" i="3"/>
  <c r="AF169" i="3"/>
  <c r="AF120" i="3"/>
  <c r="AG189" i="3"/>
  <c r="AG93" i="3"/>
  <c r="AE149" i="3"/>
  <c r="AF61" i="3"/>
  <c r="AG25" i="3"/>
  <c r="AF119" i="3"/>
  <c r="AG198" i="3"/>
  <c r="AF216" i="3"/>
  <c r="AE20" i="3"/>
  <c r="AF115" i="3"/>
  <c r="AF60" i="3"/>
  <c r="AE160" i="3"/>
  <c r="AE15" i="3"/>
  <c r="AF104" i="3"/>
  <c r="AG130" i="3"/>
  <c r="AE57" i="3"/>
  <c r="AG183" i="3"/>
  <c r="AG222" i="3"/>
  <c r="AG165" i="3"/>
  <c r="AG109" i="3"/>
  <c r="AE70" i="3"/>
  <c r="AF185" i="3"/>
  <c r="AF72" i="3"/>
  <c r="AF198" i="3"/>
  <c r="AG215" i="3"/>
  <c r="AE128" i="3"/>
  <c r="AF22" i="3"/>
  <c r="AF191" i="3"/>
  <c r="AG217" i="3"/>
  <c r="AE192" i="3"/>
  <c r="AF167" i="3"/>
  <c r="AE85" i="3"/>
  <c r="AG181" i="3"/>
  <c r="AG8" i="3"/>
  <c r="AG42" i="3"/>
  <c r="AF42" i="3"/>
  <c r="AG86" i="3"/>
  <c r="AF171" i="3"/>
  <c r="AE119" i="3"/>
  <c r="AG62" i="3"/>
  <c r="AE135" i="3"/>
  <c r="AE172" i="3"/>
  <c r="AE105" i="3"/>
  <c r="AE141" i="3"/>
  <c r="AF172" i="3"/>
  <c r="AF54" i="3"/>
  <c r="AG207" i="3"/>
  <c r="AG45" i="3"/>
  <c r="AE30" i="3"/>
  <c r="AF118" i="3"/>
  <c r="AF57" i="3"/>
  <c r="AE76" i="3"/>
  <c r="AE43" i="3"/>
  <c r="AG43" i="3"/>
  <c r="AE224" i="3"/>
  <c r="AG57" i="3"/>
  <c r="AE50" i="3"/>
  <c r="AF108" i="3"/>
  <c r="AG82" i="3"/>
  <c r="AE49" i="3"/>
  <c r="AE96" i="3"/>
  <c r="AG225" i="3"/>
  <c r="AE131" i="3"/>
  <c r="AF160" i="3"/>
  <c r="AE78" i="3"/>
  <c r="AG59" i="3"/>
  <c r="AG146" i="3"/>
  <c r="AE210" i="3"/>
  <c r="AF203" i="3"/>
  <c r="AG224" i="3"/>
  <c r="AE179" i="3"/>
  <c r="AF135" i="3"/>
  <c r="AG6" i="3"/>
  <c r="AF178" i="3"/>
  <c r="AE201" i="3"/>
  <c r="AG162" i="3"/>
  <c r="AF69" i="3"/>
  <c r="AE229" i="3"/>
  <c r="AE175" i="3"/>
  <c r="AE133" i="3"/>
  <c r="AE156" i="3"/>
  <c r="AG111" i="3"/>
  <c r="AG76" i="3"/>
  <c r="AG138" i="3"/>
  <c r="AF192" i="3"/>
  <c r="AE37" i="3"/>
  <c r="AF50" i="3"/>
  <c r="AF6" i="3"/>
  <c r="AG33" i="3"/>
  <c r="AE35" i="3"/>
  <c r="AE207" i="3"/>
  <c r="AG135" i="3"/>
  <c r="AF102" i="3"/>
  <c r="AE10" i="3"/>
  <c r="AE73" i="3"/>
  <c r="AF173" i="3"/>
  <c r="AE111" i="3"/>
  <c r="AG213" i="3"/>
  <c r="AG151" i="3"/>
  <c r="AE151" i="3"/>
  <c r="AE191" i="3"/>
  <c r="AF175" i="3"/>
  <c r="AF156" i="3"/>
  <c r="AG127" i="3"/>
  <c r="AE81" i="3"/>
  <c r="AG23" i="3"/>
  <c r="AG124" i="3"/>
  <c r="AF37" i="3"/>
  <c r="AE12" i="3"/>
  <c r="AG50" i="3"/>
  <c r="AG61" i="3"/>
  <c r="AG185" i="3"/>
  <c r="AG35" i="3"/>
  <c r="AF179" i="3"/>
  <c r="AF103" i="3"/>
  <c r="AF48" i="3"/>
  <c r="AG142" i="3"/>
  <c r="AF25" i="3"/>
  <c r="AF82" i="3"/>
  <c r="AF123" i="3"/>
  <c r="AG208" i="3"/>
  <c r="AF62" i="3"/>
  <c r="AE56" i="3"/>
  <c r="AF77" i="3"/>
  <c r="AG102" i="3"/>
  <c r="AE208" i="3"/>
  <c r="AE166" i="3"/>
  <c r="AE169" i="3"/>
  <c r="AF229" i="3"/>
  <c r="AG167" i="3"/>
  <c r="AF212" i="3"/>
  <c r="AF73" i="3"/>
  <c r="AE126" i="3"/>
  <c r="AG49" i="3"/>
  <c r="AG119" i="3"/>
  <c r="AF176" i="3"/>
  <c r="AE77" i="3"/>
  <c r="AF26" i="3"/>
  <c r="AF66" i="3"/>
  <c r="AG192" i="3"/>
  <c r="AE171" i="3"/>
  <c r="AE212" i="3"/>
  <c r="AF92" i="3"/>
  <c r="AE183" i="3"/>
  <c r="AE170" i="3"/>
  <c r="AG129" i="3"/>
  <c r="AG81" i="3"/>
  <c r="AG168" i="3"/>
  <c r="AE214" i="3"/>
  <c r="AE4" i="3"/>
  <c r="AF201" i="3"/>
  <c r="AF189" i="3"/>
  <c r="AF214" i="3"/>
  <c r="AE185" i="3"/>
  <c r="AG134" i="3"/>
  <c r="AE181" i="3"/>
  <c r="AE158" i="3"/>
  <c r="AE217" i="3"/>
  <c r="AF226" i="3"/>
  <c r="AF131" i="3"/>
  <c r="AF126" i="3"/>
  <c r="AG120" i="3"/>
  <c r="AG77" i="3"/>
  <c r="AG54" i="3"/>
  <c r="AF10" i="3"/>
  <c r="AE44" i="3"/>
  <c r="AF125" i="3"/>
  <c r="AF9" i="3"/>
  <c r="AE189" i="3"/>
  <c r="AE173" i="3"/>
  <c r="AG210" i="3"/>
  <c r="AF154" i="3"/>
  <c r="AF117" i="3"/>
  <c r="AG67" i="3"/>
  <c r="AG188" i="3"/>
  <c r="AE138" i="3"/>
  <c r="AG56" i="3"/>
  <c r="AE86" i="3"/>
  <c r="AG19" i="3"/>
  <c r="AG144" i="3"/>
  <c r="AE213" i="3"/>
  <c r="AG117" i="3"/>
  <c r="AE127" i="3"/>
  <c r="AF112" i="3"/>
  <c r="AG160" i="3"/>
  <c r="AF46" i="3"/>
  <c r="AE25" i="3"/>
  <c r="AE178" i="3"/>
  <c r="AF106" i="3"/>
  <c r="AG227" i="3"/>
  <c r="AG22" i="3"/>
  <c r="AE199" i="3"/>
  <c r="AE31" i="3"/>
  <c r="AE204" i="3"/>
  <c r="AE60" i="3"/>
  <c r="AF152" i="3"/>
  <c r="AE112" i="3"/>
  <c r="AE67" i="3"/>
  <c r="AF19" i="3"/>
  <c r="AF122" i="3"/>
  <c r="AF213" i="3"/>
  <c r="AG178" i="3"/>
  <c r="AF149" i="3"/>
  <c r="AF204" i="3"/>
  <c r="AG60" i="3"/>
  <c r="AG152" i="3"/>
  <c r="AE93" i="3"/>
  <c r="AG66" i="3"/>
  <c r="AG98" i="3"/>
  <c r="AE155" i="3"/>
  <c r="AE89" i="3"/>
  <c r="AE184" i="3"/>
  <c r="AE17" i="3"/>
  <c r="AG131" i="3"/>
  <c r="AG149" i="3"/>
  <c r="AE22" i="3"/>
  <c r="AF93" i="3"/>
  <c r="AE33" i="3"/>
  <c r="AE64" i="3"/>
  <c r="AE108" i="3"/>
  <c r="AG155" i="3"/>
  <c r="AF228" i="3"/>
  <c r="AF164" i="3"/>
  <c r="AF186" i="3"/>
  <c r="AG164" i="3"/>
  <c r="AE186" i="3"/>
  <c r="AE122" i="3"/>
  <c r="AF91" i="3"/>
  <c r="AE104" i="3"/>
  <c r="AG83" i="3"/>
  <c r="AF14" i="3"/>
  <c r="AF21" i="3"/>
  <c r="AG221" i="3"/>
  <c r="AE97" i="3"/>
  <c r="AG228" i="3"/>
  <c r="AG199" i="3"/>
  <c r="AE134" i="3"/>
  <c r="AG166" i="3"/>
  <c r="AE130" i="3"/>
  <c r="AF29" i="3"/>
  <c r="AF35" i="3"/>
  <c r="AG122" i="3"/>
  <c r="AE91" i="3"/>
  <c r="AG132" i="3"/>
  <c r="AE48" i="3"/>
  <c r="AF64" i="3"/>
  <c r="AG20" i="3"/>
  <c r="AG10" i="3"/>
  <c r="AE32" i="3"/>
  <c r="AE61" i="3"/>
  <c r="AE144" i="3"/>
  <c r="AE24" i="3"/>
  <c r="AG169" i="3"/>
  <c r="AG72" i="3"/>
  <c r="AG182" i="3"/>
  <c r="AF130" i="3"/>
  <c r="AE59" i="3"/>
  <c r="AF132" i="3"/>
  <c r="AE72" i="3"/>
  <c r="AE219" i="3"/>
  <c r="AF199" i="3"/>
  <c r="AE228" i="3"/>
  <c r="AE123" i="3"/>
  <c r="AF196" i="3"/>
  <c r="AE159" i="3"/>
  <c r="AG133" i="3"/>
  <c r="AG143" i="3"/>
  <c r="AG141" i="3"/>
  <c r="AF20" i="3"/>
  <c r="AF59" i="3"/>
  <c r="AF38" i="3"/>
  <c r="AG106" i="3"/>
  <c r="AE52" i="3"/>
  <c r="AF184" i="3"/>
  <c r="AF5" i="3"/>
  <c r="AF33" i="3"/>
  <c r="AF31" i="3"/>
  <c r="AG21" i="3"/>
  <c r="AE41" i="3"/>
  <c r="AF4" i="3"/>
  <c r="AG226" i="3"/>
  <c r="AG170" i="3"/>
  <c r="AE206" i="3"/>
  <c r="AE205" i="3"/>
  <c r="AG196" i="3"/>
  <c r="AF148" i="3"/>
  <c r="AE110" i="3"/>
  <c r="AE106" i="3"/>
  <c r="AG52" i="3"/>
  <c r="AG184" i="3"/>
  <c r="AG7" i="3"/>
  <c r="AF15" i="3"/>
  <c r="AF41" i="3"/>
  <c r="AG88" i="3"/>
  <c r="AG219" i="3"/>
  <c r="AE165" i="3"/>
  <c r="AG104" i="3"/>
  <c r="AG46" i="3"/>
  <c r="AE82" i="3"/>
  <c r="AG14" i="3"/>
  <c r="AF94" i="3"/>
  <c r="AG123" i="3"/>
  <c r="AE69" i="3"/>
  <c r="AF205" i="3"/>
  <c r="AG110" i="3"/>
  <c r="AF223" i="3"/>
  <c r="AE26" i="3"/>
  <c r="AG40" i="3"/>
  <c r="AG13" i="3"/>
  <c r="AF221" i="3"/>
  <c r="AF206" i="3"/>
  <c r="AG223" i="3"/>
  <c r="AG206" i="3"/>
  <c r="AG114" i="3"/>
  <c r="AG125" i="3"/>
  <c r="AF88" i="3"/>
  <c r="AF56" i="3"/>
  <c r="AG4" i="3"/>
  <c r="AF24" i="3"/>
  <c r="AG5" i="3"/>
  <c r="AG15" i="3"/>
  <c r="AG94" i="3"/>
  <c r="AF98" i="3"/>
  <c r="AG108" i="3"/>
  <c r="AE115" i="3"/>
  <c r="AE7" i="3"/>
  <c r="AE94" i="3"/>
  <c r="AE53" i="3"/>
  <c r="AG105" i="3"/>
  <c r="AE84" i="3"/>
  <c r="AE103" i="3"/>
  <c r="AE148" i="3"/>
  <c r="AE98" i="3"/>
  <c r="AG115" i="3"/>
  <c r="AF85" i="3"/>
  <c r="AE75" i="3"/>
  <c r="AG84" i="3"/>
  <c r="AG103" i="3"/>
  <c r="AE13" i="3"/>
  <c r="AG48" i="3"/>
  <c r="AE28" i="3"/>
  <c r="AF142" i="3"/>
  <c r="AG85" i="3"/>
  <c r="AE114" i="3"/>
  <c r="AF75" i="3"/>
  <c r="AF13" i="3"/>
  <c r="AE194" i="3"/>
  <c r="AF194" i="3"/>
  <c r="AG118" i="3"/>
  <c r="AF202" i="3"/>
  <c r="AE118" i="3"/>
  <c r="AF80" i="3"/>
  <c r="AF12" i="3"/>
  <c r="AG211" i="3"/>
  <c r="AF211" i="3"/>
  <c r="AG27" i="3"/>
  <c r="AE162" i="3"/>
  <c r="AE27" i="3"/>
  <c r="AF27" i="3"/>
  <c r="AG64" i="3"/>
  <c r="AE146" i="3"/>
  <c r="AF146" i="3"/>
  <c r="AE142" i="3"/>
  <c r="AE153" i="3"/>
  <c r="AE221" i="3"/>
  <c r="AG191" i="3"/>
  <c r="AF134" i="3"/>
  <c r="AE143" i="3"/>
  <c r="AF129" i="3"/>
  <c r="AG9" i="3"/>
  <c r="AF40" i="3"/>
  <c r="AG70" i="3"/>
  <c r="AF51" i="3"/>
  <c r="AG187" i="3"/>
  <c r="AF187" i="3"/>
  <c r="AE187" i="3"/>
  <c r="AG39" i="3"/>
  <c r="AF153" i="3"/>
  <c r="AF53" i="3"/>
  <c r="AE9" i="3"/>
  <c r="AE88" i="3"/>
  <c r="AE40" i="3"/>
  <c r="AE125" i="3"/>
  <c r="AE80" i="3"/>
  <c r="AG163" i="3"/>
  <c r="AF163" i="3"/>
  <c r="AG24" i="3"/>
  <c r="AF174" i="3"/>
  <c r="AF177" i="3"/>
  <c r="AE177" i="3"/>
  <c r="AG177" i="3"/>
  <c r="AF34" i="3"/>
  <c r="AE34" i="3"/>
  <c r="AG34" i="3"/>
  <c r="AE129" i="3"/>
  <c r="AF11" i="3"/>
  <c r="AG11" i="3"/>
  <c r="AF158" i="3"/>
  <c r="AG190" i="3"/>
  <c r="AG100" i="3"/>
  <c r="AE100" i="3"/>
  <c r="AF100" i="3"/>
  <c r="AG58" i="3"/>
  <c r="AF58" i="3"/>
  <c r="AE58" i="3"/>
  <c r="AF16" i="3"/>
  <c r="AE16" i="3"/>
  <c r="AE51" i="3"/>
  <c r="AF105" i="3"/>
  <c r="AF23" i="3"/>
  <c r="AE8" i="3"/>
  <c r="AF161" i="3"/>
  <c r="AE161" i="3"/>
  <c r="AG161" i="3"/>
  <c r="AE79" i="3"/>
  <c r="AF79" i="3"/>
  <c r="AG79" i="3"/>
  <c r="AF8" i="3"/>
  <c r="AE223" i="3"/>
  <c r="AF116" i="3"/>
  <c r="AG116" i="3"/>
  <c r="AE116" i="3"/>
  <c r="AG158" i="3"/>
  <c r="AG90" i="3"/>
  <c r="AF90" i="3"/>
  <c r="AE90" i="3"/>
  <c r="AE87" i="3"/>
  <c r="AG87" i="3"/>
  <c r="AF87" i="3"/>
  <c r="AE83" i="3"/>
  <c r="AF44" i="3"/>
  <c r="AG174" i="3"/>
  <c r="AG107" i="3"/>
  <c r="AF107" i="3"/>
  <c r="AE107" i="3"/>
  <c r="AE121" i="3"/>
  <c r="AG121" i="3"/>
  <c r="AF121" i="3"/>
  <c r="AF95" i="3"/>
  <c r="AG95" i="3"/>
  <c r="AE95" i="3"/>
  <c r="AG51" i="3"/>
  <c r="AE71" i="3"/>
  <c r="AG71" i="3"/>
  <c r="AF71" i="3"/>
  <c r="AF83" i="3"/>
  <c r="AG16" i="3"/>
  <c r="AF209" i="3"/>
  <c r="AE209" i="3"/>
  <c r="AG209" i="3"/>
  <c r="AF145" i="3"/>
  <c r="AE145" i="3"/>
  <c r="AG145" i="3"/>
  <c r="AG36" i="3"/>
  <c r="AE113" i="3"/>
  <c r="AF113" i="3"/>
  <c r="AG113" i="3"/>
  <c r="AE23" i="3"/>
  <c r="AF190" i="3"/>
  <c r="AE47" i="3"/>
  <c r="AF47" i="3"/>
  <c r="AG47" i="3"/>
  <c r="AE55" i="3"/>
  <c r="AG55" i="3"/>
  <c r="AF55" i="3"/>
  <c r="AE11" i="3"/>
  <c r="AF32" i="3"/>
  <c r="AF193" i="3"/>
  <c r="AE193" i="3"/>
  <c r="AG193" i="3"/>
  <c r="AF137" i="3"/>
  <c r="AE137" i="3"/>
  <c r="AG137" i="3"/>
  <c r="AG18" i="3"/>
  <c r="AE18" i="3"/>
  <c r="AF18" i="3"/>
  <c r="AE63" i="3"/>
  <c r="AF63" i="3"/>
  <c r="AG63" i="3"/>
  <c r="AG74" i="3"/>
  <c r="AF74" i="3"/>
  <c r="AE74" i="3"/>
  <c r="AF36" i="3"/>
  <c r="AF97" i="3"/>
</calcChain>
</file>

<file path=xl/sharedStrings.xml><?xml version="1.0" encoding="utf-8"?>
<sst xmlns="http://schemas.openxmlformats.org/spreadsheetml/2006/main" count="81211" uniqueCount="7398">
  <si>
    <t>terminal_state</t>
  </si>
  <si>
    <t>terminal_city_code</t>
  </si>
  <si>
    <t>terminal_market_code</t>
  </si>
  <si>
    <t>region</t>
  </si>
  <si>
    <t>terminal_code</t>
  </si>
  <si>
    <t>en_terminal_name</t>
  </si>
  <si>
    <t>product_category_code</t>
  </si>
  <si>
    <t>shipping_path_code</t>
  </si>
  <si>
    <t>path_origin</t>
  </si>
  <si>
    <t>path_destination</t>
  </si>
  <si>
    <t>path_length</t>
  </si>
  <si>
    <t>path_time</t>
  </si>
  <si>
    <t>term_path_link</t>
  </si>
  <si>
    <t>published terminal</t>
  </si>
  <si>
    <t>tariff_code</t>
  </si>
  <si>
    <t>tariff_library_name</t>
  </si>
  <si>
    <t>tariff_value</t>
  </si>
  <si>
    <t/>
  </si>
  <si>
    <t>IL Amboy - Growmark - 3319</t>
  </si>
  <si>
    <t>GAS</t>
  </si>
  <si>
    <t>BP WHW Path 4</t>
  </si>
  <si>
    <t>BP WHW - Whiting Station</t>
  </si>
  <si>
    <t>MG IA1 - Menard</t>
  </si>
  <si>
    <t xml:space="preserve"> </t>
  </si>
  <si>
    <t>ETH</t>
  </si>
  <si>
    <t>UP Path 151</t>
  </si>
  <si>
    <t>UP - UP COUNCIL BLUFFS IA</t>
  </si>
  <si>
    <t>UP - UP Amboy IL</t>
  </si>
  <si>
    <t>UP_tariff_2</t>
  </si>
  <si>
    <t>UP_1023_estimated</t>
  </si>
  <si>
    <t>TN Dickson - Buckeye - 2244</t>
  </si>
  <si>
    <t>BP WHD Path 1</t>
  </si>
  <si>
    <t>BP WHD - Whiting Station</t>
  </si>
  <si>
    <t>BP WHD - Burns</t>
  </si>
  <si>
    <t>BP_39</t>
  </si>
  <si>
    <t>BP WHD_0723_278.17.0</t>
  </si>
  <si>
    <t>CSX Path 26</t>
  </si>
  <si>
    <t>CSX - CSX Chicago IL Bedford Park Yard</t>
  </si>
  <si>
    <t>CSX - CSX Dickson TN</t>
  </si>
  <si>
    <t>CSX_tariff_26</t>
  </si>
  <si>
    <t>CSX_1023_estimated</t>
  </si>
  <si>
    <t>TN Knoxville - PBF - 2214-2243</t>
  </si>
  <si>
    <t>NS Path 134</t>
  </si>
  <si>
    <t>NS - NS DECATUR IL</t>
  </si>
  <si>
    <t>NS - NS KNOXVILLE TN</t>
  </si>
  <si>
    <t>NS_NS DECATUR IL-NS_NS KNOXVILLE TN</t>
  </si>
  <si>
    <t>NS_1023_WB 336649</t>
  </si>
  <si>
    <t>NS Path 59</t>
  </si>
  <si>
    <t>NS - NS Chicago IL Calumet Yard</t>
  </si>
  <si>
    <t>NS_NS Chicago IL-NS_NS KNOXVILLE TN</t>
  </si>
  <si>
    <t>TX Brownsville - SRPE - 2717</t>
  </si>
  <si>
    <t>BNSF Path 17</t>
  </si>
  <si>
    <t>BNSF - BNSF Council Bluffs IA Depot</t>
  </si>
  <si>
    <t>BNSF - BNSF Brownsville TX</t>
  </si>
  <si>
    <t>BNSF_tariff_17</t>
  </si>
  <si>
    <t>BNSF_1023_estimated</t>
  </si>
  <si>
    <t>UP Path 180</t>
  </si>
  <si>
    <t>UP - UP BROWNSVILLE TX</t>
  </si>
  <si>
    <t>UP_tariff_180</t>
  </si>
  <si>
    <t>TX Midland - Mag - 2766</t>
  </si>
  <si>
    <t>MG SOR Path 17</t>
  </si>
  <si>
    <t>MG SOR - MG Tulsa West Tulsa</t>
  </si>
  <si>
    <t>MG SOR - MG Midland Midland</t>
  </si>
  <si>
    <t>MG_126</t>
  </si>
  <si>
    <t>MG S ORIGS_0723_161.54.0</t>
  </si>
  <si>
    <t>MG SOR Path 3</t>
  </si>
  <si>
    <t>MG SOR - MG Wynnedwood Gavin</t>
  </si>
  <si>
    <t xml:space="preserve"> - </t>
  </si>
  <si>
    <t>MG EP - MG Midland Midland</t>
  </si>
  <si>
    <t>UP Path 208</t>
  </si>
  <si>
    <t>UP - UP MIDLAND TX</t>
  </si>
  <si>
    <t>UP_tariff_208</t>
  </si>
  <si>
    <t>TX Orla - HF Sinclair - 2762</t>
  </si>
  <si>
    <t>UP Path 213</t>
  </si>
  <si>
    <t>UP - UP PECOS TX</t>
  </si>
  <si>
    <t>UP_213</t>
  </si>
  <si>
    <t>UP_1023_2028-A</t>
  </si>
  <si>
    <t>AL</t>
  </si>
  <si>
    <t>AL18</t>
  </si>
  <si>
    <t>AL Anniston - Murphy - 2333</t>
  </si>
  <si>
    <t>CPL Path 20</t>
  </si>
  <si>
    <t>CPL - Pasadena Injection (Remote)</t>
  </si>
  <si>
    <t>CPL - Oxford Delivery Facility</t>
  </si>
  <si>
    <t>CPL_Houston-CPL_Oxford</t>
  </si>
  <si>
    <t>CPL_0723_99.83.0</t>
  </si>
  <si>
    <t>PPL Path 13</t>
  </si>
  <si>
    <t>PPL - Baton Rouge</t>
  </si>
  <si>
    <t>PPL - Oxford</t>
  </si>
  <si>
    <t>PPL_24</t>
  </si>
  <si>
    <t>PPL_23_155.38.0_154.17.0</t>
  </si>
  <si>
    <t>NS Path 1</t>
  </si>
  <si>
    <t>NS - NS ANNISTON AL</t>
  </si>
  <si>
    <t>NS_NS Chicago IL-NS_NS ANNISTON AL</t>
  </si>
  <si>
    <t>NS Path 116</t>
  </si>
  <si>
    <t>NS_NS DECATUR IL-NS_NS ANNISTON AL</t>
  </si>
  <si>
    <t>Birmingham AL</t>
  </si>
  <si>
    <t>AL01</t>
  </si>
  <si>
    <t>AL Birmingham - Citgo - 2302</t>
  </si>
  <si>
    <t>CPL Path 18</t>
  </si>
  <si>
    <t>CPL - Birmingham Delivery Facility</t>
  </si>
  <si>
    <t>CPL_Houston-CPL_Birmingham</t>
  </si>
  <si>
    <t>PPL Path 12</t>
  </si>
  <si>
    <t>PPL - Birmingham</t>
  </si>
  <si>
    <t>PPL_6</t>
  </si>
  <si>
    <t>CSX USRT PATH 16</t>
  </si>
  <si>
    <t>CSX - CSX Indianapolis IN Avon Yard</t>
  </si>
  <si>
    <t>CSX - CSX Birmingham AL Boyles Yard</t>
  </si>
  <si>
    <t>CSX USRT PATH 4</t>
  </si>
  <si>
    <t>NS Path 117</t>
  </si>
  <si>
    <t>NS - NS Birmingham AL Norris Yard</t>
  </si>
  <si>
    <t>NS_NS DECATUR IL-NS_NS BIRMINGHAM AL</t>
  </si>
  <si>
    <t>NS USRT PATH 3</t>
  </si>
  <si>
    <t>NS_NS Chicago IL-NS_NS BIRMINGHAM AL</t>
  </si>
  <si>
    <t>NS USRT PATH 9</t>
  </si>
  <si>
    <t>NS - NS Clymers IN Anderson Ethanol</t>
  </si>
  <si>
    <t>AL03</t>
  </si>
  <si>
    <t>AL Birmingham - MPC - 2306</t>
  </si>
  <si>
    <t>AL04</t>
  </si>
  <si>
    <t>AL Birmingham - KM - 2307</t>
  </si>
  <si>
    <t>AL05</t>
  </si>
  <si>
    <t>AL Birmingham - Shell - 2308</t>
  </si>
  <si>
    <t>AL06</t>
  </si>
  <si>
    <t>AL Birmingham - Buckeye - 2309</t>
  </si>
  <si>
    <t>AL07</t>
  </si>
  <si>
    <t>AL Birmingham - Buckeye - 2312</t>
  </si>
  <si>
    <t>AL24</t>
  </si>
  <si>
    <t>AL Birmingham - Circle K - 2340</t>
  </si>
  <si>
    <t>AL26</t>
  </si>
  <si>
    <t>AL Birmingham - Sunoco - 2343</t>
  </si>
  <si>
    <t>Boligee AL</t>
  </si>
  <si>
    <t>AL29</t>
  </si>
  <si>
    <t>AL Boligee - ERPC - 0001</t>
  </si>
  <si>
    <t>CPL Path 13</t>
  </si>
  <si>
    <t>CPL - Boligee Delivery Facility</t>
  </si>
  <si>
    <t>CPL_Houston-CPL_Boligee</t>
  </si>
  <si>
    <t>NS Path 155</t>
  </si>
  <si>
    <t>NS - NS Boligee AL</t>
  </si>
  <si>
    <t>NS_tariff_1</t>
  </si>
  <si>
    <t>NS_1023_estimated</t>
  </si>
  <si>
    <t>Mobile AL</t>
  </si>
  <si>
    <t>AL08</t>
  </si>
  <si>
    <t>AL Mobile - Mers - 2314</t>
  </si>
  <si>
    <t>CSX Path 52</t>
  </si>
  <si>
    <t>CSX - CSX Mobile AL</t>
  </si>
  <si>
    <t>CSX_tariff_52</t>
  </si>
  <si>
    <t>AL10</t>
  </si>
  <si>
    <t>AL Mobile - AL Bulk - 2317</t>
  </si>
  <si>
    <t>AL19</t>
  </si>
  <si>
    <t>AL Saraland - Vertex - 2334</t>
  </si>
  <si>
    <t>AL21</t>
  </si>
  <si>
    <t>AL Mobile - Barcliff - 2336</t>
  </si>
  <si>
    <t>AL23</t>
  </si>
  <si>
    <t>AL Mobile - Petro FT - 2339</t>
  </si>
  <si>
    <t>AL25</t>
  </si>
  <si>
    <t>AL Mobile - Martin - 2339</t>
  </si>
  <si>
    <t>Montgomery AL</t>
  </si>
  <si>
    <t>AL02</t>
  </si>
  <si>
    <t>AL Montgomery - Buckeye - 2304</t>
  </si>
  <si>
    <t>PPL Path 4</t>
  </si>
  <si>
    <t>PPL - Montgomery</t>
  </si>
  <si>
    <t>PPL_22</t>
  </si>
  <si>
    <t>NS Path 154</t>
  </si>
  <si>
    <t>NS - NS PEORIA IL</t>
  </si>
  <si>
    <t>NS - NS MONTGOMERY AL</t>
  </si>
  <si>
    <t>NS_NS PEORIA IL-NS_NS MONTGOMERY AL</t>
  </si>
  <si>
    <t>NS Path 3</t>
  </si>
  <si>
    <t>NS_NS Chicago IL-NS_NS MONTGOMERY AL</t>
  </si>
  <si>
    <t>AL11</t>
  </si>
  <si>
    <t>AL Montgomery - US Oil - 2322</t>
  </si>
  <si>
    <t>AL12</t>
  </si>
  <si>
    <t>AL Montgomery - Vecenergy - 2323</t>
  </si>
  <si>
    <t>AL13</t>
  </si>
  <si>
    <t>AL Montgomery - MPC - 2325</t>
  </si>
  <si>
    <t>AL14</t>
  </si>
  <si>
    <t>AL Montgomery - Epic - 2326</t>
  </si>
  <si>
    <t>AL15</t>
  </si>
  <si>
    <t>AL Montgomery - Murphy - 2327</t>
  </si>
  <si>
    <t>Moundville AL</t>
  </si>
  <si>
    <t>AL17</t>
  </si>
  <si>
    <t>AL Moundville - Epic - 2330</t>
  </si>
  <si>
    <t>PPL Path 11</t>
  </si>
  <si>
    <t>PPL - Moundville</t>
  </si>
  <si>
    <t>PPL_23</t>
  </si>
  <si>
    <t>NS Path 156</t>
  </si>
  <si>
    <t>NS - NS Moundville AL</t>
  </si>
  <si>
    <t>NS_tariff_2</t>
  </si>
  <si>
    <t>Sheffield AL</t>
  </si>
  <si>
    <t>AL20</t>
  </si>
  <si>
    <t>AL Sheffield - Murphy - 2335</t>
  </si>
  <si>
    <t>NS Path 157</t>
  </si>
  <si>
    <t>NS - NS Sheffield AL</t>
  </si>
  <si>
    <t>NS_tariff_3</t>
  </si>
  <si>
    <t>Tuscaloosa AL</t>
  </si>
  <si>
    <t>AL16</t>
  </si>
  <si>
    <t>AL Tuscaloosa - Hunt - 2329</t>
  </si>
  <si>
    <t>NS Path 158</t>
  </si>
  <si>
    <t>NS - NS Tuscaloosa AL</t>
  </si>
  <si>
    <t>NS_tariff_4</t>
  </si>
  <si>
    <t>AR</t>
  </si>
  <si>
    <t>El Dorado AR</t>
  </si>
  <si>
    <t>AR00</t>
  </si>
  <si>
    <t>AR El Dorado - Delek - 2451</t>
  </si>
  <si>
    <t>UP Path 150</t>
  </si>
  <si>
    <t>UP - UP El Dorado AR</t>
  </si>
  <si>
    <t>UP_tariff_1</t>
  </si>
  <si>
    <t>Fort Smith AR</t>
  </si>
  <si>
    <t>AR01</t>
  </si>
  <si>
    <t>AR Fort Smith - Mag - 2453</t>
  </si>
  <si>
    <t>MG TU Path 14</t>
  </si>
  <si>
    <t>MG TU - East Magellan</t>
  </si>
  <si>
    <t>MG LR - MG Ft Smith Sebastian</t>
  </si>
  <si>
    <t>MG_108</t>
  </si>
  <si>
    <t>MG C ORIGS_0723_160.45.0</t>
  </si>
  <si>
    <t>MG_82</t>
  </si>
  <si>
    <t>UP Path 104</t>
  </si>
  <si>
    <t>UP - UP WHITE BLUFF AR</t>
  </si>
  <si>
    <t>UP_UP COUNCIL BLUFFS IA-UP_UP WHITE BLUFF AR</t>
  </si>
  <si>
    <t>UP Path 2</t>
  </si>
  <si>
    <t>UP - UP Chicago IL Global 1 Yard</t>
  </si>
  <si>
    <t>UP_UP Chicago IL-UP_UP WHITE BLUFF AR</t>
  </si>
  <si>
    <t>Jonesboro AR</t>
  </si>
  <si>
    <t>AR07</t>
  </si>
  <si>
    <t>AR Bono - Murphy - 2462</t>
  </si>
  <si>
    <t>BNSF Path 59</t>
  </si>
  <si>
    <t>BNSF - BNSF Jonesboro AR</t>
  </si>
  <si>
    <t>BNSF_tariff_59</t>
  </si>
  <si>
    <t>Little Rock AR</t>
  </si>
  <si>
    <t>AR02</t>
  </si>
  <si>
    <t>AR North Little Rock - Mag - 2456</t>
  </si>
  <si>
    <t>MG TU Path 3</t>
  </si>
  <si>
    <t>MG LR - MG North Little Rock Pulaski</t>
  </si>
  <si>
    <t>MG_78</t>
  </si>
  <si>
    <t>UP Path 1</t>
  </si>
  <si>
    <t>UP - UP LITTLE ROCK AR</t>
  </si>
  <si>
    <t>UP_UP Chicago IL-UP_UP LITTLE ROCK AR</t>
  </si>
  <si>
    <t>UP Path 105</t>
  </si>
  <si>
    <t>UP_UP COUNCIL BLUFFS IA-UP_UP LITTLE ROCK AR</t>
  </si>
  <si>
    <t>AR03</t>
  </si>
  <si>
    <t>AR North Little Rock - Delek - 2457</t>
  </si>
  <si>
    <t>AR04</t>
  </si>
  <si>
    <t>AR North Little Rock - HWRT - 2458</t>
  </si>
  <si>
    <t>AR05</t>
  </si>
  <si>
    <t>AR North Little Rock - Mag - 2459</t>
  </si>
  <si>
    <t>AR09</t>
  </si>
  <si>
    <t>AR North Little Rock - Sunoco - 2464</t>
  </si>
  <si>
    <t>ERPC Path 3</t>
  </si>
  <si>
    <t>ERPC - Valero Texas City Refinery</t>
  </si>
  <si>
    <t>ERPC - ERPC North Little Rock</t>
  </si>
  <si>
    <t>EPP_8</t>
  </si>
  <si>
    <t>ERPC_0124_55.77.0</t>
  </si>
  <si>
    <t>AR10</t>
  </si>
  <si>
    <t>AR North Little Rock - Petro FT - 2465</t>
  </si>
  <si>
    <t>AR13</t>
  </si>
  <si>
    <t>AR North Little Rock - Oakley - 2469</t>
  </si>
  <si>
    <t>Rogers AR</t>
  </si>
  <si>
    <t>AR11</t>
  </si>
  <si>
    <t>AR Rogers - Mag - 2467</t>
  </si>
  <si>
    <t>MG TU Path 11</t>
  </si>
  <si>
    <t>MG TU - MG Rogers Benton</t>
  </si>
  <si>
    <t>MG_97</t>
  </si>
  <si>
    <t>BNSF Path 88</t>
  </si>
  <si>
    <t>BNSF - BNSF Rogers AR</t>
  </si>
  <si>
    <t>BNSF_tariff_88</t>
  </si>
  <si>
    <t>West Memphis AR</t>
  </si>
  <si>
    <t>Memphis TN</t>
  </si>
  <si>
    <t>AR08</t>
  </si>
  <si>
    <t>AR West Memphis - Valero - 2463</t>
  </si>
  <si>
    <t>ERPC Path 14</t>
  </si>
  <si>
    <t>ERPC - Valero West Memphis</t>
  </si>
  <si>
    <t>EPP_19</t>
  </si>
  <si>
    <t>BNSF Path 113</t>
  </si>
  <si>
    <t>BNSF - BNSF West Memphis AR</t>
  </si>
  <si>
    <t>BNSF_tariff_113</t>
  </si>
  <si>
    <t>AZ</t>
  </si>
  <si>
    <t>Ciniza NM</t>
  </si>
  <si>
    <t>AZ09</t>
  </si>
  <si>
    <t>AZ Lupton - Lupton - 4319</t>
  </si>
  <si>
    <t>BNSF Path 25</t>
  </si>
  <si>
    <t>BNSF - BNSF Ciniza NM</t>
  </si>
  <si>
    <t>BNSF_tariff_25</t>
  </si>
  <si>
    <t>Phoenix AZ</t>
  </si>
  <si>
    <t>AZ00</t>
  </si>
  <si>
    <t>AZ Phoenix - Caljet - 4300</t>
  </si>
  <si>
    <t>KM EP Path 2</t>
  </si>
  <si>
    <t>KM EP - KM El Paso Tank Farm</t>
  </si>
  <si>
    <t>KM EP - KM Phoenix</t>
  </si>
  <si>
    <t>KM_3</t>
  </si>
  <si>
    <t>KM EP_0723_197.22.0</t>
  </si>
  <si>
    <t>KM LA Path 11</t>
  </si>
  <si>
    <t>KM LA - KM Watson Tank Farm Los Angeles</t>
  </si>
  <si>
    <t>KM LA - KM Phoenix</t>
  </si>
  <si>
    <t>KM_32</t>
  </si>
  <si>
    <t>KM LA PHX_0723_198.27.0</t>
  </si>
  <si>
    <t>BNSF USRT PATH 13</t>
  </si>
  <si>
    <t>BNSF - BNSF Phoenix AZ Intermodal</t>
  </si>
  <si>
    <t>BNSF USRT PATH 21</t>
  </si>
  <si>
    <t>BNSF - BNSF Hastings NE Depot</t>
  </si>
  <si>
    <t>BNSF USRT PATH 29</t>
  </si>
  <si>
    <t>BNSF - BNSF Iowa City IA Rock Island Depot</t>
  </si>
  <si>
    <t>BNSF USRT PATH 37</t>
  </si>
  <si>
    <t>BNSF - BNSF Marion SD Central Farmers Ethanol</t>
  </si>
  <si>
    <t>BNSF USRT PATH 45</t>
  </si>
  <si>
    <t>BNSF - BNSF Minneapolis MN Northtown Yard</t>
  </si>
  <si>
    <t>BNSF USRT PATH 5</t>
  </si>
  <si>
    <t>BNSF - BNSF Chicago IL Corwith Yards</t>
  </si>
  <si>
    <t>UP Path 106</t>
  </si>
  <si>
    <t>UP - UP Phoenix AZ Phoenix Yard</t>
  </si>
  <si>
    <t>UP_UP COUNCIL BLUFFS IA-UP_UP PHOENIX AZ</t>
  </si>
  <si>
    <t>UP USRT PATH 14</t>
  </si>
  <si>
    <t>UP - UP Cedar Rapids IA North Yard</t>
  </si>
  <si>
    <t>UP USRT PATH 21</t>
  </si>
  <si>
    <t>UP_20</t>
  </si>
  <si>
    <t>UP USRT PATH 29</t>
  </si>
  <si>
    <t>UP - UP Minneapolis MN Kasota Ave</t>
  </si>
  <si>
    <t>UP USRT PATH 37</t>
  </si>
  <si>
    <t>UP - UP Wood River NE Green Plains Ethanol</t>
  </si>
  <si>
    <t>UP USRT PATH 6</t>
  </si>
  <si>
    <t>UP - UP Albert City IA Valero Ethanol</t>
  </si>
  <si>
    <t>AZ02</t>
  </si>
  <si>
    <t>AZ Phoenix - ProPetro - 4303</t>
  </si>
  <si>
    <t>AZ03</t>
  </si>
  <si>
    <t>AZ Phoenix - SFPP - 4304</t>
  </si>
  <si>
    <t>AZ08</t>
  </si>
  <si>
    <t>AZ El Mirage - ProPetro - 4318</t>
  </si>
  <si>
    <t>Tucson AZ</t>
  </si>
  <si>
    <t>AZ05</t>
  </si>
  <si>
    <t>AZ Tucson - SFPP - 4310</t>
  </si>
  <si>
    <t>KM EP Path 1</t>
  </si>
  <si>
    <t>KM EP - KM Tucson</t>
  </si>
  <si>
    <t>KM_2</t>
  </si>
  <si>
    <t>UP Path 4</t>
  </si>
  <si>
    <t>UP - UP TUCSON AZ</t>
  </si>
  <si>
    <t>UP_UP Chicago IL-UP_UP TUCSON AZ</t>
  </si>
  <si>
    <t>UP Path 107</t>
  </si>
  <si>
    <t>UP_UP COUNCIL BLUFFS IA-UP_UP TUCSON AZ</t>
  </si>
  <si>
    <t>CA</t>
  </si>
  <si>
    <t>Anaheim CA</t>
  </si>
  <si>
    <t>Los Angeles CA</t>
  </si>
  <si>
    <t>CA06</t>
  </si>
  <si>
    <t>CA Anaheim - Torrance - 4750</t>
  </si>
  <si>
    <t>BNSF Path 8</t>
  </si>
  <si>
    <t>BNSF - BNSF Anaheim CA</t>
  </si>
  <si>
    <t>BNSF_tariff_8</t>
  </si>
  <si>
    <t>BNSF USRT PATH 12</t>
  </si>
  <si>
    <t>BNSF - BNSF Los Angeles CA Watson Yard</t>
  </si>
  <si>
    <t>BNSF USRT PATH 20</t>
  </si>
  <si>
    <t>BNSF USRT PATH 28</t>
  </si>
  <si>
    <t>BNSF USRT PATH 36</t>
  </si>
  <si>
    <t>BNSF USRT PATH 4</t>
  </si>
  <si>
    <t>BNSF USRT PATH 44</t>
  </si>
  <si>
    <t>UP Path 171</t>
  </si>
  <si>
    <t>UP - UP ANAHEIM CA</t>
  </si>
  <si>
    <t>UP_tariff_171</t>
  </si>
  <si>
    <t>UP USRT PATH 13</t>
  </si>
  <si>
    <t>UP - UP Los Angeles CA UPLA Yard</t>
  </si>
  <si>
    <t>UP USRT PATH 20</t>
  </si>
  <si>
    <t>UP USRT PATH 28</t>
  </si>
  <si>
    <t>UP USRT PATH 36</t>
  </si>
  <si>
    <t>UP USRT PATH 5</t>
  </si>
  <si>
    <t>Bakersfield CA</t>
  </si>
  <si>
    <t>CA61</t>
  </si>
  <si>
    <t>CA Bakersfield - Kern Oil - 4655</t>
  </si>
  <si>
    <t>BNSF Path 11</t>
  </si>
  <si>
    <t>BNSF - BNSF Bakersfield CA</t>
  </si>
  <si>
    <t>BNSF_tariff_11</t>
  </si>
  <si>
    <t>UP Path 201</t>
  </si>
  <si>
    <t>UP - UP JASTRO CA</t>
  </si>
  <si>
    <t>UP_201</t>
  </si>
  <si>
    <t>CA63</t>
  </si>
  <si>
    <t>CA Bakersfield - San Joaquin - 4664</t>
  </si>
  <si>
    <t>Barstow CA</t>
  </si>
  <si>
    <t>CA12</t>
  </si>
  <si>
    <t>CA Daggett - Calnev - 4761</t>
  </si>
  <si>
    <t>KM CN Path 2</t>
  </si>
  <si>
    <t>KM CN - KM Colton North Tank Farm San Bernardino</t>
  </si>
  <si>
    <t>KM CN - KM Barstow San Bernardino</t>
  </si>
  <si>
    <t>KM_16</t>
  </si>
  <si>
    <t>KM CN_1113_PUC17_Letter16</t>
  </si>
  <si>
    <t>UP Path 108</t>
  </si>
  <si>
    <t>UP - UP BARSTOW CA</t>
  </si>
  <si>
    <t>UP_UP COUNCIL BLUFFS IA-UP_UP BARSTOW CA</t>
  </si>
  <si>
    <t>UP Path 5</t>
  </si>
  <si>
    <t>UP_UP Chicago IL-UP_UP BARSTOW CA</t>
  </si>
  <si>
    <t>Benicia CA</t>
  </si>
  <si>
    <t>Richmond CA</t>
  </si>
  <si>
    <t>CA36</t>
  </si>
  <si>
    <t>CA Benicia - Valero - 4603</t>
  </si>
  <si>
    <t>UP Path 177</t>
  </si>
  <si>
    <t>UP - UP BENICIA CA</t>
  </si>
  <si>
    <t>UP_tariff_177</t>
  </si>
  <si>
    <t>UP USRT PATH 15</t>
  </si>
  <si>
    <t>UP - UP San Fransico CA SF Intermodal</t>
  </si>
  <si>
    <t>UP USRT PATH 22</t>
  </si>
  <si>
    <t>UP USRT PATH 30</t>
  </si>
  <si>
    <t>UP USRT PATH 38</t>
  </si>
  <si>
    <t>UP USRT PATH 7</t>
  </si>
  <si>
    <t>Brisbane CA</t>
  </si>
  <si>
    <t>CA66</t>
  </si>
  <si>
    <t>CA Brisbane - SFPP - 4700</t>
  </si>
  <si>
    <t>KM SF Path 1</t>
  </si>
  <si>
    <t>KM SF - Richmond Station</t>
  </si>
  <si>
    <t>KM SF - Brisbane San Mateo</t>
  </si>
  <si>
    <t>KM_45</t>
  </si>
  <si>
    <t>KM CAL149 1023</t>
  </si>
  <si>
    <t>UP Path 179</t>
  </si>
  <si>
    <t>UP - UP BRISBANE CA</t>
  </si>
  <si>
    <t>UP_tariff_179</t>
  </si>
  <si>
    <t>Carson CA</t>
  </si>
  <si>
    <t>CA07</t>
  </si>
  <si>
    <t>CA Carson - KM - 4751</t>
  </si>
  <si>
    <t>KM LA Path 10</t>
  </si>
  <si>
    <t>KM LA - KM Carson</t>
  </si>
  <si>
    <t>BNSF Path 20</t>
  </si>
  <si>
    <t>BNSF - BNSF Carson CA</t>
  </si>
  <si>
    <t>BNSF_tariff_20</t>
  </si>
  <si>
    <t>UP Path 182</t>
  </si>
  <si>
    <t>UP - UP CARSON CA</t>
  </si>
  <si>
    <t>UP_tariff_182</t>
  </si>
  <si>
    <t>CA17</t>
  </si>
  <si>
    <t>CA Carson - MPC - 4769</t>
  </si>
  <si>
    <t>CA22</t>
  </si>
  <si>
    <t>CA Long Beach - Chemoil - 4779</t>
  </si>
  <si>
    <t>BNSF Path 116</t>
  </si>
  <si>
    <t>BNSF - BNSF Wilmington CA</t>
  </si>
  <si>
    <t>BNSF_tariff_116</t>
  </si>
  <si>
    <t>UP Path 232</t>
  </si>
  <si>
    <t>UP - UP WILMINGTON CA</t>
  </si>
  <si>
    <t>UP_tariff_232</t>
  </si>
  <si>
    <t>Chico CA</t>
  </si>
  <si>
    <t>CA35</t>
  </si>
  <si>
    <t>CA Chico - SFPP - 4600</t>
  </si>
  <si>
    <t>KM SF Path 8</t>
  </si>
  <si>
    <t>KM SF - KM Concord Station</t>
  </si>
  <si>
    <t>KM SF - Chico Butte</t>
  </si>
  <si>
    <t>KM_51</t>
  </si>
  <si>
    <t>UP Path 183</t>
  </si>
  <si>
    <t>UP - UP CHEROKEE CA</t>
  </si>
  <si>
    <t>UP_183</t>
  </si>
  <si>
    <t>Colton CA</t>
  </si>
  <si>
    <t>CA08</t>
  </si>
  <si>
    <t>CA Colton - MPC - 4753</t>
  </si>
  <si>
    <t>UP Path 109</t>
  </si>
  <si>
    <t>UP - UP COLTON CA</t>
  </si>
  <si>
    <t>UP_UP COUNCIL BLUFFS IA-UP_UP COLTON CA</t>
  </si>
  <si>
    <t>UP Path 6</t>
  </si>
  <si>
    <t>UP_UP Chicago IL-UP_UP COLTON CA</t>
  </si>
  <si>
    <t>CA09</t>
  </si>
  <si>
    <t>CA Colton - SFPP - 4757</t>
  </si>
  <si>
    <t>KM LA Path 6</t>
  </si>
  <si>
    <t>KM LA - KM Colton</t>
  </si>
  <si>
    <t>KM_23</t>
  </si>
  <si>
    <t>KM CAL150 1023</t>
  </si>
  <si>
    <t>CA11</t>
  </si>
  <si>
    <t>CA Colton - P66 - 4760</t>
  </si>
  <si>
    <t>Crockett CA</t>
  </si>
  <si>
    <t>CA38</t>
  </si>
  <si>
    <t>CA Crockett - Shore - 4605</t>
  </si>
  <si>
    <t>BNSF Path 31</t>
  </si>
  <si>
    <t>BNSF - BNSF Crockett CA</t>
  </si>
  <si>
    <t>BNSF_tariff_31</t>
  </si>
  <si>
    <t>UP Path 189</t>
  </si>
  <si>
    <t>UP - UP CROCKETT CA</t>
  </si>
  <si>
    <t>UP_tariff_189</t>
  </si>
  <si>
    <t>East Hynes CA</t>
  </si>
  <si>
    <t>CA14</t>
  </si>
  <si>
    <t>CA Long Beach - MPC - 4764</t>
  </si>
  <si>
    <t>KM LA Path 2</t>
  </si>
  <si>
    <t>KM LA - KM East Hynes Tank Farm Lost Angeles</t>
  </si>
  <si>
    <t>KM_19</t>
  </si>
  <si>
    <t>UP Path 110</t>
  </si>
  <si>
    <t>UP - UP LONG BEACH CA</t>
  </si>
  <si>
    <t>UP_UP COUNCIL BLUFFS IA-UP_UP LONG BEACH CA</t>
  </si>
  <si>
    <t>UP Path 7</t>
  </si>
  <si>
    <t>UP_UP Chicago IL-UP_UP LONG BEACH CA</t>
  </si>
  <si>
    <t>El Segundo CA</t>
  </si>
  <si>
    <t>CA73</t>
  </si>
  <si>
    <t>CA El Segundo - Chevron - 4800</t>
  </si>
  <si>
    <t>BNSF Path 38</t>
  </si>
  <si>
    <t>BNSF - BNSF El Segundo CA</t>
  </si>
  <si>
    <t>BNSF_tariff_38</t>
  </si>
  <si>
    <t>UP Path 193</t>
  </si>
  <si>
    <t>UP - UP EL SEGUNDO CA</t>
  </si>
  <si>
    <t>UP_tariff_193</t>
  </si>
  <si>
    <t>Fresno CA</t>
  </si>
  <si>
    <t>CA58</t>
  </si>
  <si>
    <t>CA Fresno - SFPP - 4651</t>
  </si>
  <si>
    <t>KM SF Path 9</t>
  </si>
  <si>
    <t>KM SF - Fresno</t>
  </si>
  <si>
    <t>KM_52</t>
  </si>
  <si>
    <t>BNSF Path 45</t>
  </si>
  <si>
    <t>BNSF - BNSF Fresno CA</t>
  </si>
  <si>
    <t>BNSF_tariff_45</t>
  </si>
  <si>
    <t>UP Path 196</t>
  </si>
  <si>
    <t>UP - UP FRESNO CA</t>
  </si>
  <si>
    <t>UP_196</t>
  </si>
  <si>
    <t>Imperial CA</t>
  </si>
  <si>
    <t>CA13</t>
  </si>
  <si>
    <t>CA Imperial - SFPP - 4763</t>
  </si>
  <si>
    <t>KM LA Path 7</t>
  </si>
  <si>
    <t>KM LA - KM Imperial</t>
  </si>
  <si>
    <t>KM_24</t>
  </si>
  <si>
    <t>UP Path 112</t>
  </si>
  <si>
    <t>UP - UP IMPERIAL CA</t>
  </si>
  <si>
    <t>UP_UP COUNCIL BLUFFS IA-UP_UP IMPERIAL CA</t>
  </si>
  <si>
    <t>UP Path 9</t>
  </si>
  <si>
    <t>UP_UP Chicago IL-UP_UP IMPERIAL CA</t>
  </si>
  <si>
    <t>CA74</t>
  </si>
  <si>
    <t>CA Los Angeles - P66 - 4803</t>
  </si>
  <si>
    <t>UP Path 237</t>
  </si>
  <si>
    <t>UP - UP LOS ANGELES CA</t>
  </si>
  <si>
    <t>UP_237</t>
  </si>
  <si>
    <t>Martinez CA</t>
  </si>
  <si>
    <t>CA40</t>
  </si>
  <si>
    <t>CA Martinez - Chevron - 4607</t>
  </si>
  <si>
    <t>BNSF Path 67</t>
  </si>
  <si>
    <t>BNSF - BNSF Martinez CA</t>
  </si>
  <si>
    <t>BNSF_tariff_67</t>
  </si>
  <si>
    <t>UP Path 207</t>
  </si>
  <si>
    <t>UP - UP MARTINEZ CA</t>
  </si>
  <si>
    <t>UP_tariff_207</t>
  </si>
  <si>
    <t>CA42</t>
  </si>
  <si>
    <t>CA Martinez - Martinez - 4610</t>
  </si>
  <si>
    <t>CA43</t>
  </si>
  <si>
    <t>CA Martinez - MPC - 4611</t>
  </si>
  <si>
    <t>Montebello CA</t>
  </si>
  <si>
    <t>CA80</t>
  </si>
  <si>
    <t>CA Montebella - Chevron - 4811</t>
  </si>
  <si>
    <t>BNSF Path 72</t>
  </si>
  <si>
    <t>BNSF - BNSF Montebello CA</t>
  </si>
  <si>
    <t>BNSF_tariff_72</t>
  </si>
  <si>
    <t>UP Path 210</t>
  </si>
  <si>
    <t>UP - UP MONTEBELLO CA</t>
  </si>
  <si>
    <t>UP_210</t>
  </si>
  <si>
    <t>Orange CA</t>
  </si>
  <si>
    <t>CA19</t>
  </si>
  <si>
    <t>CA Orange - SFPP - 4772</t>
  </si>
  <si>
    <t>KM LA Path 1</t>
  </si>
  <si>
    <t>KM LA - KM Orange</t>
  </si>
  <si>
    <t>KM_18</t>
  </si>
  <si>
    <t>UP Path 111</t>
  </si>
  <si>
    <t>UP - UP ORANGE CA</t>
  </si>
  <si>
    <t>UP_UP COUNCIL BLUFFS IA-UP_UP ORANGE CA</t>
  </si>
  <si>
    <t>UP Path 8</t>
  </si>
  <si>
    <t>UP_UP Chicago IL-UP_UP ORANGE CA</t>
  </si>
  <si>
    <t>Sacramento CA</t>
  </si>
  <si>
    <t>CA45</t>
  </si>
  <si>
    <t>CA Rancho Cordova - SFPP - 4613</t>
  </si>
  <si>
    <t>KM SF Path 6</t>
  </si>
  <si>
    <t>KM SF - Bradshaw</t>
  </si>
  <si>
    <t>KM_49</t>
  </si>
  <si>
    <t>UP Path 186</t>
  </si>
  <si>
    <t>UP - UP CORDOVA CA</t>
  </si>
  <si>
    <t>UP_186</t>
  </si>
  <si>
    <t>CA46</t>
  </si>
  <si>
    <t>CA Richmond - KM - 4614</t>
  </si>
  <si>
    <t>KM SF Path 10</t>
  </si>
  <si>
    <t>KM SF - Amorco - KM Valero Junction</t>
  </si>
  <si>
    <t>KM SF - Richmond Port Terminal</t>
  </si>
  <si>
    <t>UP Path 217</t>
  </si>
  <si>
    <t>UP - UP RICHMOND CA</t>
  </si>
  <si>
    <t>UP_tariff_217</t>
  </si>
  <si>
    <t>CA47</t>
  </si>
  <si>
    <t>CA Richmond - Chevron - 4616</t>
  </si>
  <si>
    <t>CA48</t>
  </si>
  <si>
    <t>CA Richmond - P66 - 4617</t>
  </si>
  <si>
    <t>CA44</t>
  </si>
  <si>
    <t>CA West Sacramento - Buckeye - 4612</t>
  </si>
  <si>
    <t>KM SF Path 12</t>
  </si>
  <si>
    <t>KM SF - KM Sacramento Yolo</t>
  </si>
  <si>
    <t>KM_48</t>
  </si>
  <si>
    <t>BNSF Path 90</t>
  </si>
  <si>
    <t>BNSF - BNSF Sacramento CA</t>
  </si>
  <si>
    <t>BNSF_tariff_90</t>
  </si>
  <si>
    <t>UP Path 218</t>
  </si>
  <si>
    <t>UP - UP SACRAMENTO CA</t>
  </si>
  <si>
    <t>UP_tariff_218</t>
  </si>
  <si>
    <t>CA50</t>
  </si>
  <si>
    <t>CA Sacramento - Chevron - 4621</t>
  </si>
  <si>
    <t>CA52</t>
  </si>
  <si>
    <t>CA Sacramento - P66 - 4624</t>
  </si>
  <si>
    <t>San Diego CA</t>
  </si>
  <si>
    <t>CA20</t>
  </si>
  <si>
    <t>CA San Diego - Chevron - 4773</t>
  </si>
  <si>
    <t>KM LA Path 5</t>
  </si>
  <si>
    <t>KM LA - KM Harbor Junction</t>
  </si>
  <si>
    <t>KM_22</t>
  </si>
  <si>
    <t>UP Path 10</t>
  </si>
  <si>
    <t>UP - UP SAN DIEGO CA</t>
  </si>
  <si>
    <t>UP_UP Chicago IL-UP_UP SAN DIEGO CA</t>
  </si>
  <si>
    <t>UP Path 113</t>
  </si>
  <si>
    <t>UP_UP COUNCIL BLUFFS IA-UP_UP SAN DIEGO CA</t>
  </si>
  <si>
    <t>CA21</t>
  </si>
  <si>
    <t>CA San Diego - SFPP - 4776</t>
  </si>
  <si>
    <t>KM LA Path 4</t>
  </si>
  <si>
    <t>KM LA - KM San Diego</t>
  </si>
  <si>
    <t>KM_21</t>
  </si>
  <si>
    <t>CA23</t>
  </si>
  <si>
    <t>CA San Diego - MPC - 4782</t>
  </si>
  <si>
    <t>San Jose CA</t>
  </si>
  <si>
    <t>CA57</t>
  </si>
  <si>
    <t>CA San Jose - Chevron - 4650</t>
  </si>
  <si>
    <t>KM SF Path 4</t>
  </si>
  <si>
    <t>KM SF - San Jose Santa Clara</t>
  </si>
  <si>
    <t>KM_46</t>
  </si>
  <si>
    <t>UP Path 220</t>
  </si>
  <si>
    <t>UP - UP SAN JOSE CA</t>
  </si>
  <si>
    <t>UP_220</t>
  </si>
  <si>
    <t>CA59</t>
  </si>
  <si>
    <t>CA San Jose - SFPP - 4652</t>
  </si>
  <si>
    <t>CA60</t>
  </si>
  <si>
    <t>CA San Jose - Shell - 4653</t>
  </si>
  <si>
    <t>Signal Hill CA</t>
  </si>
  <si>
    <t>CA25</t>
  </si>
  <si>
    <t>CA Signal Hill - Shell - 4785</t>
  </si>
  <si>
    <t>UP Path 206</t>
  </si>
  <si>
    <t>UP - UP LONG BEACH LBC CA</t>
  </si>
  <si>
    <t>UP_206</t>
  </si>
  <si>
    <t>South Gate CA</t>
  </si>
  <si>
    <t>CA77</t>
  </si>
  <si>
    <t>CA South Gate - MPC - 4807</t>
  </si>
  <si>
    <t>BNSF Path 100</t>
  </si>
  <si>
    <t>BNSF - BNSF South Gate CA</t>
  </si>
  <si>
    <t>BNSF_tariff_100</t>
  </si>
  <si>
    <t>UP Path 223</t>
  </si>
  <si>
    <t>UP - UP SOUTH GATE CA</t>
  </si>
  <si>
    <t>UP_tariff_223</t>
  </si>
  <si>
    <t>Stockton CA</t>
  </si>
  <si>
    <t>CA41</t>
  </si>
  <si>
    <t>CA Stockton - Buckeye - 4609</t>
  </si>
  <si>
    <t>KM SF Path 5</t>
  </si>
  <si>
    <t>KM SF - Stockton</t>
  </si>
  <si>
    <t>KM_47</t>
  </si>
  <si>
    <t>BNSF Path 104</t>
  </si>
  <si>
    <t>BNSF - BNSF Stockton CA</t>
  </si>
  <si>
    <t>BNSF_tariff_104</t>
  </si>
  <si>
    <t>UP Path 224</t>
  </si>
  <si>
    <t>UP - UP STOCKTON CA</t>
  </si>
  <si>
    <t>UP_tariff_224</t>
  </si>
  <si>
    <t>CA53</t>
  </si>
  <si>
    <t>CA Stockton - Nustar - 4626</t>
  </si>
  <si>
    <t>CA54</t>
  </si>
  <si>
    <t>CA Stockton - Shell - 4628</t>
  </si>
  <si>
    <t>CA55</t>
  </si>
  <si>
    <t>CA Stockton - MPC - 4629</t>
  </si>
  <si>
    <t>CA37</t>
  </si>
  <si>
    <t>CA Tracy - Chevron - 4604</t>
  </si>
  <si>
    <t>UP Path 195</t>
  </si>
  <si>
    <t>UP - UP FRENCH CAMP CA</t>
  </si>
  <si>
    <t>UP_195</t>
  </si>
  <si>
    <t>Van Nuys CA</t>
  </si>
  <si>
    <t>CA75</t>
  </si>
  <si>
    <t>CA Van Nuys - Shell - 4804</t>
  </si>
  <si>
    <t>SH CAR Path 1</t>
  </si>
  <si>
    <t>SH CAR - SH Carson</t>
  </si>
  <si>
    <t>SH CAR - SH Van Nuys</t>
  </si>
  <si>
    <t>SH_1</t>
  </si>
  <si>
    <t>SH CAR 0723_Cal PUC No. S-12.3.0</t>
  </si>
  <si>
    <t>UP Path 215</t>
  </si>
  <si>
    <t>UP - UP RAYMER CA</t>
  </si>
  <si>
    <t>UP_215</t>
  </si>
  <si>
    <t>CA79</t>
  </si>
  <si>
    <t>CA Van Nuys - Chevron - 4810</t>
  </si>
  <si>
    <t>Vernon CA</t>
  </si>
  <si>
    <t>CA76</t>
  </si>
  <si>
    <t>CA Vernon - Torrance - 4805</t>
  </si>
  <si>
    <t>BNSF Path 111</t>
  </si>
  <si>
    <t>BNSF - BNSF Vernon CA</t>
  </si>
  <si>
    <t>BNSF_tariff_111</t>
  </si>
  <si>
    <t>UP Path 229</t>
  </si>
  <si>
    <t>UP - UP VERNON CA</t>
  </si>
  <si>
    <t>UP_tariff_229</t>
  </si>
  <si>
    <t>Wilmington CA</t>
  </si>
  <si>
    <t>CA15</t>
  </si>
  <si>
    <t>CA Long Beach - Petro Diamond - 4767</t>
  </si>
  <si>
    <t>CA16</t>
  </si>
  <si>
    <t>CA Wilmington - MPC - 4768</t>
  </si>
  <si>
    <t>CA26</t>
  </si>
  <si>
    <t>CA Wilmington - Nustar - 4787</t>
  </si>
  <si>
    <t>CA28</t>
  </si>
  <si>
    <t>CA Wilmington - Ultramar - 4789</t>
  </si>
  <si>
    <t>CO</t>
  </si>
  <si>
    <t>Aurora CO</t>
  </si>
  <si>
    <t>Denver CO</t>
  </si>
  <si>
    <t>CO00</t>
  </si>
  <si>
    <t>CO Aurora - Mag - 4100</t>
  </si>
  <si>
    <t>MG N CTRL Path 1</t>
  </si>
  <si>
    <t>MG N CTRL - MG McPherson</t>
  </si>
  <si>
    <t>MG N CTRL - MG Aurora</t>
  </si>
  <si>
    <t>MG_357</t>
  </si>
  <si>
    <t>MG MTN ORIGS_0723_163.17.0</t>
  </si>
  <si>
    <t>MG N CTRL Path 6</t>
  </si>
  <si>
    <t>MG N CTRL - MG Strouds Station</t>
  </si>
  <si>
    <t>MG_361</t>
  </si>
  <si>
    <t>MG WY ORIGS_0823_184.30.0</t>
  </si>
  <si>
    <t>MG N CTRL Path 9</t>
  </si>
  <si>
    <t>MG N CTRL - MG Cheyenne</t>
  </si>
  <si>
    <t>MG_365</t>
  </si>
  <si>
    <t>BNSF USRT PATH 1</t>
  </si>
  <si>
    <t>BNSF - BNSF Denver CO Intermodal</t>
  </si>
  <si>
    <t>BNSF USRT PATH 17</t>
  </si>
  <si>
    <t>BNSF USRT PATH 25</t>
  </si>
  <si>
    <t>BNSF USRT PATH 33</t>
  </si>
  <si>
    <t>BNSF USRT PATH 41</t>
  </si>
  <si>
    <t>BNSF USRT PATH 9</t>
  </si>
  <si>
    <t>UP Path 114</t>
  </si>
  <si>
    <t>UP - UP SABLE CO</t>
  </si>
  <si>
    <t>UP_UP COUNCIL BLUFFS IA-UP_UP SABLE CO</t>
  </si>
  <si>
    <t>UP Path 13</t>
  </si>
  <si>
    <t>UP_UP Chicago IL-UP_UP SABLE CO</t>
  </si>
  <si>
    <t>Colorado Springs CO</t>
  </si>
  <si>
    <t>Fountain CO</t>
  </si>
  <si>
    <t>CO08</t>
  </si>
  <si>
    <t>CO Colorado Springs - Nustar - 4108</t>
  </si>
  <si>
    <t>BNSF Path 26</t>
  </si>
  <si>
    <t>BNSF - BNSF Colorado Springs CO</t>
  </si>
  <si>
    <t>BNSF_tariff_26</t>
  </si>
  <si>
    <t>UP Path 184</t>
  </si>
  <si>
    <t>UP - UP COLORADO SPRINGS CO</t>
  </si>
  <si>
    <t>UP_tariff_184</t>
  </si>
  <si>
    <t>Commerce City CO</t>
  </si>
  <si>
    <t>CO01</t>
  </si>
  <si>
    <t>CO Commerce City - Suncor - 4101</t>
  </si>
  <si>
    <t>BNSF Path 27</t>
  </si>
  <si>
    <t>BNSF - BNSF Commerce City CO</t>
  </si>
  <si>
    <t>BNSF_tariff_27</t>
  </si>
  <si>
    <t>UP Path 185</t>
  </si>
  <si>
    <t>UP - UP COMMERCE CITY CO</t>
  </si>
  <si>
    <t>UP_tariff_185</t>
  </si>
  <si>
    <t>CO02</t>
  </si>
  <si>
    <t>CO Commerce City - Suncor - 4102</t>
  </si>
  <si>
    <t>CO03</t>
  </si>
  <si>
    <t>CO Commerce City - Nustar - 4103</t>
  </si>
  <si>
    <t>CO04</t>
  </si>
  <si>
    <t>CO Commerce City - P66 - 4104</t>
  </si>
  <si>
    <t>DuPont CO</t>
  </si>
  <si>
    <t>CO05</t>
  </si>
  <si>
    <t>CO DuPont - Mag - 4105</t>
  </si>
  <si>
    <t>MG N CTRL Path 10</t>
  </si>
  <si>
    <t>MG N CTRL - MG Dupont</t>
  </si>
  <si>
    <t>MG_366</t>
  </si>
  <si>
    <t>MG N CTRL Path 2</t>
  </si>
  <si>
    <t>MG_358</t>
  </si>
  <si>
    <t>MG N CTRL Path 7</t>
  </si>
  <si>
    <t>MG_362</t>
  </si>
  <si>
    <t>UP Path 11</t>
  </si>
  <si>
    <t>UP - UP DUPONT CO</t>
  </si>
  <si>
    <t>UP_UP Chicago IL-UP_UP DUPONT CO</t>
  </si>
  <si>
    <t>UP Path 115</t>
  </si>
  <si>
    <t>UP_UP COUNCIL BLUFFS IA-UP_UP DUPONT CO</t>
  </si>
  <si>
    <t>CO06</t>
  </si>
  <si>
    <t>CO Fountain - Mag - 4106</t>
  </si>
  <si>
    <t>MG N CTRL Path 11</t>
  </si>
  <si>
    <t>MG N CTRL - MG Fountain</t>
  </si>
  <si>
    <t>MG_367</t>
  </si>
  <si>
    <t>MG N CTRL Path 3</t>
  </si>
  <si>
    <t>MG_359</t>
  </si>
  <si>
    <t>MG N CTRL Path 8</t>
  </si>
  <si>
    <t>MG_363</t>
  </si>
  <si>
    <t>UP Path 116</t>
  </si>
  <si>
    <t>UP - UP FOUNTAIN CO</t>
  </si>
  <si>
    <t>UP_UP COUNCIL BLUFFS IA-UP_UP FOUNTAIN CO</t>
  </si>
  <si>
    <t>UP Path 12</t>
  </si>
  <si>
    <t>UP_UP Chicago IL-UP_UP FOUNTAIN CO</t>
  </si>
  <si>
    <t>Grand Junction CO</t>
  </si>
  <si>
    <t>CO07</t>
  </si>
  <si>
    <t>CO Fruita - Golden Gate - 4107</t>
  </si>
  <si>
    <t>BNSF Path 51</t>
  </si>
  <si>
    <t>BNSF - BNSF Grand Junction CO</t>
  </si>
  <si>
    <t>BNSF_tariff_51</t>
  </si>
  <si>
    <t>UP Path 198</t>
  </si>
  <si>
    <t>UP - UP GRAND JUNCTION CO</t>
  </si>
  <si>
    <t>UP_198</t>
  </si>
  <si>
    <t>Henderson CO</t>
  </si>
  <si>
    <t>CO09</t>
  </si>
  <si>
    <t>CO Henderson - HF Sinclair - 4109</t>
  </si>
  <si>
    <t>BNSF Path 55</t>
  </si>
  <si>
    <t>BNSF - BNSF Henderson CO</t>
  </si>
  <si>
    <t>BNSF_tariff_55</t>
  </si>
  <si>
    <t>UP Path 200</t>
  </si>
  <si>
    <t>UP - UP HENDERSON CO</t>
  </si>
  <si>
    <t>UP_200</t>
  </si>
  <si>
    <t>La Junta CO</t>
  </si>
  <si>
    <t>CO10</t>
  </si>
  <si>
    <t>CO La Junta - P66 - 4110</t>
  </si>
  <si>
    <t>BNSF Path 61</t>
  </si>
  <si>
    <t>BNSF - BNSF La Junta CO</t>
  </si>
  <si>
    <t>BNSF_tariff_61</t>
  </si>
  <si>
    <t>CT</t>
  </si>
  <si>
    <t>Bridgeport CT</t>
  </si>
  <si>
    <t>New Haven CT</t>
  </si>
  <si>
    <t>CT04</t>
  </si>
  <si>
    <t>CT Bridgeport - Sprague - 1256</t>
  </si>
  <si>
    <t>CSX Path 13</t>
  </si>
  <si>
    <t>CSX - CSX Bridgeport CT</t>
  </si>
  <si>
    <t>CSX_tariff_13</t>
  </si>
  <si>
    <t>CT11</t>
  </si>
  <si>
    <t>CT Bridgeport - Global - 1267</t>
  </si>
  <si>
    <t>Groton CT</t>
  </si>
  <si>
    <t>CT03</t>
  </si>
  <si>
    <t>CT Groton - Buckeye - 1255</t>
  </si>
  <si>
    <t>Hartford CT</t>
  </si>
  <si>
    <t>CT20</t>
  </si>
  <si>
    <t>CT East Hartford - Sterling - 1286</t>
  </si>
  <si>
    <t>BK CT Path 4</t>
  </si>
  <si>
    <t>BK CT - BK New Haven Tank Farm</t>
  </si>
  <si>
    <t>BK CT - BK East Hartford</t>
  </si>
  <si>
    <t>BK_111</t>
  </si>
  <si>
    <t>BK JETLINES_0723_438.23.0</t>
  </si>
  <si>
    <t>CT02</t>
  </si>
  <si>
    <t>CT New Haven - Shell - 1254</t>
  </si>
  <si>
    <t>CSX Path 57</t>
  </si>
  <si>
    <t>CSX - CSX New Haven CT</t>
  </si>
  <si>
    <t>CSX_tariff_57</t>
  </si>
  <si>
    <t>CT05</t>
  </si>
  <si>
    <t>CT New Haven - New Haven - 1258</t>
  </si>
  <si>
    <t>CT07</t>
  </si>
  <si>
    <t>CT New Haven - Gulf - 1262</t>
  </si>
  <si>
    <t>CT08</t>
  </si>
  <si>
    <t>CT New Haven - Buckeye - 1263</t>
  </si>
  <si>
    <t>CT10</t>
  </si>
  <si>
    <t>CT New Haven - Buckeye - 1265</t>
  </si>
  <si>
    <t>CT15</t>
  </si>
  <si>
    <t>CT New Haven - Buckeye - 1274</t>
  </si>
  <si>
    <t>CT21</t>
  </si>
  <si>
    <t>CT East Haven - New Haven - 1288</t>
  </si>
  <si>
    <t>Portland CT</t>
  </si>
  <si>
    <t>CT17</t>
  </si>
  <si>
    <t>CT Portland - BB - 1280</t>
  </si>
  <si>
    <t>BK CT Path 5</t>
  </si>
  <si>
    <t>BK CT - BK Portland</t>
  </si>
  <si>
    <t>BK_110</t>
  </si>
  <si>
    <t>Rocky Hill CT</t>
  </si>
  <si>
    <t>CT01</t>
  </si>
  <si>
    <t>CT Rocky Hill - Citgo - 1252</t>
  </si>
  <si>
    <t>BK CT Path 3</t>
  </si>
  <si>
    <t>BK CT - BK Rocky Hill</t>
  </si>
  <si>
    <t>BK_112</t>
  </si>
  <si>
    <t>Wethersfield CT</t>
  </si>
  <si>
    <t>CT06</t>
  </si>
  <si>
    <t>CT Wethersfield - Buckeye - 1259</t>
  </si>
  <si>
    <t>BK CT Path 2</t>
  </si>
  <si>
    <t>BK CT - BK Wethersfield</t>
  </si>
  <si>
    <t>BK_113</t>
  </si>
  <si>
    <t>CT13</t>
  </si>
  <si>
    <t>CT Wethersfield - Global - 1270</t>
  </si>
  <si>
    <t>DE</t>
  </si>
  <si>
    <t>Delaware City DE</t>
  </si>
  <si>
    <t>DE00</t>
  </si>
  <si>
    <t>DE Delaware City - Del City - 1600</t>
  </si>
  <si>
    <t>NS Path 159</t>
  </si>
  <si>
    <t>NS - NS Delaware City DE</t>
  </si>
  <si>
    <t>NS_tariff_5</t>
  </si>
  <si>
    <t>NS USRT PATH 10</t>
  </si>
  <si>
    <t>NS - NS Bridgeport NJ Edgemoor Yard</t>
  </si>
  <si>
    <t>NS USRT PATH 4</t>
  </si>
  <si>
    <t>Wilmington DE</t>
  </si>
  <si>
    <t>DE02</t>
  </si>
  <si>
    <t>DE Wilmington - Buckeye - 1574</t>
  </si>
  <si>
    <t>NS Path 193</t>
  </si>
  <si>
    <t>NS - NS WILMINGTON DE</t>
  </si>
  <si>
    <t>NS_tariff_193</t>
  </si>
  <si>
    <t>FL</t>
  </si>
  <si>
    <t>Cape Canaveral FL</t>
  </si>
  <si>
    <t>FL21</t>
  </si>
  <si>
    <t>FL Cape Canaveral - SRPE - 2138</t>
  </si>
  <si>
    <t>CSX Path 15</t>
  </si>
  <si>
    <t>CSX - CSX Cape Canaveral FL</t>
  </si>
  <si>
    <t>CSX_tariff_15</t>
  </si>
  <si>
    <t>NS Path 189</t>
  </si>
  <si>
    <t>NS - NS TITUSVILLE FL</t>
  </si>
  <si>
    <t>NS_tariff_189</t>
  </si>
  <si>
    <t>FL25</t>
  </si>
  <si>
    <t>FL Cape Canaveral - Seaport - 2680</t>
  </si>
  <si>
    <t>Fort Lauderdale FL</t>
  </si>
  <si>
    <t>Miami FL</t>
  </si>
  <si>
    <t>FL24</t>
  </si>
  <si>
    <t>FL Dania Beach - Vecenergy - 2679</t>
  </si>
  <si>
    <t>NS Path 176</t>
  </si>
  <si>
    <t>NS - NS FT LAUDERDALE FL</t>
  </si>
  <si>
    <t>NS_tariff_176</t>
  </si>
  <si>
    <t>FL27</t>
  </si>
  <si>
    <t>FL Fort Lauderdale - SRPE - 2150</t>
  </si>
  <si>
    <t>CSX USRT PATH 19</t>
  </si>
  <si>
    <t>CSX - CSX Miami FL Hialeah Yard</t>
  </si>
  <si>
    <t>CSX USRT PATH 7</t>
  </si>
  <si>
    <t>FL28</t>
  </si>
  <si>
    <t>FL Fort Lauderdale - Motiva - 2152</t>
  </si>
  <si>
    <t>FL29</t>
  </si>
  <si>
    <t>FL Fort Lauderdale - Chevron - 2153</t>
  </si>
  <si>
    <t>FL30</t>
  </si>
  <si>
    <t>FL Fort Lauderdale - Motiva - 2154</t>
  </si>
  <si>
    <t>FL31</t>
  </si>
  <si>
    <t>FL Fort Lauderdale - Buckeye - 2156</t>
  </si>
  <si>
    <t>FL32</t>
  </si>
  <si>
    <t>FL Fort Lauderdale - Citgo - 2157</t>
  </si>
  <si>
    <t>FL35</t>
  </si>
  <si>
    <t>FL Fort Lauderdale - MPC - 2160</t>
  </si>
  <si>
    <t>FL36</t>
  </si>
  <si>
    <t>FL Fort Lauderdale - Exxon - 2161</t>
  </si>
  <si>
    <t>FL37</t>
  </si>
  <si>
    <t>FL Fort Lauderdale - MPC - 2163</t>
  </si>
  <si>
    <t>FL38</t>
  </si>
  <si>
    <t>FL Port Everglades - Motiva - 2164</t>
  </si>
  <si>
    <t>FL39</t>
  </si>
  <si>
    <t>FL Fort Lauderdale - SRPE - 2165</t>
  </si>
  <si>
    <t>Jacksonville FL</t>
  </si>
  <si>
    <t>FL02</t>
  </si>
  <si>
    <t>FL Jacksonville - Buckeye - 2102</t>
  </si>
  <si>
    <t>CSX USRT PATH 18</t>
  </si>
  <si>
    <t>CSX - CSX Jacksonville FL Intermodal</t>
  </si>
  <si>
    <t>CSX USRT PATH 6</t>
  </si>
  <si>
    <t>NS Path 133</t>
  </si>
  <si>
    <t>NS - NS JACKSONVILLE FL</t>
  </si>
  <si>
    <t>NS_NS DECATUR IL-NS_NS JACKSONVILLE FL</t>
  </si>
  <si>
    <t>NS Path 57</t>
  </si>
  <si>
    <t>NS_NS Chicago IL-NS_NS JACKSONVILLE FL</t>
  </si>
  <si>
    <t>FL04</t>
  </si>
  <si>
    <t>FL Jacksonville - NA - 2106</t>
  </si>
  <si>
    <t>FL08</t>
  </si>
  <si>
    <t>FL Jacksonville - Sunoco - 2112</t>
  </si>
  <si>
    <t>FL26</t>
  </si>
  <si>
    <t>FL Jacksonville - Petro FT - 2681</t>
  </si>
  <si>
    <t>Niceville FL</t>
  </si>
  <si>
    <t>FL09</t>
  </si>
  <si>
    <t>FL Niceville - Citgo - 2114</t>
  </si>
  <si>
    <t>CSX Path 62</t>
  </si>
  <si>
    <t>CSX - CSX Niceville FL</t>
  </si>
  <si>
    <t>CSX_tariff_62</t>
  </si>
  <si>
    <t>FL10</t>
  </si>
  <si>
    <t>FL Freeport - Murphy - 2115</t>
  </si>
  <si>
    <t>Orlando FL</t>
  </si>
  <si>
    <t>FL16</t>
  </si>
  <si>
    <t>FL Orlando - CFPL - 2129</t>
  </si>
  <si>
    <t>KM CFPL1 Path 1</t>
  </si>
  <si>
    <t>KM CFPL1 - KM Tampa</t>
  </si>
  <si>
    <t>KM CFPL1 - KM Orlando</t>
  </si>
  <si>
    <t>KM CFPL2 Path 1</t>
  </si>
  <si>
    <t>KM CFPL2 - KM Tampa</t>
  </si>
  <si>
    <t>KM CFPL2 - KM Orlando</t>
  </si>
  <si>
    <t>CSX Path 65</t>
  </si>
  <si>
    <t>CSX - CSX Orlando FL</t>
  </si>
  <si>
    <t>CSX_tariff_65</t>
  </si>
  <si>
    <t>Panama City FL</t>
  </si>
  <si>
    <t>FL11</t>
  </si>
  <si>
    <t>FL Panama City - Chevron - 2116</t>
  </si>
  <si>
    <t>CSX Path 68</t>
  </si>
  <si>
    <t>CSX - CSX Panama City FL</t>
  </si>
  <si>
    <t>CSX_tariff_68</t>
  </si>
  <si>
    <t>Pensacola FL</t>
  </si>
  <si>
    <t>FL12</t>
  </si>
  <si>
    <t>FL Pensacola - SRPE - 2120</t>
  </si>
  <si>
    <t>CSX Path 72</t>
  </si>
  <si>
    <t>CSX - CSX Pensacola FL</t>
  </si>
  <si>
    <t>CSX_tariff_72</t>
  </si>
  <si>
    <t>Tampa FL</t>
  </si>
  <si>
    <t>FL00</t>
  </si>
  <si>
    <t>FL Tampa - Murphy - 2100</t>
  </si>
  <si>
    <t>CSX Path 87</t>
  </si>
  <si>
    <t>CSX - CSX Tampa FL</t>
  </si>
  <si>
    <t>CSX_tariff_87</t>
  </si>
  <si>
    <t>FL01</t>
  </si>
  <si>
    <t>FL Tampa - SRPE - 2101</t>
  </si>
  <si>
    <t>FL05</t>
  </si>
  <si>
    <t>FL Tampa - Buckeye - 2107</t>
  </si>
  <si>
    <t>FL13</t>
  </si>
  <si>
    <t>FL Palmetto - SRPE - 2122</t>
  </si>
  <si>
    <t>FL14</t>
  </si>
  <si>
    <t>FL Tampa - KM - 2123</t>
  </si>
  <si>
    <t>FL15</t>
  </si>
  <si>
    <t>FL Port Tampa - Motiva - 2124</t>
  </si>
  <si>
    <t>FL17</t>
  </si>
  <si>
    <t>FL Tampa - BP - 2130</t>
  </si>
  <si>
    <t>FL18</t>
  </si>
  <si>
    <t>FL Tampa - Chevron - 2131</t>
  </si>
  <si>
    <t>FL19</t>
  </si>
  <si>
    <t>FL Tampa - Citgo - 2133</t>
  </si>
  <si>
    <t>FL20</t>
  </si>
  <si>
    <t>FL Tampa - MPC - 2136</t>
  </si>
  <si>
    <t>West Palm Beach FL</t>
  </si>
  <si>
    <t>FL23</t>
  </si>
  <si>
    <t>FL Riviera Beach - Vecenergy - 2678</t>
  </si>
  <si>
    <t>CSX Path 92</t>
  </si>
  <si>
    <t>CSX - CSX West Palm Beach FL</t>
  </si>
  <si>
    <t>CSX_tariff_92</t>
  </si>
  <si>
    <t>NS Path 191</t>
  </si>
  <si>
    <t>NS - NS WEST PALM BEACH FL</t>
  </si>
  <si>
    <t>NS_tariff_191</t>
  </si>
  <si>
    <t>GA</t>
  </si>
  <si>
    <t>Albany GA</t>
  </si>
  <si>
    <t>GA00</t>
  </si>
  <si>
    <t>GA Albany - SRPE - 2500</t>
  </si>
  <si>
    <t>CPL Path 7</t>
  </si>
  <si>
    <t>CPL - South Albany Delivery Facility</t>
  </si>
  <si>
    <t>CPL_Houston-CPL_Albany-South</t>
  </si>
  <si>
    <t>NS Path 101</t>
  </si>
  <si>
    <t>NS - NS ALBANY GA</t>
  </si>
  <si>
    <t>NS_NS DECATUR IL-NS_NS ALBANY GA</t>
  </si>
  <si>
    <t>NS Path 27</t>
  </si>
  <si>
    <t>NS_NS Chicago IL-NS_NS ALBANY GA</t>
  </si>
  <si>
    <t>GA01</t>
  </si>
  <si>
    <t>GA Albany - Buckeye - 2501</t>
  </si>
  <si>
    <t>GA02</t>
  </si>
  <si>
    <t>GA Albany - SRPE - 2502</t>
  </si>
  <si>
    <t>CPL Path 8</t>
  </si>
  <si>
    <t>CPL - North Albany Delivery Facility</t>
  </si>
  <si>
    <t>CPL_Houston-CPL_Albany</t>
  </si>
  <si>
    <t>Americus GA</t>
  </si>
  <si>
    <t>GA03</t>
  </si>
  <si>
    <t>GA Americus - SRPE - 2505</t>
  </si>
  <si>
    <t>CPL Path 10</t>
  </si>
  <si>
    <t>CPL - Americus Delivery</t>
  </si>
  <si>
    <t>CPL_Houston-CPL_Americus</t>
  </si>
  <si>
    <t>NS Path 135</t>
  </si>
  <si>
    <t>NS - NS AMERICUS GA</t>
  </si>
  <si>
    <t>NS_NS DECATUR IL-NS_NS AMERICUS GA</t>
  </si>
  <si>
    <t>NS Path 60</t>
  </si>
  <si>
    <t>NS_NS Chicago IL-NS_NS AMERICUS GA</t>
  </si>
  <si>
    <t>Athens GA</t>
  </si>
  <si>
    <t>GA04</t>
  </si>
  <si>
    <t>GA Athens - KM - 2506</t>
  </si>
  <si>
    <t>CPL Path 27</t>
  </si>
  <si>
    <t>CPL - Athens Delivery Facility</t>
  </si>
  <si>
    <t>CPL_Houston-CPL_Athens</t>
  </si>
  <si>
    <t>PPL Path 17</t>
  </si>
  <si>
    <t>PPL - Athens</t>
  </si>
  <si>
    <t>PPL_1</t>
  </si>
  <si>
    <t>NS Path 109</t>
  </si>
  <si>
    <t>NS - NS ATHENS GA</t>
  </si>
  <si>
    <t>NS_NS DECATUR IL-NS_NS ATHENS GA</t>
  </si>
  <si>
    <t>NS Path 35</t>
  </si>
  <si>
    <t>NS_NS Chicago IL-NS_NS ATHENS GA</t>
  </si>
  <si>
    <t>GA06</t>
  </si>
  <si>
    <t>GA Athens - SRPE - 2508</t>
  </si>
  <si>
    <t>Bainbridge GA</t>
  </si>
  <si>
    <t>GA11</t>
  </si>
  <si>
    <t>GA Bainbridge - Motiva - 2514</t>
  </si>
  <si>
    <t>CPL Path 5</t>
  </si>
  <si>
    <t>CPL - Bainbridge Delivery Facility</t>
  </si>
  <si>
    <t>CPL_Houston-CPL_Bainbridge</t>
  </si>
  <si>
    <t>CSX Path 7</t>
  </si>
  <si>
    <t>CSX - CSX Bainbridge GA</t>
  </si>
  <si>
    <t>CSX_tariff_7</t>
  </si>
  <si>
    <t>GA12</t>
  </si>
  <si>
    <t>GA Bainbridge - SRPE - 2515</t>
  </si>
  <si>
    <t>Bremen GA</t>
  </si>
  <si>
    <t>Atlanta GA</t>
  </si>
  <si>
    <t>GA13</t>
  </si>
  <si>
    <t>GA Bremen - Epic - 2517</t>
  </si>
  <si>
    <t>PPL Path 14</t>
  </si>
  <si>
    <t>PPL - Bremen</t>
  </si>
  <si>
    <t>PPL_7</t>
  </si>
  <si>
    <t>CSX USRT PATH 14</t>
  </si>
  <si>
    <t>CSX - CSX Atlanta GA Howell Yard</t>
  </si>
  <si>
    <t>CSX USRT PATH 2</t>
  </si>
  <si>
    <t>NS Path 110</t>
  </si>
  <si>
    <t>NS - NS BREMEN GA</t>
  </si>
  <si>
    <t>NS_NS DECATUR IL-NS_NS BREMEN GA</t>
  </si>
  <si>
    <t>NS Path 36</t>
  </si>
  <si>
    <t>NS_NS Chicago IL-NS_NS BREMEN GA</t>
  </si>
  <si>
    <t>NS USRT PATH 1</t>
  </si>
  <si>
    <t>NS - NS Atlanta GA Inman Yard</t>
  </si>
  <si>
    <t>NS USRT PATH 7</t>
  </si>
  <si>
    <t>Chattahoochee GA</t>
  </si>
  <si>
    <t>GA08</t>
  </si>
  <si>
    <t>GA Atlanta - KM - 2511</t>
  </si>
  <si>
    <t>CPL Path 22</t>
  </si>
  <si>
    <t>CPL - Chattahoochee Delivery Facility</t>
  </si>
  <si>
    <t>CPL_Houston-CPL_Atlanta-Chattahoochee</t>
  </si>
  <si>
    <t>PPL Path 15</t>
  </si>
  <si>
    <t>PPL - Chattahoochee</t>
  </si>
  <si>
    <t>PPL_3</t>
  </si>
  <si>
    <t>NS Path 111</t>
  </si>
  <si>
    <t>NS - NS CHATTAHOOCHEE GA</t>
  </si>
  <si>
    <t>NS_NS DECATUR IL-NS_NS CHATTAHOOCHEE GA</t>
  </si>
  <si>
    <t>NS Path 37</t>
  </si>
  <si>
    <t>NS_NS Chicago IL-NS_NS CHATTAHOOCHEE GA</t>
  </si>
  <si>
    <t>GA14</t>
  </si>
  <si>
    <t>GA Atlanta - Buckeye - 2519</t>
  </si>
  <si>
    <t>Columbus GA</t>
  </si>
  <si>
    <t>GA15</t>
  </si>
  <si>
    <t>GA Columbus - SRPE - 2520</t>
  </si>
  <si>
    <t>PPL Path 9</t>
  </si>
  <si>
    <t>PPL - Columbus</t>
  </si>
  <si>
    <t>PPL_13</t>
  </si>
  <si>
    <t>NS Path 124</t>
  </si>
  <si>
    <t>NS - NS COLUMBUS GA</t>
  </si>
  <si>
    <t>NS_NS DECATUR IL-NS_NS COLUMBUS GA</t>
  </si>
  <si>
    <t>NS Path 44</t>
  </si>
  <si>
    <t>NS_NS Chicago IL-NS_NS COLUMBUS GA</t>
  </si>
  <si>
    <t>GA16</t>
  </si>
  <si>
    <t>GA Columbus - Omega - 2522</t>
  </si>
  <si>
    <t>GA17</t>
  </si>
  <si>
    <t>GA Columbus - MPC - 2523</t>
  </si>
  <si>
    <t>Doraville GA</t>
  </si>
  <si>
    <t>GA07</t>
  </si>
  <si>
    <t>GA Doraville - Motiva - 2510</t>
  </si>
  <si>
    <t>CPL Path 26</t>
  </si>
  <si>
    <t>CPL - Doraville Delivery Facility</t>
  </si>
  <si>
    <t>CPL_Houston-CPL_Atlanta-Doraville</t>
  </si>
  <si>
    <t>NS Path 112</t>
  </si>
  <si>
    <t>NS - NS DORAVILLE GA</t>
  </si>
  <si>
    <t>NS_NS DECATUR IL-NS_NS DORAVILLE GA</t>
  </si>
  <si>
    <t>NS Path 38</t>
  </si>
  <si>
    <t>NS_NS Chicago IL-NS_NS DORAVILLE GA</t>
  </si>
  <si>
    <t>GA19</t>
  </si>
  <si>
    <t>GA Doraville - SRPE - 2525</t>
  </si>
  <si>
    <t>GA20</t>
  </si>
  <si>
    <t>GA Doraville - KM - 2526</t>
  </si>
  <si>
    <t>PPL Path 16</t>
  </si>
  <si>
    <t>PPL - Doraville</t>
  </si>
  <si>
    <t>PPL_2</t>
  </si>
  <si>
    <t>GA21</t>
  </si>
  <si>
    <t>GA Doraville - Chevron - 2528</t>
  </si>
  <si>
    <t>GA22</t>
  </si>
  <si>
    <t>GA Doraville - Citgo - 2529</t>
  </si>
  <si>
    <t>GA23</t>
  </si>
  <si>
    <t>GA Doraville - Motiva - 2531</t>
  </si>
  <si>
    <t>GA24</t>
  </si>
  <si>
    <t>GA Doraville - MPC - 2532</t>
  </si>
  <si>
    <t>GA25</t>
  </si>
  <si>
    <t>GA Doraville - Buckeye - 2533</t>
  </si>
  <si>
    <t>GA26</t>
  </si>
  <si>
    <t>GA Doraville - KM - 2534</t>
  </si>
  <si>
    <t>GA27</t>
  </si>
  <si>
    <t>GA Doraville - Buckeye - 2535</t>
  </si>
  <si>
    <t>Griffin GA</t>
  </si>
  <si>
    <t>GA29</t>
  </si>
  <si>
    <t>GA Griffin - SRPE - 2537</t>
  </si>
  <si>
    <t>CPL Path 15</t>
  </si>
  <si>
    <t>CPL - Griffin Delivery</t>
  </si>
  <si>
    <t>CPL_Houston-CPL_Griffin</t>
  </si>
  <si>
    <t>NS Path 113</t>
  </si>
  <si>
    <t>NS - NS GRIFFIN GA</t>
  </si>
  <si>
    <t>NS_NS DECATUR IL-NS_NS GRIFFIN GA</t>
  </si>
  <si>
    <t>NS Path 39</t>
  </si>
  <si>
    <t>NS_NS Chicago IL-NS_NS GRIFFIN GA</t>
  </si>
  <si>
    <t>Lookout Mountain GA</t>
  </si>
  <si>
    <t>Chattanooga TN</t>
  </si>
  <si>
    <t>GA42</t>
  </si>
  <si>
    <t>GA Lookout Mtn - SRPE - 2556</t>
  </si>
  <si>
    <t>CPL Path 32</t>
  </si>
  <si>
    <t>CPL - Lookout Mountain Delivery</t>
  </si>
  <si>
    <t>CPL_Houston-CPL_Lookout Mountain</t>
  </si>
  <si>
    <t>NS Path 119</t>
  </si>
  <si>
    <t>NS - NS FLINTSTONE GA</t>
  </si>
  <si>
    <t>NS_NS DECATUR IL-NS_NS FLINTSTONE GA</t>
  </si>
  <si>
    <t>NS Path 42</t>
  </si>
  <si>
    <t>NS_NS Chicago IL-NS_NS FLINTSTONE GA</t>
  </si>
  <si>
    <t>Macon GA</t>
  </si>
  <si>
    <t>GA30</t>
  </si>
  <si>
    <t>GA Macon - Vecenergy - 2538</t>
  </si>
  <si>
    <t>CPL Path 12</t>
  </si>
  <si>
    <t>CPL - South Macon Delivery Facility</t>
  </si>
  <si>
    <t>CPL_Houston-CPL_Macon-South</t>
  </si>
  <si>
    <t>PPL Path 10</t>
  </si>
  <si>
    <t>PPL - Macon</t>
  </si>
  <si>
    <t>PPL_20</t>
  </si>
  <si>
    <t>NS Path 136</t>
  </si>
  <si>
    <t>NS - NS MACON GA</t>
  </si>
  <si>
    <t>NS_NS DECATUR IL-NS_NS MACON GA</t>
  </si>
  <si>
    <t>NS Path 61</t>
  </si>
  <si>
    <t>NS_NS Chicago IL-NS_NS MACON GA</t>
  </si>
  <si>
    <t>GA31</t>
  </si>
  <si>
    <t>GA Macon - MPC - 2541</t>
  </si>
  <si>
    <t>GA32</t>
  </si>
  <si>
    <t>GA Macon - Epic - 2542</t>
  </si>
  <si>
    <t>GA33</t>
  </si>
  <si>
    <t>GA Macon - Buckeye - 2543</t>
  </si>
  <si>
    <t>GA34</t>
  </si>
  <si>
    <t>GA Macon - SRPE - 2544</t>
  </si>
  <si>
    <t>Powder Springs GA</t>
  </si>
  <si>
    <t>GA35</t>
  </si>
  <si>
    <t>GA Powder Springs - MPC - 2545</t>
  </si>
  <si>
    <t>CPL Path 23</t>
  </si>
  <si>
    <t>CPL - Atlanta Junction (Austell)</t>
  </si>
  <si>
    <t>CPL_Houston-CPL_Atlanta-Powder Springs</t>
  </si>
  <si>
    <t>NS Path 4</t>
  </si>
  <si>
    <t>NS - NS POWDER SPRINGS GA</t>
  </si>
  <si>
    <t>NS_NS Chicago IL-NS_NS POWDER SPRINGS GA</t>
  </si>
  <si>
    <t>Rome GA</t>
  </si>
  <si>
    <t>GA36</t>
  </si>
  <si>
    <t>GA Rome - SRPE - 2547</t>
  </si>
  <si>
    <t>CPL Path 28</t>
  </si>
  <si>
    <t>CPL - Rome Delivery Facility</t>
  </si>
  <si>
    <t>CPL_Houston-CPL_Rome</t>
  </si>
  <si>
    <t>NS Path 5</t>
  </si>
  <si>
    <t>NS - NS ROME GA</t>
  </si>
  <si>
    <t>NS_NS Chicago IL-NS_NS ROME GA</t>
  </si>
  <si>
    <t>Savannah GA</t>
  </si>
  <si>
    <t>GA05</t>
  </si>
  <si>
    <t>GA Savannah - Epic - 2507</t>
  </si>
  <si>
    <t>CSX Path 80</t>
  </si>
  <si>
    <t>CSX - CSX Savannah GA</t>
  </si>
  <si>
    <t>CSX_tariff_80</t>
  </si>
  <si>
    <t>NS Path 188</t>
  </si>
  <si>
    <t>NS - NS SAVANNAH GA</t>
  </si>
  <si>
    <t>NS_tariff_188</t>
  </si>
  <si>
    <t>GA37</t>
  </si>
  <si>
    <t>GA Savannah - Colonial - 2550</t>
  </si>
  <si>
    <t>GA43</t>
  </si>
  <si>
    <t>GA Savannah - Epic - 2557</t>
  </si>
  <si>
    <t>HI</t>
  </si>
  <si>
    <t>Honolulu HI</t>
  </si>
  <si>
    <t>HI03</t>
  </si>
  <si>
    <t>HI Kapolei - Aloha - 4551</t>
  </si>
  <si>
    <t>HI05</t>
  </si>
  <si>
    <t>HI Honolulu - IES - 4553</t>
  </si>
  <si>
    <t>HI08</t>
  </si>
  <si>
    <t>HI Honolulu - Aloha - 4557</t>
  </si>
  <si>
    <t>HI17</t>
  </si>
  <si>
    <t>HI Honolulu - Tesoro - 4568</t>
  </si>
  <si>
    <t>IA</t>
  </si>
  <si>
    <t>Bettendorf IA</t>
  </si>
  <si>
    <t>IA01</t>
  </si>
  <si>
    <t>IA Bettendorf - Buckeye - 3450</t>
  </si>
  <si>
    <t>BNSF Path 14</t>
  </si>
  <si>
    <t>BNSF - BNSF Bettendorf IA</t>
  </si>
  <si>
    <t>BNSF_tariff_14</t>
  </si>
  <si>
    <t>IA02</t>
  </si>
  <si>
    <t>IA Bettendorf - US Oil - 3452</t>
  </si>
  <si>
    <t>IA18</t>
  </si>
  <si>
    <t>IA Riverdale - Mag - 3471</t>
  </si>
  <si>
    <t>MG N CTRL Path 102</t>
  </si>
  <si>
    <t>MG N CTRL - Pine Bend Refinery Dakota</t>
  </si>
  <si>
    <t>MG N CTRL - MG Bettendorf</t>
  </si>
  <si>
    <t>MG_176</t>
  </si>
  <si>
    <t>MG N CTRL Path 134</t>
  </si>
  <si>
    <t>MG N CTRL - MG St Paul Park</t>
  </si>
  <si>
    <t>MG_175</t>
  </si>
  <si>
    <t>MG N CTRL Path 14</t>
  </si>
  <si>
    <t>MG_264</t>
  </si>
  <si>
    <t>MG N CTRL Path 174</t>
  </si>
  <si>
    <t>MG N CTRL - MG Tulsa West Tulsa</t>
  </si>
  <si>
    <t>MG_129</t>
  </si>
  <si>
    <t>MG N CTRL Path 54</t>
  </si>
  <si>
    <t>MG N CTRL - Superior Refining</t>
  </si>
  <si>
    <t>MG_240</t>
  </si>
  <si>
    <t>Clear Lake IA</t>
  </si>
  <si>
    <t>Waterloo IA</t>
  </si>
  <si>
    <t>IA12</t>
  </si>
  <si>
    <t>IA Clear Lake - Mag - 3465</t>
  </si>
  <si>
    <t>MG N CTRL Path 120</t>
  </si>
  <si>
    <t>MG N CTRL - MG Mason City</t>
  </si>
  <si>
    <t>MG_208</t>
  </si>
  <si>
    <t>MG N CTRL Path 152</t>
  </si>
  <si>
    <t>MG_207</t>
  </si>
  <si>
    <t>MG N CTRL Path 194</t>
  </si>
  <si>
    <t>MG_149</t>
  </si>
  <si>
    <t>MG N CTRL Path 34</t>
  </si>
  <si>
    <t>MG_279</t>
  </si>
  <si>
    <t>MG N CTRL Path 65</t>
  </si>
  <si>
    <t>MG_251</t>
  </si>
  <si>
    <t>UP Path 243</t>
  </si>
  <si>
    <t>UP - UP MASON CITY IA</t>
  </si>
  <si>
    <t>UP_tariff_243</t>
  </si>
  <si>
    <t>North Liberty IA</t>
  </si>
  <si>
    <t>IA10</t>
  </si>
  <si>
    <t>IA Coralville - Mag - 3463</t>
  </si>
  <si>
    <t>MG N CTRL Path 112</t>
  </si>
  <si>
    <t>MG N CTRL - MG Iowa City</t>
  </si>
  <si>
    <t>MG_196</t>
  </si>
  <si>
    <t>MG N CTRL Path 144</t>
  </si>
  <si>
    <t>MG_195</t>
  </si>
  <si>
    <t>MG N CTRL Path 185</t>
  </si>
  <si>
    <t>MG_140</t>
  </si>
  <si>
    <t>MG N CTRL Path 25</t>
  </si>
  <si>
    <t>MG_273</t>
  </si>
  <si>
    <t>MG N CTRL Path 62</t>
  </si>
  <si>
    <t>MG_248</t>
  </si>
  <si>
    <t>UP Path 235</t>
  </si>
  <si>
    <t>UP - UP CEDAR RAPIDS IA</t>
  </si>
  <si>
    <t>UP_tariff_235</t>
  </si>
  <si>
    <t>Council Bluffs IA</t>
  </si>
  <si>
    <t>IA03</t>
  </si>
  <si>
    <t>IA Council Bluffs - Buckeye - 3454</t>
  </si>
  <si>
    <t>BK SC Path 5</t>
  </si>
  <si>
    <t>BP WHTC - Whiting Station</t>
  </si>
  <si>
    <t>BK SC - Council Bluffs</t>
  </si>
  <si>
    <t>BK_13</t>
  </si>
  <si>
    <t>BKSC_0723_25.13.0</t>
  </si>
  <si>
    <t>BK_4</t>
  </si>
  <si>
    <t>BP_2</t>
  </si>
  <si>
    <t>BPTW_0723_3.5.0</t>
  </si>
  <si>
    <t>NU EP Path 19</t>
  </si>
  <si>
    <t>NU EP - MG - ET - NS El Dorado Tank Farm Butler</t>
  </si>
  <si>
    <t>NU EP - Council Bluffs</t>
  </si>
  <si>
    <t>NS_32</t>
  </si>
  <si>
    <t>NU ES 0723_17.36.0</t>
  </si>
  <si>
    <t>NU EP Path 36</t>
  </si>
  <si>
    <t>NU EP - NU McPherson</t>
  </si>
  <si>
    <t>NS_48</t>
  </si>
  <si>
    <t>UP Path 41</t>
  </si>
  <si>
    <t>UP_UP Chicago IL-UP_UP COUNCIL BLUFFS IA</t>
  </si>
  <si>
    <t>IA04</t>
  </si>
  <si>
    <t>IA Council Bluffs - Nustar - 3455</t>
  </si>
  <si>
    <t>Des Moines IA</t>
  </si>
  <si>
    <t>IA05</t>
  </si>
  <si>
    <t>IA Des Moines - Buckeye - 3456</t>
  </si>
  <si>
    <t>BK SC Path 4</t>
  </si>
  <si>
    <t>BK SC - Des Moines</t>
  </si>
  <si>
    <t>BK_14</t>
  </si>
  <si>
    <t>BNSF Path 32</t>
  </si>
  <si>
    <t>BNSF - BNSF Des Moines IA</t>
  </si>
  <si>
    <t>BNSF_tariff_32</t>
  </si>
  <si>
    <t>UP Path 16</t>
  </si>
  <si>
    <t>UP - UP DES MOINES IA</t>
  </si>
  <si>
    <t>UP_UP Chicago IL-UP_UP DES MOINES IA</t>
  </si>
  <si>
    <t>Dubuque IA</t>
  </si>
  <si>
    <t>IA08</t>
  </si>
  <si>
    <t>IA Dubuque - Mag - 3460</t>
  </si>
  <si>
    <t>MG N CTRL Path 106</t>
  </si>
  <si>
    <t>MG N CTRL - MG Dubuque</t>
  </si>
  <si>
    <t>MG_184</t>
  </si>
  <si>
    <t>MG N CTRL Path 138</t>
  </si>
  <si>
    <t>MG_183</t>
  </si>
  <si>
    <t>MG N CTRL Path 178</t>
  </si>
  <si>
    <t>MG_133</t>
  </si>
  <si>
    <t>MG N CTRL Path 18</t>
  </si>
  <si>
    <t>MG_268</t>
  </si>
  <si>
    <t>MG N CTRL Path 57</t>
  </si>
  <si>
    <t>MG_243</t>
  </si>
  <si>
    <t>BNSF Path 35</t>
  </si>
  <si>
    <t>BNSF - BNSF Dubuque IA</t>
  </si>
  <si>
    <t>BNSF_tariff_35</t>
  </si>
  <si>
    <t>Fort Dodge IA</t>
  </si>
  <si>
    <t>IA09</t>
  </si>
  <si>
    <t>IA Duncombe - Growmark - 3461</t>
  </si>
  <si>
    <t>MG N CTRL Path 109</t>
  </si>
  <si>
    <t>MG N CTRL - MG Ft Dodge</t>
  </si>
  <si>
    <t>MG_190</t>
  </si>
  <si>
    <t>MG N CTRL Path 141</t>
  </si>
  <si>
    <t>MG_189</t>
  </si>
  <si>
    <t>MG N CTRL Path 182</t>
  </si>
  <si>
    <t>MG_137</t>
  </si>
  <si>
    <t>MG N CTRL Path 22</t>
  </si>
  <si>
    <t>MG_271</t>
  </si>
  <si>
    <t>MG N CTRL Path 60</t>
  </si>
  <si>
    <t>MG_246</t>
  </si>
  <si>
    <t>UP Path 241</t>
  </si>
  <si>
    <t>UP - UP FT DODGE IA</t>
  </si>
  <si>
    <t>UP_tariff_241</t>
  </si>
  <si>
    <t>Fort Madison IA</t>
  </si>
  <si>
    <t>IA00</t>
  </si>
  <si>
    <t>IA Montrose - HF Sinclair - 3475</t>
  </si>
  <si>
    <t>BNSF Path 44</t>
  </si>
  <si>
    <t>BNSF - BNSF Fort Madison IA</t>
  </si>
  <si>
    <t>BNSF_tariff_44</t>
  </si>
  <si>
    <t>Le Mars IA</t>
  </si>
  <si>
    <t>Sioux City IA</t>
  </si>
  <si>
    <t>IA11</t>
  </si>
  <si>
    <t>IA Le Mars - Nustar - 3464</t>
  </si>
  <si>
    <t>NU EP Path 11</t>
  </si>
  <si>
    <t>NU EP - NU Le Mars</t>
  </si>
  <si>
    <t>NS_24</t>
  </si>
  <si>
    <t>NU EP Path 27</t>
  </si>
  <si>
    <t>NS_40</t>
  </si>
  <si>
    <t>NU EP Path 51</t>
  </si>
  <si>
    <t>NU EP - P66 Ponca City Cherokee Station</t>
  </si>
  <si>
    <t>NS_83</t>
  </si>
  <si>
    <t>BNSF Path 63</t>
  </si>
  <si>
    <t>BNSF - BNSF Le Mars IA</t>
  </si>
  <si>
    <t>BNSF_tariff_63</t>
  </si>
  <si>
    <t>UP - UP LE MARS IA</t>
  </si>
  <si>
    <t>Milford IA</t>
  </si>
  <si>
    <t>IA13</t>
  </si>
  <si>
    <t>IA Milford - Nustar - 3466</t>
  </si>
  <si>
    <t>NU EP Path 12</t>
  </si>
  <si>
    <t>NU EP - NU Milford</t>
  </si>
  <si>
    <t>NS_25</t>
  </si>
  <si>
    <t>NU EP Path 28</t>
  </si>
  <si>
    <t>NS_41</t>
  </si>
  <si>
    <t>NU EP Path 52</t>
  </si>
  <si>
    <t>NS_84</t>
  </si>
  <si>
    <t>UP Path 248</t>
  </si>
  <si>
    <t>UP - UP SPIRIT LAKE IA</t>
  </si>
  <si>
    <t>UP_tariff_248</t>
  </si>
  <si>
    <t>IA14</t>
  </si>
  <si>
    <t>IA Milford - Mag - 3467</t>
  </si>
  <si>
    <t>MG N CTRL Path 121</t>
  </si>
  <si>
    <t>MG N CTRL - MG Milford</t>
  </si>
  <si>
    <t>MG_210</t>
  </si>
  <si>
    <t>MG N CTRL Path 153</t>
  </si>
  <si>
    <t>MG_209</t>
  </si>
  <si>
    <t>MG N CTRL Path 195</t>
  </si>
  <si>
    <t>MG_150</t>
  </si>
  <si>
    <t>MG N CTRL Path 35</t>
  </si>
  <si>
    <t>MG_280</t>
  </si>
  <si>
    <t>MG N CTRL Path 66</t>
  </si>
  <si>
    <t>MG_252</t>
  </si>
  <si>
    <t>IA15</t>
  </si>
  <si>
    <t>IA North Liberty - Buckeye - 3468</t>
  </si>
  <si>
    <t>BK SC Path 1</t>
  </si>
  <si>
    <t>BK SC - Cedar Rapids</t>
  </si>
  <si>
    <t>BK_1</t>
  </si>
  <si>
    <t>Ottumwa IA</t>
  </si>
  <si>
    <t>IA16</t>
  </si>
  <si>
    <t>IA Ottumwa - Buckeye - 3469</t>
  </si>
  <si>
    <t>BK SC Path 2</t>
  </si>
  <si>
    <t>BK SC - Ottumwa</t>
  </si>
  <si>
    <t>BK_2</t>
  </si>
  <si>
    <t>BNSF Path 80</t>
  </si>
  <si>
    <t>BNSF - BNSF Ottumwa IA</t>
  </si>
  <si>
    <t>BNSF_tariff_80</t>
  </si>
  <si>
    <t>UP Path 14</t>
  </si>
  <si>
    <t>UP - UP OTTUMWA IA</t>
  </si>
  <si>
    <t>UP_UP Chicago IL-UP_UP OTTUMWA IA</t>
  </si>
  <si>
    <t>IA07</t>
  </si>
  <si>
    <t>IA Peosta - BP - 3458</t>
  </si>
  <si>
    <t>BP WHTC Path 2</t>
  </si>
  <si>
    <t>BP WHTC - BP - BK Dubuque</t>
  </si>
  <si>
    <t>BK SC - BP - BK Dubuque</t>
  </si>
  <si>
    <t>BNSF Path 82</t>
  </si>
  <si>
    <t>BNSF - BNSF Peosta IA</t>
  </si>
  <si>
    <t>BNSF_tariff_82</t>
  </si>
  <si>
    <t>Pleasant Hill IA</t>
  </si>
  <si>
    <t>IA06</t>
  </si>
  <si>
    <t>IA Des Moines - Mag - 3457</t>
  </si>
  <si>
    <t>MG N CTRL Path 104</t>
  </si>
  <si>
    <t>MG N CTRL - MG Des Moines</t>
  </si>
  <si>
    <t>MG_180</t>
  </si>
  <si>
    <t>MG N CTRL Path 136</t>
  </si>
  <si>
    <t>MG_179</t>
  </si>
  <si>
    <t>MG N CTRL Path 16</t>
  </si>
  <si>
    <t>MG_266</t>
  </si>
  <si>
    <t>MG N CTRL Path 176</t>
  </si>
  <si>
    <t>MG_131</t>
  </si>
  <si>
    <t>MG N CTRL Path 56</t>
  </si>
  <si>
    <t>MG_242</t>
  </si>
  <si>
    <t>BNSF Path 83</t>
  </si>
  <si>
    <t>BNSF - BNSF Pleasant Hill IA</t>
  </si>
  <si>
    <t>BNSF_tariff_83</t>
  </si>
  <si>
    <t>IA17</t>
  </si>
  <si>
    <t>IA Pleasant Hill - P66 - 3470</t>
  </si>
  <si>
    <t>Rock Rapids IA</t>
  </si>
  <si>
    <t>IA19</t>
  </si>
  <si>
    <t>IA Rock Rapids - Nustar - 3472</t>
  </si>
  <si>
    <t>NU EP Path 13</t>
  </si>
  <si>
    <t>NU EP - NU Rock Rapids</t>
  </si>
  <si>
    <t>NS_26</t>
  </si>
  <si>
    <t>NU EP Path 29</t>
  </si>
  <si>
    <t>NS_42</t>
  </si>
  <si>
    <t>NU EP Path 53</t>
  </si>
  <si>
    <t>NS_85</t>
  </si>
  <si>
    <t>BNSF Path 87</t>
  </si>
  <si>
    <t>BNSF - BNSF Rock Rapids IA</t>
  </si>
  <si>
    <t>BNSF_tariff_87</t>
  </si>
  <si>
    <t>IA20</t>
  </si>
  <si>
    <t>IA Sioux City - Mag - 3473</t>
  </si>
  <si>
    <t>MG N CTRL Path 157</t>
  </si>
  <si>
    <t>MG N CTRL - MG Sioux City Tank Farm</t>
  </si>
  <si>
    <t>MG_219</t>
  </si>
  <si>
    <t>MG N CTRL Path 205</t>
  </si>
  <si>
    <t>MG_160</t>
  </si>
  <si>
    <t>MG N CTRL Path 45</t>
  </si>
  <si>
    <t>MG_289</t>
  </si>
  <si>
    <t>MG N CTRL Path 69</t>
  </si>
  <si>
    <t>MG_257</t>
  </si>
  <si>
    <t>MG N CTRL Path 125</t>
  </si>
  <si>
    <t>MG_220</t>
  </si>
  <si>
    <t>BNSF Path 98</t>
  </si>
  <si>
    <t>BNSF - BNSF Sioux City IA</t>
  </si>
  <si>
    <t>BNSF_tariff_98</t>
  </si>
  <si>
    <t>IA21</t>
  </si>
  <si>
    <t>IA Waterloo - Mag - 3474</t>
  </si>
  <si>
    <t>MG N CTRL Path 210</t>
  </si>
  <si>
    <t>MG N CTRL - MG Waterloo</t>
  </si>
  <si>
    <t>MG_167</t>
  </si>
  <si>
    <t>MG N CTRL Path 49</t>
  </si>
  <si>
    <t>MG_294</t>
  </si>
  <si>
    <t>MG N CTRL Path 130</t>
  </si>
  <si>
    <t>MG_234</t>
  </si>
  <si>
    <t>MG N CTRL Path 162</t>
  </si>
  <si>
    <t>MG_233</t>
  </si>
  <si>
    <t>MG N CTRL Path 71</t>
  </si>
  <si>
    <t>MG_259</t>
  </si>
  <si>
    <t>UP Path 15</t>
  </si>
  <si>
    <t>UP - UP WATERLOO IA</t>
  </si>
  <si>
    <t>UP_UP Chicago IL-UP_UP WATERLOO IA</t>
  </si>
  <si>
    <t>ID</t>
  </si>
  <si>
    <t>Boise ID</t>
  </si>
  <si>
    <t>ID00</t>
  </si>
  <si>
    <t>ID Boise - HF Sinclair - 4150</t>
  </si>
  <si>
    <t>MPC NW 3</t>
  </si>
  <si>
    <t>MPC NW - HFS UNEV Origin</t>
  </si>
  <si>
    <t>MPC NW - MPC Boise Station Ada</t>
  </si>
  <si>
    <t>MPC_3</t>
  </si>
  <si>
    <t>MPC NW_0723A_4.13.0</t>
  </si>
  <si>
    <t>UP Path 117</t>
  </si>
  <si>
    <t>UP - UP BOISE ID</t>
  </si>
  <si>
    <t>UP_UP COUNCIL BLUFFS IA-UP_UP BOISE ID</t>
  </si>
  <si>
    <t>UP Path 17</t>
  </si>
  <si>
    <t>UP_UP Chicago IL-UP_UP BOISE ID</t>
  </si>
  <si>
    <t>ID01</t>
  </si>
  <si>
    <t>ID Boise - MPC - 4151</t>
  </si>
  <si>
    <t>Burley ID</t>
  </si>
  <si>
    <t>ID03</t>
  </si>
  <si>
    <t>ID Burley - MPC - 4155</t>
  </si>
  <si>
    <t>MPC NW 1</t>
  </si>
  <si>
    <t>MPC NW - MPC Burley Station Cassia</t>
  </si>
  <si>
    <t>MPC_1</t>
  </si>
  <si>
    <t>UP Path 118</t>
  </si>
  <si>
    <t>UP - UP BURLEY ID</t>
  </si>
  <si>
    <t>UP_UP COUNCIL BLUFFS IA-UP_UP BURLEY ID</t>
  </si>
  <si>
    <t>UP Path 18</t>
  </si>
  <si>
    <t>UP_UP Chicago IL-UP_UP BURLEY ID</t>
  </si>
  <si>
    <t>ID04</t>
  </si>
  <si>
    <t>ID Burley - HF Sinclair - 4157</t>
  </si>
  <si>
    <t>Pocatello ID</t>
  </si>
  <si>
    <t>ID05</t>
  </si>
  <si>
    <t>ID Pocatello - MPC - 4159</t>
  </si>
  <si>
    <t>MPC NW 2</t>
  </si>
  <si>
    <t>MPC NW - MPC Pocatello Station Power</t>
  </si>
  <si>
    <t>MPC_2</t>
  </si>
  <si>
    <t>UP Path 119</t>
  </si>
  <si>
    <t>UP - UP POCATELLO ID</t>
  </si>
  <si>
    <t>UP_UP COUNCIL BLUFFS IA-UP_UP POCATELLO ID</t>
  </si>
  <si>
    <t>UP Path 19</t>
  </si>
  <si>
    <t>UP_UP Chicago IL-UP_UP POCATELLO ID</t>
  </si>
  <si>
    <t>IL</t>
  </si>
  <si>
    <t>Argo IL</t>
  </si>
  <si>
    <t>Chicago IL</t>
  </si>
  <si>
    <t>IL05</t>
  </si>
  <si>
    <t>IL Argo - KM - 3305</t>
  </si>
  <si>
    <t>BNSF USRT PATH 16</t>
  </si>
  <si>
    <t>BNSF USRT PATH 24</t>
  </si>
  <si>
    <t>BNSF USRT PATH 32</t>
  </si>
  <si>
    <t>BNSF USRT PATH 40</t>
  </si>
  <si>
    <t>BNSF USRT PATH 8</t>
  </si>
  <si>
    <t>UP Path 120</t>
  </si>
  <si>
    <t>UP - UP ARGO IL</t>
  </si>
  <si>
    <t>UP_UP COUNCIL BLUFFS IA-UP_UP ARGO IL</t>
  </si>
  <si>
    <t>UP Path 20</t>
  </si>
  <si>
    <t>UP_UP Chicago IL-UP_UP ARGO IL</t>
  </si>
  <si>
    <t>UP USRT PATH 1</t>
  </si>
  <si>
    <t>UP USRT PATH 24</t>
  </si>
  <si>
    <t>UP USRT PATH 32</t>
  </si>
  <si>
    <t>UP USRT PATH 9</t>
  </si>
  <si>
    <t>IL13</t>
  </si>
  <si>
    <t>IL Argo - Buckeye - 3315</t>
  </si>
  <si>
    <t>BK WOOD Path 9</t>
  </si>
  <si>
    <t>BK WOOD - BK Wood River Madison</t>
  </si>
  <si>
    <t>BK WOOD - BK Argo Bedford Park Cook</t>
  </si>
  <si>
    <t>BK_76</t>
  </si>
  <si>
    <t>BK WRP_0723_29.23.0</t>
  </si>
  <si>
    <t>IL01</t>
  </si>
  <si>
    <t>IL Elk Grove Village - KM - 3301</t>
  </si>
  <si>
    <t>BP WHW Path 2</t>
  </si>
  <si>
    <t>BP WHW - KM OHare</t>
  </si>
  <si>
    <t>BP_28</t>
  </si>
  <si>
    <t>BP WHW_0723_2.5.0</t>
  </si>
  <si>
    <t>WS BA Path 5</t>
  </si>
  <si>
    <t>WS BA - Des Plaines Terminal</t>
  </si>
  <si>
    <t>WS BA - KM OHare</t>
  </si>
  <si>
    <t>WS_1</t>
  </si>
  <si>
    <t>UP Path 121</t>
  </si>
  <si>
    <t>UP - UP ARLINGTON HEIGHTS IL</t>
  </si>
  <si>
    <t>UP_UP COUNCIL BLUFFS IA-UP_UP ARLINGTON HEIGHTS IL</t>
  </si>
  <si>
    <t>UP Path 21</t>
  </si>
  <si>
    <t>UP_UP Chicago IL-UP_UP ARLINGTON HEIGHTS IL</t>
  </si>
  <si>
    <t>IL04</t>
  </si>
  <si>
    <t>IL Arlington Heights - Citgo - 3304</t>
  </si>
  <si>
    <t>BK WOOD Path 10</t>
  </si>
  <si>
    <t>BK WOOD - Des Plaines Terminal</t>
  </si>
  <si>
    <t>BK_77</t>
  </si>
  <si>
    <t>WS BA Path 2</t>
  </si>
  <si>
    <t>WS BA - Citgo East Chicago Terminal</t>
  </si>
  <si>
    <t>WS_4</t>
  </si>
  <si>
    <t>WS_0124_71.45.0</t>
  </si>
  <si>
    <t>WS BA Path 7</t>
  </si>
  <si>
    <t>WS BA - Lemont Terminal</t>
  </si>
  <si>
    <t>WS_16</t>
  </si>
  <si>
    <t>WS IL 102_0124_ILL. C.C. No. 102</t>
  </si>
  <si>
    <t>WS WI Path 2</t>
  </si>
  <si>
    <t>WS WI - Buckeye Chicago Complex</t>
  </si>
  <si>
    <t>WS WI - Des Plaines Terminal</t>
  </si>
  <si>
    <t>WS_8</t>
  </si>
  <si>
    <t>WS WI Path 4</t>
  </si>
  <si>
    <t>WS WI - Romeo Junction</t>
  </si>
  <si>
    <t>WS_20</t>
  </si>
  <si>
    <t>IL10</t>
  </si>
  <si>
    <t>IL Arlington Heights - Exxon - 3311</t>
  </si>
  <si>
    <t>IL14</t>
  </si>
  <si>
    <t>IL Arlington Heights - Shell - 3316</t>
  </si>
  <si>
    <t>IL16</t>
  </si>
  <si>
    <t>IL Arlington Heights - Citgo - 3318</t>
  </si>
  <si>
    <t>Ashkum IL</t>
  </si>
  <si>
    <t>Kankakee IL</t>
  </si>
  <si>
    <t>IL29</t>
  </si>
  <si>
    <t>IL Ashkum - Growmark - 3364</t>
  </si>
  <si>
    <t>CSX Path 4</t>
  </si>
  <si>
    <t>CSX - CSX Ashkum IL</t>
  </si>
  <si>
    <t>CSX_tariff_4</t>
  </si>
  <si>
    <t>UP - UP PITTWOOD IL</t>
  </si>
  <si>
    <t>Blue Island IL</t>
  </si>
  <si>
    <t>IL00</t>
  </si>
  <si>
    <t>IL Alsip - Valero - 3300</t>
  </si>
  <si>
    <t>CSX Path 10</t>
  </si>
  <si>
    <t>CSX - CSX Blue Island IL</t>
  </si>
  <si>
    <t>CSX_tariff_10</t>
  </si>
  <si>
    <t>BNSF - BNSF Blue Island IL</t>
  </si>
  <si>
    <t>NS - NS BLUE ISLAND IL</t>
  </si>
  <si>
    <t>IL09</t>
  </si>
  <si>
    <t>IL Blue Island - Sunoco - 3310</t>
  </si>
  <si>
    <t>Cahokia IL</t>
  </si>
  <si>
    <t>IL31</t>
  </si>
  <si>
    <t>IL Cahokia - P66 - 3366</t>
  </si>
  <si>
    <t>EXPL24 Path 2</t>
  </si>
  <si>
    <t>EXPL24 - Glenpool Tank Farm</t>
  </si>
  <si>
    <t>EXPL24 - East St. Louis</t>
  </si>
  <si>
    <t>EXPL_98</t>
  </si>
  <si>
    <t>EXPL_0124_100.117.0</t>
  </si>
  <si>
    <t>P66 EAST ST LOU 3</t>
  </si>
  <si>
    <t>P66 EAST ST LOU - P66 Wichita Sedgwick</t>
  </si>
  <si>
    <t>P66 EAST ST LOU - P66 St. Louis East St Clair</t>
  </si>
  <si>
    <t>P66_17</t>
  </si>
  <si>
    <t>P66 EAST ST LOU_0723_8.14.0</t>
  </si>
  <si>
    <t>P66 EAST ST LOU 6</t>
  </si>
  <si>
    <t>P66 AM - P66 Borger Refinery Hutchinson</t>
  </si>
  <si>
    <t>P66_16</t>
  </si>
  <si>
    <t>UP Path 126</t>
  </si>
  <si>
    <t>UP - UP CAHOKIA IL</t>
  </si>
  <si>
    <t>UP_UP COUNCIL BLUFFS IA-UP_UP CAHOKIA IL</t>
  </si>
  <si>
    <t>UP Path 26</t>
  </si>
  <si>
    <t>UP_UP Chicago IL-UP_UP CAHOKIA IL</t>
  </si>
  <si>
    <t>Champaign IL</t>
  </si>
  <si>
    <t>IL26</t>
  </si>
  <si>
    <t>IL Champaign - MPC - 3358</t>
  </si>
  <si>
    <t>NS Path 195</t>
  </si>
  <si>
    <t>NS - NS CHAMPAIGN IL</t>
  </si>
  <si>
    <t>NS_tariff_195</t>
  </si>
  <si>
    <t>IL30</t>
  </si>
  <si>
    <t>IL Forsyth - Buckeye - 3365</t>
  </si>
  <si>
    <t>NS Path 46</t>
  </si>
  <si>
    <t>NS_NS Chicago IL-NS_NS DECATUR IL</t>
  </si>
  <si>
    <t>IL33</t>
  </si>
  <si>
    <t>IL Harristown - Buckeye - 3369</t>
  </si>
  <si>
    <t>BK WOOD Path 5</t>
  </si>
  <si>
    <t>BK WOOD - BK Harristown Will</t>
  </si>
  <si>
    <t>BK_79</t>
  </si>
  <si>
    <t>Effingham IL</t>
  </si>
  <si>
    <t>IL32</t>
  </si>
  <si>
    <t>IL Effingham - Buckeye - 3368</t>
  </si>
  <si>
    <t>BK WOOD Path 4</t>
  </si>
  <si>
    <t>BK WOOD - BK Effingham Effingham</t>
  </si>
  <si>
    <t>BK_78</t>
  </si>
  <si>
    <t>CSX Path 29</t>
  </si>
  <si>
    <t>CSX - CSX Effingham IL</t>
  </si>
  <si>
    <t>CSX_tariff_29</t>
  </si>
  <si>
    <t>Forest View IL</t>
  </si>
  <si>
    <t>IL02</t>
  </si>
  <si>
    <t>IL Forest View - KM - 3302</t>
  </si>
  <si>
    <t>BP WHW Path 1</t>
  </si>
  <si>
    <t>BP WHW - Argo Harlem</t>
  </si>
  <si>
    <t>BP_26</t>
  </si>
  <si>
    <t>WS BA Path 1</t>
  </si>
  <si>
    <t>WS BA - Argo Harlem</t>
  </si>
  <si>
    <t>WS_2</t>
  </si>
  <si>
    <t>WS BA Path 6</t>
  </si>
  <si>
    <t>WS_14</t>
  </si>
  <si>
    <t>UP Path 122</t>
  </si>
  <si>
    <t>UP - UP GLENN YARD IL</t>
  </si>
  <si>
    <t>UP_UP COUNCIL BLUFFS IA-UP_UP GLENN YARD IL</t>
  </si>
  <si>
    <t>UP Path 23</t>
  </si>
  <si>
    <t>UP_UP Chicago IL-UP_UP GLENN YARD IL</t>
  </si>
  <si>
    <t>IL11</t>
  </si>
  <si>
    <t>IL Forest View - Petro FT - 3312</t>
  </si>
  <si>
    <t>Heyworth IL</t>
  </si>
  <si>
    <t>IL34</t>
  </si>
  <si>
    <t>IL Heyworth - Mag - 3371</t>
  </si>
  <si>
    <t>BP WHW Path 3</t>
  </si>
  <si>
    <t>MG IA1 - Heyworth</t>
  </si>
  <si>
    <t>BP_24</t>
  </si>
  <si>
    <t>MG_368</t>
  </si>
  <si>
    <t>MG MAN_0723_165.16.0</t>
  </si>
  <si>
    <t>NS Path 194</t>
  </si>
  <si>
    <t>NS - NS BLOOMINGTON IL</t>
  </si>
  <si>
    <t>NS_tariff_194</t>
  </si>
  <si>
    <t>IL12</t>
  </si>
  <si>
    <t>IL Kankakee - Buckeye - 3313</t>
  </si>
  <si>
    <t>BK WOOD Path 3</t>
  </si>
  <si>
    <t>BK WOOD - Buckeye Chicago Complex</t>
  </si>
  <si>
    <t>BK WOOD - BK Kankakee Kankakee</t>
  </si>
  <si>
    <t>BK_64</t>
  </si>
  <si>
    <t>BK WRP KANK_0723_30.18.0</t>
  </si>
  <si>
    <t>CSX Path 41</t>
  </si>
  <si>
    <t>CSX - CSX Kankakee IL</t>
  </si>
  <si>
    <t>CSX_tariff_41</t>
  </si>
  <si>
    <t>NS Path 58</t>
  </si>
  <si>
    <t>NS - NS KANKAKEE IL</t>
  </si>
  <si>
    <t>NS_NS Chicago IL-NS_NS KANKAKEE IL</t>
  </si>
  <si>
    <t>Lemont IL</t>
  </si>
  <si>
    <t>IL15</t>
  </si>
  <si>
    <t>IL Lemont - Citgo - 3317</t>
  </si>
  <si>
    <t>BNSF Path 64</t>
  </si>
  <si>
    <t>BNSF - BNSF Lemont IL</t>
  </si>
  <si>
    <t>BNSF_tariff_64</t>
  </si>
  <si>
    <t>UP - UP JOLIET IL</t>
  </si>
  <si>
    <t>IL19</t>
  </si>
  <si>
    <t>IL Lockport - Exxon - 3375</t>
  </si>
  <si>
    <t>Norris City IL</t>
  </si>
  <si>
    <t>IL28</t>
  </si>
  <si>
    <t>IL Norris City - HWRT - 3361</t>
  </si>
  <si>
    <t>ERPC Path 9</t>
  </si>
  <si>
    <t>ERPC - ERPC Norris City</t>
  </si>
  <si>
    <t>EPP_14</t>
  </si>
  <si>
    <t>NS Path 196</t>
  </si>
  <si>
    <t>NS - NS FAIRFIELD IL</t>
  </si>
  <si>
    <t>NS_tariff_196</t>
  </si>
  <si>
    <t>Menard IL</t>
  </si>
  <si>
    <t>IL35</t>
  </si>
  <si>
    <t>IL Petersburg - Growmark - 3372</t>
  </si>
  <si>
    <t>UP Path 238</t>
  </si>
  <si>
    <t>UP - UP ATHENS IL</t>
  </si>
  <si>
    <t>UP_tariff_238</t>
  </si>
  <si>
    <t>Robinson IL</t>
  </si>
  <si>
    <t>IL27</t>
  </si>
  <si>
    <t>IL Robinson - MPC - 3360</t>
  </si>
  <si>
    <t>CSX Path 77</t>
  </si>
  <si>
    <t>CSX - CSX Robinson IL</t>
  </si>
  <si>
    <t>CSX_tariff_77</t>
  </si>
  <si>
    <t>Rochelle IL</t>
  </si>
  <si>
    <t>Rockford IL</t>
  </si>
  <si>
    <t>IL03</t>
  </si>
  <si>
    <t>IL Rochelle - KM - 3303</t>
  </si>
  <si>
    <t>BP WHTC Path 1</t>
  </si>
  <si>
    <t>BP WHTC - Rochelle</t>
  </si>
  <si>
    <t>BP_1</t>
  </si>
  <si>
    <t>UP Path 124</t>
  </si>
  <si>
    <t>UP - UP CRESTON IL</t>
  </si>
  <si>
    <t>UP_UP COUNCIL BLUFFS IA-UP_UP CRESTON IL</t>
  </si>
  <si>
    <t>UP Path 22</t>
  </si>
  <si>
    <t>UP_UP Chicago IL-UP_UP CRESTON IL</t>
  </si>
  <si>
    <t>IL06</t>
  </si>
  <si>
    <t>IL Rockford - Buckeye - 3306</t>
  </si>
  <si>
    <t>WS BA Path 3</t>
  </si>
  <si>
    <t>WS BA - Rockford Terminal</t>
  </si>
  <si>
    <t>WS_5</t>
  </si>
  <si>
    <t>WS BA Path 8</t>
  </si>
  <si>
    <t>WS_17</t>
  </si>
  <si>
    <t>UP Path 125</t>
  </si>
  <si>
    <t>UP - UP MARENGO IL</t>
  </si>
  <si>
    <t>UP_UP COUNCIL BLUFFS IA-UP_UP MARENGO IL</t>
  </si>
  <si>
    <t>UP Path 25</t>
  </si>
  <si>
    <t>UP_UP Chicago IL-UP_UP MARENGO IL</t>
  </si>
  <si>
    <t>Wood River IL</t>
  </si>
  <si>
    <t>IL22</t>
  </si>
  <si>
    <t>IL Hartford - KM - 3351</t>
  </si>
  <si>
    <t>EXPL24 Path 4</t>
  </si>
  <si>
    <t>EXPL24 - Wood River Complex</t>
  </si>
  <si>
    <t>EXPL_99</t>
  </si>
  <si>
    <t>UP Path 128</t>
  </si>
  <si>
    <t>UP - UP WOOD RIVER IL</t>
  </si>
  <si>
    <t>UP_UP COUNCIL BLUFFS IA-UP_UP WOOD RIVER IL</t>
  </si>
  <si>
    <t>UP Path 28</t>
  </si>
  <si>
    <t>UP_UP Chicago IL-UP_UP WOOD RIVER IL</t>
  </si>
  <si>
    <t>IL23</t>
  </si>
  <si>
    <t>IL Hartford - P66 - 3353</t>
  </si>
  <si>
    <t>IL24</t>
  </si>
  <si>
    <t>IL Hartford - HWRT - 3354</t>
  </si>
  <si>
    <t>IL25</t>
  </si>
  <si>
    <t>IL Hartford - Buckeye - 3356</t>
  </si>
  <si>
    <t>IN</t>
  </si>
  <si>
    <t>Clermont IN</t>
  </si>
  <si>
    <t>Indianapolis IN</t>
  </si>
  <si>
    <t>IN19</t>
  </si>
  <si>
    <t>IN Indianapolis - Buckeye - 3226</t>
  </si>
  <si>
    <t>BK WOOD Path 8</t>
  </si>
  <si>
    <t>BK IN - Buckeye Chicago Complex</t>
  </si>
  <si>
    <t>BK IN - BK Raceway Marion</t>
  </si>
  <si>
    <t>BK_52</t>
  </si>
  <si>
    <t>BK MPS MAIN_0124_446.43.0</t>
  </si>
  <si>
    <t>CSX Path 22</t>
  </si>
  <si>
    <t>CSX - CSX Clermont IN</t>
  </si>
  <si>
    <t>CSX_tariff_22</t>
  </si>
  <si>
    <t>CSX Path 38</t>
  </si>
  <si>
    <t>CSX_tariff_38</t>
  </si>
  <si>
    <t>NS Path 6</t>
  </si>
  <si>
    <t>NS - NS INDIANAPOLIS IN</t>
  </si>
  <si>
    <t>NS_NS Chicago IL-NS_NS INDIANAPOLIS IN</t>
  </si>
  <si>
    <t>IN20</t>
  </si>
  <si>
    <t>IN Indianapolis - US Oil - 3227</t>
  </si>
  <si>
    <t>IN30</t>
  </si>
  <si>
    <t>IN Indianapolis - Buckeye - 3238</t>
  </si>
  <si>
    <t>ERPC Path 6</t>
  </si>
  <si>
    <t>ERPC - ERPC Indianapolis Clermont</t>
  </si>
  <si>
    <t>EPP_11</t>
  </si>
  <si>
    <t>Evansville IN</t>
  </si>
  <si>
    <t>IN04</t>
  </si>
  <si>
    <t>IN Evansville - MPC - 3207</t>
  </si>
  <si>
    <t>CSX Path 30</t>
  </si>
  <si>
    <t>CSX - CSX Evansville IN</t>
  </si>
  <si>
    <t>CSX_tariff_30</t>
  </si>
  <si>
    <t>NS - NS EVANSVILLE IN</t>
  </si>
  <si>
    <t>IN10</t>
  </si>
  <si>
    <t>IN Evansville - SRPE - 3213</t>
  </si>
  <si>
    <t>Granger IN</t>
  </si>
  <si>
    <t>Niles MI</t>
  </si>
  <si>
    <t>IN01</t>
  </si>
  <si>
    <t>IN Granger - Buckeye - 3203</t>
  </si>
  <si>
    <t>BPRR Path 1</t>
  </si>
  <si>
    <t>BPRR - Whiting Station</t>
  </si>
  <si>
    <t>BPRR - Southbend</t>
  </si>
  <si>
    <t>BPRR_Whiting-BPRR_South Bend Terminal</t>
  </si>
  <si>
    <t>BPRR_23_13.0.0</t>
  </si>
  <si>
    <t>NS Path 51</t>
  </si>
  <si>
    <t>NS - NS SOUTH BEND CR IN</t>
  </si>
  <si>
    <t>NS_NS Chicago IL-NS_NS SOUTH BEND CR IN</t>
  </si>
  <si>
    <t>Hammond IN</t>
  </si>
  <si>
    <t>IN00</t>
  </si>
  <si>
    <t>IN Hammond - Valero - 3202</t>
  </si>
  <si>
    <t>EXPL24 Path 9</t>
  </si>
  <si>
    <t>EXPL24 - Buckeye Chicago Complex</t>
  </si>
  <si>
    <t>EXPL_102</t>
  </si>
  <si>
    <t>BK WV - Buckeye Chicago Complex</t>
  </si>
  <si>
    <t>UP Path 123</t>
  </si>
  <si>
    <t>UP - UP HAMMOND IN</t>
  </si>
  <si>
    <t>UP_UP COUNCIL BLUFFS IA-UP_UP HAMMOND IN</t>
  </si>
  <si>
    <t>UP Path 24</t>
  </si>
  <si>
    <t>UP_UP Chicago IL-UP_UP HAMMOND IN</t>
  </si>
  <si>
    <t>IN03</t>
  </si>
  <si>
    <t>IN Whiting - BP - 3205</t>
  </si>
  <si>
    <t>IN06</t>
  </si>
  <si>
    <t>IN East Chicago - Citgo - 3209</t>
  </si>
  <si>
    <t>IN13</t>
  </si>
  <si>
    <t>IN Hammond - MPC - 3218</t>
  </si>
  <si>
    <t>IN17</t>
  </si>
  <si>
    <t>IN Hammond - Exxon - 3224</t>
  </si>
  <si>
    <t>IN18</t>
  </si>
  <si>
    <t>IN East Chicago - Buckeye - 3225</t>
  </si>
  <si>
    <t>IN21</t>
  </si>
  <si>
    <t>IN Hammond - Buckeye - 3228</t>
  </si>
  <si>
    <t>Huntington IN</t>
  </si>
  <si>
    <t>IN05</t>
  </si>
  <si>
    <t>IN Huntington - MPC - 3208</t>
  </si>
  <si>
    <t>BK WOOD Path 7</t>
  </si>
  <si>
    <t>BK IN - BK Huntington Huntington</t>
  </si>
  <si>
    <t>BK_54</t>
  </si>
  <si>
    <t>BK FINDLAY - BK Huntington Huntington</t>
  </si>
  <si>
    <t>NS Path 52</t>
  </si>
  <si>
    <t>NS - NS HUNTINGTON IN</t>
  </si>
  <si>
    <t>NS_NS Chicago IL-NS_NS HUNTINGTON IN</t>
  </si>
  <si>
    <t>IN07</t>
  </si>
  <si>
    <t>IN Huntington - Citgo - 3210</t>
  </si>
  <si>
    <t>IN08</t>
  </si>
  <si>
    <t>IN Huntington - Sunoco - 3211</t>
  </si>
  <si>
    <t>IN24</t>
  </si>
  <si>
    <t>IN Huntington - ETMT - 3231</t>
  </si>
  <si>
    <t>IN02</t>
  </si>
  <si>
    <t>IN Indianapolis - KM - 3204</t>
  </si>
  <si>
    <t>BP WHIN Path 1</t>
  </si>
  <si>
    <t>BP WHIN - Whiting Station</t>
  </si>
  <si>
    <t>BP WHIN - Indianapolis</t>
  </si>
  <si>
    <t>BP_23</t>
  </si>
  <si>
    <t>BP WHIN_0723_1.5.0</t>
  </si>
  <si>
    <t>IN16</t>
  </si>
  <si>
    <t>IN Indianapolis - MPC - 3222</t>
  </si>
  <si>
    <t>ERPC Path 13</t>
  </si>
  <si>
    <t>ERPC - ERPC Speedway</t>
  </si>
  <si>
    <t>EPP_18</t>
  </si>
  <si>
    <t>Jolietville IN</t>
  </si>
  <si>
    <t>IN27</t>
  </si>
  <si>
    <t>IN Westfield - Countrymark - 3235</t>
  </si>
  <si>
    <t>CSX Path 40</t>
  </si>
  <si>
    <t>CSX - CSX Jolietville IN</t>
  </si>
  <si>
    <t>CSX_tariff_40</t>
  </si>
  <si>
    <t>Mount Vernon IN</t>
  </si>
  <si>
    <t>IN11</t>
  </si>
  <si>
    <t>IN Mount Vernon - Countrymark - 3214</t>
  </si>
  <si>
    <t>CSX Path 53</t>
  </si>
  <si>
    <t>CSX - CSX Mount Vernon IN</t>
  </si>
  <si>
    <t>CSX_tariff_53</t>
  </si>
  <si>
    <t>IN31</t>
  </si>
  <si>
    <t>IN Mount Vernon - MPC - 3239</t>
  </si>
  <si>
    <t>Muncie IN</t>
  </si>
  <si>
    <t>IN15</t>
  </si>
  <si>
    <t>IN Muncie - MPC - 3221</t>
  </si>
  <si>
    <t>CSX Path 54</t>
  </si>
  <si>
    <t>CSX - CSX Muncie IN</t>
  </si>
  <si>
    <t>CSX_tariff_54</t>
  </si>
  <si>
    <t>IN22</t>
  </si>
  <si>
    <t>IN Muncie - Buckeye - 3229</t>
  </si>
  <si>
    <t>BK WOOD Path 2</t>
  </si>
  <si>
    <t>BK WOOD - BK Muncie Delaware</t>
  </si>
  <si>
    <t>BK_74</t>
  </si>
  <si>
    <t>NS Path 7</t>
  </si>
  <si>
    <t>NS - NS MUNCIE IN</t>
  </si>
  <si>
    <t>NS_NS Chicago IL-NS_NS MUNCIE IN</t>
  </si>
  <si>
    <t>Peru IN</t>
  </si>
  <si>
    <t>IN28</t>
  </si>
  <si>
    <t>IN Peru - Countrymark - 3236</t>
  </si>
  <si>
    <t>NS Path 199</t>
  </si>
  <si>
    <t>NS - NS PERU IN</t>
  </si>
  <si>
    <t>NS_tariff_199</t>
  </si>
  <si>
    <t>Princeton IN</t>
  </si>
  <si>
    <t>IN25</t>
  </si>
  <si>
    <t>IN Oakland City - ERPC - 3232</t>
  </si>
  <si>
    <t>ERPC Path 10</t>
  </si>
  <si>
    <t>ERPC - ERPC Princeton</t>
  </si>
  <si>
    <t>EPP_15</t>
  </si>
  <si>
    <t>NS Path 200</t>
  </si>
  <si>
    <t>NS - NS PRINCETON IN</t>
  </si>
  <si>
    <t>NS_tariff_200</t>
  </si>
  <si>
    <t>Seymour IN</t>
  </si>
  <si>
    <t>IN12</t>
  </si>
  <si>
    <t>IN Seymour - HWRT - 3216</t>
  </si>
  <si>
    <t>ERPC Path 11</t>
  </si>
  <si>
    <t>ERPC - ERPC Seymour</t>
  </si>
  <si>
    <t>EPP_16</t>
  </si>
  <si>
    <t>CSX Path 82</t>
  </si>
  <si>
    <t>CSX - CSX Seymour IN</t>
  </si>
  <si>
    <t>CSX_tariff_82</t>
  </si>
  <si>
    <t>South Bend IN</t>
  </si>
  <si>
    <t>IN34</t>
  </si>
  <si>
    <t>IN South Bend - Buckeye - 3246</t>
  </si>
  <si>
    <t>NS Path 201</t>
  </si>
  <si>
    <t>NS - NS SOUTH BEND IN</t>
  </si>
  <si>
    <t>NS_tariff_201</t>
  </si>
  <si>
    <t>Switz City IN</t>
  </si>
  <si>
    <t>IN29</t>
  </si>
  <si>
    <t>IN Switz City - Countrymark - 3237</t>
  </si>
  <si>
    <t>CSX Path 85</t>
  </si>
  <si>
    <t>CSX - CSX Switz City IN</t>
  </si>
  <si>
    <t>CSX_tariff_85</t>
  </si>
  <si>
    <t>Zionsville IN</t>
  </si>
  <si>
    <t>IN14</t>
  </si>
  <si>
    <t>IN Indianapolis - MPC - 3219</t>
  </si>
  <si>
    <t>ERPC Path 15</t>
  </si>
  <si>
    <t>ERPC - ERPC Zionsville</t>
  </si>
  <si>
    <t>EPP_20</t>
  </si>
  <si>
    <t>CSX Path 98</t>
  </si>
  <si>
    <t>CSX - CSX Zionsville IN</t>
  </si>
  <si>
    <t>CSX_tariff_98</t>
  </si>
  <si>
    <t>IN23</t>
  </si>
  <si>
    <t>IN Indianapolis - Buckeye - 3230</t>
  </si>
  <si>
    <t>BK WOOD Path 1</t>
  </si>
  <si>
    <t>BK WOOD - BK Zionsville Boone</t>
  </si>
  <si>
    <t>BK_75</t>
  </si>
  <si>
    <t>KS</t>
  </si>
  <si>
    <t>Coffeyville KS</t>
  </si>
  <si>
    <t>KS02</t>
  </si>
  <si>
    <t>KS Coffeyville - Coffeyville - 3651</t>
  </si>
  <si>
    <t>UP Path 152</t>
  </si>
  <si>
    <t>UP - UP Coffeyville KS</t>
  </si>
  <si>
    <t>UP_tariff_3</t>
  </si>
  <si>
    <t>Concordia KS</t>
  </si>
  <si>
    <t>KS03</t>
  </si>
  <si>
    <t>KS Delphos - Nustar - 3652</t>
  </si>
  <si>
    <t>NU EP Path 3</t>
  </si>
  <si>
    <t>NU EP - NU Concordia</t>
  </si>
  <si>
    <t>NS_16</t>
  </si>
  <si>
    <t>NU EP Path 33</t>
  </si>
  <si>
    <t>NS_95</t>
  </si>
  <si>
    <t>NU KS 0723_KCC No. 25</t>
  </si>
  <si>
    <t>NU EP Path 43</t>
  </si>
  <si>
    <t>NS_75</t>
  </si>
  <si>
    <t>NU EP Path 61</t>
  </si>
  <si>
    <t>BNSF Path 28</t>
  </si>
  <si>
    <t>BNSF - BNSF Concordia KS</t>
  </si>
  <si>
    <t>BNSF_tariff_28</t>
  </si>
  <si>
    <t>El Dorado KS</t>
  </si>
  <si>
    <t>KS04</t>
  </si>
  <si>
    <t>KS El Dorado - HF Sinclair - 3654</t>
  </si>
  <si>
    <t>BNSF Path 37</t>
  </si>
  <si>
    <t>BNSF - BNSF El Dorado KS</t>
  </si>
  <si>
    <t>BNSF_tariff_37</t>
  </si>
  <si>
    <t>UP - UP EL DORADO KS</t>
  </si>
  <si>
    <t>Great Bend KS</t>
  </si>
  <si>
    <t>Salina KS</t>
  </si>
  <si>
    <t>KS05</t>
  </si>
  <si>
    <t>KS Great Bend - Mag - 3655</t>
  </si>
  <si>
    <t>MG N CTRL Path 111</t>
  </si>
  <si>
    <t>MG N CTRL - MG Great Bend</t>
  </si>
  <si>
    <t>MG_194</t>
  </si>
  <si>
    <t>MG N CTRL Path 143</t>
  </si>
  <si>
    <t>MG_193</t>
  </si>
  <si>
    <t>MG N CTRL Path 184</t>
  </si>
  <si>
    <t>MG_139</t>
  </si>
  <si>
    <t>MG N CTRL Path 24</t>
  </si>
  <si>
    <t>MG_297</t>
  </si>
  <si>
    <t>MG KS INTRA_0723_47</t>
  </si>
  <si>
    <t>UP Path 29</t>
  </si>
  <si>
    <t>UP - UP GREAT BEND KS</t>
  </si>
  <si>
    <t>UP_UP Chicago IL-UP_UP GREAT BEND KS</t>
  </si>
  <si>
    <t>Hutchinson KS</t>
  </si>
  <si>
    <t>KS06</t>
  </si>
  <si>
    <t>KS Hutchison - Nustar - 3656</t>
  </si>
  <si>
    <t>NU EP Path 2</t>
  </si>
  <si>
    <t>NU EP - NU Hutchinson</t>
  </si>
  <si>
    <t>NS_15</t>
  </si>
  <si>
    <t>NU EP Path 32</t>
  </si>
  <si>
    <t>NS_94</t>
  </si>
  <si>
    <t>NU EP Path 42</t>
  </si>
  <si>
    <t>NS_74</t>
  </si>
  <si>
    <t>NU EP Path 60</t>
  </si>
  <si>
    <t>NU EP - BNSF Hutchinson KS</t>
  </si>
  <si>
    <t>BNSF Path 56</t>
  </si>
  <si>
    <t>BNSF - BNSF Hutchinson KS</t>
  </si>
  <si>
    <t>BNSF_tariff_56</t>
  </si>
  <si>
    <t>UP - UP WHITESIDE KS</t>
  </si>
  <si>
    <t>Kansas City KS</t>
  </si>
  <si>
    <t>KS01</t>
  </si>
  <si>
    <t>KS Kansas City - P66 - 3672</t>
  </si>
  <si>
    <t>MG N CTRL Path 114</t>
  </si>
  <si>
    <t>MG N CTRL - MG Kansas City Fairfax</t>
  </si>
  <si>
    <t>MG N CTRL Path 146</t>
  </si>
  <si>
    <t>MG N CTRL Path 187</t>
  </si>
  <si>
    <t>MG_142</t>
  </si>
  <si>
    <t>MG N CTRL Path 27</t>
  </si>
  <si>
    <t>MG_299</t>
  </si>
  <si>
    <t>P66 EAST ST LOU 5</t>
  </si>
  <si>
    <t>P66 EAST ST LOU - P66 Fairfax Wyandotte</t>
  </si>
  <si>
    <t>P66_19</t>
  </si>
  <si>
    <t>P66 EAST ST LOU 8</t>
  </si>
  <si>
    <t>BNSF Path 60</t>
  </si>
  <si>
    <t>BNSF - BNSF Kansas City KS</t>
  </si>
  <si>
    <t>BNSF_tariff_60</t>
  </si>
  <si>
    <t>KS08</t>
  </si>
  <si>
    <t>KS Kansas City - HF Sinclair - 3658</t>
  </si>
  <si>
    <t>MG N CTRL Path 113</t>
  </si>
  <si>
    <t>MG N CTRL - MG Argentine</t>
  </si>
  <si>
    <t>MG_198</t>
  </si>
  <si>
    <t>MG N CTRL Path 145</t>
  </si>
  <si>
    <t>MG_197</t>
  </si>
  <si>
    <t>MG N CTRL Path 186</t>
  </si>
  <si>
    <t>MG_141</t>
  </si>
  <si>
    <t>MG N CTRL Path 26</t>
  </si>
  <si>
    <t>MG_298</t>
  </si>
  <si>
    <t>KS09</t>
  </si>
  <si>
    <t>KS Kansas City - Mag - 3659</t>
  </si>
  <si>
    <t>UP Path 36</t>
  </si>
  <si>
    <t>UP - UP KANSAS CITY KS</t>
  </si>
  <si>
    <t>UP_UP Chicago IL-UP_UP KANSAS CITY KS</t>
  </si>
  <si>
    <t>McPherson KS</t>
  </si>
  <si>
    <t>KS10</t>
  </si>
  <si>
    <t>KS McPherson - CHS - 3660</t>
  </si>
  <si>
    <t>UP Path 244</t>
  </si>
  <si>
    <t>UP - UP MCPHERSON KS</t>
  </si>
  <si>
    <t>UP_tariff_244</t>
  </si>
  <si>
    <t>Olathe KS</t>
  </si>
  <si>
    <t>KS11</t>
  </si>
  <si>
    <t>KS Olathe - Mag - 3661</t>
  </si>
  <si>
    <t>MG N CTRL Path 122</t>
  </si>
  <si>
    <t>MG N CTRL - MG Olathe</t>
  </si>
  <si>
    <t>MG_214</t>
  </si>
  <si>
    <t>MG N CTRL Path 154</t>
  </si>
  <si>
    <t>MG_213</t>
  </si>
  <si>
    <t>MG N CTRL Path 200</t>
  </si>
  <si>
    <t>MG_155</t>
  </si>
  <si>
    <t>MG N CTRL Path 40</t>
  </si>
  <si>
    <t>MG_285</t>
  </si>
  <si>
    <t>BNSF Path 79</t>
  </si>
  <si>
    <t>BNSF - BNSF Olathe KS</t>
  </si>
  <si>
    <t>BNSF_tariff_79</t>
  </si>
  <si>
    <t>UP Path 37</t>
  </si>
  <si>
    <t>UP - UP OLATHE KS</t>
  </si>
  <si>
    <t>UP_UP Chicago IL-UP_UP OLATHE KS</t>
  </si>
  <si>
    <t>KS12</t>
  </si>
  <si>
    <t>KS Salina - Nustar - 3663</t>
  </si>
  <si>
    <t>NU EP Path 1</t>
  </si>
  <si>
    <t>NU EP - NU Saline</t>
  </si>
  <si>
    <t>NS_14</t>
  </si>
  <si>
    <t>NU EP Path 31</t>
  </si>
  <si>
    <t>NS_93</t>
  </si>
  <si>
    <t>NU EP Path 41</t>
  </si>
  <si>
    <t>NS_73</t>
  </si>
  <si>
    <t>NU EP Path 59</t>
  </si>
  <si>
    <t>UP Path 242</t>
  </si>
  <si>
    <t>UP - UP HEDVILLE KS</t>
  </si>
  <si>
    <t>UP_tariff_242</t>
  </si>
  <si>
    <t>Scott City KS</t>
  </si>
  <si>
    <t>KS13</t>
  </si>
  <si>
    <t>KS Scott City - Mag - 3664</t>
  </si>
  <si>
    <t>MG N CTRL Path 124</t>
  </si>
  <si>
    <t>MG N CTRL - MG Scott City</t>
  </si>
  <si>
    <t>MG_218</t>
  </si>
  <si>
    <t>MG N CTRL Path 156</t>
  </si>
  <si>
    <t>MG_217</t>
  </si>
  <si>
    <t>MG N CTRL Path 204</t>
  </si>
  <si>
    <t>MG_159</t>
  </si>
  <si>
    <t>MG N CTRL Path 44</t>
  </si>
  <si>
    <t>MG_301</t>
  </si>
  <si>
    <t>UP Path 31</t>
  </si>
  <si>
    <t>UP - UP SCOTT CITY KS</t>
  </si>
  <si>
    <t>UP_UP Chicago IL-UP_UP SCOTT CITY KS</t>
  </si>
  <si>
    <t>Topeka KS</t>
  </si>
  <si>
    <t>KS14</t>
  </si>
  <si>
    <t>KS Wakarusa - Mag - 3665</t>
  </si>
  <si>
    <t>MG N CTRL Path 209</t>
  </si>
  <si>
    <t>MG N CTRL - MG Topeka</t>
  </si>
  <si>
    <t>MG_164</t>
  </si>
  <si>
    <t>MG N CTRL Path 129</t>
  </si>
  <si>
    <t>MG_228</t>
  </si>
  <si>
    <t>MG N CTRL Path 160</t>
  </si>
  <si>
    <t>MG_227</t>
  </si>
  <si>
    <t>MG N CTRL Path 48</t>
  </si>
  <si>
    <t>MG_303</t>
  </si>
  <si>
    <t>BNSF Path 108</t>
  </si>
  <si>
    <t>BNSF - BNSF Topeka KS</t>
  </si>
  <si>
    <t>BNSF_tariff_108</t>
  </si>
  <si>
    <t>UP Path 39</t>
  </si>
  <si>
    <t>UP - UP TOPEKA KS</t>
  </si>
  <si>
    <t>UP_UP Chicago IL-UP_UP TOPEKA KS</t>
  </si>
  <si>
    <t>Wathena KS</t>
  </si>
  <si>
    <t>KS16</t>
  </si>
  <si>
    <t>KS Wathena - Growmark - 3667</t>
  </si>
  <si>
    <t>MG N CTRL Path 127</t>
  </si>
  <si>
    <t>MG N CTRL - MG Wathena</t>
  </si>
  <si>
    <t>MG_224</t>
  </si>
  <si>
    <t>MG N CTRL Path 159</t>
  </si>
  <si>
    <t>MG_223</t>
  </si>
  <si>
    <t>MG N CTRL Path 165</t>
  </si>
  <si>
    <t>MG_302</t>
  </si>
  <si>
    <t>MG N CTRL Path 207</t>
  </si>
  <si>
    <t>MG_162</t>
  </si>
  <si>
    <t>UP Path 240</t>
  </si>
  <si>
    <t>UP - UP ELWOOD KS</t>
  </si>
  <si>
    <t>UP_tariff_240</t>
  </si>
  <si>
    <t>Wichita KS</t>
  </si>
  <si>
    <t>KS15</t>
  </si>
  <si>
    <t>KS Valley Center - Mag - 3666</t>
  </si>
  <si>
    <t>MG N CTRL Path 212</t>
  </si>
  <si>
    <t>MG N CTRL - MG Wichita</t>
  </si>
  <si>
    <t>MG_135</t>
  </si>
  <si>
    <t>MG N CTRL Path 164</t>
  </si>
  <si>
    <t>MG_185</t>
  </si>
  <si>
    <t>MG N CTRL Path 51</t>
  </si>
  <si>
    <t>MG_305</t>
  </si>
  <si>
    <t>MG N CTRL Path 132</t>
  </si>
  <si>
    <t>MG_186</t>
  </si>
  <si>
    <t>BNSF Path 115</t>
  </si>
  <si>
    <t>BNSF - BNSF Wichita KS</t>
  </si>
  <si>
    <t>BNSF_tariff_115</t>
  </si>
  <si>
    <t>UP Path 30</t>
  </si>
  <si>
    <t>UP - UP MAIZE KS</t>
  </si>
  <si>
    <t>UP_UP Chicago IL-UP_UP MAIZE KS</t>
  </si>
  <si>
    <t>KS17</t>
  </si>
  <si>
    <t>KS Wichita - P66 - 3670</t>
  </si>
  <si>
    <t>NU EP Path 37</t>
  </si>
  <si>
    <t>NU EP - P66 Wichita Sedgwick</t>
  </si>
  <si>
    <t>NS_63</t>
  </si>
  <si>
    <t>P66 EAST ST LOU 2</t>
  </si>
  <si>
    <t>KS18</t>
  </si>
  <si>
    <t>KS Wichita - P66 - 3671</t>
  </si>
  <si>
    <t>KY</t>
  </si>
  <si>
    <t>Ashland KY</t>
  </si>
  <si>
    <t>KY00</t>
  </si>
  <si>
    <t>KY Catlettsburg - MPC - 3262</t>
  </si>
  <si>
    <t>CSX Path 5</t>
  </si>
  <si>
    <t>CSX - CSX Ashland KY</t>
  </si>
  <si>
    <t>CSX_tariff_5</t>
  </si>
  <si>
    <t>Covington KY</t>
  </si>
  <si>
    <t>KY01</t>
  </si>
  <si>
    <t>KY Covington - MPC - 3263</t>
  </si>
  <si>
    <t>CSX Path 24</t>
  </si>
  <si>
    <t>CSX - CSX Covington KY</t>
  </si>
  <si>
    <t>CSX_tariff_24</t>
  </si>
  <si>
    <t>NS Path 174</t>
  </si>
  <si>
    <t>NS - NS CINCINNATI OH</t>
  </si>
  <si>
    <t>NS_174</t>
  </si>
  <si>
    <t>KY02</t>
  </si>
  <si>
    <t>KY Covington - SRPE - 3264</t>
  </si>
  <si>
    <t>Henderson KY</t>
  </si>
  <si>
    <t>KY03</t>
  </si>
  <si>
    <t>KY Henderson - Omega - 3265</t>
  </si>
  <si>
    <t>CSX Path 35</t>
  </si>
  <si>
    <t>CSX - CSX Henderson KY</t>
  </si>
  <si>
    <t>CSX_tariff_35</t>
  </si>
  <si>
    <t>KY16</t>
  </si>
  <si>
    <t>KY Henderson - SRPE - 3279</t>
  </si>
  <si>
    <t>Lexington KY</t>
  </si>
  <si>
    <t>KY04</t>
  </si>
  <si>
    <t>KY Lexington - MPC - 3266</t>
  </si>
  <si>
    <t>MPC LL Path 3</t>
  </si>
  <si>
    <t>MPC LL - MPC Robinson Refinery Crawford</t>
  </si>
  <si>
    <t>MPC LL - MPC Lexington Fayette</t>
  </si>
  <si>
    <t>CSX Path 44</t>
  </si>
  <si>
    <t>CSX - CSX Lexington KY</t>
  </si>
  <si>
    <t>CSX_tariff_44</t>
  </si>
  <si>
    <t>KY05</t>
  </si>
  <si>
    <t>KY Lexington - Valero - 3267</t>
  </si>
  <si>
    <t>Louisville KY</t>
  </si>
  <si>
    <t>KY06</t>
  </si>
  <si>
    <t>KY Louisville - MPC - 3268</t>
  </si>
  <si>
    <t>MPC LL Path 4</t>
  </si>
  <si>
    <t>MPC LL - MPC Algonquin Pkwy Jefferson</t>
  </si>
  <si>
    <t>MPC_13</t>
  </si>
  <si>
    <t>MPC IN KY_0723_313.20.0</t>
  </si>
  <si>
    <t>CSX Path 48</t>
  </si>
  <si>
    <t>CSX - CSX Louisville KY</t>
  </si>
  <si>
    <t>CSX_tariff_48</t>
  </si>
  <si>
    <t>NS Path 181</t>
  </si>
  <si>
    <t>NS - NS LOUISVILLE KY</t>
  </si>
  <si>
    <t>NS_tariff_181</t>
  </si>
  <si>
    <t>KY08</t>
  </si>
  <si>
    <t>KY Louisville - Valero - 3270</t>
  </si>
  <si>
    <t>KY09</t>
  </si>
  <si>
    <t>KY Louisville - SRPE - 3271</t>
  </si>
  <si>
    <t>KY10</t>
  </si>
  <si>
    <t>KY Louisville - MPC - 3272</t>
  </si>
  <si>
    <t>MPC LL Path 1</t>
  </si>
  <si>
    <t>MPC LL - MPC Kramers Lane</t>
  </si>
  <si>
    <t>MPC_14</t>
  </si>
  <si>
    <t>Owensboro KY</t>
  </si>
  <si>
    <t>KY17</t>
  </si>
  <si>
    <t>KY Owensboro - So States - 3280</t>
  </si>
  <si>
    <t>CSX Path 66</t>
  </si>
  <si>
    <t>CSX - CSX Owensboro KY</t>
  </si>
  <si>
    <t>CSX_tariff_66</t>
  </si>
  <si>
    <t>NS - NS ROCKPORT IN</t>
  </si>
  <si>
    <t>KY19</t>
  </si>
  <si>
    <t>KY Owensboro - SRPE - 3283</t>
  </si>
  <si>
    <t>Paducah KY</t>
  </si>
  <si>
    <t>KY13</t>
  </si>
  <si>
    <t>KY Paducah - MPC - 3276</t>
  </si>
  <si>
    <t>BNSF Path 122</t>
  </si>
  <si>
    <t>BNSF - BNSF PADUCAH KY</t>
  </si>
  <si>
    <t>BNSF_tariff_122</t>
  </si>
  <si>
    <t>KY15</t>
  </si>
  <si>
    <t>KY Paducah - SRPE - 3278</t>
  </si>
  <si>
    <t>LA</t>
  </si>
  <si>
    <t>Alexandria LA</t>
  </si>
  <si>
    <t>Shreveport LA</t>
  </si>
  <si>
    <t>LA37</t>
  </si>
  <si>
    <t>LA Alexandria - ATC - 2421</t>
  </si>
  <si>
    <t>UP Path 170</t>
  </si>
  <si>
    <t>UP - UP ALEXANDRIA LA</t>
  </si>
  <si>
    <t>UP_tariff_170</t>
  </si>
  <si>
    <t>Arcadia LA</t>
  </si>
  <si>
    <t>LA00</t>
  </si>
  <si>
    <t>LA Arcadia - Chevron - 2351</t>
  </si>
  <si>
    <t>UP Path 172</t>
  </si>
  <si>
    <t>UP - UP ARCADIA LA</t>
  </si>
  <si>
    <t>UP_tariff_172</t>
  </si>
  <si>
    <t>LA01</t>
  </si>
  <si>
    <t>LA Arcadia - ETMT - 2353</t>
  </si>
  <si>
    <t>ERPC Path 1</t>
  </si>
  <si>
    <t>ERPC - ERPC Arcadia</t>
  </si>
  <si>
    <t>EPP_6</t>
  </si>
  <si>
    <t>Baldwin LA</t>
  </si>
  <si>
    <t>Baton Rouge LA</t>
  </si>
  <si>
    <t>LA22</t>
  </si>
  <si>
    <t>LA Baldwin - Five Star - 2397</t>
  </si>
  <si>
    <t>BNSF Path 12</t>
  </si>
  <si>
    <t>BNSF - BNSF Baldwin LA</t>
  </si>
  <si>
    <t>BNSF_tariff_12</t>
  </si>
  <si>
    <t>UP Path 174</t>
  </si>
  <si>
    <t>UP - UP BALDWIN LA</t>
  </si>
  <si>
    <t>UP_tariff_174</t>
  </si>
  <si>
    <t>LA03</t>
  </si>
  <si>
    <t>LA Baton Rouge - Exxon - 2358</t>
  </si>
  <si>
    <t>UP Path 175</t>
  </si>
  <si>
    <t>UP - UP BATON ROUGE LA</t>
  </si>
  <si>
    <t>UP_tariff_175</t>
  </si>
  <si>
    <t>LA11</t>
  </si>
  <si>
    <t>LA Port Allen - Placid - 2376</t>
  </si>
  <si>
    <t>Chalmette LA</t>
  </si>
  <si>
    <t>New Orleans LA</t>
  </si>
  <si>
    <t>LA04</t>
  </si>
  <si>
    <t>LA Chalmette - Chalmette - 2360</t>
  </si>
  <si>
    <t>UP Path 234</t>
  </si>
  <si>
    <t>UP - UP NEW ORLEANS LA</t>
  </si>
  <si>
    <t>UP_234</t>
  </si>
  <si>
    <t>LA09</t>
  </si>
  <si>
    <t>LA Meraux - Valero - 2371</t>
  </si>
  <si>
    <t>Convent LA</t>
  </si>
  <si>
    <t>LA05</t>
  </si>
  <si>
    <t>LA Convent - Shell - 2361</t>
  </si>
  <si>
    <t>UP Path 191</t>
  </si>
  <si>
    <t>UP - UP DONALDSONVILLE LA</t>
  </si>
  <si>
    <t>UP_191</t>
  </si>
  <si>
    <t>Cotton Valley LA</t>
  </si>
  <si>
    <t>LA15</t>
  </si>
  <si>
    <t>LA Cotton Valley - Calumet - 2388</t>
  </si>
  <si>
    <t>UP Path 188</t>
  </si>
  <si>
    <t>UP - UP COTTON VALLEY LA</t>
  </si>
  <si>
    <t>UP_tariff_188</t>
  </si>
  <si>
    <t>Garyville LA</t>
  </si>
  <si>
    <t>LA06</t>
  </si>
  <si>
    <t>LA Garyville - MPC - 2363</t>
  </si>
  <si>
    <t>UP Path 216</t>
  </si>
  <si>
    <t>UP - UP RESERVE LA</t>
  </si>
  <si>
    <t>UP_216</t>
  </si>
  <si>
    <t>LA38</t>
  </si>
  <si>
    <t>LA Mt Airy - Mt Airy Terminal - 2423</t>
  </si>
  <si>
    <t>Kenner LA</t>
  </si>
  <si>
    <t>LA07</t>
  </si>
  <si>
    <t>LA Kenner - Shell - 2365</t>
  </si>
  <si>
    <t>BNSF Path 121</t>
  </si>
  <si>
    <t>BNSF - BNSF Kenner LA</t>
  </si>
  <si>
    <t>BNSF_tariff_121</t>
  </si>
  <si>
    <t>UP Path 222</t>
  </si>
  <si>
    <t>UP - UP SHREWSBURY LA</t>
  </si>
  <si>
    <t>UP_222</t>
  </si>
  <si>
    <t>CSX - CSX Kenner LA</t>
  </si>
  <si>
    <t>Lake Charles LA</t>
  </si>
  <si>
    <t>LA08</t>
  </si>
  <si>
    <t>LA Lake Charles - Citgo - 2368</t>
  </si>
  <si>
    <t>BNSF Path 62</t>
  </si>
  <si>
    <t>BNSF - BNSF Lake Charles LA</t>
  </si>
  <si>
    <t>BNSF_tariff_62</t>
  </si>
  <si>
    <t>UP Path 203</t>
  </si>
  <si>
    <t>UP - UP LAKE CHARLES LA</t>
  </si>
  <si>
    <t>UP_tariff_203</t>
  </si>
  <si>
    <t>LA14</t>
  </si>
  <si>
    <t>LA Westlake - P66 - 2381</t>
  </si>
  <si>
    <t>Monroe LA</t>
  </si>
  <si>
    <t>LA19</t>
  </si>
  <si>
    <t>LA Monroe - Monroe - 2393</t>
  </si>
  <si>
    <t>UP Path 209</t>
  </si>
  <si>
    <t>UP - UP MONROE LA</t>
  </si>
  <si>
    <t>UP_tariff_209</t>
  </si>
  <si>
    <t>Opelousas LA</t>
  </si>
  <si>
    <t>LA10</t>
  </si>
  <si>
    <t>LA Opelousas - Buckeye - 2375</t>
  </si>
  <si>
    <t>CPL Path 2</t>
  </si>
  <si>
    <t>CPL - Opelousas Delivery (Remote)</t>
  </si>
  <si>
    <t>CPL_Houston-CPL_Opelousas</t>
  </si>
  <si>
    <t>UP Path 205</t>
  </si>
  <si>
    <t>UP - UP LAWTELL LA</t>
  </si>
  <si>
    <t>UP_205</t>
  </si>
  <si>
    <t>LA13</t>
  </si>
  <si>
    <t>LA Shreveport - Calumet - 2378</t>
  </si>
  <si>
    <t>BNSF Path 97</t>
  </si>
  <si>
    <t>BNSF - BNSF Shreveport LA</t>
  </si>
  <si>
    <t>BNSF_tariff_97</t>
  </si>
  <si>
    <t>UP Path 221</t>
  </si>
  <si>
    <t>UP - UP SHREVEPORT LA</t>
  </si>
  <si>
    <t>UP_tariff_221</t>
  </si>
  <si>
    <t>LA20</t>
  </si>
  <si>
    <t>LA Bossier City - ERPC - 2394</t>
  </si>
  <si>
    <t>ERPC Path 12</t>
  </si>
  <si>
    <t>ERPC - ERPC Shreveport</t>
  </si>
  <si>
    <t>EPP_17</t>
  </si>
  <si>
    <t>MA</t>
  </si>
  <si>
    <t>Braintree MA</t>
  </si>
  <si>
    <t>MA04</t>
  </si>
  <si>
    <t>MA Braintree - Citgo - 1155</t>
  </si>
  <si>
    <t>CSX Path 11</t>
  </si>
  <si>
    <t>CSX - CSX Braintree MA</t>
  </si>
  <si>
    <t>CSX_tariff_11</t>
  </si>
  <si>
    <t>MA18</t>
  </si>
  <si>
    <t>MA Quincy - Sprague - 1176</t>
  </si>
  <si>
    <t>CSX USRT PATH 17</t>
  </si>
  <si>
    <t>CSX - CSX Boston MA Nevins Yard</t>
  </si>
  <si>
    <t>CSX USRT PATH 5</t>
  </si>
  <si>
    <t>Chelsea MA</t>
  </si>
  <si>
    <t>Boston MA</t>
  </si>
  <si>
    <t>MA01</t>
  </si>
  <si>
    <t>MA Chelsea - Global - 1152</t>
  </si>
  <si>
    <t>CSX Path 20</t>
  </si>
  <si>
    <t>CSX - CSX Chelsea MA</t>
  </si>
  <si>
    <t>CSX_tariff_20</t>
  </si>
  <si>
    <t>MA02</t>
  </si>
  <si>
    <t>MA Chelsea - Gulf - 1153</t>
  </si>
  <si>
    <t>East Boston MA</t>
  </si>
  <si>
    <t>MA03</t>
  </si>
  <si>
    <t>MA East Boston - ETMT - 1154</t>
  </si>
  <si>
    <t>CSX Path 28</t>
  </si>
  <si>
    <t>CSX - CSX East Boston MA</t>
  </si>
  <si>
    <t>CSX_tariff_28</t>
  </si>
  <si>
    <t>Everett MA</t>
  </si>
  <si>
    <t>MA05</t>
  </si>
  <si>
    <t>MA Everett - Exxon - 1156</t>
  </si>
  <si>
    <t>CSX Path 31</t>
  </si>
  <si>
    <t>CSX - CSX Everett MA</t>
  </si>
  <si>
    <t>CSX_tariff_31</t>
  </si>
  <si>
    <t>Revere MA</t>
  </si>
  <si>
    <t>MA08</t>
  </si>
  <si>
    <t>MA Revere - Irving - 1160</t>
  </si>
  <si>
    <t>CSX Path 76</t>
  </si>
  <si>
    <t>CSX - CSX Revere MA</t>
  </si>
  <si>
    <t>CSX_tariff_76</t>
  </si>
  <si>
    <t>MA09</t>
  </si>
  <si>
    <t>MA Revere - Global - 1162</t>
  </si>
  <si>
    <t>Springfield MA</t>
  </si>
  <si>
    <t>MA00</t>
  </si>
  <si>
    <t>MA Springfield - Sprague - 1151</t>
  </si>
  <si>
    <t>BK CT Path 1</t>
  </si>
  <si>
    <t>BK CT - BK Springfield Hampden</t>
  </si>
  <si>
    <t>BK_118</t>
  </si>
  <si>
    <t>CSX Path 83</t>
  </si>
  <si>
    <t>CSX - CSX Springfield MA</t>
  </si>
  <si>
    <t>CSX_tariff_83</t>
  </si>
  <si>
    <t>MA11</t>
  </si>
  <si>
    <t>MA Springfield - Global - 1166</t>
  </si>
  <si>
    <t>MA12</t>
  </si>
  <si>
    <t>MA Springfield - Sprague - 1167</t>
  </si>
  <si>
    <t>MA13</t>
  </si>
  <si>
    <t>MA Springfield - Buckeye - 1168</t>
  </si>
  <si>
    <t>MA19</t>
  </si>
  <si>
    <t>MA Springfield - Springfield - 1179</t>
  </si>
  <si>
    <t>MD</t>
  </si>
  <si>
    <t>Baltimore MD</t>
  </si>
  <si>
    <t>MD00</t>
  </si>
  <si>
    <t>MD Baltimore - Buckeye - 1550</t>
  </si>
  <si>
    <t>CPL Path 65</t>
  </si>
  <si>
    <t>CPL - Curtis Bay Delivery</t>
  </si>
  <si>
    <t>CPL_Houston-CPL_Baltimore-Curtis Bay</t>
  </si>
  <si>
    <t>CSX USRT PATH 15</t>
  </si>
  <si>
    <t>CSX - CSX Baltimore MD Yard</t>
  </si>
  <si>
    <t>CSX USRT PATH 3</t>
  </si>
  <si>
    <t>NS Path 115</t>
  </si>
  <si>
    <t>NS - NS Baltimore MD Bayview Yard</t>
  </si>
  <si>
    <t>NS_NS DECATUR IL-NS_NS BALTIMORE MD</t>
  </si>
  <si>
    <t>NS USRT PATH 2</t>
  </si>
  <si>
    <t>NS_NS Chicago IL-NS_NS BALTIMORE MD</t>
  </si>
  <si>
    <t>NS USRT PATH 8</t>
  </si>
  <si>
    <t>MD01</t>
  </si>
  <si>
    <t>MD Baltimore - KM - 1551</t>
  </si>
  <si>
    <t>MD02</t>
  </si>
  <si>
    <t>MD Baltimore - ETMT - 1552</t>
  </si>
  <si>
    <t>CPL Path 66</t>
  </si>
  <si>
    <t>CPL - South Baltimore Delivery</t>
  </si>
  <si>
    <t>CPL_Houston-CPL_Baltimore-South</t>
  </si>
  <si>
    <t>MD03</t>
  </si>
  <si>
    <t>MD Baltimore - Petro FT - 1554</t>
  </si>
  <si>
    <t>CPL Path 67</t>
  </si>
  <si>
    <t>CPL - North Baltimore Delivery</t>
  </si>
  <si>
    <t>CPL_Houston-CPL_Baltimore-North</t>
  </si>
  <si>
    <t>MD04</t>
  </si>
  <si>
    <t>MD Baltimore - Petro FT - 1559</t>
  </si>
  <si>
    <t>MD05</t>
  </si>
  <si>
    <t>MD Baltimore - Sunoco - 1560</t>
  </si>
  <si>
    <t>MD06</t>
  </si>
  <si>
    <t>MD Baltimore - Motiva - 1561</t>
  </si>
  <si>
    <t>MD07</t>
  </si>
  <si>
    <t>MD Baltimore - Citgo - 1562</t>
  </si>
  <si>
    <t>MD08</t>
  </si>
  <si>
    <t>MD Baltimore - Petro FT - 1563</t>
  </si>
  <si>
    <t>Salisbury MD</t>
  </si>
  <si>
    <t>MD10</t>
  </si>
  <si>
    <t>MD Salisbury - Sunoco - 1567</t>
  </si>
  <si>
    <t>NS Path 160</t>
  </si>
  <si>
    <t>NS - NS Salisbury MD</t>
  </si>
  <si>
    <t>NS_tariff_6</t>
  </si>
  <si>
    <t>MD11</t>
  </si>
  <si>
    <t>MD Salisbury - Petro FT - 1568</t>
  </si>
  <si>
    <t>ME</t>
  </si>
  <si>
    <t>Bangor ME</t>
  </si>
  <si>
    <t>ME00</t>
  </si>
  <si>
    <t>ME Bangor - Buckeye - 1000</t>
  </si>
  <si>
    <t>ME01</t>
  </si>
  <si>
    <t>ME Hampden - Coldbrook - 1002</t>
  </si>
  <si>
    <t>Portland ME</t>
  </si>
  <si>
    <t>ME02</t>
  </si>
  <si>
    <t>ME South Portland - Sprague - 1003</t>
  </si>
  <si>
    <t>ME03</t>
  </si>
  <si>
    <t>ME South Portland - Buckeye - 1004</t>
  </si>
  <si>
    <t>ME05</t>
  </si>
  <si>
    <t>ME South Portland - Gulf - 1008</t>
  </si>
  <si>
    <t>ME06</t>
  </si>
  <si>
    <t>ME South Portland - Global - 1009</t>
  </si>
  <si>
    <t>ME07</t>
  </si>
  <si>
    <t>ME South Portland - Citgo - 1010</t>
  </si>
  <si>
    <t>Searsport ME</t>
  </si>
  <si>
    <t>ME04</t>
  </si>
  <si>
    <t>ME Searsport - Irving - 1006</t>
  </si>
  <si>
    <t>MI</t>
  </si>
  <si>
    <t>Bay City MI</t>
  </si>
  <si>
    <t>MI27</t>
  </si>
  <si>
    <t>MI Bay City - MPC - 3032</t>
  </si>
  <si>
    <t>BK WV Path 5</t>
  </si>
  <si>
    <t>BK WV - BK Bay City Bay</t>
  </si>
  <si>
    <t>BK_144</t>
  </si>
  <si>
    <t>BK MI - BK Bay City Bay</t>
  </si>
  <si>
    <t>CSX Path 8</t>
  </si>
  <si>
    <t>CSX - CSX Bay City MI</t>
  </si>
  <si>
    <t>CSX_tariff_8</t>
  </si>
  <si>
    <t>Ferrysburg MI</t>
  </si>
  <si>
    <t>MI07</t>
  </si>
  <si>
    <t>MI Ferrysburg - Citgo - 3008</t>
  </si>
  <si>
    <t>BK WV Path 6</t>
  </si>
  <si>
    <t>BK WV - WV Ferrysburg Ottawa</t>
  </si>
  <si>
    <t>BK_82</t>
  </si>
  <si>
    <t>BK WV_0723A_170.7.0</t>
  </si>
  <si>
    <t>BK_86</t>
  </si>
  <si>
    <t>BK WV_0723B_166.36.0</t>
  </si>
  <si>
    <t>CSX Path 32</t>
  </si>
  <si>
    <t>CSX - CSX Ferrysburg MI</t>
  </si>
  <si>
    <t>CSX_tariff_32</t>
  </si>
  <si>
    <t>MI12</t>
  </si>
  <si>
    <t>MI Ferrysburg - Buckeye - 3013</t>
  </si>
  <si>
    <t>Flint MI</t>
  </si>
  <si>
    <t>MI15</t>
  </si>
  <si>
    <t>MI Mt. Morris - MPC - 3016</t>
  </si>
  <si>
    <t>BK WV Path 1</t>
  </si>
  <si>
    <t>BK MI - BK Flint Genesee</t>
  </si>
  <si>
    <t>BK_156</t>
  </si>
  <si>
    <t>CSX Path 33</t>
  </si>
  <si>
    <t>CSX - CSX Flint MI</t>
  </si>
  <si>
    <t>CSX_tariff_33</t>
  </si>
  <si>
    <t>MI20</t>
  </si>
  <si>
    <t>MI Flint - Buckeye - 3022</t>
  </si>
  <si>
    <t>Holland MI</t>
  </si>
  <si>
    <t>MI32</t>
  </si>
  <si>
    <t>MI Holland - Holland - 3041</t>
  </si>
  <si>
    <t>BK WV Path 7</t>
  </si>
  <si>
    <t>BK WV - WV Holland Ottawa</t>
  </si>
  <si>
    <t>BK_87</t>
  </si>
  <si>
    <t>CSX Path 36</t>
  </si>
  <si>
    <t>CSX - CSX Holland MI</t>
  </si>
  <si>
    <t>CSX_tariff_36</t>
  </si>
  <si>
    <t>Jackson MI</t>
  </si>
  <si>
    <t>MI08</t>
  </si>
  <si>
    <t>MI Jackson - Citgo - 3009</t>
  </si>
  <si>
    <t>BK WV Path 8</t>
  </si>
  <si>
    <t>BK WV - WV Jackson Jackson</t>
  </si>
  <si>
    <t>BK_81</t>
  </si>
  <si>
    <t>NS Path 9</t>
  </si>
  <si>
    <t>NS - NS JACKSON MI</t>
  </si>
  <si>
    <t>NS_NS DECATUR IL-NS_NS JACKSON MI</t>
  </si>
  <si>
    <t>MI16</t>
  </si>
  <si>
    <t>MI Jackson - MPC - 3017</t>
  </si>
  <si>
    <t>Lansing MI</t>
  </si>
  <si>
    <t>MI28</t>
  </si>
  <si>
    <t>MI Lansing - MPC - 3033</t>
  </si>
  <si>
    <t>BK WV Path 9</t>
  </si>
  <si>
    <t>BK WV - WV Lansing Clinton</t>
  </si>
  <si>
    <t>BK_85</t>
  </si>
  <si>
    <t>BK_88</t>
  </si>
  <si>
    <t>CSX Path 42</t>
  </si>
  <si>
    <t>CSX - CSX Lansing MI</t>
  </si>
  <si>
    <t>CSX_tariff_42</t>
  </si>
  <si>
    <t>NS Path 10</t>
  </si>
  <si>
    <t>NS - NS LANSING MI</t>
  </si>
  <si>
    <t>NS_NS Chicago IL-NS_NS LANSING MI</t>
  </si>
  <si>
    <t>Marshall MI</t>
  </si>
  <si>
    <t>MI33</t>
  </si>
  <si>
    <t>MI Marshall - Buckeye - 3043</t>
  </si>
  <si>
    <t>BK WV Path 10</t>
  </si>
  <si>
    <t>BK WV - WV Marshall Calhoun</t>
  </si>
  <si>
    <t>BK_84</t>
  </si>
  <si>
    <t>NS Path 11</t>
  </si>
  <si>
    <t>NS - NS MARSHALL MI</t>
  </si>
  <si>
    <t>NS_NS Chicago IL-NS_NS MARSHALL MI</t>
  </si>
  <si>
    <t>Muskegon MI</t>
  </si>
  <si>
    <t>MI19</t>
  </si>
  <si>
    <t>MI North Muskegon - MPC - 3020</t>
  </si>
  <si>
    <t>CSX Path 55</t>
  </si>
  <si>
    <t>CSX - CSX Muskegon MI</t>
  </si>
  <si>
    <t>CSX_tariff_55</t>
  </si>
  <si>
    <t>Napoleon MI</t>
  </si>
  <si>
    <t>MI03</t>
  </si>
  <si>
    <t>MI Napoleon - Buckeye - 3004</t>
  </si>
  <si>
    <t>BPRR Path 2</t>
  </si>
  <si>
    <t>BPRR - Jackson</t>
  </si>
  <si>
    <t>BPRR_Whiting-BPRR_Jackson Terminal</t>
  </si>
  <si>
    <t>MI09</t>
  </si>
  <si>
    <t>MI Niles - Citgo - 3010</t>
  </si>
  <si>
    <t>BK WV Path 11</t>
  </si>
  <si>
    <t>BK WV - WV Niles Berrien</t>
  </si>
  <si>
    <t>MI10</t>
  </si>
  <si>
    <t>MI Niles - MPC - 3011</t>
  </si>
  <si>
    <t>MI18</t>
  </si>
  <si>
    <t>MI Niles - MPC - 3019</t>
  </si>
  <si>
    <t>MI21</t>
  </si>
  <si>
    <t>MI Niles - Buckeye - 3023</t>
  </si>
  <si>
    <t>MI24</t>
  </si>
  <si>
    <t>MI Niles - Buckeye - 3028</t>
  </si>
  <si>
    <t>Novi MI</t>
  </si>
  <si>
    <t>MI31</t>
  </si>
  <si>
    <t>MI Novi - US ED - 3039</t>
  </si>
  <si>
    <t>CSX Path 64</t>
  </si>
  <si>
    <t>CSX - CSX Novi MI</t>
  </si>
  <si>
    <t>CSX_tariff_64</t>
  </si>
  <si>
    <t>Owosso MI</t>
  </si>
  <si>
    <t>MI25</t>
  </si>
  <si>
    <t>MI Owosso - ETMT - 3029</t>
  </si>
  <si>
    <t>BK WV Path 2</t>
  </si>
  <si>
    <t>BK MI - BK Owosso Shiawasse</t>
  </si>
  <si>
    <t>BK_168</t>
  </si>
  <si>
    <t>CSX Path 67</t>
  </si>
  <si>
    <t>CSX - CSX Owosso MI</t>
  </si>
  <si>
    <t>CSX_tariff_67</t>
  </si>
  <si>
    <t>River Rouge MI</t>
  </si>
  <si>
    <t>Detroit MI</t>
  </si>
  <si>
    <t>MI04</t>
  </si>
  <si>
    <t>MI River Rouge - Buckeye - 3005</t>
  </si>
  <si>
    <t>BPRR Path 4</t>
  </si>
  <si>
    <t>BPRR - River Rouge</t>
  </si>
  <si>
    <t>BPRR_Whiting-BPRR_River Rouge Terminal</t>
  </si>
  <si>
    <t>NS Path 126</t>
  </si>
  <si>
    <t>NS - NS RIVER ROUGE MI</t>
  </si>
  <si>
    <t>NS_NS DECATUR IL-NS_NS RIVER ROUGE MI</t>
  </si>
  <si>
    <t>NS Path 48</t>
  </si>
  <si>
    <t>NS_NS Chicago IL-NS_NS RIVER ROUGE MI</t>
  </si>
  <si>
    <t>MI14</t>
  </si>
  <si>
    <t>MI Detroit - MPC - 3015</t>
  </si>
  <si>
    <t>BK WV Path 4</t>
  </si>
  <si>
    <t>BK MI - Detroit</t>
  </si>
  <si>
    <t>BK_152</t>
  </si>
  <si>
    <t>BPRR Path 5</t>
  </si>
  <si>
    <t>BPRR - Detroit</t>
  </si>
  <si>
    <t>BPRR_Whiting-BPRR_Detroit</t>
  </si>
  <si>
    <t>MI23</t>
  </si>
  <si>
    <t>MI Detroit - Buckeye - 3025</t>
  </si>
  <si>
    <t>MI26</t>
  </si>
  <si>
    <t>MI Detroit - ETMT - 3030</t>
  </si>
  <si>
    <t>Rogers City MI</t>
  </si>
  <si>
    <t>MI01</t>
  </si>
  <si>
    <t>MI Rogers City - US Oil - 3002</t>
  </si>
  <si>
    <t>CSX Path 79</t>
  </si>
  <si>
    <t>CSX - CSX Rogers City MI</t>
  </si>
  <si>
    <t>CSX_tariff_79</t>
  </si>
  <si>
    <t>Romulus MI</t>
  </si>
  <si>
    <t>MI29</t>
  </si>
  <si>
    <t>MI Romulus - MPC - 3034</t>
  </si>
  <si>
    <t>BK WV Path 3</t>
  </si>
  <si>
    <t>BK MI - Dearborn</t>
  </si>
  <si>
    <t>BK_148</t>
  </si>
  <si>
    <t>BPRR Path 3</t>
  </si>
  <si>
    <t>BPRR - Dearborn</t>
  </si>
  <si>
    <t>BPRR_Whiting-BPRR_Dearborn Terminal</t>
  </si>
  <si>
    <t>NS Path 127</t>
  </si>
  <si>
    <t>NS - NS ROMULUS MI</t>
  </si>
  <si>
    <t>NS_NS DECATUR IL-NS_NS ROMULUS MI</t>
  </si>
  <si>
    <t>NS Path 49</t>
  </si>
  <si>
    <t>NS_NS Chicago IL-NS_NS ROMULUS MI</t>
  </si>
  <si>
    <t>MI30</t>
  </si>
  <si>
    <t>MI Romulus - ETMT - 3037</t>
  </si>
  <si>
    <t>MI13</t>
  </si>
  <si>
    <t>MI Taylor - Buckeye - 3014</t>
  </si>
  <si>
    <t>NS Path 128</t>
  </si>
  <si>
    <t>NS - NS TAYLOR MI</t>
  </si>
  <si>
    <t>NS_NS DECATUR IL-NS_NS TAYLOR MI</t>
  </si>
  <si>
    <t>NS Path 50</t>
  </si>
  <si>
    <t>NS_NS Chicago IL-NS_NS TAYLOR MI</t>
  </si>
  <si>
    <t>Woodhaven MI</t>
  </si>
  <si>
    <t>MI22</t>
  </si>
  <si>
    <t>MI Woodhaven - Buckeye - 3024</t>
  </si>
  <si>
    <t>BK MI - WV Woodhaven Wayne</t>
  </si>
  <si>
    <t>BK WV Path 12</t>
  </si>
  <si>
    <t>BK WV - WV Woodhaven Wayne</t>
  </si>
  <si>
    <t>BK_83</t>
  </si>
  <si>
    <t>CSX Path 95</t>
  </si>
  <si>
    <t>CSX - CSX Woodhaven MI</t>
  </si>
  <si>
    <t>CSX_tariff_95</t>
  </si>
  <si>
    <t>NS Path 190</t>
  </si>
  <si>
    <t>NS - NS TRENTON MI</t>
  </si>
  <si>
    <t>NS_tariff_190</t>
  </si>
  <si>
    <t>MN</t>
  </si>
  <si>
    <t>Alexandria MN</t>
  </si>
  <si>
    <t>MN09</t>
  </si>
  <si>
    <t>MN Alexandria - Mag - 3412</t>
  </si>
  <si>
    <t>MG N CTRL Path 12</t>
  </si>
  <si>
    <t>MG N CTRL - MG Alexandria</t>
  </si>
  <si>
    <t>MG_262</t>
  </si>
  <si>
    <t>MG N CTRL Path 172</t>
  </si>
  <si>
    <t>MG_127</t>
  </si>
  <si>
    <t>MG N CTRL Path 53</t>
  </si>
  <si>
    <t>MG_239</t>
  </si>
  <si>
    <t>MG N CTRL Path 74</t>
  </si>
  <si>
    <t>MG N CTRL - MG Apple Valley Tank Farm Dakota</t>
  </si>
  <si>
    <t>MG_309</t>
  </si>
  <si>
    <t>MG MN INTRA_0723_27</t>
  </si>
  <si>
    <t>MG N CTRL Path 83</t>
  </si>
  <si>
    <t>MG_172</t>
  </si>
  <si>
    <t>MG N CTRL Path 92</t>
  </si>
  <si>
    <t>MG_171</t>
  </si>
  <si>
    <t>BNSF Path 6</t>
  </si>
  <si>
    <t>BNSF - BNSF Alexandria MN</t>
  </si>
  <si>
    <t>BNSF_tariff_6</t>
  </si>
  <si>
    <t>Duluth MN</t>
  </si>
  <si>
    <t>MN08</t>
  </si>
  <si>
    <t>MN Esko - Superior - 3410</t>
  </si>
  <si>
    <t>MG N CTRL Path 179</t>
  </si>
  <si>
    <t>MG N CTRL - MG Duluth</t>
  </si>
  <si>
    <t>MG_134</t>
  </si>
  <si>
    <t>MG N CTRL Path 19</t>
  </si>
  <si>
    <t>MG_269</t>
  </si>
  <si>
    <t>MG N CTRL Path 58</t>
  </si>
  <si>
    <t>MG_244</t>
  </si>
  <si>
    <t>MG N CTRL Path 75</t>
  </si>
  <si>
    <t>MG_313</t>
  </si>
  <si>
    <t>MG N CTRL Path 84</t>
  </si>
  <si>
    <t>MG_311</t>
  </si>
  <si>
    <t>MG N CTRL Path 93</t>
  </si>
  <si>
    <t>MG_310</t>
  </si>
  <si>
    <t>BNSF Path 36</t>
  </si>
  <si>
    <t>BNSF - BNSF Duluth MN</t>
  </si>
  <si>
    <t>BNSF_tariff_36</t>
  </si>
  <si>
    <t>Eyota MN</t>
  </si>
  <si>
    <t>Rochester MN</t>
  </si>
  <si>
    <t>MN13</t>
  </si>
  <si>
    <t>MN Eyota - Mag - 3416</t>
  </si>
  <si>
    <t>MG N CTRL Path 203</t>
  </si>
  <si>
    <t>MG N CTRL - MG Rochester Olmsted</t>
  </si>
  <si>
    <t>MG_158</t>
  </si>
  <si>
    <t>MG N CTRL Path 43</t>
  </si>
  <si>
    <t>MG_288</t>
  </si>
  <si>
    <t>MG N CTRL Path 81</t>
  </si>
  <si>
    <t>MG_344</t>
  </si>
  <si>
    <t>MG N CTRL Path 90</t>
  </si>
  <si>
    <t>MG_340</t>
  </si>
  <si>
    <t>MG N CTRL Path 99</t>
  </si>
  <si>
    <t>MG_338</t>
  </si>
  <si>
    <t>MG PBRC Path 1</t>
  </si>
  <si>
    <t>MG PBRC - Pine Bend Refinery Dakota</t>
  </si>
  <si>
    <t>MG PBRC - MG Rochester Olmsted</t>
  </si>
  <si>
    <t>MG_43</t>
  </si>
  <si>
    <t>BNSF Path 41</t>
  </si>
  <si>
    <t>BNSF - BNSF Eyota MN</t>
  </si>
  <si>
    <t>BNSF_tariff_41</t>
  </si>
  <si>
    <t>Mankato MN</t>
  </si>
  <si>
    <t>MN10</t>
  </si>
  <si>
    <t>MN Mankato - Mag - 3413</t>
  </si>
  <si>
    <t>MG N CTRL Path 118</t>
  </si>
  <si>
    <t>MG N CTRL - MG Mankato</t>
  </si>
  <si>
    <t>MG_315</t>
  </si>
  <si>
    <t>MG N CTRL Path 150</t>
  </si>
  <si>
    <t>MG_314</t>
  </si>
  <si>
    <t>MG N CTRL Path 192</t>
  </si>
  <si>
    <t>MG_147</t>
  </si>
  <si>
    <t>MG N CTRL Path 32</t>
  </si>
  <si>
    <t>MG_277</t>
  </si>
  <si>
    <t>MG N CTRL Path 63</t>
  </si>
  <si>
    <t>MG_249</t>
  </si>
  <si>
    <t>MG N CTRL Path 76</t>
  </si>
  <si>
    <t>MG_317</t>
  </si>
  <si>
    <t>MG N CTRL Path 85</t>
  </si>
  <si>
    <t>MG N CTRL Path 94</t>
  </si>
  <si>
    <t>UP Path 32</t>
  </si>
  <si>
    <t>UP - UP MANKATO MN</t>
  </si>
  <si>
    <t>UP_UP Chicago IL-UP_UP MANKATO MN</t>
  </si>
  <si>
    <t>Marshall MN</t>
  </si>
  <si>
    <t>MN11</t>
  </si>
  <si>
    <t>MN Marshall - Mag - 3414</t>
  </si>
  <si>
    <t>MG N CTRL Path 119</t>
  </si>
  <si>
    <t>MG N CTRL - MG Marshall</t>
  </si>
  <si>
    <t>MG_319</t>
  </si>
  <si>
    <t>MG N CTRL Path 151</t>
  </si>
  <si>
    <t>MG_318</t>
  </si>
  <si>
    <t>MG N CTRL Path 193</t>
  </si>
  <si>
    <t>MG_148</t>
  </si>
  <si>
    <t>MG N CTRL Path 33</t>
  </si>
  <si>
    <t>MG_278</t>
  </si>
  <si>
    <t>MG N CTRL Path 64</t>
  </si>
  <si>
    <t>MG_250</t>
  </si>
  <si>
    <t>MG N CTRL Path 77</t>
  </si>
  <si>
    <t>MG_321</t>
  </si>
  <si>
    <t>MG N CTRL Path 86</t>
  </si>
  <si>
    <t>MG N CTRL Path 95</t>
  </si>
  <si>
    <t>BNSF Path 66</t>
  </si>
  <si>
    <t>BNSF - BNSF Marshall MN</t>
  </si>
  <si>
    <t>BNSF_tariff_66</t>
  </si>
  <si>
    <t>Moorhead MN</t>
  </si>
  <si>
    <t>MN00</t>
  </si>
  <si>
    <t>MN Moorhead - Nustar - 3400</t>
  </si>
  <si>
    <t>NU NP Path 3</t>
  </si>
  <si>
    <t>NU NP - NU Mandan Refinery</t>
  </si>
  <si>
    <t>NU NP - NU Moorhead</t>
  </si>
  <si>
    <t>NS_99</t>
  </si>
  <si>
    <t>NU NP 0723_16.25.0</t>
  </si>
  <si>
    <t>BNSF Path 73</t>
  </si>
  <si>
    <t>BNSF - BNSF Moorhead MN</t>
  </si>
  <si>
    <t>BNSF_tariff_73</t>
  </si>
  <si>
    <t>Pine Bend MN</t>
  </si>
  <si>
    <t>MN07</t>
  </si>
  <si>
    <t>MN Rosemount - FHR - 3407</t>
  </si>
  <si>
    <t>UP Path 247</t>
  </si>
  <si>
    <t>UP - UP ROSEMOUNT MN</t>
  </si>
  <si>
    <t>UP_tariff_247</t>
  </si>
  <si>
    <t>Roseville MN</t>
  </si>
  <si>
    <t>MN03</t>
  </si>
  <si>
    <t>MN Roseville - Nustar - 3403</t>
  </si>
  <si>
    <t>BP WHTC Path 4</t>
  </si>
  <si>
    <t>BP WHTC - Roseville Ramsey</t>
  </si>
  <si>
    <t>BP_12</t>
  </si>
  <si>
    <t>NU NP Path 5</t>
  </si>
  <si>
    <t>NU NP - Roseville Ramsey</t>
  </si>
  <si>
    <t>NS_101</t>
  </si>
  <si>
    <t>BNSF Path 89</t>
  </si>
  <si>
    <t>BNSF - BNSF Roseville MN</t>
  </si>
  <si>
    <t>BNSF_tariff_89</t>
  </si>
  <si>
    <t>MN12</t>
  </si>
  <si>
    <t>MN St. Paul - Mag - 3415</t>
  </si>
  <si>
    <t>MG N CTRL Path 198</t>
  </si>
  <si>
    <t>MG N CTRL - MG Minneapolis</t>
  </si>
  <si>
    <t>MG_152</t>
  </si>
  <si>
    <t>MG N CTRL Path 38</t>
  </si>
  <si>
    <t>MG_282</t>
  </si>
  <si>
    <t>MG N CTRL Path 67</t>
  </si>
  <si>
    <t>MG_254</t>
  </si>
  <si>
    <t>MG N CTRL Path 78</t>
  </si>
  <si>
    <t>MG_325</t>
  </si>
  <si>
    <t>MG N CTRL Path 87</t>
  </si>
  <si>
    <t>MG_212</t>
  </si>
  <si>
    <t>MG N CTRL Path 96</t>
  </si>
  <si>
    <t>MG_211</t>
  </si>
  <si>
    <t>UP Path 33</t>
  </si>
  <si>
    <t>UP - UP ROSEVILLE MN</t>
  </si>
  <si>
    <t>UP_UP Chicago IL-UP_UP ROSEVILLE MN</t>
  </si>
  <si>
    <t>Saint Paul Park MN</t>
  </si>
  <si>
    <t>MN04</t>
  </si>
  <si>
    <t>MN St. Paul Park - Western - 3404</t>
  </si>
  <si>
    <t>BNSF Path 92</t>
  </si>
  <si>
    <t>BNSF - BNSF Saint Paul Park MN</t>
  </si>
  <si>
    <t>BNSF_tariff_92</t>
  </si>
  <si>
    <t>Sauk Centre MN</t>
  </si>
  <si>
    <t>Sauk Center MN</t>
  </si>
  <si>
    <t>MN01</t>
  </si>
  <si>
    <t>MN Sauk Centre - Nustar - 3401</t>
  </si>
  <si>
    <t>NU NP Path 4</t>
  </si>
  <si>
    <t>NU NP - NU Sauk Centre</t>
  </si>
  <si>
    <t>NS_100</t>
  </si>
  <si>
    <t>BNSF Path 94</t>
  </si>
  <si>
    <t>BNSF - BNSF Sauk Centre MN</t>
  </si>
  <si>
    <t>BNSF_tariff_94</t>
  </si>
  <si>
    <t>Spring Valley MN</t>
  </si>
  <si>
    <t>MN02</t>
  </si>
  <si>
    <t>MN Spring Valley - KM - 3402</t>
  </si>
  <si>
    <t>BP WHTC Path 3</t>
  </si>
  <si>
    <t>BP WHTC - Spring Valley</t>
  </si>
  <si>
    <t>BP_11</t>
  </si>
  <si>
    <t>BNSF Path 102</t>
  </si>
  <si>
    <t>BNSF - BNSF Spring Valley MN</t>
  </si>
  <si>
    <t>BNSF_tariff_102</t>
  </si>
  <si>
    <t>Wrenshall MN</t>
  </si>
  <si>
    <t>MN05</t>
  </si>
  <si>
    <t>MN Wrenshall - Mag - 3405</t>
  </si>
  <si>
    <t>MG N CTRL Path 100</t>
  </si>
  <si>
    <t>MG N CTRL - MG Wrenshall</t>
  </si>
  <si>
    <t>MG_350</t>
  </si>
  <si>
    <t>MG N CTRL Path 73</t>
  </si>
  <si>
    <t>MG_261</t>
  </si>
  <si>
    <t>MG N CTRL Path 91</t>
  </si>
  <si>
    <t>MG_351</t>
  </si>
  <si>
    <t>MG N CTRL Path 52</t>
  </si>
  <si>
    <t>MG_296</t>
  </si>
  <si>
    <t>MG N CTRL Path 82</t>
  </si>
  <si>
    <t>MG_353</t>
  </si>
  <si>
    <t>MG N CTRL Path 213</t>
  </si>
  <si>
    <t>MG_170</t>
  </si>
  <si>
    <t>BNSF Path 118</t>
  </si>
  <si>
    <t>BNSF - BNSF Wrenshall MN</t>
  </si>
  <si>
    <t>BNSF_tariff_118</t>
  </si>
  <si>
    <t>MO</t>
  </si>
  <si>
    <t>Cape Girardeau MO</t>
  </si>
  <si>
    <t>MO02</t>
  </si>
  <si>
    <t>MO Cape Girardeau - SRPE - 3704</t>
  </si>
  <si>
    <t>BNSF Path 18</t>
  </si>
  <si>
    <t>BNSF - BNSF Cape Girardeau MO</t>
  </si>
  <si>
    <t>BNSF_tariff_18</t>
  </si>
  <si>
    <t>MO03</t>
  </si>
  <si>
    <t>MO Scott City - ERPC - 3705</t>
  </si>
  <si>
    <t>ERPC Path 4</t>
  </si>
  <si>
    <t>ERPC - ERPC Cape Girardeau</t>
  </si>
  <si>
    <t>EPP_9</t>
  </si>
  <si>
    <t>Carrollton MO</t>
  </si>
  <si>
    <t>MO18</t>
  </si>
  <si>
    <t>MO Carrollton - HF Sinclair - 3728</t>
  </si>
  <si>
    <t>BNSF Path 19</t>
  </si>
  <si>
    <t>BNSF - BNSF Carrollton MO</t>
  </si>
  <si>
    <t>BNSF_tariff_19</t>
  </si>
  <si>
    <t>NS - NS CARROLLTON MO</t>
  </si>
  <si>
    <t>Carthage MO</t>
  </si>
  <si>
    <t>MO04</t>
  </si>
  <si>
    <t>MO Jasper - Mag - 3707</t>
  </si>
  <si>
    <t>MG TU Path 8</t>
  </si>
  <si>
    <t>MG TU - MG Carthage Jasper</t>
  </si>
  <si>
    <t>MG_83</t>
  </si>
  <si>
    <t>BNSF Path 21</t>
  </si>
  <si>
    <t>BNSF - BNSF Carthage MO</t>
  </si>
  <si>
    <t>BNSF_tariff_21</t>
  </si>
  <si>
    <t>Columbia MO</t>
  </si>
  <si>
    <t>MO05</t>
  </si>
  <si>
    <t>MO Columbia - Mag - 3708</t>
  </si>
  <si>
    <t>MG TU Path 6</t>
  </si>
  <si>
    <t>MG TU - MG Columbia Boone</t>
  </si>
  <si>
    <t>MG_85</t>
  </si>
  <si>
    <t>UP Path 34</t>
  </si>
  <si>
    <t>UP - UP COLUMBIA MO</t>
  </si>
  <si>
    <t>UP_UP COUNCIL BLUFFS IA to UP_UP COLUMBIA MO</t>
  </si>
  <si>
    <t>Hayti MO</t>
  </si>
  <si>
    <t>MO19</t>
  </si>
  <si>
    <t>MO Hayti - Oakmar - 3729</t>
  </si>
  <si>
    <t>UP Path 153</t>
  </si>
  <si>
    <t>UP - UP Hayti MO</t>
  </si>
  <si>
    <t>UP_tariff_4</t>
  </si>
  <si>
    <t>Jefferson City MO</t>
  </si>
  <si>
    <t>MO06</t>
  </si>
  <si>
    <t>MO Jefferson City - P66 - 3709</t>
  </si>
  <si>
    <t>P66 EAST ST LOU 4</t>
  </si>
  <si>
    <t>P66 EAST ST LOU - P66 Jefferson City Jefferson</t>
  </si>
  <si>
    <t>P66_18</t>
  </si>
  <si>
    <t>P66 EAST ST LOU 7</t>
  </si>
  <si>
    <t>UP Path 35</t>
  </si>
  <si>
    <t>UP - UP JEFFERSON CITY MO</t>
  </si>
  <si>
    <t>UP_UP COUNCIL BLUFFS IA to UP_UP JEFFERSON CITY MO</t>
  </si>
  <si>
    <t>Mount Vernon MO</t>
  </si>
  <si>
    <t>Springfield MO</t>
  </si>
  <si>
    <t>MO07</t>
  </si>
  <si>
    <t>MO Mount Vernon - P66 - 3713</t>
  </si>
  <si>
    <t>MG TU Path 10</t>
  </si>
  <si>
    <t>MG TU - MG Mt Vernon Lawrence</t>
  </si>
  <si>
    <t>MG_89</t>
  </si>
  <si>
    <t>BNSF Path 75</t>
  </si>
  <si>
    <t>BNSF - BNSF Mount Vernon MO</t>
  </si>
  <si>
    <t>BNSF_tariff_75</t>
  </si>
  <si>
    <t>MO17</t>
  </si>
  <si>
    <t>MO Mount Vernon - Mag - 3727</t>
  </si>
  <si>
    <t>Palmyra MO</t>
  </si>
  <si>
    <t>MO09</t>
  </si>
  <si>
    <t>MO Palmyra - Mag - 3716</t>
  </si>
  <si>
    <t>MG TU Path 7</t>
  </si>
  <si>
    <t>MG TU - MG Palmyra Marion</t>
  </si>
  <si>
    <t>MG_95</t>
  </si>
  <si>
    <t>BNSF Path 81</t>
  </si>
  <si>
    <t>BNSF - BNSF Palmyra MO</t>
  </si>
  <si>
    <t>BNSF_tariff_81</t>
  </si>
  <si>
    <t>NS Path 47</t>
  </si>
  <si>
    <t>NS - NS HANNIBAL MO</t>
  </si>
  <si>
    <t>NS_NS Chicago IL-NS_NS HANNIBAL MO</t>
  </si>
  <si>
    <t>MO12</t>
  </si>
  <si>
    <t>MO St. Peter - Buckeye - 3721</t>
  </si>
  <si>
    <t>EXPL24 Path 3</t>
  </si>
  <si>
    <t>EXPL24 - St. Peters Magellan</t>
  </si>
  <si>
    <t>BNSF Path 91</t>
  </si>
  <si>
    <t>BNSF - BNSF Saint Charles MO</t>
  </si>
  <si>
    <t>BNSF_tariff_91</t>
  </si>
  <si>
    <t>NS - NS ST CHARLES MO</t>
  </si>
  <si>
    <t>Saint Louis MO</t>
  </si>
  <si>
    <t>MO00</t>
  </si>
  <si>
    <t>MO St. Louis - J D Streett - 3701</t>
  </si>
  <si>
    <t>EXPL24 Path 1</t>
  </si>
  <si>
    <t>EXPL24 - St. Louis</t>
  </si>
  <si>
    <t>EXPL_97</t>
  </si>
  <si>
    <t>UP Path 127</t>
  </si>
  <si>
    <t>UP - UP ST LOUIS MO</t>
  </si>
  <si>
    <t>UP_UP COUNCIL BLUFFS IA-UP_UP ST LOUIS MO</t>
  </si>
  <si>
    <t>UP Path 27</t>
  </si>
  <si>
    <t>UP_UP Chicago IL-UP_UP ST LOUIS MO</t>
  </si>
  <si>
    <t>MO15</t>
  </si>
  <si>
    <t>MO St. Louis - Buckeye - 3725</t>
  </si>
  <si>
    <t>BK WOOD Path 6</t>
  </si>
  <si>
    <t>BK WOOD - BK North St. Louis Saint Louis</t>
  </si>
  <si>
    <t>BK_80</t>
  </si>
  <si>
    <t>MO16</t>
  </si>
  <si>
    <t>MO St. Louis - KM - 3726</t>
  </si>
  <si>
    <t>MO10</t>
  </si>
  <si>
    <t>MO Brookline - Mag - 3718</t>
  </si>
  <si>
    <t>MG TU Path 9</t>
  </si>
  <si>
    <t>MG TU - MG Springfield Greene</t>
  </si>
  <si>
    <t>MG_99</t>
  </si>
  <si>
    <t>BNSF Path 103</t>
  </si>
  <si>
    <t>BNSF - BNSF Springfield MO</t>
  </si>
  <si>
    <t>BNSF_tariff_103</t>
  </si>
  <si>
    <t>Sugar Creek MO</t>
  </si>
  <si>
    <t>MO11</t>
  </si>
  <si>
    <t>MO Sugar Creek - Buckeye - 3720</t>
  </si>
  <si>
    <t>BP WRM Path 1</t>
  </si>
  <si>
    <t>BP WRM - Wood River</t>
  </si>
  <si>
    <t>BK SC - Sugar Creek</t>
  </si>
  <si>
    <t>BK_19</t>
  </si>
  <si>
    <t>BP_13</t>
  </si>
  <si>
    <t>BP WRM_0723_6.5.0</t>
  </si>
  <si>
    <t>BK SC Path 3</t>
  </si>
  <si>
    <t>BNSF Path 105</t>
  </si>
  <si>
    <t>BNSF - BNSF Sugar Creek MO</t>
  </si>
  <si>
    <t>BNSF_tariff_105</t>
  </si>
  <si>
    <t>UP Path 38</t>
  </si>
  <si>
    <t>UP - UP SUGAR CREEK MO</t>
  </si>
  <si>
    <t>UP_UP Chicago IL-UP_UP SUGAR CREEK MO</t>
  </si>
  <si>
    <t>MS</t>
  </si>
  <si>
    <t>Aberdeen MS</t>
  </si>
  <si>
    <t>MS18</t>
  </si>
  <si>
    <t>MS Aberdeen - ERPC - 2422</t>
  </si>
  <si>
    <t>BNSF Path 1</t>
  </si>
  <si>
    <t>BNSF - BNSF Aberdeen MS</t>
  </si>
  <si>
    <t>BNSF_tariff_1</t>
  </si>
  <si>
    <t>Collins MS</t>
  </si>
  <si>
    <t>MS01</t>
  </si>
  <si>
    <t>MS Collins - Chevron - 2401</t>
  </si>
  <si>
    <t>CPL Path 9</t>
  </si>
  <si>
    <t>CPL - Collins Delivery</t>
  </si>
  <si>
    <t>CPL_Houston-CPL_Collins</t>
  </si>
  <si>
    <t>PPL Path 3</t>
  </si>
  <si>
    <t>PPL - Collins</t>
  </si>
  <si>
    <t>PPL_12</t>
  </si>
  <si>
    <t>NS Path 132</t>
  </si>
  <si>
    <t>NS - NS HATTIESBURG MS</t>
  </si>
  <si>
    <t>NS_NS DECATUR IL-NS_NS HATTIESBURG MS</t>
  </si>
  <si>
    <t>NS Path 56</t>
  </si>
  <si>
    <t>NS_NS Chicago IL-NS_NS HATTIESBURG MS</t>
  </si>
  <si>
    <t>MS02</t>
  </si>
  <si>
    <t>MS Collins - KM - 2402</t>
  </si>
  <si>
    <t>MS03</t>
  </si>
  <si>
    <t>MS Collins - Shell - 2404</t>
  </si>
  <si>
    <t>MS04</t>
  </si>
  <si>
    <t>MS Collins - SRPE - 2405</t>
  </si>
  <si>
    <t>Greenville MS</t>
  </si>
  <si>
    <t>MS00</t>
  </si>
  <si>
    <t>MS Greenville - Scott - 0001</t>
  </si>
  <si>
    <t>UP Path 154</t>
  </si>
  <si>
    <t>UP - UP Greenville MS</t>
  </si>
  <si>
    <t>UP_tariff_5</t>
  </si>
  <si>
    <t>MS05</t>
  </si>
  <si>
    <t>MS Greenville - SRPE - 2406</t>
  </si>
  <si>
    <t>MS06</t>
  </si>
  <si>
    <t>MS Greenville - SRPE - 2408</t>
  </si>
  <si>
    <t>MS17</t>
  </si>
  <si>
    <t>MS Greenville - Delta - 2421</t>
  </si>
  <si>
    <t>Meridian MS</t>
  </si>
  <si>
    <t>MS07</t>
  </si>
  <si>
    <t>MS Meridian - MGC - 2411</t>
  </si>
  <si>
    <t>CPL Path 11</t>
  </si>
  <si>
    <t>CPL - Meridian Delivery</t>
  </si>
  <si>
    <t>CPL_Houston-CPL_Meridian</t>
  </si>
  <si>
    <t>NS Path 161</t>
  </si>
  <si>
    <t>NS - NS Meridian MS</t>
  </si>
  <si>
    <t>NS_tariff_7</t>
  </si>
  <si>
    <t>MS08</t>
  </si>
  <si>
    <t>MS Meridian - Citgo - 2412</t>
  </si>
  <si>
    <t>PPL Path 5</t>
  </si>
  <si>
    <t>PPL - Meridian Lauderdale</t>
  </si>
  <si>
    <t>PPL_21</t>
  </si>
  <si>
    <t>MS09</t>
  </si>
  <si>
    <t>MS Meridian - Murphy - 2414</t>
  </si>
  <si>
    <t>MS10</t>
  </si>
  <si>
    <t>MS Meridian - SRPE - 2415</t>
  </si>
  <si>
    <t>Natchez MS</t>
  </si>
  <si>
    <t>Vicksburg MS</t>
  </si>
  <si>
    <t>MS19</t>
  </si>
  <si>
    <t>MS Natchez - Lincoln - 2427</t>
  </si>
  <si>
    <t>UP Path 155</t>
  </si>
  <si>
    <t>UP - UP Natchez MS</t>
  </si>
  <si>
    <t>UP_tariff_6</t>
  </si>
  <si>
    <t>Pascagoula MS</t>
  </si>
  <si>
    <t>MS11</t>
  </si>
  <si>
    <t>MS Pascagoula - Chevron - 2416</t>
  </si>
  <si>
    <t>CSX Path 69</t>
  </si>
  <si>
    <t>CSX - CSX Pascagoula MS</t>
  </si>
  <si>
    <t>CSX_tariff_69</t>
  </si>
  <si>
    <t>MS13</t>
  </si>
  <si>
    <t>MS Vicksburg - Citgo - 2419</t>
  </si>
  <si>
    <t>NS Path 162</t>
  </si>
  <si>
    <t>NS - NS Vicksburg MS</t>
  </si>
  <si>
    <t>NS_tariff_8</t>
  </si>
  <si>
    <t>MT</t>
  </si>
  <si>
    <t>Billings MT</t>
  </si>
  <si>
    <t>MT01</t>
  </si>
  <si>
    <t>MT Billings - P66 - 4000</t>
  </si>
  <si>
    <t>BNSF Path 15</t>
  </si>
  <si>
    <t>BNSF - BNSF Billings MT</t>
  </si>
  <si>
    <t>BNSF_tariff_15</t>
  </si>
  <si>
    <t>MT06</t>
  </si>
  <si>
    <t>MT Laurel - CHS - 4005</t>
  </si>
  <si>
    <t>MT08</t>
  </si>
  <si>
    <t>MT Billings - Exxon - 4007</t>
  </si>
  <si>
    <t>Bozeman MT</t>
  </si>
  <si>
    <t>MT02</t>
  </si>
  <si>
    <t>MT Bozeman - P66 - 4001</t>
  </si>
  <si>
    <t>BNSF Path 16</t>
  </si>
  <si>
    <t>BNSF - BNSF Bozeman MT</t>
  </si>
  <si>
    <t>BNSF_tariff_16</t>
  </si>
  <si>
    <t>MT09</t>
  </si>
  <si>
    <t>MT Bozeman - Exxon - 4008</t>
  </si>
  <si>
    <t>Glendive MT</t>
  </si>
  <si>
    <t>MT07</t>
  </si>
  <si>
    <t>MT Glendive - CHS - 4006</t>
  </si>
  <si>
    <t>BNSF Path 49</t>
  </si>
  <si>
    <t>BNSF - BNSF Glendive MT</t>
  </si>
  <si>
    <t>BNSF_tariff_49</t>
  </si>
  <si>
    <t>Great Falls MT</t>
  </si>
  <si>
    <t>MT03</t>
  </si>
  <si>
    <t>MT Great Falls - P66 - 4002</t>
  </si>
  <si>
    <t>BNSF Path 52</t>
  </si>
  <si>
    <t>BNSF - BNSF Great Falls MT</t>
  </si>
  <si>
    <t>BNSF_tariff_52</t>
  </si>
  <si>
    <t>MT11</t>
  </si>
  <si>
    <t>MT Great Falls - Calumet - 4011</t>
  </si>
  <si>
    <t>Helena MT</t>
  </si>
  <si>
    <t>MT04</t>
  </si>
  <si>
    <t>MT Helena - P66 - 4003</t>
  </si>
  <si>
    <t>BNSF Path 54</t>
  </si>
  <si>
    <t>BNSF - BNSF Helena MT</t>
  </si>
  <si>
    <t>BNSF_tariff_54</t>
  </si>
  <si>
    <t>MT10</t>
  </si>
  <si>
    <t>MT Helena - Exxon - 4009</t>
  </si>
  <si>
    <t>Missoula MT</t>
  </si>
  <si>
    <t>MT05</t>
  </si>
  <si>
    <t>MT Missoula - P66 - 4004</t>
  </si>
  <si>
    <t>BNSF Path 70</t>
  </si>
  <si>
    <t>BNSF - BNSF Missoula MT</t>
  </si>
  <si>
    <t>BNSF_tariff_70</t>
  </si>
  <si>
    <t>NC</t>
  </si>
  <si>
    <t>Apex NC</t>
  </si>
  <si>
    <t>NC23</t>
  </si>
  <si>
    <t>NC Apex - Motiva - 2027</t>
  </si>
  <si>
    <t>CPL Path 39</t>
  </si>
  <si>
    <t>CPL - Apex Delivery Facility</t>
  </si>
  <si>
    <t>CPL_Houston-CPL_Apex</t>
  </si>
  <si>
    <t>CSX Path 3</t>
  </si>
  <si>
    <t>CSX - CSX Apex NC</t>
  </si>
  <si>
    <t>CSX_tariff_3</t>
  </si>
  <si>
    <t>Charlotte NC</t>
  </si>
  <si>
    <t>NC00</t>
  </si>
  <si>
    <t>NC Charlotte - KM - 2000</t>
  </si>
  <si>
    <t>CPL Path 36</t>
  </si>
  <si>
    <t>CPL - Charlotte Delivery Facility</t>
  </si>
  <si>
    <t>CPL_Houston-CPL_Charlotte</t>
  </si>
  <si>
    <t>PPL Path 22</t>
  </si>
  <si>
    <t>PPL - Charlotte</t>
  </si>
  <si>
    <t>PPL_8</t>
  </si>
  <si>
    <t>CSX Path 19</t>
  </si>
  <si>
    <t>CSX - CSX Charlotte NC</t>
  </si>
  <si>
    <t>CSX_tariff_19</t>
  </si>
  <si>
    <t>NS Path 172</t>
  </si>
  <si>
    <t>NS - NS CHARLOTTE NC</t>
  </si>
  <si>
    <t>NS_tariff_172</t>
  </si>
  <si>
    <t>NC01</t>
  </si>
  <si>
    <t>NC Charlotte - Citgo - 2001</t>
  </si>
  <si>
    <t>NC02</t>
  </si>
  <si>
    <t>NC Charlotte - NA - 2002</t>
  </si>
  <si>
    <t>NC03</t>
  </si>
  <si>
    <t>NC Charlotte - Colonial - 2003</t>
  </si>
  <si>
    <t>NC05</t>
  </si>
  <si>
    <t>NC Charlotte - Motiva - 2005</t>
  </si>
  <si>
    <t>NC06</t>
  </si>
  <si>
    <t>NC Charlotte - Buckeye - 2006</t>
  </si>
  <si>
    <t>NC07</t>
  </si>
  <si>
    <t>NC Charlotte - Motiva - 2007</t>
  </si>
  <si>
    <t>NC08</t>
  </si>
  <si>
    <t>NC Charlotte - MPC - 2008</t>
  </si>
  <si>
    <t>NC19</t>
  </si>
  <si>
    <t>NC Charlotte - SRPE - 2023</t>
  </si>
  <si>
    <t>NC20</t>
  </si>
  <si>
    <t>NC Charlotte - Buckeye - 2024</t>
  </si>
  <si>
    <t>NC22</t>
  </si>
  <si>
    <t>NC Charlotte - KM - 2026</t>
  </si>
  <si>
    <t>Fayetteville NC</t>
  </si>
  <si>
    <t>NC09</t>
  </si>
  <si>
    <t>NC Fayetteville - Motiva - 2009</t>
  </si>
  <si>
    <t>CPL Path 35</t>
  </si>
  <si>
    <t>CPL - Fayetteville Delivery Facility</t>
  </si>
  <si>
    <t>CPL_Houston-CPL_Fayetteville</t>
  </si>
  <si>
    <t>NS Path 12</t>
  </si>
  <si>
    <t>NS - NS FAYETTEVILLE NC</t>
  </si>
  <si>
    <t>NS_NS Chicago IL-NS_NS FAYETTEVILLE NC</t>
  </si>
  <si>
    <t>NS Path 142</t>
  </si>
  <si>
    <t>NS_NS DECATUR IL-NS_NS FAYETTEVILLE NC</t>
  </si>
  <si>
    <t>Greensboro NC</t>
  </si>
  <si>
    <t>NC10</t>
  </si>
  <si>
    <t>NC Greensboro - Buckeye - 2011</t>
  </si>
  <si>
    <t>CPL Path 42</t>
  </si>
  <si>
    <t>CPL - Greensboro Junction</t>
  </si>
  <si>
    <t>CPL_Houston-CPL_Greensboro</t>
  </si>
  <si>
    <t>NS Path 129</t>
  </si>
  <si>
    <t>NS - NS GREENSBORO NC</t>
  </si>
  <si>
    <t>NS_NS DECATUR IL-NS_NS GREENSBORO NC</t>
  </si>
  <si>
    <t>NS Path 53</t>
  </si>
  <si>
    <t>NS_NS Chicago IL-NS_NS GREENSBORO NC</t>
  </si>
  <si>
    <t>NC12</t>
  </si>
  <si>
    <t>NC Greensboro - KM - 2014</t>
  </si>
  <si>
    <t>PPL Path 24</t>
  </si>
  <si>
    <t>PPL - Greensboro</t>
  </si>
  <si>
    <t>PPL_16</t>
  </si>
  <si>
    <t>NC13</t>
  </si>
  <si>
    <t>NC Greensboro - KM - 2015</t>
  </si>
  <si>
    <t>NC15</t>
  </si>
  <si>
    <t>NC Greensboro - Petro FT - 2019</t>
  </si>
  <si>
    <t>NC16</t>
  </si>
  <si>
    <t>NC Greensboro - Buckeye - 2020</t>
  </si>
  <si>
    <t>NC17</t>
  </si>
  <si>
    <t>NC Greensboro - Motiva - 2021</t>
  </si>
  <si>
    <t>NC18</t>
  </si>
  <si>
    <t>NC Greensboro - SRPE - 2022</t>
  </si>
  <si>
    <t>Selma NC</t>
  </si>
  <si>
    <t>NC11</t>
  </si>
  <si>
    <t>NC Selma - KM - 2013</t>
  </si>
  <si>
    <t>CPL Path 38</t>
  </si>
  <si>
    <t>CPL - Selma Delivery Facility</t>
  </si>
  <si>
    <t>CPL_Houston-CPL_Selma</t>
  </si>
  <si>
    <t>NS Path 13</t>
  </si>
  <si>
    <t>NS - NS SELMA NC</t>
  </si>
  <si>
    <t>NS_NS Chicago IL-NS_NS SELMA NC</t>
  </si>
  <si>
    <t>NS Path 143</t>
  </si>
  <si>
    <t>NS_NS DECATUR IL-NS_NS SELMA NC</t>
  </si>
  <si>
    <t>NC14</t>
  </si>
  <si>
    <t>NC Selma - KM - 2018</t>
  </si>
  <si>
    <t>NC21</t>
  </si>
  <si>
    <t>NC Selma - Zenith - 2025</t>
  </si>
  <si>
    <t>NC24</t>
  </si>
  <si>
    <t>NC Selma - SRPE - 2028</t>
  </si>
  <si>
    <t>NC25</t>
  </si>
  <si>
    <t>NC Selma - MPC - 2029</t>
  </si>
  <si>
    <t>NC26</t>
  </si>
  <si>
    <t>NC Selma - Citgo - 2030</t>
  </si>
  <si>
    <t>NC27</t>
  </si>
  <si>
    <t>NC Selma - MPC - 2031</t>
  </si>
  <si>
    <t>NC29</t>
  </si>
  <si>
    <t>NC Selma - KM - 2033</t>
  </si>
  <si>
    <t>NC30</t>
  </si>
  <si>
    <t>NC Selma - KM - 2034</t>
  </si>
  <si>
    <t>NC31</t>
  </si>
  <si>
    <t>NC Selma - Buckeye - 2036</t>
  </si>
  <si>
    <t>Wilmington NC</t>
  </si>
  <si>
    <t>NC32</t>
  </si>
  <si>
    <t>NC Wilmington - Buckeye - 2037</t>
  </si>
  <si>
    <t>CSX Path 94</t>
  </si>
  <si>
    <t>CSX - CSX Wilmington NC</t>
  </si>
  <si>
    <t>CSX_tariff_94</t>
  </si>
  <si>
    <t>NC35</t>
  </si>
  <si>
    <t>NC Wilmington - PFT - 2043</t>
  </si>
  <si>
    <t>ND</t>
  </si>
  <si>
    <t>Dickinson ND</t>
  </si>
  <si>
    <t>ND08</t>
  </si>
  <si>
    <t>ND Dickinson - Dakota Prarie - 3509</t>
  </si>
  <si>
    <t>BNSF Path 33</t>
  </si>
  <si>
    <t>BNSF - BNSF Dickinson ND</t>
  </si>
  <si>
    <t>BNSF_tariff_33</t>
  </si>
  <si>
    <t>Fargo ND</t>
  </si>
  <si>
    <t>ND01</t>
  </si>
  <si>
    <t>ND West Fargo - Mag - 3501</t>
  </si>
  <si>
    <t>MG N CTRL Path 108</t>
  </si>
  <si>
    <t>MG N CTRL - MG Fargo</t>
  </si>
  <si>
    <t>MG_188</t>
  </si>
  <si>
    <t>MG N CTRL Path 140</t>
  </si>
  <si>
    <t>MG_187</t>
  </si>
  <si>
    <t>MG N CTRL Path 181</t>
  </si>
  <si>
    <t>MG_136</t>
  </si>
  <si>
    <t>MG N CTRL Path 20</t>
  </si>
  <si>
    <t>MG_270</t>
  </si>
  <si>
    <t>MG N CTRL Path 59</t>
  </si>
  <si>
    <t>MG_245</t>
  </si>
  <si>
    <t>BNSF Path 42</t>
  </si>
  <si>
    <t>BNSF - BNSF Fargo ND</t>
  </si>
  <si>
    <t>BNSF_tariff_42</t>
  </si>
  <si>
    <t>Grand Forks ND</t>
  </si>
  <si>
    <t>ND00</t>
  </si>
  <si>
    <t>ND Grand Forks - Mag - 3500</t>
  </si>
  <si>
    <t>MG N CTRL Path 110</t>
  </si>
  <si>
    <t>MG N CTRL - MG Grand Forks</t>
  </si>
  <si>
    <t>MG_192</t>
  </si>
  <si>
    <t>MG N CTRL Path 142</t>
  </si>
  <si>
    <t>MG_191</t>
  </si>
  <si>
    <t>MG N CTRL Path 183</t>
  </si>
  <si>
    <t>MG_138</t>
  </si>
  <si>
    <t>MG N CTRL Path 23</t>
  </si>
  <si>
    <t>MG_272</t>
  </si>
  <si>
    <t>MG N CTRL Path 61</t>
  </si>
  <si>
    <t>MG_247</t>
  </si>
  <si>
    <t>BNSF Path 50</t>
  </si>
  <si>
    <t>BNSF - BNSF Grand Forks ND</t>
  </si>
  <si>
    <t>BNSF_tariff_50</t>
  </si>
  <si>
    <t>Jamestown ND</t>
  </si>
  <si>
    <t>ND02</t>
  </si>
  <si>
    <t>ND Jamestown - Nustar - 3502</t>
  </si>
  <si>
    <t>NU NP Path 2</t>
  </si>
  <si>
    <t>NU NP - NU Jametown North</t>
  </si>
  <si>
    <t>NS_104</t>
  </si>
  <si>
    <t>NU ND 0723_NDPSC No. 22</t>
  </si>
  <si>
    <t>BNSF Path 57</t>
  </si>
  <si>
    <t>BNSF - BNSF Jamestown ND</t>
  </si>
  <si>
    <t>BNSF_tariff_57</t>
  </si>
  <si>
    <t>ND03</t>
  </si>
  <si>
    <t>ND Jamestown - Nustar - 3503</t>
  </si>
  <si>
    <t>NU EP Path 18</t>
  </si>
  <si>
    <t>NU EP - NU Jamestown</t>
  </si>
  <si>
    <t>NS_31</t>
  </si>
  <si>
    <t>NU EP Path 58</t>
  </si>
  <si>
    <t>NS_90</t>
  </si>
  <si>
    <t>Mandan ND</t>
  </si>
  <si>
    <t>ND05</t>
  </si>
  <si>
    <t>ND Mandan - MPC - 3505</t>
  </si>
  <si>
    <t>NU NP Path 1</t>
  </si>
  <si>
    <t>NU NP - BNSF Mandan ND</t>
  </si>
  <si>
    <t>NS_103</t>
  </si>
  <si>
    <t>BNSF Path 65</t>
  </si>
  <si>
    <t>BNSF - BNSF Mandan ND</t>
  </si>
  <si>
    <t>BNSF_tariff_65</t>
  </si>
  <si>
    <t>Minot ND</t>
  </si>
  <si>
    <t>ND04</t>
  </si>
  <si>
    <t>ND Minot - CHS - 3504</t>
  </si>
  <si>
    <t>BNSF Path 69</t>
  </si>
  <si>
    <t>BNSF - BNSF Minot ND</t>
  </si>
  <si>
    <t>BNSF_tariff_69</t>
  </si>
  <si>
    <t>NE</t>
  </si>
  <si>
    <t>Columbus NE</t>
  </si>
  <si>
    <t>NE05</t>
  </si>
  <si>
    <t>NE Columbus - Nustar - 3600</t>
  </si>
  <si>
    <t>NU EP Path 23</t>
  </si>
  <si>
    <t>NU EP - NU Columbus</t>
  </si>
  <si>
    <t>NS_36</t>
  </si>
  <si>
    <t>NU EP Path 47</t>
  </si>
  <si>
    <t>NS_79</t>
  </si>
  <si>
    <t>NU EP Path 7</t>
  </si>
  <si>
    <t>NS_20</t>
  </si>
  <si>
    <t>UP Path 239</t>
  </si>
  <si>
    <t>UP - UP COLUMBUS NE</t>
  </si>
  <si>
    <t>UP_tariff_239</t>
  </si>
  <si>
    <t>Doniphan NE</t>
  </si>
  <si>
    <t>NE07</t>
  </si>
  <si>
    <t>NE Doniphan - Mag - 3602</t>
  </si>
  <si>
    <t>MG N CTRL Path 105</t>
  </si>
  <si>
    <t>MG N CTRL - MG Doniphan</t>
  </si>
  <si>
    <t>MG_182</t>
  </si>
  <si>
    <t>MG N CTRL Path 137</t>
  </si>
  <si>
    <t>MG_181</t>
  </si>
  <si>
    <t>MG N CTRL Path 17</t>
  </si>
  <si>
    <t>MG_267</t>
  </si>
  <si>
    <t>MG N CTRL Path 177</t>
  </si>
  <si>
    <t>MG_132</t>
  </si>
  <si>
    <t>BNSF Path 34</t>
  </si>
  <si>
    <t>BNSF - BNSF Doniphan NE</t>
  </si>
  <si>
    <t>BNSF_tariff_34</t>
  </si>
  <si>
    <t>UP Path 40</t>
  </si>
  <si>
    <t>UP - UP GRAND ISLAND NE</t>
  </si>
  <si>
    <t>UP_UP Chicago IL-UP_UP GRAND ISLAND NE</t>
  </si>
  <si>
    <t>Geneva NE</t>
  </si>
  <si>
    <t>Omaha NE</t>
  </si>
  <si>
    <t>NE06</t>
  </si>
  <si>
    <t>NE Geneva - Nustar - 3601</t>
  </si>
  <si>
    <t>NU EP Path 20</t>
  </si>
  <si>
    <t>NU EP - NU Geneva</t>
  </si>
  <si>
    <t>NS_33</t>
  </si>
  <si>
    <t>NU EP Path 4</t>
  </si>
  <si>
    <t>NS_17</t>
  </si>
  <si>
    <t>NU EP Path 44</t>
  </si>
  <si>
    <t>NS_76</t>
  </si>
  <si>
    <t>BNSF Path 47</t>
  </si>
  <si>
    <t>BNSF - BNSF Geneva NE</t>
  </si>
  <si>
    <t>BNSF_tariff_47</t>
  </si>
  <si>
    <t>Lincoln NE</t>
  </si>
  <si>
    <t>NE08</t>
  </si>
  <si>
    <t>NE Roca - P66 - 3603</t>
  </si>
  <si>
    <t>MG N CTRL Path 117</t>
  </si>
  <si>
    <t>MG N CTRL - MG Lincoln</t>
  </si>
  <si>
    <t>MG_206</t>
  </si>
  <si>
    <t>MG N CTRL Path 149</t>
  </si>
  <si>
    <t>MG_205</t>
  </si>
  <si>
    <t>MG N CTRL Path 191</t>
  </si>
  <si>
    <t>MG_146</t>
  </si>
  <si>
    <t>MG N CTRL Path 31</t>
  </si>
  <si>
    <t>MG_276</t>
  </si>
  <si>
    <t>UP Path 43</t>
  </si>
  <si>
    <t>UP - UP SCHAFER NE</t>
  </si>
  <si>
    <t>UP_UP Chicago IL-UP_UP SCHAFER NE</t>
  </si>
  <si>
    <t>NE09</t>
  </si>
  <si>
    <t>NE Roca - Mag - 3605</t>
  </si>
  <si>
    <t>Norfolk NE</t>
  </si>
  <si>
    <t>NE10</t>
  </si>
  <si>
    <t>NE Norfolk - Nustar - 3606</t>
  </si>
  <si>
    <t>NU EP Path 25</t>
  </si>
  <si>
    <t>NU EP - NU Norfolk</t>
  </si>
  <si>
    <t>NS_38</t>
  </si>
  <si>
    <t>NU EP Path 49</t>
  </si>
  <si>
    <t>NS_81</t>
  </si>
  <si>
    <t>NU EP Path 9</t>
  </si>
  <si>
    <t>NS_22</t>
  </si>
  <si>
    <t>BNSF Path 77</t>
  </si>
  <si>
    <t>BNSF - BNSF Norfolk NE</t>
  </si>
  <si>
    <t>BNSF_tariff_77</t>
  </si>
  <si>
    <t>UP - UP NORFOLK NE</t>
  </si>
  <si>
    <t>North Platte NE</t>
  </si>
  <si>
    <t>NE11</t>
  </si>
  <si>
    <t>NE North Platte - Nustar - 3607</t>
  </si>
  <si>
    <t>NU EP Path 21</t>
  </si>
  <si>
    <t>NU EP - NU North Platte</t>
  </si>
  <si>
    <t>NS_34</t>
  </si>
  <si>
    <t>NU EP Path 45</t>
  </si>
  <si>
    <t>NS_77</t>
  </si>
  <si>
    <t>NU EP Path 5</t>
  </si>
  <si>
    <t>NS_18</t>
  </si>
  <si>
    <t>UP Path 245</t>
  </si>
  <si>
    <t>UP - UP NORTH PLATTE NE</t>
  </si>
  <si>
    <t>UP_tariff_245</t>
  </si>
  <si>
    <t>NE12</t>
  </si>
  <si>
    <t>NE Omaha - Mag - 3608</t>
  </si>
  <si>
    <t>MG N CTRL Path 123</t>
  </si>
  <si>
    <t>MG N CTRL - MG Omaha</t>
  </si>
  <si>
    <t>MG_216</t>
  </si>
  <si>
    <t>MG N CTRL Path 155</t>
  </si>
  <si>
    <t>MG_215</t>
  </si>
  <si>
    <t>MG N CTRL Path 201</t>
  </si>
  <si>
    <t>MG_156</t>
  </si>
  <si>
    <t>MG N CTRL Path 41</t>
  </si>
  <si>
    <t>MG_286</t>
  </si>
  <si>
    <t>UP Path 42</t>
  </si>
  <si>
    <t>UP - UP OMAHA NE</t>
  </si>
  <si>
    <t>UP_UP Chicago IL-UP_UP OMAHA NE</t>
  </si>
  <si>
    <t>Osceola NE</t>
  </si>
  <si>
    <t>NE14</t>
  </si>
  <si>
    <t>NE Osceola - Nustar - 3610</t>
  </si>
  <si>
    <t>NU EP Path 24</t>
  </si>
  <si>
    <t>NU EP - NU Osceola</t>
  </si>
  <si>
    <t>NS_37</t>
  </si>
  <si>
    <t>NU EP Path 48</t>
  </si>
  <si>
    <t>NS_80</t>
  </si>
  <si>
    <t>NU EP Path 8</t>
  </si>
  <si>
    <t>NS_21</t>
  </si>
  <si>
    <t>UP Path 246</t>
  </si>
  <si>
    <t>UP - UP OSCEOLA NE</t>
  </si>
  <si>
    <t>UP_tariff_246</t>
  </si>
  <si>
    <t>Sidney NE</t>
  </si>
  <si>
    <t>NE13</t>
  </si>
  <si>
    <t>NE Sidney - HF Sinclair - 3609</t>
  </si>
  <si>
    <t>UP Path 156</t>
  </si>
  <si>
    <t>UP - UP Sidney NE</t>
  </si>
  <si>
    <t>UP_tariff_7</t>
  </si>
  <si>
    <t>NH</t>
  </si>
  <si>
    <t>Newington NH</t>
  </si>
  <si>
    <t>NH00</t>
  </si>
  <si>
    <t>NH Newington - Sprague - 1050</t>
  </si>
  <si>
    <t>NH01</t>
  </si>
  <si>
    <t>NH Portsmouth - Irving - 1056</t>
  </si>
  <si>
    <t>NJ</t>
  </si>
  <si>
    <t>Bayonne NJ</t>
  </si>
  <si>
    <t>Newark NJ</t>
  </si>
  <si>
    <t>NJ02</t>
  </si>
  <si>
    <t>NJ Bayonne - IMTT - 1503</t>
  </si>
  <si>
    <t>CPL Path 79</t>
  </si>
  <si>
    <t>CPL - Linden Junction</t>
  </si>
  <si>
    <t>BK PA - Linden Junction</t>
  </si>
  <si>
    <t>CSX Path 9</t>
  </si>
  <si>
    <t>CSX - CSX Bayonne NJ</t>
  </si>
  <si>
    <t>CSX_tariff_9</t>
  </si>
  <si>
    <t>NS Path 167</t>
  </si>
  <si>
    <t>NS - NS BAYONNE NJ</t>
  </si>
  <si>
    <t>NS_tariff_167</t>
  </si>
  <si>
    <t>Carteret NJ</t>
  </si>
  <si>
    <t>NJ04</t>
  </si>
  <si>
    <t>NJ Carteret - KM - 1506</t>
  </si>
  <si>
    <t>CSX Path 16</t>
  </si>
  <si>
    <t>CSX - CSX Carteret NJ</t>
  </si>
  <si>
    <t>CSX_tariff_16</t>
  </si>
  <si>
    <t>NS Path 170</t>
  </si>
  <si>
    <t>NS - NS CARTERET NJ</t>
  </si>
  <si>
    <t>NS_tariff_170</t>
  </si>
  <si>
    <t>Linden NJ</t>
  </si>
  <si>
    <t>NJ06</t>
  </si>
  <si>
    <t>NJ Linden - P66 - 1512</t>
  </si>
  <si>
    <t>CPL - Linden Bayway P66</t>
  </si>
  <si>
    <t>CSX Path 46</t>
  </si>
  <si>
    <t>CSX - CSX Linden NJ</t>
  </si>
  <si>
    <t>CSX_tariff_46</t>
  </si>
  <si>
    <t>NS Path 180</t>
  </si>
  <si>
    <t>NS - NS LINDEN NJ</t>
  </si>
  <si>
    <t>NS_tariff_180</t>
  </si>
  <si>
    <t>NS USRT PATH 12</t>
  </si>
  <si>
    <t>NS - NS Sewaren NJ ERail Intermodal</t>
  </si>
  <si>
    <t>NS USRT PATH 6</t>
  </si>
  <si>
    <t>NJ07</t>
  </si>
  <si>
    <t>NJ Linden - Citgo - 1513</t>
  </si>
  <si>
    <t>NJ08</t>
  </si>
  <si>
    <t>NJ Linden - P66 - 1514</t>
  </si>
  <si>
    <t>NJ09</t>
  </si>
  <si>
    <t>NJ Linden - Gulf - 1515</t>
  </si>
  <si>
    <t>NJ10</t>
  </si>
  <si>
    <t>NJ Linden - Sunoco - 1516</t>
  </si>
  <si>
    <t>NJ12</t>
  </si>
  <si>
    <t>NJ Newark - Shell - 1521</t>
  </si>
  <si>
    <t>CSX Path 59</t>
  </si>
  <si>
    <t>CSX - CSX Newark NJ</t>
  </si>
  <si>
    <t>CSX_tariff_59</t>
  </si>
  <si>
    <t>CSX USRT PATH 11</t>
  </si>
  <si>
    <t>CSX - CSX South Amboy NJ Buckeye Spur</t>
  </si>
  <si>
    <t>CSX USRT PATH 23</t>
  </si>
  <si>
    <t>NS Path 183</t>
  </si>
  <si>
    <t>NS - NS NEWARK NJ</t>
  </si>
  <si>
    <t>NS_tariff_183</t>
  </si>
  <si>
    <t>NJ13</t>
  </si>
  <si>
    <t>NJ Newark - Petro FT - 1522</t>
  </si>
  <si>
    <t>NJ14</t>
  </si>
  <si>
    <t>NJ Newark - ETMT - 1523</t>
  </si>
  <si>
    <t>Paulsboro NJ</t>
  </si>
  <si>
    <t>NJ11</t>
  </si>
  <si>
    <t>NJ Paulsboro - ETMT - 1517</t>
  </si>
  <si>
    <t>CPL Path 72</t>
  </si>
  <si>
    <t>CPL - Paulsboro Delivery</t>
  </si>
  <si>
    <t>BK PA - Paulsboro Delivery</t>
  </si>
  <si>
    <t>CSX Path 70</t>
  </si>
  <si>
    <t>CSX - CSX Paulsboro NJ</t>
  </si>
  <si>
    <t>CSX_tariff_70</t>
  </si>
  <si>
    <t>NS Path 184</t>
  </si>
  <si>
    <t>NS - NS PAULSBORO NJ</t>
  </si>
  <si>
    <t>NS_tariff_184</t>
  </si>
  <si>
    <t>NJ15</t>
  </si>
  <si>
    <t>NJ Paulsboro - PBF - 1525</t>
  </si>
  <si>
    <t>NJ16</t>
  </si>
  <si>
    <t>NJ Paulsboro - Sunoco - 1526</t>
  </si>
  <si>
    <t>Pennsauken NJ</t>
  </si>
  <si>
    <t>NJ17</t>
  </si>
  <si>
    <t>NJ Pennsauken - Buckeye - 1528</t>
  </si>
  <si>
    <t>CPL Path 77</t>
  </si>
  <si>
    <t>CPL - Pennsauken Delivery</t>
  </si>
  <si>
    <t>CPL_Houston-CPL_Pennsauken</t>
  </si>
  <si>
    <t>CSX Path 71</t>
  </si>
  <si>
    <t>CSX - CSX Pennsauken NJ</t>
  </si>
  <si>
    <t>CSX_tariff_71</t>
  </si>
  <si>
    <t>NS Path 175</t>
  </si>
  <si>
    <t>NS - NS DELAIR NJ</t>
  </si>
  <si>
    <t>NS_tariff_175</t>
  </si>
  <si>
    <t>Perth Amboy NJ</t>
  </si>
  <si>
    <t>NJ25</t>
  </si>
  <si>
    <t>NJ Perth Amboy - Buckeye - 1545</t>
  </si>
  <si>
    <t>CSX Path 73</t>
  </si>
  <si>
    <t>CSX - CSX Perth Amboy NJ</t>
  </si>
  <si>
    <t>CSX_tariff_73</t>
  </si>
  <si>
    <t>NS Path 185</t>
  </si>
  <si>
    <t>NS - NS PERTH AMBOY NJ</t>
  </si>
  <si>
    <t>NS_tariff_185</t>
  </si>
  <si>
    <t>Port Reading NJ</t>
  </si>
  <si>
    <t>NJ21</t>
  </si>
  <si>
    <t>NJ Port Reading - Buckeye - 1535</t>
  </si>
  <si>
    <t>CSX Path 74</t>
  </si>
  <si>
    <t>CSX - CSX Port Reading NJ</t>
  </si>
  <si>
    <t>CSX_tariff_74</t>
  </si>
  <si>
    <t>NS Path 187</t>
  </si>
  <si>
    <t>NS - NS PORT READING NJ</t>
  </si>
  <si>
    <t>NS_tariff_187</t>
  </si>
  <si>
    <t>Sewaren NJ</t>
  </si>
  <si>
    <t>NJ18</t>
  </si>
  <si>
    <t>NJ Perth Amboy - Buckeye - 1531</t>
  </si>
  <si>
    <t>CSX Path 81</t>
  </si>
  <si>
    <t>CSX - CSX Sewaren NJ</t>
  </si>
  <si>
    <t>CSX_tariff_81</t>
  </si>
  <si>
    <t>NJ22</t>
  </si>
  <si>
    <t>NJ Sewaren - Shell - 1538</t>
  </si>
  <si>
    <t>Thorofare NJ</t>
  </si>
  <si>
    <t>NJ23</t>
  </si>
  <si>
    <t>NJ Thorofare - Gulf - 1540</t>
  </si>
  <si>
    <t>CPL Path 71</t>
  </si>
  <si>
    <t>CPL - Woodbury Junction</t>
  </si>
  <si>
    <t>CPL_Houston-CPL_Woodbury</t>
  </si>
  <si>
    <t>NS Path 66</t>
  </si>
  <si>
    <t>NS - NS THOROUGHFARE NJ</t>
  </si>
  <si>
    <t>NS_NS Chicago IL-NS_NS THOROUGHFARE NJ</t>
  </si>
  <si>
    <t>NS Path 147</t>
  </si>
  <si>
    <t>NS_NS DECATUR IL-NS_NS THOROUGHFARE NJ</t>
  </si>
  <si>
    <t>Westville NJ</t>
  </si>
  <si>
    <t>Philadelphia PA</t>
  </si>
  <si>
    <t>NJ24</t>
  </si>
  <si>
    <t>NJ Westville - ETMT - 1544</t>
  </si>
  <si>
    <t>BK LAUREL - Eagle Point Delivery</t>
  </si>
  <si>
    <t>CPL Path 74</t>
  </si>
  <si>
    <t>CPL - Eagle Point Delivery</t>
  </si>
  <si>
    <t>CSX USRT PATH 21</t>
  </si>
  <si>
    <t>CSX - CSX Piladelphia PA Greenwich Yard</t>
  </si>
  <si>
    <t>CSX USRT PATH 9</t>
  </si>
  <si>
    <t>CSX Path 93</t>
  </si>
  <si>
    <t>CSX - CSX Westville NJ</t>
  </si>
  <si>
    <t>CSX_tariff_93</t>
  </si>
  <si>
    <t>NS Path 192</t>
  </si>
  <si>
    <t>NS - NS WESTVILLE NJ</t>
  </si>
  <si>
    <t>NS_tariff_192</t>
  </si>
  <si>
    <t>NM</t>
  </si>
  <si>
    <t>Albuquerque NM</t>
  </si>
  <si>
    <t>NM00</t>
  </si>
  <si>
    <t>NM Albuquerque - ABQ - 4251</t>
  </si>
  <si>
    <t>MG EP Path 2</t>
  </si>
  <si>
    <t>MG EP - East Magellan</t>
  </si>
  <si>
    <t>MG AB - MG Albuquerque Bernalillo</t>
  </si>
  <si>
    <t>MG_62</t>
  </si>
  <si>
    <t>MG SOR Path 8</t>
  </si>
  <si>
    <t>MG SOR - MG Albuquerque Bernalillo</t>
  </si>
  <si>
    <t>MG_109</t>
  </si>
  <si>
    <t>BNSF Path 5</t>
  </si>
  <si>
    <t>BNSF - BNSF Albuquerque NM</t>
  </si>
  <si>
    <t>BNSF_tariff_5</t>
  </si>
  <si>
    <t>NM01</t>
  </si>
  <si>
    <t>NM Albuquerque - Nustar - 4253</t>
  </si>
  <si>
    <t>NM02</t>
  </si>
  <si>
    <t>NM Albuquerque - P66 - 4254</t>
  </si>
  <si>
    <t>NM03</t>
  </si>
  <si>
    <t>NM Albuquerque - Western - 4255</t>
  </si>
  <si>
    <t>Artesia NM</t>
  </si>
  <si>
    <t>NM04</t>
  </si>
  <si>
    <t>NM Artesia - HF Sinclair - 4256</t>
  </si>
  <si>
    <t>BNSF Path 10</t>
  </si>
  <si>
    <t>BNSF - BNSF Artesia NM</t>
  </si>
  <si>
    <t>BNSF_tariff_10</t>
  </si>
  <si>
    <t>Bloomfield NM</t>
  </si>
  <si>
    <t>NM05</t>
  </si>
  <si>
    <t>NM Bloomfield - Western - 4257</t>
  </si>
  <si>
    <t>BNSF Path 124</t>
  </si>
  <si>
    <t>BNSF - BNSF Bloomfield NM</t>
  </si>
  <si>
    <t>BNSF_tariff_124</t>
  </si>
  <si>
    <t>NM06</t>
  </si>
  <si>
    <t>NM Jamestown - Western - 4258</t>
  </si>
  <si>
    <t>Moriarty NM</t>
  </si>
  <si>
    <t>NM11</t>
  </si>
  <si>
    <t>NM Moriarty - HF Sinclair - 4262</t>
  </si>
  <si>
    <t>BNSF Path 125</t>
  </si>
  <si>
    <t>BNSF - BNSF Moriarty NM</t>
  </si>
  <si>
    <t>BNSF_tariff_125</t>
  </si>
  <si>
    <t>Road Forks NM</t>
  </si>
  <si>
    <t>NM10</t>
  </si>
  <si>
    <t>NM Road Forks - Dansk - 4261</t>
  </si>
  <si>
    <t>KM EP Path 3</t>
  </si>
  <si>
    <t>KM EP - KM Lordsburg</t>
  </si>
  <si>
    <t>KM_1</t>
  </si>
  <si>
    <t>UP Path 228</t>
  </si>
  <si>
    <t>UP - UP VANAR AZ</t>
  </si>
  <si>
    <t>UP_228</t>
  </si>
  <si>
    <t>NV</t>
  </si>
  <si>
    <t>Las Vegas NV</t>
  </si>
  <si>
    <t>NV02</t>
  </si>
  <si>
    <t>NV Las Vegas - Calnev - 4350</t>
  </si>
  <si>
    <t>KM CN Path 5</t>
  </si>
  <si>
    <t>KM CN - KM Las Vegas Clark</t>
  </si>
  <si>
    <t>KM_12</t>
  </si>
  <si>
    <t>KM CN_0723a_32.14.0</t>
  </si>
  <si>
    <t>UP Path 129</t>
  </si>
  <si>
    <t>UP - UP LAS VEGAS NV</t>
  </si>
  <si>
    <t>UP_UP COUNCIL BLUFFS IA-UP_UP LAS VEGAS NV</t>
  </si>
  <si>
    <t>UP Path 44</t>
  </si>
  <si>
    <t>UP_UP Chicago IL-UP_UP LAS VEGAS NV</t>
  </si>
  <si>
    <t>NV05</t>
  </si>
  <si>
    <t>NV Las Vegas - Rebel Oil - 4359</t>
  </si>
  <si>
    <t>NV06</t>
  </si>
  <si>
    <t>NV Las Vegas - ProPetro - 4362</t>
  </si>
  <si>
    <t>NV08</t>
  </si>
  <si>
    <t>NV North Las Vegas - HF Sinclair - 4365</t>
  </si>
  <si>
    <t>HFS UNEV Path 1</t>
  </si>
  <si>
    <t>HFS UNEV - HFS UNEV Origin</t>
  </si>
  <si>
    <t>HFS UNEV - UNEV Las Vegas</t>
  </si>
  <si>
    <t>HFS_1</t>
  </si>
  <si>
    <t>HFS UNEV_0723_2.16.0</t>
  </si>
  <si>
    <t>HFS UNEV Path 3</t>
  </si>
  <si>
    <t>HFS UNEV - HFS Woods Cross UNEV</t>
  </si>
  <si>
    <t>HFS_3</t>
  </si>
  <si>
    <t>HFS_0723_64.17.0</t>
  </si>
  <si>
    <t>HFS UNEV Path 4</t>
  </si>
  <si>
    <t>HFS UNEV - Chevron Refinery SLC</t>
  </si>
  <si>
    <t>HFS_5</t>
  </si>
  <si>
    <t>P66 PION 3</t>
  </si>
  <si>
    <t>P66 PION - HFS Sinclair Carbon</t>
  </si>
  <si>
    <t>P66_13</t>
  </si>
  <si>
    <t>P66 PION_0723B_63.14.0</t>
  </si>
  <si>
    <t>P66_2</t>
  </si>
  <si>
    <t>P66 PION_0723A_64.21.0</t>
  </si>
  <si>
    <t>McCarran NV</t>
  </si>
  <si>
    <t>Reno NV</t>
  </si>
  <si>
    <t>NV07</t>
  </si>
  <si>
    <t>NV McCarran - Golden Gate - 4364</t>
  </si>
  <si>
    <t>BNSF Path 68</t>
  </si>
  <si>
    <t>BNSF - BNSF McCarran NV</t>
  </si>
  <si>
    <t>BNSF_tariff_68</t>
  </si>
  <si>
    <t>UP Path 233</t>
  </si>
  <si>
    <t>UP - UP WUNOTOO NV</t>
  </si>
  <si>
    <t>UP_233</t>
  </si>
  <si>
    <t>NV00</t>
  </si>
  <si>
    <t>NV Reno - Swissport - 4352</t>
  </si>
  <si>
    <t>UP Path 130</t>
  </si>
  <si>
    <t>UP - UP RENO NV</t>
  </si>
  <si>
    <t>UP_UP COUNCIL BLUFFS IA-UP_UP RENO NV</t>
  </si>
  <si>
    <t>UP Path 45</t>
  </si>
  <si>
    <t>UP_UP Chicago IL-UP_UP RENO NV</t>
  </si>
  <si>
    <t>NV03</t>
  </si>
  <si>
    <t>NV Sparks - SFPP - 4353</t>
  </si>
  <si>
    <t>KM SF Path 2</t>
  </si>
  <si>
    <t>KM SF - KM Sparks Reno</t>
  </si>
  <si>
    <t>KM_29</t>
  </si>
  <si>
    <t>KM SF_0723_199.16.0</t>
  </si>
  <si>
    <t>KM SF Path 3</t>
  </si>
  <si>
    <t>KM_30</t>
  </si>
  <si>
    <t>NV04</t>
  </si>
  <si>
    <t>NV Sparks - OP Reno - 4354</t>
  </si>
  <si>
    <t>NY</t>
  </si>
  <si>
    <t>Albany NY</t>
  </si>
  <si>
    <t>NY24</t>
  </si>
  <si>
    <t>NY Albany - Buckeye - 1401</t>
  </si>
  <si>
    <t>CSX Path 2</t>
  </si>
  <si>
    <t>CSX - CSX Albany NY Depot</t>
  </si>
  <si>
    <t>CSX_1</t>
  </si>
  <si>
    <t>CSX USRT PATH 1</t>
  </si>
  <si>
    <t>CSX USRT PATH 13</t>
  </si>
  <si>
    <t>NY25</t>
  </si>
  <si>
    <t>NY Glenmont - Citgo - 1402</t>
  </si>
  <si>
    <t>NY26</t>
  </si>
  <si>
    <t>NY Albany - Global - 1403</t>
  </si>
  <si>
    <t>NY27</t>
  </si>
  <si>
    <t>NY Rensselaer - Petro FT - 1404</t>
  </si>
  <si>
    <t>NY28</t>
  </si>
  <si>
    <t>NY Glenmont - Petro FT - 1405</t>
  </si>
  <si>
    <t>NY32</t>
  </si>
  <si>
    <t>NY Rensselaer - Buckeye - 1415</t>
  </si>
  <si>
    <t>NY33</t>
  </si>
  <si>
    <t>NY Rensselaer - Sprague - 1417</t>
  </si>
  <si>
    <t>Big Flats NY</t>
  </si>
  <si>
    <t>NY47</t>
  </si>
  <si>
    <t>NY Big Flats - Sunoco - 1471</t>
  </si>
  <si>
    <t>NS Path 163</t>
  </si>
  <si>
    <t>NS - NS Big Flats NY</t>
  </si>
  <si>
    <t>NS_tariff_9</t>
  </si>
  <si>
    <t>Brewerton NY</t>
  </si>
  <si>
    <t>Syracuse NY</t>
  </si>
  <si>
    <t>NY38</t>
  </si>
  <si>
    <t>NY Brewerton - Buckeye - 1456</t>
  </si>
  <si>
    <t>BK NY Path 3</t>
  </si>
  <si>
    <t>BK NY - Linden</t>
  </si>
  <si>
    <t>BK NY - BK Brewerton Oswego</t>
  </si>
  <si>
    <t>BK_90</t>
  </si>
  <si>
    <t>BK EPS NORTHLINE_0723_441.20.0</t>
  </si>
  <si>
    <t>CSX Path 12</t>
  </si>
  <si>
    <t>CSX - CSX Brewerton NY</t>
  </si>
  <si>
    <t>CSX_tariff_12</t>
  </si>
  <si>
    <t>CSX Path 86</t>
  </si>
  <si>
    <t>CSX - CSX Syracuse NY De Witt Yard</t>
  </si>
  <si>
    <t>CSX_12</t>
  </si>
  <si>
    <t>CSX USRT PATH 12</t>
  </si>
  <si>
    <t>CSX USRT PATH 24</t>
  </si>
  <si>
    <t>Buffalo NY</t>
  </si>
  <si>
    <t>NY40</t>
  </si>
  <si>
    <t>NY Buffalo - Buckeye - 1458</t>
  </si>
  <si>
    <t>BK NY Path 4</t>
  </si>
  <si>
    <t>BK NY - BK Buffalo Erie</t>
  </si>
  <si>
    <t>BK_91</t>
  </si>
  <si>
    <t>BK PA Path 7</t>
  </si>
  <si>
    <t>BK_120</t>
  </si>
  <si>
    <t>BK TRANS NJ PA_0723_21.20.0</t>
  </si>
  <si>
    <t>CSX Path 14</t>
  </si>
  <si>
    <t>CSX - CSX Buffalo NY</t>
  </si>
  <si>
    <t>CSX_tariff_14</t>
  </si>
  <si>
    <t>NS Path 14</t>
  </si>
  <si>
    <t>NS - NS BUFFALO NY</t>
  </si>
  <si>
    <t>NS_NS Chicago IL-NS_NS BUFFALO NY</t>
  </si>
  <si>
    <t>Inwood NY</t>
  </si>
  <si>
    <t>Long Island NY</t>
  </si>
  <si>
    <t>NY03</t>
  </si>
  <si>
    <t>NY Inwood - Global - 1305</t>
  </si>
  <si>
    <t>BKL Path 1</t>
  </si>
  <si>
    <t>BKL - Linden</t>
  </si>
  <si>
    <t>BKL - Inwood</t>
  </si>
  <si>
    <t>BKL_Linden-BKL_Inwood</t>
  </si>
  <si>
    <t>BKL_23a_0124_439.28.0_436.14.0</t>
  </si>
  <si>
    <t>CSX Path 39</t>
  </si>
  <si>
    <t>CSX - CSX Inwood NY</t>
  </si>
  <si>
    <t>CSX_tariff_39</t>
  </si>
  <si>
    <t>Lawrence NY</t>
  </si>
  <si>
    <t>NY08</t>
  </si>
  <si>
    <t>NY Lawrence - Shell - 1312</t>
  </si>
  <si>
    <t>NY10</t>
  </si>
  <si>
    <t>NY Lawrence - Sprague - 1324</t>
  </si>
  <si>
    <t>Brooklyn NY</t>
  </si>
  <si>
    <t>NY02</t>
  </si>
  <si>
    <t>NY Brooklyn - Zenith - 1304</t>
  </si>
  <si>
    <t>BKL Path 2</t>
  </si>
  <si>
    <t>BKL - Long Island City</t>
  </si>
  <si>
    <t>BKL_Linden-BKL_Long Island</t>
  </si>
  <si>
    <t>NS Path 137</t>
  </si>
  <si>
    <t>NS - NS BROOKLYN NY</t>
  </si>
  <si>
    <t>NS_NS DECATUR IL-NS_NS BROOKLYN NY</t>
  </si>
  <si>
    <t>NS Path 62</t>
  </si>
  <si>
    <t>NS_NS Chicago IL-NS_NS BROOKLYN NY</t>
  </si>
  <si>
    <t>NY06</t>
  </si>
  <si>
    <t>NY Glenwood Landing - Global - 1309</t>
  </si>
  <si>
    <t>CSX Path 47</t>
  </si>
  <si>
    <t>CSX - CSX Long Island NY</t>
  </si>
  <si>
    <t>CSX_tariff_47</t>
  </si>
  <si>
    <t>New Windsor NY</t>
  </si>
  <si>
    <t>Newburgh NY</t>
  </si>
  <si>
    <t>NY29</t>
  </si>
  <si>
    <t>NY New Windsor - Global - 1411</t>
  </si>
  <si>
    <t>CSX Path 58</t>
  </si>
  <si>
    <t>CSX - CSX New Windsor NY</t>
  </si>
  <si>
    <t>CSX_tariff_58</t>
  </si>
  <si>
    <t>NY30</t>
  </si>
  <si>
    <t>NY New Windsor - Global - 1413</t>
  </si>
  <si>
    <t>NY31</t>
  </si>
  <si>
    <t>NY New Windsor - Global - 1414</t>
  </si>
  <si>
    <t>NY58</t>
  </si>
  <si>
    <t>NY New Windsor - Global - 1499</t>
  </si>
  <si>
    <t>NY34</t>
  </si>
  <si>
    <t>NY Newburgh - Buckeye - 1421</t>
  </si>
  <si>
    <t>CSX Path 60</t>
  </si>
  <si>
    <t>CSX - CSX Newburgh NY</t>
  </si>
  <si>
    <t>CSX_tariff_60</t>
  </si>
  <si>
    <t>Rochester NY</t>
  </si>
  <si>
    <t>NY44</t>
  </si>
  <si>
    <t>NY Rochester - Buckeye - 1468</t>
  </si>
  <si>
    <t>BK NY Path 7</t>
  </si>
  <si>
    <t>BK NY - BK Rochester Monroe</t>
  </si>
  <si>
    <t>BK_96</t>
  </si>
  <si>
    <t>BK PA Path 8</t>
  </si>
  <si>
    <t>BK_121</t>
  </si>
  <si>
    <t>CSX Path 78</t>
  </si>
  <si>
    <t>CSX - CSX Rochester NY</t>
  </si>
  <si>
    <t>CSX_tariff_78</t>
  </si>
  <si>
    <t>NY45</t>
  </si>
  <si>
    <t>NY Rochester - Buckeye - 1469</t>
  </si>
  <si>
    <t>BK NY Path 8</t>
  </si>
  <si>
    <t>BK NY - BK Rochester North Monroe</t>
  </si>
  <si>
    <t>BK PA Path 9</t>
  </si>
  <si>
    <t>NY46</t>
  </si>
  <si>
    <t>NY Rochester - Sunoco - 1470</t>
  </si>
  <si>
    <t>NY48</t>
  </si>
  <si>
    <t>NY Rochester - Buckeye - 1472</t>
  </si>
  <si>
    <t>NY49</t>
  </si>
  <si>
    <t>NY Rochester - ETMT - 1473</t>
  </si>
  <si>
    <t>NY56</t>
  </si>
  <si>
    <t>NY Rochester - Petro FT - 1494</t>
  </si>
  <si>
    <t>Tonawanda NY</t>
  </si>
  <si>
    <t>NY39</t>
  </si>
  <si>
    <t>NY Tonawanda - United Refining - 1457</t>
  </si>
  <si>
    <t>CSX Path 88</t>
  </si>
  <si>
    <t>CSX - CSX Tonawanda NY</t>
  </si>
  <si>
    <t>CSX_tariff_88</t>
  </si>
  <si>
    <t>NY41</t>
  </si>
  <si>
    <t>NY Tonawanda - MPC - 1459</t>
  </si>
  <si>
    <t>NY52</t>
  </si>
  <si>
    <t>NY Tonawanda - ETMT - 1484</t>
  </si>
  <si>
    <t>Utica NY</t>
  </si>
  <si>
    <t>NY43</t>
  </si>
  <si>
    <t>NY Marcy - Buckeye - 1463</t>
  </si>
  <si>
    <t>BK NY Path 6</t>
  </si>
  <si>
    <t>BK NY - BK Marcy Oneida</t>
  </si>
  <si>
    <t>BK_95</t>
  </si>
  <si>
    <t>CSX Path 90</t>
  </si>
  <si>
    <t>CSX - CSX Utica NY</t>
  </si>
  <si>
    <t>CSX_tariff_90</t>
  </si>
  <si>
    <t>NY53</t>
  </si>
  <si>
    <t>NY Utica - Buckeye - 1486</t>
  </si>
  <si>
    <t>BK NY Path 9</t>
  </si>
  <si>
    <t>BK NY - BK Utica Oneida</t>
  </si>
  <si>
    <t>BK_98</t>
  </si>
  <si>
    <t>NY55</t>
  </si>
  <si>
    <t>NY Marcy - Sunoco - 1493</t>
  </si>
  <si>
    <t>Vestal NY</t>
  </si>
  <si>
    <t>NY54</t>
  </si>
  <si>
    <t>NY Vestal - Buckeye - 1488</t>
  </si>
  <si>
    <t>BK NY Path 10</t>
  </si>
  <si>
    <t>BK NY - BK Vestal Broome</t>
  </si>
  <si>
    <t>BK_101</t>
  </si>
  <si>
    <t>BK PA Path 6</t>
  </si>
  <si>
    <t>BK_119</t>
  </si>
  <si>
    <t>NS Path 164</t>
  </si>
  <si>
    <t>NS - NS Vestal NY</t>
  </si>
  <si>
    <t>NS_tariff_10</t>
  </si>
  <si>
    <t>NY51</t>
  </si>
  <si>
    <t>NY Warners - ETMT - 1476</t>
  </si>
  <si>
    <t>BK NY Path 1</t>
  </si>
  <si>
    <t>BK NY - BK - ET Van Buren Onondaga</t>
  </si>
  <si>
    <t>BK_99</t>
  </si>
  <si>
    <t>BK PA Path 10</t>
  </si>
  <si>
    <t>BK_123</t>
  </si>
  <si>
    <t>CSX Path 91</t>
  </si>
  <si>
    <t>CSX - CSX Warners NY</t>
  </si>
  <si>
    <t>CSX_tariff_91</t>
  </si>
  <si>
    <t>OH</t>
  </si>
  <si>
    <t>Akron OH</t>
  </si>
  <si>
    <t>OH38</t>
  </si>
  <si>
    <t>OH Akron - ETMT - 3159</t>
  </si>
  <si>
    <t>ET YSTOWN Path 2</t>
  </si>
  <si>
    <t>ET YSTOWN - ET Toledo</t>
  </si>
  <si>
    <t>ET YSTOWN - ET Akron</t>
  </si>
  <si>
    <t>ET_5</t>
  </si>
  <si>
    <t>ET IN OH_0723B_7.8</t>
  </si>
  <si>
    <t>CSX Path 1</t>
  </si>
  <si>
    <t>CSX - CSX Akron OH</t>
  </si>
  <si>
    <t>CSX_tariff_1</t>
  </si>
  <si>
    <t>NS Path 166</t>
  </si>
  <si>
    <t>NS - NS AKRON OH</t>
  </si>
  <si>
    <t>NS_tariff_166</t>
  </si>
  <si>
    <t>OH42</t>
  </si>
  <si>
    <t>OH Tallmadge - Citgo - 3164</t>
  </si>
  <si>
    <t>Aurora OH</t>
  </si>
  <si>
    <t>Cleveland OH</t>
  </si>
  <si>
    <t>OH46</t>
  </si>
  <si>
    <t>OH Aurora - Sunoco - 3168</t>
  </si>
  <si>
    <t>BK TO Path 3</t>
  </si>
  <si>
    <t>BK TO - BK Toledo Lucas</t>
  </si>
  <si>
    <t>BK TO - BK Aurora Portage</t>
  </si>
  <si>
    <t>BK_67</t>
  </si>
  <si>
    <t>BK MIDW INTRA_0124_BPL No. 126</t>
  </si>
  <si>
    <t>NS Path 120</t>
  </si>
  <si>
    <t>NS - NS AURORA OH</t>
  </si>
  <si>
    <t>NS_NS DECATUR IL-NS_NS AURORA OH</t>
  </si>
  <si>
    <t>NS Path 15</t>
  </si>
  <si>
    <t>NS_NS Chicago IL-NS_NS AURORA OH</t>
  </si>
  <si>
    <t>Brecksville OH</t>
  </si>
  <si>
    <t>OH31</t>
  </si>
  <si>
    <t>OH Brecksville - MPC - 3151</t>
  </si>
  <si>
    <t>BK TO Path 2</t>
  </si>
  <si>
    <t>BK TO - BK Brecksville Summit</t>
  </si>
  <si>
    <t>BK_68</t>
  </si>
  <si>
    <t>NS Path 121</t>
  </si>
  <si>
    <t>NS - NS MACEDONIA OH</t>
  </si>
  <si>
    <t>NS_NS DECATUR IL-NS_NS MACEDONIA OH</t>
  </si>
  <si>
    <t>NS Path 18</t>
  </si>
  <si>
    <t>NS_NS Chicago IL-NS_NS MACEDONIA OH</t>
  </si>
  <si>
    <t>Canton OH</t>
  </si>
  <si>
    <t>OH23</t>
  </si>
  <si>
    <t>OH Canton - MPC - 3140</t>
  </si>
  <si>
    <t>NS Path 169</t>
  </si>
  <si>
    <t>NS - NS CANTON OH</t>
  </si>
  <si>
    <t>NS_tariff_169</t>
  </si>
  <si>
    <t>OH24</t>
  </si>
  <si>
    <t>OH Canton - Buckeye - 3143</t>
  </si>
  <si>
    <t>Cincinnati OH</t>
  </si>
  <si>
    <t>OH00</t>
  </si>
  <si>
    <t>OH Cincinnati - MPC - 3100</t>
  </si>
  <si>
    <t>CSX Path 21</t>
  </si>
  <si>
    <t>CSX - CSX Cincinnati OH</t>
  </si>
  <si>
    <t>CSX_tariff_21</t>
  </si>
  <si>
    <t>OH04</t>
  </si>
  <si>
    <t>OH Cincinnati - KM - 3104</t>
  </si>
  <si>
    <t>BP D2C Path 1</t>
  </si>
  <si>
    <t>BP D2C - Dayton</t>
  </si>
  <si>
    <t>BP D2C - Cincinnati</t>
  </si>
  <si>
    <t>ET IN - BP D2C Path 1</t>
  </si>
  <si>
    <t>ET IN - BK Lima Refinery South Allen</t>
  </si>
  <si>
    <t>BP_30</t>
  </si>
  <si>
    <t>BP D2C_0723_4.5.0</t>
  </si>
  <si>
    <t>ET_1</t>
  </si>
  <si>
    <t>ET OH_0723_6.9</t>
  </si>
  <si>
    <t>OH21</t>
  </si>
  <si>
    <t>OH Cincinnati - Buckeye - 3128</t>
  </si>
  <si>
    <t>OH30</t>
  </si>
  <si>
    <t>OH Cleveland - Zenith - 3150</t>
  </si>
  <si>
    <t>BK TO Path 6</t>
  </si>
  <si>
    <t>BK TO - BK Cleveland Drydock Cuyahoga</t>
  </si>
  <si>
    <t>BK_69</t>
  </si>
  <si>
    <t>CSX Path 23</t>
  </si>
  <si>
    <t>CSX - CSX Cleveland OH</t>
  </si>
  <si>
    <t>CSX_tariff_23</t>
  </si>
  <si>
    <t>OH36</t>
  </si>
  <si>
    <t>OH Cleveland - Buckeye - 3157</t>
  </si>
  <si>
    <t>OH39</t>
  </si>
  <si>
    <t>OH Cleveland - ETMT - 3160</t>
  </si>
  <si>
    <t>Columbus OH</t>
  </si>
  <si>
    <t>OH01</t>
  </si>
  <si>
    <t>OH Columbus - MPC - 3101</t>
  </si>
  <si>
    <t>BK TO Path 10</t>
  </si>
  <si>
    <t>BK LIMA - BK Columbus North Franklin</t>
  </si>
  <si>
    <t>BK_56</t>
  </si>
  <si>
    <t>MPC ORV Path 2</t>
  </si>
  <si>
    <t>MPC ORV - MPC Canton Refinery Stark</t>
  </si>
  <si>
    <t>MPC ORV - MPC Columbus Franklin</t>
  </si>
  <si>
    <t>MPC_11</t>
  </si>
  <si>
    <t>MPC OH_0723_76.29.0</t>
  </si>
  <si>
    <t>MPC_7</t>
  </si>
  <si>
    <t>MPC_8</t>
  </si>
  <si>
    <t>NS Path 125</t>
  </si>
  <si>
    <t>NS - NS COLUMBUS OH</t>
  </si>
  <si>
    <t>NS_NS DECATUR IL-NS_NS COLUMBUS OH</t>
  </si>
  <si>
    <t>NS Path 45</t>
  </si>
  <si>
    <t>NS_NS Chicago IL-NS_NS COLUMBUS OH</t>
  </si>
  <si>
    <t>OH05</t>
  </si>
  <si>
    <t>OH Columbus - Buckeye - 3105</t>
  </si>
  <si>
    <t>BK TO Path 9</t>
  </si>
  <si>
    <t>BK LIMA - BK Columbus South Franklin</t>
  </si>
  <si>
    <t>BK_55</t>
  </si>
  <si>
    <t>OH08</t>
  </si>
  <si>
    <t>OH Columbus - ETMT - 3111</t>
  </si>
  <si>
    <t>ET IN Path 2</t>
  </si>
  <si>
    <t>ET IN - ET Columbus West Franklin</t>
  </si>
  <si>
    <t>ET_2</t>
  </si>
  <si>
    <t>OH09</t>
  </si>
  <si>
    <t>OH Columbus - MPC - 3112</t>
  </si>
  <si>
    <t>OH11</t>
  </si>
  <si>
    <t>OH Columbus - Buckeye - 3114</t>
  </si>
  <si>
    <t>OH13</t>
  </si>
  <si>
    <t>OH Columbus - ETMT - 3116</t>
  </si>
  <si>
    <t>ET IN Path 3</t>
  </si>
  <si>
    <t>ET IN - ET Columbus East Franklin</t>
  </si>
  <si>
    <t>ET_3</t>
  </si>
  <si>
    <t>OH25</t>
  </si>
  <si>
    <t>OH Cuyahoga Hts. - Buckeye - 3144</t>
  </si>
  <si>
    <t>BK TO Path 5</t>
  </si>
  <si>
    <t>BK TO - BK Cuyahoga Cuyahoga</t>
  </si>
  <si>
    <t>BK_65</t>
  </si>
  <si>
    <t>BK TRANS_0223_31.14.0</t>
  </si>
  <si>
    <t>NS Path 122</t>
  </si>
  <si>
    <t>NS - NS CLEVELAND OH</t>
  </si>
  <si>
    <t>NS_NS DECATUR IL-NS_NS CLEVELAND OH</t>
  </si>
  <si>
    <t>NS Path 16</t>
  </si>
  <si>
    <t>NS_NS Chicago IL-NS_NS CLEVELAND OH</t>
  </si>
  <si>
    <t>Dayton OH</t>
  </si>
  <si>
    <t>OH06</t>
  </si>
  <si>
    <t>OH Dayton - KM - 3106</t>
  </si>
  <si>
    <t>MPC ORV Path 3</t>
  </si>
  <si>
    <t>MPC ORV - Dayton</t>
  </si>
  <si>
    <t>MPC_12</t>
  </si>
  <si>
    <t>CSX Path 25</t>
  </si>
  <si>
    <t>CSX - CSX Dayton OH</t>
  </si>
  <si>
    <t>CSX_tariff_25</t>
  </si>
  <si>
    <t>OH12</t>
  </si>
  <si>
    <t>OH Dayton - Buckeye - 3115</t>
  </si>
  <si>
    <t>OH14</t>
  </si>
  <si>
    <t>OH Dayton - ETMT - 3117</t>
  </si>
  <si>
    <t>ET IN Path 1</t>
  </si>
  <si>
    <t>ET IN - ET Dayton Montgomery</t>
  </si>
  <si>
    <t>OH18</t>
  </si>
  <si>
    <t>OH Dayton - Citgo - 3121</t>
  </si>
  <si>
    <t>Dublin OH</t>
  </si>
  <si>
    <t>OH17</t>
  </si>
  <si>
    <t>OH Dublin - Citgo - 3120</t>
  </si>
  <si>
    <t>CSX Path 27</t>
  </si>
  <si>
    <t>CSX - CSX Dublin OH</t>
  </si>
  <si>
    <t>CSX_tariff_27</t>
  </si>
  <si>
    <t>Heath OH</t>
  </si>
  <si>
    <t>OH02</t>
  </si>
  <si>
    <t>OH Heath - MPC - 3102</t>
  </si>
  <si>
    <t>MPC ORV Path 1</t>
  </si>
  <si>
    <t>MPC ORV - MPC Heath Licking</t>
  </si>
  <si>
    <t>NS Path 177</t>
  </si>
  <si>
    <t>NS - NS HEATH OH</t>
  </si>
  <si>
    <t>NS_tariff_177</t>
  </si>
  <si>
    <t>Lebanon OH</t>
  </si>
  <si>
    <t>OH15</t>
  </si>
  <si>
    <t>OH Lebanon - ERPC - 3118</t>
  </si>
  <si>
    <t>CSX Path 43</t>
  </si>
  <si>
    <t>CSX - CSX Lebanon OH</t>
  </si>
  <si>
    <t>CSX_tariff_43</t>
  </si>
  <si>
    <t>NS Path 179</t>
  </si>
  <si>
    <t>NS - NS LEBANON OH</t>
  </si>
  <si>
    <t>NS_179</t>
  </si>
  <si>
    <t>Lima OH</t>
  </si>
  <si>
    <t>OH27</t>
  </si>
  <si>
    <t>OH Lima - Buckeye - 3146</t>
  </si>
  <si>
    <t>BK TO Path 8</t>
  </si>
  <si>
    <t>BK LIMA - BK Lima Refinery North Allen</t>
  </si>
  <si>
    <t>BK_57</t>
  </si>
  <si>
    <t>CSX Path 45</t>
  </si>
  <si>
    <t>CSX - CSX Lima OH</t>
  </si>
  <si>
    <t>CSX_tariff_45</t>
  </si>
  <si>
    <t>OH32</t>
  </si>
  <si>
    <t>OH Lima - MPC - 3152</t>
  </si>
  <si>
    <t>OH37</t>
  </si>
  <si>
    <t>OH Lima - Buckeye - 3158</t>
  </si>
  <si>
    <t>BK TO Path 7</t>
  </si>
  <si>
    <t>BK LIMA - BK Lima Refinery South Allen</t>
  </si>
  <si>
    <t>BK_58</t>
  </si>
  <si>
    <t>BK FINDLAY - BK Lima Refinery South Allen</t>
  </si>
  <si>
    <t>BK WOOD - BK Lima Refinery South Allen</t>
  </si>
  <si>
    <t>NS Path 19</t>
  </si>
  <si>
    <t>NS - NS LIMA OH</t>
  </si>
  <si>
    <t>NS_NS Chicago IL-NS_NS LIMA OH</t>
  </si>
  <si>
    <t>Lorain OH</t>
  </si>
  <si>
    <t>OH26</t>
  </si>
  <si>
    <t>OH Grafton - Buckeye - 3145</t>
  </si>
  <si>
    <t>BK TO Path 4</t>
  </si>
  <si>
    <t>BK TO - BK Lorain Lorain</t>
  </si>
  <si>
    <t>BK_70</t>
  </si>
  <si>
    <t>NS Path 123</t>
  </si>
  <si>
    <t>NS - NS LORAIN OH</t>
  </si>
  <si>
    <t>NS_NS DECATUR IL-NS_NS LORAIN OH</t>
  </si>
  <si>
    <t>NS Path 17</t>
  </si>
  <si>
    <t>NS_NS Chicago IL-NS_NS LORAIN OH</t>
  </si>
  <si>
    <t>Marietta OH</t>
  </si>
  <si>
    <t>OH03</t>
  </si>
  <si>
    <t>OH Marietta - MPC - 3103</t>
  </si>
  <si>
    <t>CSX Path 49</t>
  </si>
  <si>
    <t>CSX - CSX Marietta OH</t>
  </si>
  <si>
    <t>CSX_tariff_49</t>
  </si>
  <si>
    <t>Niles OH</t>
  </si>
  <si>
    <t>Youngstown OH</t>
  </si>
  <si>
    <t>OH45</t>
  </si>
  <si>
    <t>OH Niles - Buckeye - 3167</t>
  </si>
  <si>
    <t>CSX Path 63</t>
  </si>
  <si>
    <t>CSX - CSX Niles OH</t>
  </si>
  <si>
    <t>CSX_tariff_63</t>
  </si>
  <si>
    <t>Steubenville OH</t>
  </si>
  <si>
    <t>OH34</t>
  </si>
  <si>
    <t>OH Steubenville - MPC - 3154</t>
  </si>
  <si>
    <t>CSX Path 84</t>
  </si>
  <si>
    <t>CSX - CSX Steubenville OH</t>
  </si>
  <si>
    <t>CSX_tariff_84</t>
  </si>
  <si>
    <t>Toledo OH</t>
  </si>
  <si>
    <t>OH28</t>
  </si>
  <si>
    <t>OH Toledo - Buckeye - 3148</t>
  </si>
  <si>
    <t>BK TO Path 1</t>
  </si>
  <si>
    <t>BK TO - BK West Toledo Lucas</t>
  </si>
  <si>
    <t>BK_71</t>
  </si>
  <si>
    <t>NS Path 69</t>
  </si>
  <si>
    <t>NS - NS TOLEDO OH</t>
  </si>
  <si>
    <t>NS_NS Chicago IL-NS_NS TOLEDO OH</t>
  </si>
  <si>
    <t>NS Path 151</t>
  </si>
  <si>
    <t>NS_NS DECATUR IL-NS_NS TOLEDO OH</t>
  </si>
  <si>
    <t>OH29</t>
  </si>
  <si>
    <t>OH Toledo - Delta Fuels - 3149</t>
  </si>
  <si>
    <t>OH33</t>
  </si>
  <si>
    <t>OH Oregon - MPC - 3153</t>
  </si>
  <si>
    <t>OH40</t>
  </si>
  <si>
    <t>OH Toledo - PBF - 3161</t>
  </si>
  <si>
    <t>OH43</t>
  </si>
  <si>
    <t>OH Oregon - Citgo - 3165</t>
  </si>
  <si>
    <t>OH47</t>
  </si>
  <si>
    <t>OH Toledo - Zenith - 3169</t>
  </si>
  <si>
    <t>OH35</t>
  </si>
  <si>
    <t>OH Youngstown - MPC - 3155</t>
  </si>
  <si>
    <t>CSX Path 97</t>
  </si>
  <si>
    <t>CSX - CSX Youngstown OH</t>
  </si>
  <si>
    <t>CSX_tariff_97</t>
  </si>
  <si>
    <t>OH41</t>
  </si>
  <si>
    <t>OH Youngstown - ETMT - 3162</t>
  </si>
  <si>
    <t>ET YSTOWN Path 1</t>
  </si>
  <si>
    <t>ET YSTOWN - ET Youngstown</t>
  </si>
  <si>
    <t>ET_4</t>
  </si>
  <si>
    <t>ET IN OH_0723A_11.8</t>
  </si>
  <si>
    <t>OK</t>
  </si>
  <si>
    <t>Ardmore OK</t>
  </si>
  <si>
    <t>OK00</t>
  </si>
  <si>
    <t>OK Ardmore - Valero - 2600</t>
  </si>
  <si>
    <t>BNSF Path 9</t>
  </si>
  <si>
    <t>BNSF - BNSF Ardmore OK</t>
  </si>
  <si>
    <t>BNSF_tariff_9</t>
  </si>
  <si>
    <t>Enid OK</t>
  </si>
  <si>
    <t>OK01</t>
  </si>
  <si>
    <t>OK Enid - Mag - 2606</t>
  </si>
  <si>
    <t>MG TU Path 4</t>
  </si>
  <si>
    <t>MG TU - MG Enid Garfield</t>
  </si>
  <si>
    <t>MG_87</t>
  </si>
  <si>
    <t>BNSF Path 39</t>
  </si>
  <si>
    <t>BNSF - BNSF Enid OK</t>
  </si>
  <si>
    <t>BNSF_tariff_39</t>
  </si>
  <si>
    <t>Jenks OK</t>
  </si>
  <si>
    <t>Tulsa OK</t>
  </si>
  <si>
    <t>OK02</t>
  </si>
  <si>
    <t>OK Jenks - P66 - 2608</t>
  </si>
  <si>
    <t>EXPL28 Path 4</t>
  </si>
  <si>
    <t>EXPL28 - Pasadena</t>
  </si>
  <si>
    <t>EXPL28 - Tulsa P66</t>
  </si>
  <si>
    <t>EXPL_89</t>
  </si>
  <si>
    <t>BNSF Path 58</t>
  </si>
  <si>
    <t>BNSF - BNSF Jenks OK</t>
  </si>
  <si>
    <t>BNSF_tariff_58</t>
  </si>
  <si>
    <t>Oklahoma City OK</t>
  </si>
  <si>
    <t>OK03</t>
  </si>
  <si>
    <t>OK Oklahoma City - P66 - 2612</t>
  </si>
  <si>
    <t>BNSF Path 78</t>
  </si>
  <si>
    <t>BNSF - BNSF Oklahoma City OK</t>
  </si>
  <si>
    <t>BNSF_tariff_78</t>
  </si>
  <si>
    <t>OK04</t>
  </si>
  <si>
    <t>OK Oklahoma City - Mag - 2613</t>
  </si>
  <si>
    <t>MG TU Path 5</t>
  </si>
  <si>
    <t>MG TU - MG Oklahoma City</t>
  </si>
  <si>
    <t>MG_93</t>
  </si>
  <si>
    <t>MG SOR - MG Oklahoma City</t>
  </si>
  <si>
    <t>OK05</t>
  </si>
  <si>
    <t>OK Oklahoma City - SRPE - 2614</t>
  </si>
  <si>
    <t>Ponca City OK</t>
  </si>
  <si>
    <t>OK06</t>
  </si>
  <si>
    <t>OK Ponca City - P66 - 2617</t>
  </si>
  <si>
    <t>BNSF Path 84</t>
  </si>
  <si>
    <t>BNSF - BNSF Ponca City OK</t>
  </si>
  <si>
    <t>BNSF_tariff_84</t>
  </si>
  <si>
    <t>OK07</t>
  </si>
  <si>
    <t>OK Tulsa - HF Sinclair - 2620</t>
  </si>
  <si>
    <t>EXPL28 Path 5</t>
  </si>
  <si>
    <t>EXPL28 - West Tulsa</t>
  </si>
  <si>
    <t>EXPL_90</t>
  </si>
  <si>
    <t>BNSF Path 109</t>
  </si>
  <si>
    <t>BNSF - BNSF Tulsa OK</t>
  </si>
  <si>
    <t>BNSF_tariff_109</t>
  </si>
  <si>
    <t>OK08</t>
  </si>
  <si>
    <t>OK Tulsa - HF Sinclair - 2621</t>
  </si>
  <si>
    <t>OK09</t>
  </si>
  <si>
    <t>OK Tulsa - Mag - 2622</t>
  </si>
  <si>
    <t>MG N CTRL Path 161</t>
  </si>
  <si>
    <t>MG_229</t>
  </si>
  <si>
    <t>MG N CTRL Path 47</t>
  </si>
  <si>
    <t>MG_292</t>
  </si>
  <si>
    <t>MG N CTRL Path 128</t>
  </si>
  <si>
    <t>MG_231</t>
  </si>
  <si>
    <t>MG TU Path 12</t>
  </si>
  <si>
    <t>MG TU - MG Tulsa West Tulsa</t>
  </si>
  <si>
    <t>MG_80</t>
  </si>
  <si>
    <t>Wynnewood OK</t>
  </si>
  <si>
    <t>OK10</t>
  </si>
  <si>
    <t>OK Wynnewood - Wynnewood - 2624</t>
  </si>
  <si>
    <t>BNSF Path 119</t>
  </si>
  <si>
    <t>BNSF - BNSF Wynnewood OK</t>
  </si>
  <si>
    <t>BNSF_tariff_119</t>
  </si>
  <si>
    <t>OR</t>
  </si>
  <si>
    <t>Eugene OR</t>
  </si>
  <si>
    <t>OR03</t>
  </si>
  <si>
    <t>OR Eugene - SFPP - 4454</t>
  </si>
  <si>
    <t>KM OR Path 1</t>
  </si>
  <si>
    <t>KM OR - OP - KM EU Portland</t>
  </si>
  <si>
    <t>KM OR - KM Eugene Lane</t>
  </si>
  <si>
    <t>KM_28</t>
  </si>
  <si>
    <t>KM OR_0723_200.20.0</t>
  </si>
  <si>
    <t>BNSF Path 40</t>
  </si>
  <si>
    <t>BNSF - BNSF Eugene OR</t>
  </si>
  <si>
    <t>BNSF_tariff_40</t>
  </si>
  <si>
    <t>UP Path 202</t>
  </si>
  <si>
    <t>UP - UP JUNCTION CITY OR</t>
  </si>
  <si>
    <t>UP_202</t>
  </si>
  <si>
    <t>Portland OR</t>
  </si>
  <si>
    <t>OR04</t>
  </si>
  <si>
    <t>OR Portland - Seaport - 4455</t>
  </si>
  <si>
    <t>BNSF Path 85</t>
  </si>
  <si>
    <t>BNSF - BNSF Portland OR</t>
  </si>
  <si>
    <t>BNSF_tariff_85</t>
  </si>
  <si>
    <t>UP Path 214</t>
  </si>
  <si>
    <t>UP - UP PORTLAND OR</t>
  </si>
  <si>
    <t>UP_tariff_214</t>
  </si>
  <si>
    <t>OR06</t>
  </si>
  <si>
    <t>OR Portland - KM - 4457</t>
  </si>
  <si>
    <t>BP OP - OP - KM EU Portland</t>
  </si>
  <si>
    <t>OR08</t>
  </si>
  <si>
    <t>OR Portland - Shore - 4459</t>
  </si>
  <si>
    <t>OR09</t>
  </si>
  <si>
    <t>OR Portland - Shell - 4461</t>
  </si>
  <si>
    <t>OR10</t>
  </si>
  <si>
    <t>OR Portland - P66 - 4464</t>
  </si>
  <si>
    <t>OR11</t>
  </si>
  <si>
    <t>OR Portland - Zenith - 4465</t>
  </si>
  <si>
    <t>Umatilla OR</t>
  </si>
  <si>
    <t>OR02</t>
  </si>
  <si>
    <t>OR Umatilla - Tidewater - 4452</t>
  </si>
  <si>
    <t>BNSF Path 110</t>
  </si>
  <si>
    <t>BNSF - BNSF Umatilla OR</t>
  </si>
  <si>
    <t>BNSF_tariff_110</t>
  </si>
  <si>
    <t>UP Path 227</t>
  </si>
  <si>
    <t>UP - UP UMATILLA OR</t>
  </si>
  <si>
    <t>UP_tariff_227</t>
  </si>
  <si>
    <t>PA</t>
  </si>
  <si>
    <t>Allentown PA</t>
  </si>
  <si>
    <t>PA01</t>
  </si>
  <si>
    <t>PA Allentown - LHT - 1701</t>
  </si>
  <si>
    <t>BK NY Path 2</t>
  </si>
  <si>
    <t>BK NY - BK Allentown Lehigh</t>
  </si>
  <si>
    <t>BK_103</t>
  </si>
  <si>
    <t>BK LAUREL 0723 442.35.0</t>
  </si>
  <si>
    <t>BK PA Path 11</t>
  </si>
  <si>
    <t>BK_124</t>
  </si>
  <si>
    <t>NS Path 102</t>
  </si>
  <si>
    <t>NS - NS ALLENTOWN PA</t>
  </si>
  <si>
    <t>NS_NS DECATUR IL-NS_NS ALLENTOWN PA</t>
  </si>
  <si>
    <t>NS Path 28</t>
  </si>
  <si>
    <t>NS_NS Chicago IL-NS_NS ALLENTOWN PA</t>
  </si>
  <si>
    <t>Altoona PA</t>
  </si>
  <si>
    <t>PA46</t>
  </si>
  <si>
    <t>PA Altoona - LHT - 1767</t>
  </si>
  <si>
    <t>BK LAUREL Path 13</t>
  </si>
  <si>
    <t>BK LAUREL - Booth Delivery</t>
  </si>
  <si>
    <t>BK LAUREL - BK Altoona Blair</t>
  </si>
  <si>
    <t>BK_32</t>
  </si>
  <si>
    <t>BK LAUREL Path 24</t>
  </si>
  <si>
    <t>BK LAUREL - BK Chelsea Junction - ET Twin Oaks</t>
  </si>
  <si>
    <t>BK_43</t>
  </si>
  <si>
    <t>BK LAUREL Path 3</t>
  </si>
  <si>
    <t>BK_22</t>
  </si>
  <si>
    <t>NS Path 108</t>
  </si>
  <si>
    <t>NS - NS ALTOONA PA</t>
  </si>
  <si>
    <t>NS_NS DECATUR IL-NS_NS ALTOONA PA</t>
  </si>
  <si>
    <t>NS Path 34</t>
  </si>
  <si>
    <t>NS_NS Chicago IL-NS_NS ALTOONA PA</t>
  </si>
  <si>
    <t>PA56</t>
  </si>
  <si>
    <t>PA Altoona - Zenith - 1785</t>
  </si>
  <si>
    <t>PA57</t>
  </si>
  <si>
    <t>PA Altoona - ETMT - 1788</t>
  </si>
  <si>
    <t>PA30</t>
  </si>
  <si>
    <t>PA Aston - ETMT - 1746</t>
  </si>
  <si>
    <t>DPL Path 1</t>
  </si>
  <si>
    <t>DPL - DPL Delaware City Refinery</t>
  </si>
  <si>
    <t>DPL - BK Chelsea Junction - ET Twin Oaks</t>
  </si>
  <si>
    <t>PBF_1</t>
  </si>
  <si>
    <t>DPL 0723_3.15.0</t>
  </si>
  <si>
    <t>CSX Path 6</t>
  </si>
  <si>
    <t>CSX - CSX Aston PA</t>
  </si>
  <si>
    <t>CSX_tariff_6</t>
  </si>
  <si>
    <t>NS Path 173</t>
  </si>
  <si>
    <t>NS - NS CHESTER PA</t>
  </si>
  <si>
    <t>NS_tariff_173</t>
  </si>
  <si>
    <t>Blawnox PA</t>
  </si>
  <si>
    <t>Pittsburgh PA</t>
  </si>
  <si>
    <t>PA59</t>
  </si>
  <si>
    <t>PA Pittsburgh - ETMT - 1791</t>
  </si>
  <si>
    <t>NS Path 168</t>
  </si>
  <si>
    <t>NS - NS BLAWNOX PA</t>
  </si>
  <si>
    <t>NS_tariff_168</t>
  </si>
  <si>
    <t>Bradford PA</t>
  </si>
  <si>
    <t>Warren PA</t>
  </si>
  <si>
    <t>PA40</t>
  </si>
  <si>
    <t>PA Bradford - American Ref - 1764</t>
  </si>
  <si>
    <t>NS Path 198</t>
  </si>
  <si>
    <t>NS - NS OLEAN NY</t>
  </si>
  <si>
    <t>NS_tariff_198</t>
  </si>
  <si>
    <t>Coraopolis PA</t>
  </si>
  <si>
    <t>PA43</t>
  </si>
  <si>
    <t>PA Coraopolis - LHT - 1759</t>
  </si>
  <si>
    <t>BK LAUREL Path 1</t>
  </si>
  <si>
    <t>BK LAUREL - BK Coraopolis Allegheny</t>
  </si>
  <si>
    <t>BK_20</t>
  </si>
  <si>
    <t>BK LAUREL Path 11</t>
  </si>
  <si>
    <t>BK_30</t>
  </si>
  <si>
    <t>BK LAUREL Path 22</t>
  </si>
  <si>
    <t>BK_41</t>
  </si>
  <si>
    <t>BK TO Path 13</t>
  </si>
  <si>
    <t>BK TO - BK Coraopolis Allegheny</t>
  </si>
  <si>
    <t>BK_60</t>
  </si>
  <si>
    <t>NS Path 139</t>
  </si>
  <si>
    <t>NS - NS HAYSVILLE PA</t>
  </si>
  <si>
    <t>NS_NS DECATUR IL-NS_NS HAYSVILLE PA</t>
  </si>
  <si>
    <t>NS Path 21</t>
  </si>
  <si>
    <t>NS_NS Chicago IL-NS_NS HAYSVILLE PA</t>
  </si>
  <si>
    <t>PA53</t>
  </si>
  <si>
    <t>PA Coraopolis - LHT - 1780</t>
  </si>
  <si>
    <t>PA60</t>
  </si>
  <si>
    <t>PA Coraopolis - Buckeye - 1792</t>
  </si>
  <si>
    <t>Delmont PA</t>
  </si>
  <si>
    <t>PA44</t>
  </si>
  <si>
    <t>PA Delmont - ETMT - 1761</t>
  </si>
  <si>
    <t>BK LAUREL Path 12</t>
  </si>
  <si>
    <t>BK LAUREL - BK Delmont Westmoreland</t>
  </si>
  <si>
    <t>BK_31</t>
  </si>
  <si>
    <t>BK LAUREL Path 2</t>
  </si>
  <si>
    <t>BK_21</t>
  </si>
  <si>
    <t>BK LAUREL Path 23</t>
  </si>
  <si>
    <t>BK_42</t>
  </si>
  <si>
    <t>NS Path 140</t>
  </si>
  <si>
    <t>NS - NS GREENSBURG PA</t>
  </si>
  <si>
    <t>NS_NS DECATUR IL-NS_NS GREENSBURG PA</t>
  </si>
  <si>
    <t>NS Path 20</t>
  </si>
  <si>
    <t>NS_NS Chicago IL-NS_NS GREENSBURG PA</t>
  </si>
  <si>
    <t>PA52</t>
  </si>
  <si>
    <t>PA Delmont - LHT - 1778</t>
  </si>
  <si>
    <t>Harrisburg PA</t>
  </si>
  <si>
    <t>PA08</t>
  </si>
  <si>
    <t>PA Harrisburg - LHT - 1713</t>
  </si>
  <si>
    <t>BK LAUREL Path 15</t>
  </si>
  <si>
    <t>BK LAUREL - BK Highspire Dauphin</t>
  </si>
  <si>
    <t>BK_34</t>
  </si>
  <si>
    <t>BK LAUREL Path 26</t>
  </si>
  <si>
    <t>BK_45</t>
  </si>
  <si>
    <t>BK LAUREL Path 5</t>
  </si>
  <si>
    <t>BK_24</t>
  </si>
  <si>
    <t>BK PA Path 12</t>
  </si>
  <si>
    <t>BK PA - BK Harrisburg Dauphin</t>
  </si>
  <si>
    <t>BK_125</t>
  </si>
  <si>
    <t>NS Path 130</t>
  </si>
  <si>
    <t>NS - NS HARRISBURG PA</t>
  </si>
  <si>
    <t>NS_NS DECATUR IL-NS_NS HARRISBURG PA</t>
  </si>
  <si>
    <t>NS Path 54</t>
  </si>
  <si>
    <t>NS_NS Chicago IL-NS_NS HARRISBURG PA</t>
  </si>
  <si>
    <t>PA10</t>
  </si>
  <si>
    <t>PA Middletown - LHT - 1716</t>
  </si>
  <si>
    <t>Indianola PA</t>
  </si>
  <si>
    <t>PA48</t>
  </si>
  <si>
    <t>PA Indianola - Buckeye - 1771</t>
  </si>
  <si>
    <t>BK LAUREL - BK Indianola Allegheny</t>
  </si>
  <si>
    <t>BK TO - BK Indianola Allegheny</t>
  </si>
  <si>
    <t>Kingston PA</t>
  </si>
  <si>
    <t>Dupont PA</t>
  </si>
  <si>
    <t>PA12</t>
  </si>
  <si>
    <t>PA Edwardsville - ETMT - 1720</t>
  </si>
  <si>
    <t>NS Path 178</t>
  </si>
  <si>
    <t>NS - NS KINGSTON PA</t>
  </si>
  <si>
    <t>NS_tariff_178</t>
  </si>
  <si>
    <t>Macungie PA</t>
  </si>
  <si>
    <t>PA00</t>
  </si>
  <si>
    <t>PA Macungie - Buckeye - 1700</t>
  </si>
  <si>
    <t>BK NY Path 5</t>
  </si>
  <si>
    <t>BK NY - BK Macungie Lehigh</t>
  </si>
  <si>
    <t>BK_105</t>
  </si>
  <si>
    <t>BK PA Path 3</t>
  </si>
  <si>
    <t>BK_133</t>
  </si>
  <si>
    <t>BK PA - BK Macungie Lehigh</t>
  </si>
  <si>
    <t>NS Path 103</t>
  </si>
  <si>
    <t>NS - NS MACUNGIE PA</t>
  </si>
  <si>
    <t>NS_NS DECATUR IL-NS_NS MACUNGIE PA</t>
  </si>
  <si>
    <t>NS Path 31</t>
  </si>
  <si>
    <t>NS_NS Chicago IL-NS_NS MACUNGIE PA</t>
  </si>
  <si>
    <t>PA02</t>
  </si>
  <si>
    <t>PA Macungie - Buckeye - 1702</t>
  </si>
  <si>
    <t>PA23</t>
  </si>
  <si>
    <t>PA Macungie - Global - 1733</t>
  </si>
  <si>
    <t>Malvern PA</t>
  </si>
  <si>
    <t>PA06</t>
  </si>
  <si>
    <t>PA Exton - ETMT - 1710</t>
  </si>
  <si>
    <t>NS Path 148</t>
  </si>
  <si>
    <t>NS - NS MALVERN PA</t>
  </si>
  <si>
    <t>NS_NS DECATUR IL-NS_NS MALVERN PA</t>
  </si>
  <si>
    <t>NS Path 64</t>
  </si>
  <si>
    <t>NS_NS Chicago IL-NS_NS MALVERN PA</t>
  </si>
  <si>
    <t>PA11</t>
  </si>
  <si>
    <t>PA Frazer - Buckeye - 1718</t>
  </si>
  <si>
    <t>BK PA Path 13</t>
  </si>
  <si>
    <t>BK PA - BK Malvern Chester</t>
  </si>
  <si>
    <t>BK_127</t>
  </si>
  <si>
    <t>PA14</t>
  </si>
  <si>
    <t>PA Malvern - ETMT - 1722</t>
  </si>
  <si>
    <t>Mechanicsburg PA</t>
  </si>
  <si>
    <t>PA09</t>
  </si>
  <si>
    <t>PA Mechanicsburg - LHT - 1715</t>
  </si>
  <si>
    <t>BK LAUREL Path 16</t>
  </si>
  <si>
    <t>BK LAUREL - BK Mechanicsburg East Cumberland</t>
  </si>
  <si>
    <t>BK_35</t>
  </si>
  <si>
    <t>BK LAUREL Path 27</t>
  </si>
  <si>
    <t>BK_46</t>
  </si>
  <si>
    <t>BK LAUREL Path 6</t>
  </si>
  <si>
    <t>BK_25</t>
  </si>
  <si>
    <t>NS Path 131</t>
  </si>
  <si>
    <t>NS - NS MECHANICSBURG PA</t>
  </si>
  <si>
    <t>NS_NS DECATUR IL-NS_NS MECHANICSBURG PA</t>
  </si>
  <si>
    <t>NS Path 55</t>
  </si>
  <si>
    <t>NS_NS Chicago IL-NS_NS MECHANICSBURG PA</t>
  </si>
  <si>
    <t>PA15</t>
  </si>
  <si>
    <t>PA Mechanicsburg - Zenith - 1725</t>
  </si>
  <si>
    <t>PA16</t>
  </si>
  <si>
    <t>PA Mechanicsburg - ETMT - 1726</t>
  </si>
  <si>
    <t>Midland PA</t>
  </si>
  <si>
    <t>PA49</t>
  </si>
  <si>
    <t>PA Midland - MPC - 1773</t>
  </si>
  <si>
    <t>BK LAUREL Path 17</t>
  </si>
  <si>
    <t>BK LAUREL - BK - MPC Midland Beaver</t>
  </si>
  <si>
    <t>BK_36</t>
  </si>
  <si>
    <t>BK LAUREL Path 28</t>
  </si>
  <si>
    <t>BK_47</t>
  </si>
  <si>
    <t>BK LAUREL Path 7</t>
  </si>
  <si>
    <t>BK_26</t>
  </si>
  <si>
    <t>BK TO Path 11</t>
  </si>
  <si>
    <t>BK TO - BK - MPC Midland Beaver</t>
  </si>
  <si>
    <t>BK_66</t>
  </si>
  <si>
    <t>MPC ORV Path 4</t>
  </si>
  <si>
    <t>MPC ORV - BK - MPC Midland Beaver</t>
  </si>
  <si>
    <t>MPC_9</t>
  </si>
  <si>
    <t>CSX Path 51</t>
  </si>
  <si>
    <t>CSX - CSX Midland PA</t>
  </si>
  <si>
    <t>CSX_tariff_51</t>
  </si>
  <si>
    <t>Neville Island PA</t>
  </si>
  <si>
    <t>PA50</t>
  </si>
  <si>
    <t>PA Pittsburgh - LHT - 1776</t>
  </si>
  <si>
    <t>BK LAUREL Path 18</t>
  </si>
  <si>
    <t>BK LAUREL - BK Neville Island Allegheny</t>
  </si>
  <si>
    <t>BK_37</t>
  </si>
  <si>
    <t>BK LAUREL Path 29</t>
  </si>
  <si>
    <t>BK_48</t>
  </si>
  <si>
    <t>BK LAUREL Path 8</t>
  </si>
  <si>
    <t>BK_27</t>
  </si>
  <si>
    <t>BK TO Path 12</t>
  </si>
  <si>
    <t>BK TO - BK Neville Island Allegheny</t>
  </si>
  <si>
    <t>BK_61</t>
  </si>
  <si>
    <t>NS Path 141</t>
  </si>
  <si>
    <t>NS - NS NEVILLE ISLAND PA</t>
  </si>
  <si>
    <t>NS_NS DECATUR IL-NS_NS NEVILLE ISLAND PA</t>
  </si>
  <si>
    <t>NS Path 22</t>
  </si>
  <si>
    <t>NS_NS Chicago IL-NS_NS NEVILLE ISLAND PA</t>
  </si>
  <si>
    <t>Northumberland PA</t>
  </si>
  <si>
    <t>PA18</t>
  </si>
  <si>
    <t>PA Northumberland - LHT - 1728</t>
  </si>
  <si>
    <t>NS Path 197</t>
  </si>
  <si>
    <t>NS - NS NORTHUMBERLAND PA</t>
  </si>
  <si>
    <t>NS_tariff_197</t>
  </si>
  <si>
    <t>PA19</t>
  </si>
  <si>
    <t>PA Northumberland - ETMT - 1729</t>
  </si>
  <si>
    <t>PA20</t>
  </si>
  <si>
    <t>PA Philadelphia - PBF - 1730</t>
  </si>
  <si>
    <t>NS Path 149</t>
  </si>
  <si>
    <t>NS - NS PHILADELPHIA PA</t>
  </si>
  <si>
    <t>NS_NS DECATUR IL-NS_NS PHILADELPHIA PA</t>
  </si>
  <si>
    <t>NS Path 65</t>
  </si>
  <si>
    <t>NS_NS Chicago IL-NS_NS PHILADELPHIA PA</t>
  </si>
  <si>
    <t>PA24</t>
  </si>
  <si>
    <t>PA Philadelphia - PBF - 1734</t>
  </si>
  <si>
    <t>CPL Path 80</t>
  </si>
  <si>
    <t>CPL - Girard Point Delivery at Refinery</t>
  </si>
  <si>
    <t>CPL_Houston-CPL_Philadelphia-Girard Point</t>
  </si>
  <si>
    <t>PA25</t>
  </si>
  <si>
    <t>PA Philadelphia - ETMT - 1736</t>
  </si>
  <si>
    <t>PA26</t>
  </si>
  <si>
    <t>PA Philadelphia - PBF - 1737</t>
  </si>
  <si>
    <t>PA54</t>
  </si>
  <si>
    <t>PA Pittsburgh - ETMT - 1781</t>
  </si>
  <si>
    <t>NS Path 186</t>
  </si>
  <si>
    <t>NS - NS PITTSBURGH PA</t>
  </si>
  <si>
    <t>NS_tariff_186</t>
  </si>
  <si>
    <t>Sinking Springs PA</t>
  </si>
  <si>
    <t>PA35</t>
  </si>
  <si>
    <t>PA Reading - Buckeye - 1752</t>
  </si>
  <si>
    <t>BK NY Path 12</t>
  </si>
  <si>
    <t>BK PA - BK Tuckerton Berks</t>
  </si>
  <si>
    <t>BK_107</t>
  </si>
  <si>
    <t>BK PA Path 5</t>
  </si>
  <si>
    <t>BK_132</t>
  </si>
  <si>
    <t>NS Path 106</t>
  </si>
  <si>
    <t>NS - NS READING PA</t>
  </si>
  <si>
    <t>NS_NS DECATUR IL-NS_NS READING PA</t>
  </si>
  <si>
    <t>NS Path 32</t>
  </si>
  <si>
    <t>NS_NS Chicago IL-NS_NS READING PA</t>
  </si>
  <si>
    <t>Scranton PA</t>
  </si>
  <si>
    <t>PA03</t>
  </si>
  <si>
    <t>PA Pittston Township - Zenith - 1703</t>
  </si>
  <si>
    <t>BK NY Path 11</t>
  </si>
  <si>
    <t>BK NY - BK Dupont Luzerne</t>
  </si>
  <si>
    <t>BK_102</t>
  </si>
  <si>
    <t>BK PA Path 2</t>
  </si>
  <si>
    <t>BK_128</t>
  </si>
  <si>
    <t>NS Path 105</t>
  </si>
  <si>
    <t>NS - NS DUPONT WILKES BARRE PA</t>
  </si>
  <si>
    <t>NS_NS DECATUR IL-NS_NS DUPONT WILKES BARRE PA</t>
  </si>
  <si>
    <t>NS Path 29</t>
  </si>
  <si>
    <t>NS_NS Chicago IL-NS_NS DUPONT WILKES BARRE PA</t>
  </si>
  <si>
    <t>PA04</t>
  </si>
  <si>
    <t>PA Pittston - LHT - 1707</t>
  </si>
  <si>
    <t>Sinking Spring PA</t>
  </si>
  <si>
    <t>PA17</t>
  </si>
  <si>
    <t>PA Sinking Spring - Sunoco - 1727</t>
  </si>
  <si>
    <t>BK LAUREL Path 20</t>
  </si>
  <si>
    <t>BK LAUREL - BK Sinking Spring Berks</t>
  </si>
  <si>
    <t>BK_39</t>
  </si>
  <si>
    <t>BK LAUREL Path 10</t>
  </si>
  <si>
    <t>BK_29</t>
  </si>
  <si>
    <t>BK LAUREL Path 31</t>
  </si>
  <si>
    <t>BK_50</t>
  </si>
  <si>
    <t>BK PA Path 4</t>
  </si>
  <si>
    <t>BK PA - BK Sinking Spring Berks</t>
  </si>
  <si>
    <t>BK PA Path 1</t>
  </si>
  <si>
    <t>BK_106</t>
  </si>
  <si>
    <t>NS Path 107</t>
  </si>
  <si>
    <t>NS - NS SINKING SPRING PA</t>
  </si>
  <si>
    <t>NS_NS DECATUR IL-NS_NS SINKING SPRING PA</t>
  </si>
  <si>
    <t>NS Path 33</t>
  </si>
  <si>
    <t>NS_NS Chicago IL-NS_NS SINKING SPRING PA</t>
  </si>
  <si>
    <t>PA27</t>
  </si>
  <si>
    <t>PA Sinking Spring - LHT - 1742</t>
  </si>
  <si>
    <t>PA55</t>
  </si>
  <si>
    <t>PA Warren - United Refining - 1783</t>
  </si>
  <si>
    <t>PA07</t>
  </si>
  <si>
    <t>PA Whitehall - ETMT - 1711</t>
  </si>
  <si>
    <t>NS Path 30</t>
  </si>
  <si>
    <t>NS - NS FULLERTON PA</t>
  </si>
  <si>
    <t>NS_NS Chicago IL-NS_NS FULLERTON PA</t>
  </si>
  <si>
    <t>NS Path 104</t>
  </si>
  <si>
    <t>NS_NS DECATUR IL-NS_NS FULLERTON PA</t>
  </si>
  <si>
    <t>PA32</t>
  </si>
  <si>
    <t>PA Whitehall - LHT - 1748</t>
  </si>
  <si>
    <t>BK NY Path 13</t>
  </si>
  <si>
    <t>BK NY - BK Whitehall Lehigh</t>
  </si>
  <si>
    <t>BK_104</t>
  </si>
  <si>
    <t>Williamsport PA</t>
  </si>
  <si>
    <t>PA28</t>
  </si>
  <si>
    <t>PA South Williamsport - Buckeye - 1743</t>
  </si>
  <si>
    <t>NS Path 202</t>
  </si>
  <si>
    <t>NS - NS WILLIAMSPORT PA</t>
  </si>
  <si>
    <t>NS_tariff_202</t>
  </si>
  <si>
    <t>PA33</t>
  </si>
  <si>
    <t>PA Williamsport - Zenith - 1749</t>
  </si>
  <si>
    <t>RI</t>
  </si>
  <si>
    <t>Providence RI</t>
  </si>
  <si>
    <t>RI00</t>
  </si>
  <si>
    <t>RI Providence - Sprague - 1201</t>
  </si>
  <si>
    <t>CSX Path 75</t>
  </si>
  <si>
    <t>CSX - CSX Providence RI</t>
  </si>
  <si>
    <t>CSX_tariff_75</t>
  </si>
  <si>
    <t>RI01</t>
  </si>
  <si>
    <t>RI Providence - NE Petroleum - 1202</t>
  </si>
  <si>
    <t>RI02</t>
  </si>
  <si>
    <t>RI East Providence - Capital - 1203</t>
  </si>
  <si>
    <t>RI03</t>
  </si>
  <si>
    <t>RI Providence - Shell - 1205</t>
  </si>
  <si>
    <t>RI04</t>
  </si>
  <si>
    <t>RI East Providence - Exxon - 1207</t>
  </si>
  <si>
    <t>SC</t>
  </si>
  <si>
    <t>Belton SC</t>
  </si>
  <si>
    <t>SC00</t>
  </si>
  <si>
    <t>SC Belton - Buckeye - 2051</t>
  </si>
  <si>
    <t>CPL Path 29</t>
  </si>
  <si>
    <t>CPL - Belton Junction</t>
  </si>
  <si>
    <t>CPL_Houston-CPL_Belton</t>
  </si>
  <si>
    <t>PPL Path 19</t>
  </si>
  <si>
    <t>PPL - Belton</t>
  </si>
  <si>
    <t>PPL_5</t>
  </si>
  <si>
    <t>NS Path 146</t>
  </si>
  <si>
    <t>NS - NS BELTON SC</t>
  </si>
  <si>
    <t>NS_NS DECATUR IL-NS_NS BELTON SC</t>
  </si>
  <si>
    <t>NS Path 23</t>
  </si>
  <si>
    <t>NS_NS Chicago IL-NS_NS BELTON SC</t>
  </si>
  <si>
    <t>SC02</t>
  </si>
  <si>
    <t>SC Belton - MPC - 2053</t>
  </si>
  <si>
    <t>Charleston SC</t>
  </si>
  <si>
    <t>SC03</t>
  </si>
  <si>
    <t>SC Charleston - KM - 2054</t>
  </si>
  <si>
    <t>CSX Path 17</t>
  </si>
  <si>
    <t>CSX - CSX Charleston SC</t>
  </si>
  <si>
    <t>CSX_tariff_17</t>
  </si>
  <si>
    <t>NS Path 171</t>
  </si>
  <si>
    <t>NS - NS CHARLESTON SC</t>
  </si>
  <si>
    <t>NS_tariff_171</t>
  </si>
  <si>
    <t>SC09</t>
  </si>
  <si>
    <t>SC North Charleston - Buckeye - 2064</t>
  </si>
  <si>
    <t>SC16</t>
  </si>
  <si>
    <t>SC North Charleston - KM - 2066</t>
  </si>
  <si>
    <t>North Augusta SC</t>
  </si>
  <si>
    <t>SC04</t>
  </si>
  <si>
    <t>SC North Augusta - US Oil - 2059</t>
  </si>
  <si>
    <t>CPL Path 19</t>
  </si>
  <si>
    <t>CPL - North Augusta Delivery Facility</t>
  </si>
  <si>
    <t>CPL_Houston-CPL_North Augusta</t>
  </si>
  <si>
    <t>NS Path 114</t>
  </si>
  <si>
    <t>NS - NS AUGUSTA GA</t>
  </si>
  <si>
    <t>NS_NS DECATUR IL-NS_NS AUGUSTA GA</t>
  </si>
  <si>
    <t>NS Path 40</t>
  </si>
  <si>
    <t>NS_NS Chicago IL-NS_NS AUGUSTA GA</t>
  </si>
  <si>
    <t>SC05</t>
  </si>
  <si>
    <t>SC North Augusta - KM - 2060</t>
  </si>
  <si>
    <t>SC06</t>
  </si>
  <si>
    <t>SC North Augusta - Buckeye - 2061</t>
  </si>
  <si>
    <t>SC07</t>
  </si>
  <si>
    <t>SC North Augusta - KM - 2062</t>
  </si>
  <si>
    <t>SC08</t>
  </si>
  <si>
    <t>SC North Augusta - US Oil - 2063</t>
  </si>
  <si>
    <t>Spartanburg SC</t>
  </si>
  <si>
    <t>SC01</t>
  </si>
  <si>
    <t>SC Spartanburg - Buckeye - 2052</t>
  </si>
  <si>
    <t>CPL Path 30</t>
  </si>
  <si>
    <t>CPL - Spartanburg Delivery Facility</t>
  </si>
  <si>
    <t>CPL_Houston-CPL_Spartanburg</t>
  </si>
  <si>
    <t>PPL Path 20</t>
  </si>
  <si>
    <t>PPL - Spartanburg</t>
  </si>
  <si>
    <t>PPL_28</t>
  </si>
  <si>
    <t>NS Path 150</t>
  </si>
  <si>
    <t>NS - NS SPARTANBURG SC</t>
  </si>
  <si>
    <t>NS_NS DECATUR IL-NS_NS SPARTANBURG SC</t>
  </si>
  <si>
    <t>NS Path 24</t>
  </si>
  <si>
    <t>NS_NS Chicago IL-NS_NS SPARTANBURG SC</t>
  </si>
  <si>
    <t>SC10</t>
  </si>
  <si>
    <t>SC Spartanburg - SRPE - 2067</t>
  </si>
  <si>
    <t>SC11</t>
  </si>
  <si>
    <t>SC Spartanburg - US Oil - 2068</t>
  </si>
  <si>
    <t>SC12</t>
  </si>
  <si>
    <t>SC Spartanburg - KM - 2074</t>
  </si>
  <si>
    <t>SC13</t>
  </si>
  <si>
    <t>SC Spartanburg - Motiva - 2075</t>
  </si>
  <si>
    <t>SC14</t>
  </si>
  <si>
    <t>SC Spartanburg - US Oil - 2076</t>
  </si>
  <si>
    <t>SC15</t>
  </si>
  <si>
    <t>SC Spartanburg - Citgo - 2077</t>
  </si>
  <si>
    <t>SD</t>
  </si>
  <si>
    <t>Aberdeen SD</t>
  </si>
  <si>
    <t>SD00</t>
  </si>
  <si>
    <t>SD Aberdeen - Nustar - 3550</t>
  </si>
  <si>
    <t>NU EP Path 17</t>
  </si>
  <si>
    <t>NU EP - NU Aberdeen</t>
  </si>
  <si>
    <t>NS_30</t>
  </si>
  <si>
    <t>NU EP Path 57</t>
  </si>
  <si>
    <t>NS_89</t>
  </si>
  <si>
    <t>BNSF Path 2</t>
  </si>
  <si>
    <t>BNSF - BNSF Aberdeen SD</t>
  </si>
  <si>
    <t>BNSF_tariff_2</t>
  </si>
  <si>
    <t>Mitchell SD</t>
  </si>
  <si>
    <t>SD01</t>
  </si>
  <si>
    <t>SD Mitchell - Nustar - 3551</t>
  </si>
  <si>
    <t>NU EP Path 15</t>
  </si>
  <si>
    <t>NU EP - NU Mitchell</t>
  </si>
  <si>
    <t>NS_28</t>
  </si>
  <si>
    <t>NU EP Path 55</t>
  </si>
  <si>
    <t>NS_87</t>
  </si>
  <si>
    <t>BNSF Path 71</t>
  </si>
  <si>
    <t>BNSF - BNSF Mitchell SD</t>
  </si>
  <si>
    <t>BNSF_tariff_71</t>
  </si>
  <si>
    <t>Rapid City SD</t>
  </si>
  <si>
    <t>SD02</t>
  </si>
  <si>
    <t>SD Rapid City - Mag - 3552</t>
  </si>
  <si>
    <t>MG N CTRL Path 4</t>
  </si>
  <si>
    <t>MG N CTRL - MG - PAR Newcastle Jct</t>
  </si>
  <si>
    <t>MG N CTRL - MG Rapid City</t>
  </si>
  <si>
    <t>MG_364</t>
  </si>
  <si>
    <t>BNSF Path 86</t>
  </si>
  <si>
    <t>BNSF - BNSF Rapid City SD</t>
  </si>
  <si>
    <t>BNSF_tariff_86</t>
  </si>
  <si>
    <t>Sioux Falls SD</t>
  </si>
  <si>
    <t>SD03</t>
  </si>
  <si>
    <t>SD Sioux Falls - Nustar - 3553</t>
  </si>
  <si>
    <t>NU EP Path 54</t>
  </si>
  <si>
    <t>NU EP - NU Sioux Falls</t>
  </si>
  <si>
    <t>NS_86</t>
  </si>
  <si>
    <t>NU EP Path 14</t>
  </si>
  <si>
    <t>NS_27</t>
  </si>
  <si>
    <t>NU EP Path 30</t>
  </si>
  <si>
    <t>NS_43</t>
  </si>
  <si>
    <t>BNSF Path 99</t>
  </si>
  <si>
    <t>BNSF - BNSF Sioux Falls SD</t>
  </si>
  <si>
    <t>BNSF_tariff_99</t>
  </si>
  <si>
    <t>SD04</t>
  </si>
  <si>
    <t>SD Sioux Falls - Mag - 3554</t>
  </si>
  <si>
    <t>MG N CTRL Path 126</t>
  </si>
  <si>
    <t>MG N CTRL - MG Sioux Falls</t>
  </si>
  <si>
    <t>MG_222</t>
  </si>
  <si>
    <t>MG N CTRL Path 46</t>
  </si>
  <si>
    <t>MG_290</t>
  </si>
  <si>
    <t>MG N CTRL Path 206</t>
  </si>
  <si>
    <t>MG_161</t>
  </si>
  <si>
    <t>MG N CTRL Path 158</t>
  </si>
  <si>
    <t>MG_221</t>
  </si>
  <si>
    <t>MG N CTRL Path 70</t>
  </si>
  <si>
    <t>MG_258</t>
  </si>
  <si>
    <t>Watertown SD</t>
  </si>
  <si>
    <t>SD05</t>
  </si>
  <si>
    <t>SD Watertown - Mag - 3555</t>
  </si>
  <si>
    <t>MG N CTRL Path 50</t>
  </si>
  <si>
    <t>MG N CTRL - MG Watertown</t>
  </si>
  <si>
    <t>MG_295</t>
  </si>
  <si>
    <t>MG N CTRL Path 163</t>
  </si>
  <si>
    <t>MG_235</t>
  </si>
  <si>
    <t>MG N CTRL Path 211</t>
  </si>
  <si>
    <t>MG_168</t>
  </si>
  <si>
    <t>MG N CTRL Path 131</t>
  </si>
  <si>
    <t>MG_236</t>
  </si>
  <si>
    <t>MG N CTRL Path 72</t>
  </si>
  <si>
    <t>MG_260</t>
  </si>
  <si>
    <t>BNSF Path 112</t>
  </si>
  <si>
    <t>BNSF - BNSF Watertown SD</t>
  </si>
  <si>
    <t>BNSF_tariff_112</t>
  </si>
  <si>
    <t>Wolsey SD</t>
  </si>
  <si>
    <t>SD06</t>
  </si>
  <si>
    <t>SD Wolsey - Nustar - 3556</t>
  </si>
  <si>
    <t>NU EP Path 16</t>
  </si>
  <si>
    <t>NU EP - NU Wolsey</t>
  </si>
  <si>
    <t>NS_29</t>
  </si>
  <si>
    <t>NU EP Path 56</t>
  </si>
  <si>
    <t>NS_88</t>
  </si>
  <si>
    <t>BNSF Path 117</t>
  </si>
  <si>
    <t>BNSF - BNSF Wolsey SD</t>
  </si>
  <si>
    <t>BNSF_tariff_117</t>
  </si>
  <si>
    <t>Yankton SD</t>
  </si>
  <si>
    <t>SD07</t>
  </si>
  <si>
    <t>SD Yanton - Nustar - 3557</t>
  </si>
  <si>
    <t>NU EP Path 10</t>
  </si>
  <si>
    <t>NU EP - NU Yankton</t>
  </si>
  <si>
    <t>NS_23</t>
  </si>
  <si>
    <t>NU EP Path 50</t>
  </si>
  <si>
    <t>NS_82</t>
  </si>
  <si>
    <t>NU EP Path 26</t>
  </si>
  <si>
    <t>NS_39</t>
  </si>
  <si>
    <t>BNSF Path 120</t>
  </si>
  <si>
    <t>BNSF - BNSF Yankton SD</t>
  </si>
  <si>
    <t>BNSF_tariff_120</t>
  </si>
  <si>
    <t>TN</t>
  </si>
  <si>
    <t>TN00</t>
  </si>
  <si>
    <t>TN Chattanooga - Buckeye - 2200</t>
  </si>
  <si>
    <t>CPL Path 34</t>
  </si>
  <si>
    <t>CPL - Chattanooga Delivery</t>
  </si>
  <si>
    <t>CPL_Houston-CPL_Chattanooga</t>
  </si>
  <si>
    <t>NS Path 118</t>
  </si>
  <si>
    <t>NS - NS CHATTANOOGA TN</t>
  </si>
  <si>
    <t>NS_NS DECATUR IL-NS_NS CHATTANOOGA TN</t>
  </si>
  <si>
    <t>NS Path 41</t>
  </si>
  <si>
    <t>NS_NS Chicago IL-NS_NS CHATTANOOGA TN</t>
  </si>
  <si>
    <t>TN01</t>
  </si>
  <si>
    <t>TN Chattanooga - KM - 2201</t>
  </si>
  <si>
    <t>PPL Path 21</t>
  </si>
  <si>
    <t>PPL - Chattanooga</t>
  </si>
  <si>
    <t>PPL_10</t>
  </si>
  <si>
    <t>TN02</t>
  </si>
  <si>
    <t>TN Chattanooga - Citgo - 2202</t>
  </si>
  <si>
    <t>TN04</t>
  </si>
  <si>
    <t>TN Chattanooga - Colonial - 2207</t>
  </si>
  <si>
    <t>TN05</t>
  </si>
  <si>
    <t>TN Chattanooga - Buckeye - 2208</t>
  </si>
  <si>
    <t>Knoxville TN</t>
  </si>
  <si>
    <t>TN06</t>
  </si>
  <si>
    <t>TN Knoxville - Buckeye - 2211</t>
  </si>
  <si>
    <t>CPL Path 41</t>
  </si>
  <si>
    <t>CPL - Knoxville Delivery Facility</t>
  </si>
  <si>
    <t>CPL_Houston-CPL_Knoxville</t>
  </si>
  <si>
    <t>PPL Path 23</t>
  </si>
  <si>
    <t>PPL - Knoxville</t>
  </si>
  <si>
    <t>PPL_18</t>
  </si>
  <si>
    <t>TN08</t>
  </si>
  <si>
    <t>TN Knoxville - Citgo - 2213</t>
  </si>
  <si>
    <t>TN09</t>
  </si>
  <si>
    <t>TN Knoxville - PBF - 2214</t>
  </si>
  <si>
    <t>TN10</t>
  </si>
  <si>
    <t>TN Knoxville - KM - 2215</t>
  </si>
  <si>
    <t>TN11</t>
  </si>
  <si>
    <t>TN Knoxville - MPC - 2217</t>
  </si>
  <si>
    <t>TN12</t>
  </si>
  <si>
    <t>TN Knoxville - Shell - 2218</t>
  </si>
  <si>
    <t>TN13</t>
  </si>
  <si>
    <t>TN Knoxville - Buckeye - 2219</t>
  </si>
  <si>
    <t>TN17</t>
  </si>
  <si>
    <t>TN Memphis - Exxon - 2225</t>
  </si>
  <si>
    <t>ERPC Path 7</t>
  </si>
  <si>
    <t>ERPC - ERPC South Memphis</t>
  </si>
  <si>
    <t>EPP_12</t>
  </si>
  <si>
    <t>BNSF Path 123</t>
  </si>
  <si>
    <t>BNSF - BNSF Memphis TN</t>
  </si>
  <si>
    <t>BNSF_tariff_123</t>
  </si>
  <si>
    <t>CSX Path 50</t>
  </si>
  <si>
    <t>CSX - CSX Memphis TN</t>
  </si>
  <si>
    <t>CSX_tariff_50</t>
  </si>
  <si>
    <t>TN18</t>
  </si>
  <si>
    <t>TN Memphis - Delek - 2226</t>
  </si>
  <si>
    <t>TN19</t>
  </si>
  <si>
    <t>TN Memphis - Valero - 2227</t>
  </si>
  <si>
    <t>TN20</t>
  </si>
  <si>
    <t>TN Memphis - Petro FT - 2228</t>
  </si>
  <si>
    <t>Nashville TN</t>
  </si>
  <si>
    <t>TN03</t>
  </si>
  <si>
    <t>TN Nashville - Delek - 2204</t>
  </si>
  <si>
    <t>CPL Path 43</t>
  </si>
  <si>
    <t>CPL - East Nashville Delivery Facility</t>
  </si>
  <si>
    <t>CPL_Houston-CPL_Nashville-East</t>
  </si>
  <si>
    <t>CSX Path 56</t>
  </si>
  <si>
    <t>CSX - CSX Nashville TN Radnor Yard</t>
  </si>
  <si>
    <t>CSX_8</t>
  </si>
  <si>
    <t>CSX USRT PATH 20</t>
  </si>
  <si>
    <t>CSX USRT PATH 8</t>
  </si>
  <si>
    <t>TN21</t>
  </si>
  <si>
    <t>TN Nashville - Buckeye - 2231</t>
  </si>
  <si>
    <t>CPL Path 44</t>
  </si>
  <si>
    <t>CPL - Nashville Delivery</t>
  </si>
  <si>
    <t>CPL_Houston-CPL_Nashville</t>
  </si>
  <si>
    <t>TN22</t>
  </si>
  <si>
    <t>TN Nashville - MPC - 2232</t>
  </si>
  <si>
    <t>TN23</t>
  </si>
  <si>
    <t>TN Nashville - Citgo - 2233</t>
  </si>
  <si>
    <t>TN24</t>
  </si>
  <si>
    <t>TN Nashville - Cumberland - 2234</t>
  </si>
  <si>
    <t>TN25</t>
  </si>
  <si>
    <t>TN Nashville - Exxon - 2236</t>
  </si>
  <si>
    <t>TN26</t>
  </si>
  <si>
    <t>TN Nashville - MPC - 2237</t>
  </si>
  <si>
    <t>TN27</t>
  </si>
  <si>
    <t>TN Nashville - MPC - 2238</t>
  </si>
  <si>
    <t>TN28</t>
  </si>
  <si>
    <t>TN Nashville - Buckeye - 2240</t>
  </si>
  <si>
    <t>TN29</t>
  </si>
  <si>
    <t>TN Nashville - Shell - 2241</t>
  </si>
  <si>
    <t>TX</t>
  </si>
  <si>
    <t>Abernathy TX</t>
  </si>
  <si>
    <t>Lubbock TX</t>
  </si>
  <si>
    <t>TX31</t>
  </si>
  <si>
    <t>TX Abernathy - Nustar - 2650</t>
  </si>
  <si>
    <t>NU MK Path 1</t>
  </si>
  <si>
    <t>NU MK - McKee Sunray Refinery Sheerin Moore</t>
  </si>
  <si>
    <t>NU MK - NU Abernathy Hale</t>
  </si>
  <si>
    <t>NS_11</t>
  </si>
  <si>
    <t>NU MK 0723 99.6.0</t>
  </si>
  <si>
    <t>BNSF Path 3</t>
  </si>
  <si>
    <t>BNSF - BNSF Abernathy TX</t>
  </si>
  <si>
    <t>BNSF_tariff_3</t>
  </si>
  <si>
    <t>Abilene TX</t>
  </si>
  <si>
    <t>TX24</t>
  </si>
  <si>
    <t>TX Tye - HF Sinclair - 2748</t>
  </si>
  <si>
    <t>MG SOR Path 18</t>
  </si>
  <si>
    <t>MG SOR - MG Tye Abilene</t>
  </si>
  <si>
    <t>MG_123</t>
  </si>
  <si>
    <t>BNSF Path 4</t>
  </si>
  <si>
    <t>BNSF - BNSF Abilene TX</t>
  </si>
  <si>
    <t>BNSF_tariff_4</t>
  </si>
  <si>
    <t>UP Path 169</t>
  </si>
  <si>
    <t>UP - UP ABILENE TX</t>
  </si>
  <si>
    <t>UP_tariff_169</t>
  </si>
  <si>
    <t>TX32</t>
  </si>
  <si>
    <t>TX Abilene - Delek - 2652</t>
  </si>
  <si>
    <t>Aledo TX</t>
  </si>
  <si>
    <t>TX42</t>
  </si>
  <si>
    <t>TX Aledo - Mag - 2665</t>
  </si>
  <si>
    <t>MG SOR Path 16</t>
  </si>
  <si>
    <t>MG SOR - MG Ft Worth West Parker</t>
  </si>
  <si>
    <t>MG_125</t>
  </si>
  <si>
    <t>MG TU Path 2</t>
  </si>
  <si>
    <t>MG LR - MG Ft Worth West Parker</t>
  </si>
  <si>
    <t>MG_106</t>
  </si>
  <si>
    <t>MG TX_0823_50.24.0</t>
  </si>
  <si>
    <t>BNSF USRT PATH 10</t>
  </si>
  <si>
    <t>BNSF - BNSF Ft Worth TX Alliance Yard</t>
  </si>
  <si>
    <t>BNSF USRT PATH 18</t>
  </si>
  <si>
    <t>BNSF USRT PATH 2</t>
  </si>
  <si>
    <t>BNSF USRT PATH 26</t>
  </si>
  <si>
    <t>BNSF USRT PATH 34</t>
  </si>
  <si>
    <t>BNSF USRT PATH 42</t>
  </si>
  <si>
    <t>UP Path 134</t>
  </si>
  <si>
    <t>UP - UP ALEDO TX</t>
  </si>
  <si>
    <t>UP_UP COUNCIL BLUFFS IA-UP_UP ALEDO TX</t>
  </si>
  <si>
    <t>UP Path 49</t>
  </si>
  <si>
    <t>UP_UP Chicago IL-UP_UP ALEDO TX</t>
  </si>
  <si>
    <t>UP USRT PATH 10</t>
  </si>
  <si>
    <t>UP - UP Dallas TX Dallas Yard</t>
  </si>
  <si>
    <t>UP USRT PATH 17</t>
  </si>
  <si>
    <t>UP USRT PATH 2</t>
  </si>
  <si>
    <t>UP USRT PATH 25</t>
  </si>
  <si>
    <t>UP USRT PATH 33</t>
  </si>
  <si>
    <t>Amarillo TX</t>
  </si>
  <si>
    <t>TX33</t>
  </si>
  <si>
    <t>TX Amarillo - Nustar - 2653</t>
  </si>
  <si>
    <t>NU MK Path 2</t>
  </si>
  <si>
    <t>NU MK - NU Amarillo Potter</t>
  </si>
  <si>
    <t>NS_10</t>
  </si>
  <si>
    <t>UP Path 132</t>
  </si>
  <si>
    <t>UP - UP AMARILLO TX</t>
  </si>
  <si>
    <t>UP_UP COUNCIL BLUFFS IA-UP_UP AMARILLO TX</t>
  </si>
  <si>
    <t>UP Path 47</t>
  </si>
  <si>
    <t>UP_UP Chicago IL-UP_UP AMARILLO TX</t>
  </si>
  <si>
    <t>TX34</t>
  </si>
  <si>
    <t>TX Amarillo - P66 - 2654</t>
  </si>
  <si>
    <t>P66 AM Path 1</t>
  </si>
  <si>
    <t>P66 AM - P66 Amarillo Hutchinson</t>
  </si>
  <si>
    <t>P66_14</t>
  </si>
  <si>
    <t>P66 AM_0723_8.13</t>
  </si>
  <si>
    <t>Austin TX</t>
  </si>
  <si>
    <t>TX05</t>
  </si>
  <si>
    <t>TX Austin - FHR - 2706</t>
  </si>
  <si>
    <t>UP Path 173</t>
  </si>
  <si>
    <t>UP - UP AUSTIN TX</t>
  </si>
  <si>
    <t>UP_173</t>
  </si>
  <si>
    <t>Beaumont TX</t>
  </si>
  <si>
    <t>TX61</t>
  </si>
  <si>
    <t>TX Beaumont - Motiva - 2783</t>
  </si>
  <si>
    <t>BNSF Path 13</t>
  </si>
  <si>
    <t>BNSF - BNSF Beaumont TX</t>
  </si>
  <si>
    <t>BNSF_tariff_13</t>
  </si>
  <si>
    <t>UP Path 176</t>
  </si>
  <si>
    <t>UP - UP BEAUMONT TX</t>
  </si>
  <si>
    <t>UP_tariff_176</t>
  </si>
  <si>
    <t>TX68</t>
  </si>
  <si>
    <t>TX Beaumont - ETMT - 2798</t>
  </si>
  <si>
    <t>ERPC Path 18</t>
  </si>
  <si>
    <t>ERPC - ERPC Port Arthur Tank Farm</t>
  </si>
  <si>
    <t>EPP_23</t>
  </si>
  <si>
    <t>ERPC TX 132_0723_TX No. 132.14.0</t>
  </si>
  <si>
    <t>Big Sandy TX</t>
  </si>
  <si>
    <t>TX62</t>
  </si>
  <si>
    <t>TX Big Sandy - Delek - 2784</t>
  </si>
  <si>
    <t>UP Path 157</t>
  </si>
  <si>
    <t>UP - UP Big Sandy TX</t>
  </si>
  <si>
    <t>UP_tariff_8</t>
  </si>
  <si>
    <t>Big Spring TX</t>
  </si>
  <si>
    <t>TX35</t>
  </si>
  <si>
    <t>TX Big Springs - Delek - 2656</t>
  </si>
  <si>
    <t>UP Path 178</t>
  </si>
  <si>
    <t>UP - UP BIG SPRINGS TX</t>
  </si>
  <si>
    <t>UP_178</t>
  </si>
  <si>
    <t>Brownsville TX</t>
  </si>
  <si>
    <t>TX07</t>
  </si>
  <si>
    <t>TX Brownsville - Citgo - 2709</t>
  </si>
  <si>
    <t>TX93</t>
  </si>
  <si>
    <t>TX Brownsville - Sunoco - 2769</t>
  </si>
  <si>
    <t>Bryan TX</t>
  </si>
  <si>
    <t>TX09</t>
  </si>
  <si>
    <t>TX Bryan - US Oil - 2713</t>
  </si>
  <si>
    <t>EXPL10 Path 4</t>
  </si>
  <si>
    <t>EXPL10 - Allendale Refinery</t>
  </si>
  <si>
    <t>EXPL10 - Bryan</t>
  </si>
  <si>
    <t>EXPL_111</t>
  </si>
  <si>
    <t>UP Path 158</t>
  </si>
  <si>
    <t>UP - UP Bryan TX</t>
  </si>
  <si>
    <t>UP_tariff_9</t>
  </si>
  <si>
    <t>TX29</t>
  </si>
  <si>
    <t>TX Buda - Mustang - 2758</t>
  </si>
  <si>
    <t>UP Path 181</t>
  </si>
  <si>
    <t>UP - UP BUDA TX</t>
  </si>
  <si>
    <t>UP_181</t>
  </si>
  <si>
    <t>Caddo Mills TX</t>
  </si>
  <si>
    <t>TX37</t>
  </si>
  <si>
    <t>TX Caddo Mills - JP Energy - 2659</t>
  </si>
  <si>
    <t>EXPL28 Path 2</t>
  </si>
  <si>
    <t>EXPL28 - Greenville</t>
  </si>
  <si>
    <t>EXPL_79</t>
  </si>
  <si>
    <t>EXPL10 - Greenville</t>
  </si>
  <si>
    <t>UP Path 101</t>
  </si>
  <si>
    <t>UP - UP CADDO MILLS TX</t>
  </si>
  <si>
    <t>UP_UP Cedar Rapids IA-UP_UP CADDO MILLS TX</t>
  </si>
  <si>
    <t>UP Path 54</t>
  </si>
  <si>
    <t>UP_UP Chicago IL-UP_UP CADDO MILLS TX</t>
  </si>
  <si>
    <t>Center TX</t>
  </si>
  <si>
    <t>TX49</t>
  </si>
  <si>
    <t>TX Center - ETMT - 2678</t>
  </si>
  <si>
    <t>BNSF Path 23</t>
  </si>
  <si>
    <t>BNSF - BNSF Center TX</t>
  </si>
  <si>
    <t>BNSF_tariff_23</t>
  </si>
  <si>
    <t>Corpus Christi TX</t>
  </si>
  <si>
    <t>TX10</t>
  </si>
  <si>
    <t>TX Corpus Christi - Valero - 2714</t>
  </si>
  <si>
    <t>BNSF Path 29</t>
  </si>
  <si>
    <t>BNSF - BNSF Corpus Christi TX</t>
  </si>
  <si>
    <t>BNSF_tariff_29</t>
  </si>
  <si>
    <t>UP Path 187</t>
  </si>
  <si>
    <t>UP - UP CORPUS CHRISTI TX</t>
  </si>
  <si>
    <t>UP_tariff_187</t>
  </si>
  <si>
    <t>TX12</t>
  </si>
  <si>
    <t>TX Corpus Christi - Citgo - 2716</t>
  </si>
  <si>
    <t>TX13</t>
  </si>
  <si>
    <t>TX Corpus Christi - FHR - 2721</t>
  </si>
  <si>
    <t>Dallas TX</t>
  </si>
  <si>
    <t>TX39</t>
  </si>
  <si>
    <t>TX Dallas - Mag - 2661</t>
  </si>
  <si>
    <t>EXPL10 Path 7</t>
  </si>
  <si>
    <t>EXPL10 - Dallas</t>
  </si>
  <si>
    <t>MG SOR Path 10</t>
  </si>
  <si>
    <t>MG SOR - MG Dallas Dallas</t>
  </si>
  <si>
    <t>MG_111</t>
  </si>
  <si>
    <t>MG TU Path 1</t>
  </si>
  <si>
    <t>MG DA - MG Dallas Dallas</t>
  </si>
  <si>
    <t>MG_104</t>
  </si>
  <si>
    <t>UP Path 236</t>
  </si>
  <si>
    <t>UP - UP DALLAS TX</t>
  </si>
  <si>
    <t>UP_tariff_236</t>
  </si>
  <si>
    <t>TX40</t>
  </si>
  <si>
    <t>TX Dallas - Motiva - 2662</t>
  </si>
  <si>
    <t>Deer Park TX</t>
  </si>
  <si>
    <t>Houston TX</t>
  </si>
  <si>
    <t>TX80</t>
  </si>
  <si>
    <t>TX Deer Park - Vopak - 2820</t>
  </si>
  <si>
    <t>BNSF USRT PATH 11</t>
  </si>
  <si>
    <t>BNSF - BNSF Houston TX South Yard</t>
  </si>
  <si>
    <t>BNSF USRT PATH 19</t>
  </si>
  <si>
    <t>BNSF USRT PATH 27</t>
  </si>
  <si>
    <t>BNSF USRT PATH 3</t>
  </si>
  <si>
    <t>BNSF USRT PATH 35</t>
  </si>
  <si>
    <t>BNSF USRT PATH 43</t>
  </si>
  <si>
    <t>UP Path 140</t>
  </si>
  <si>
    <t>UP - UP Houston TX Englewood Yard</t>
  </si>
  <si>
    <t>UP_UP COUNCIL BLUFFS IA-UP_UP HOUSTON TX</t>
  </si>
  <si>
    <t>UP Path 190</t>
  </si>
  <si>
    <t>UP - UP DEER PARK TX</t>
  </si>
  <si>
    <t>UP_tariff_190</t>
  </si>
  <si>
    <t>UP USRT PATH 12</t>
  </si>
  <si>
    <t>UP USRT PATH 19</t>
  </si>
  <si>
    <t>UP_18</t>
  </si>
  <si>
    <t>UP USRT PATH 27</t>
  </si>
  <si>
    <t>UP USRT PATH 35</t>
  </si>
  <si>
    <t>UP USRT PATH 4</t>
  </si>
  <si>
    <t>Delmita TX</t>
  </si>
  <si>
    <t>TX91</t>
  </si>
  <si>
    <t>TX Delmita - FHR - 2768</t>
  </si>
  <si>
    <t>UP Path 192</t>
  </si>
  <si>
    <t>UP - UP EDINBURG TX</t>
  </si>
  <si>
    <t>UP_tariff_192</t>
  </si>
  <si>
    <t>Edinburg TX</t>
  </si>
  <si>
    <t>TX01</t>
  </si>
  <si>
    <t>TX Edinburg - Nustar - 2700</t>
  </si>
  <si>
    <t>El Paso TX</t>
  </si>
  <si>
    <t>TX14</t>
  </si>
  <si>
    <t>TX El Paso - Western - 2724</t>
  </si>
  <si>
    <t>UP Path 139</t>
  </si>
  <si>
    <t>UP - UP EL PASO TX</t>
  </si>
  <si>
    <t>UP_UP COUNCIL BLUFFS IA-UP_UP EL PASO TX</t>
  </si>
  <si>
    <t>UP Path 57</t>
  </si>
  <si>
    <t>UP_UP Chicago IL-UP_UP EL PASO TX</t>
  </si>
  <si>
    <t>TX15</t>
  </si>
  <si>
    <t>TX El Paso - HF Sinclair - 2726</t>
  </si>
  <si>
    <t>TX26</t>
  </si>
  <si>
    <t>TX El Paso - Nustar - 2750</t>
  </si>
  <si>
    <t>TX27</t>
  </si>
  <si>
    <t>TX El Paso - Mag - 2751</t>
  </si>
  <si>
    <t>MG EP Path 6</t>
  </si>
  <si>
    <t>MG EP - MG El Paso East</t>
  </si>
  <si>
    <t>MG_74</t>
  </si>
  <si>
    <t>MG SOR Path 1</t>
  </si>
  <si>
    <t>MG SOR - MG El Paso East</t>
  </si>
  <si>
    <t>MG_113</t>
  </si>
  <si>
    <t>MG AB - MG El Paso East</t>
  </si>
  <si>
    <t>MG ST - MG El Paso East</t>
  </si>
  <si>
    <t>Euless TX</t>
  </si>
  <si>
    <t>TX41</t>
  </si>
  <si>
    <t>TX Euless - FHR - 2664</t>
  </si>
  <si>
    <t>EXPL10 Path 11</t>
  </si>
  <si>
    <t>EXPL10 - Euless</t>
  </si>
  <si>
    <t>EXPL_118</t>
  </si>
  <si>
    <t>UP Path 135</t>
  </si>
  <si>
    <t>UP - UP ARLINGTON TX</t>
  </si>
  <si>
    <t>UP_UP COUNCIL BLUFFS IA-UP_UP ARLINGTON TX</t>
  </si>
  <si>
    <t>UP Path 50</t>
  </si>
  <si>
    <t>UP_UP Chicago IL-UP_UP ARLINGTON TX</t>
  </si>
  <si>
    <t>TX57</t>
  </si>
  <si>
    <t>TX Euless - Sunoco - 2690</t>
  </si>
  <si>
    <t>Fort Worth TX</t>
  </si>
  <si>
    <t>TX43</t>
  </si>
  <si>
    <t>TX Fort Worth - US Oil - 2666</t>
  </si>
  <si>
    <t>EXPL10 Path 8</t>
  </si>
  <si>
    <t>EXPL10 - Fort Worth</t>
  </si>
  <si>
    <t>EXPL_119</t>
  </si>
  <si>
    <t>UP Path 136</t>
  </si>
  <si>
    <t>UP - UP FORT WORTH TX</t>
  </si>
  <si>
    <t>UP_UP COUNCIL BLUFFS IA-UP_UP FORT WORTH TX</t>
  </si>
  <si>
    <t>UP Path 52</t>
  </si>
  <si>
    <t>UP_UP Chicago IL-UP_UP FORT WORTH TX</t>
  </si>
  <si>
    <t>TX44</t>
  </si>
  <si>
    <t>TX Fort Worth - US Oil - 2667</t>
  </si>
  <si>
    <t>EXPL10 Path 12</t>
  </si>
  <si>
    <t>EXPL10 - Fort Worth US Oil</t>
  </si>
  <si>
    <t>EXPL_121</t>
  </si>
  <si>
    <t>TX45</t>
  </si>
  <si>
    <t>TX Fort Worth - Motiva - 2669</t>
  </si>
  <si>
    <t>EXPL10 Path 9</t>
  </si>
  <si>
    <t>EXPL10 - Fort Worth Motiva</t>
  </si>
  <si>
    <t>EXPL_120</t>
  </si>
  <si>
    <t>Frost TX</t>
  </si>
  <si>
    <t>TX84</t>
  </si>
  <si>
    <t>TX Mertens - Mag - 2833</t>
  </si>
  <si>
    <t>MG SOR Path 12</t>
  </si>
  <si>
    <t>MG SOR - MG Frost Mertens Navarro</t>
  </si>
  <si>
    <t>MG_117</t>
  </si>
  <si>
    <t>MG SOR Path 7</t>
  </si>
  <si>
    <t>MG EP - MG Frost Mertens Navarro</t>
  </si>
  <si>
    <t>MG LR - MG Frost Mertens Navarro</t>
  </si>
  <si>
    <t>MG TU - MG Frost Mertens Navarro</t>
  </si>
  <si>
    <t>BNSF Path 46</t>
  </si>
  <si>
    <t>BNSF - BNSF Frost TX</t>
  </si>
  <si>
    <t>BNSF_tariff_46</t>
  </si>
  <si>
    <t>Galena Park TX</t>
  </si>
  <si>
    <t>TX63</t>
  </si>
  <si>
    <t>TX Galena Park - KM - 2788</t>
  </si>
  <si>
    <t>UP Path 197</t>
  </si>
  <si>
    <t>UP - UP GALENA PARK TX</t>
  </si>
  <si>
    <t>UP_tariff_197</t>
  </si>
  <si>
    <t>TX64</t>
  </si>
  <si>
    <t>TX Galena Park - Chevron - 2789</t>
  </si>
  <si>
    <t>TX66</t>
  </si>
  <si>
    <t>TX Galena Park - Mag - 2792</t>
  </si>
  <si>
    <t>Grapevine TX</t>
  </si>
  <si>
    <t>TX46</t>
  </si>
  <si>
    <t>TX Grapevine - Mag - 2671</t>
  </si>
  <si>
    <t>EXPL10 Path 14</t>
  </si>
  <si>
    <t>EXPL10 - Grapevine</t>
  </si>
  <si>
    <t>EXPL_116</t>
  </si>
  <si>
    <t>UP Path 137</t>
  </si>
  <si>
    <t>UP - UP ROANOKE TX</t>
  </si>
  <si>
    <t>UP_UP COUNCIL BLUFFS IA-UP_UP ROANOKE TX</t>
  </si>
  <si>
    <t>UP Path 53</t>
  </si>
  <si>
    <t>UP_UP Chicago IL-UP_UP ROANOKE TX</t>
  </si>
  <si>
    <t>TX50</t>
  </si>
  <si>
    <t>TX Grapevine - Nustar - 2680</t>
  </si>
  <si>
    <t>Harlingen TX</t>
  </si>
  <si>
    <t>TX16</t>
  </si>
  <si>
    <t>TX Harlingen - Nustar - 2729</t>
  </si>
  <si>
    <t>BNSF Path 53</t>
  </si>
  <si>
    <t>BNSF - BNSF Harlingen TX</t>
  </si>
  <si>
    <t>BNSF_tariff_53</t>
  </si>
  <si>
    <t>UP Path 199</t>
  </si>
  <si>
    <t>UP - UP HARLINGEN TX</t>
  </si>
  <si>
    <t>UP_tariff_199</t>
  </si>
  <si>
    <t>Hearne TX</t>
  </si>
  <si>
    <t>TX00</t>
  </si>
  <si>
    <t>TX Hearne - ETMT - 2658</t>
  </si>
  <si>
    <t>UP Path 159</t>
  </si>
  <si>
    <t>UP - UP Hearne TX</t>
  </si>
  <si>
    <t>UP_tariff_10</t>
  </si>
  <si>
    <t>TX02</t>
  </si>
  <si>
    <t>TX Hearne - Motiva - 2702</t>
  </si>
  <si>
    <t>EXPL10 Path 5</t>
  </si>
  <si>
    <t>EXPL10 - Hearne Robertson</t>
  </si>
  <si>
    <t>EXPL_110</t>
  </si>
  <si>
    <t>MG EP Path 7</t>
  </si>
  <si>
    <t>EXPL28 - Port Arthur Jefferson</t>
  </si>
  <si>
    <t>MG EP - Hearne Robertson</t>
  </si>
  <si>
    <t>MG_369</t>
  </si>
  <si>
    <t>MG PT ARTH_0124_54.25.0</t>
  </si>
  <si>
    <t>MG SOR Path 13</t>
  </si>
  <si>
    <t>MG SOR - Hearne Robertson</t>
  </si>
  <si>
    <t>MG_118</t>
  </si>
  <si>
    <t>MG DA - Hearne Robertson</t>
  </si>
  <si>
    <t>TX83</t>
  </si>
  <si>
    <t>TX Houston - Mag - 2831</t>
  </si>
  <si>
    <t>EXPL10 - Fauna Station and Tank Farm</t>
  </si>
  <si>
    <t>EXPL28 - Fauna Station and Tank Farm</t>
  </si>
  <si>
    <t>Irving TX</t>
  </si>
  <si>
    <t>TX38</t>
  </si>
  <si>
    <t>TX Irving - Exxon - 2660</t>
  </si>
  <si>
    <t>EXPL10 Path 13</t>
  </si>
  <si>
    <t>EXPL10 - Irving</t>
  </si>
  <si>
    <t>EXPL_115</t>
  </si>
  <si>
    <t>UP Path 102</t>
  </si>
  <si>
    <t>UP - UP IRVING TX</t>
  </si>
  <si>
    <t>UP_UP Cedar Rapids IA-UP_UP IRVING TX</t>
  </si>
  <si>
    <t>UP Path 55</t>
  </si>
  <si>
    <t>UP_UP Chicago IL-UP_UP IRVING TX</t>
  </si>
  <si>
    <t>Laredo TX</t>
  </si>
  <si>
    <t>TX11</t>
  </si>
  <si>
    <t>TX Laredo - Nustar - 2715</t>
  </si>
  <si>
    <t>UP Path 204</t>
  </si>
  <si>
    <t>UP - UP LAREDO TX</t>
  </si>
  <si>
    <t>UP_tariff_204</t>
  </si>
  <si>
    <t>TX47</t>
  </si>
  <si>
    <t>TX Lubbock - P66 - 2674</t>
  </si>
  <si>
    <t>NU MK Path 3</t>
  </si>
  <si>
    <t>NU MK - NU Lubbock Lubbock</t>
  </si>
  <si>
    <t>NS_12</t>
  </si>
  <si>
    <t>UP Path 133</t>
  </si>
  <si>
    <t>UP - UP LUBBOCK TX</t>
  </si>
  <si>
    <t>UP_UP COUNCIL BLUFFS IA-UP_UP LUBBOCK TX</t>
  </si>
  <si>
    <t>UP Path 48</t>
  </si>
  <si>
    <t>UP_UP Chicago IL-UP_UP LUBBOCK TX</t>
  </si>
  <si>
    <t>TX58</t>
  </si>
  <si>
    <t>TX Lubbock - ProPetro - 2694</t>
  </si>
  <si>
    <t>Melissa TX</t>
  </si>
  <si>
    <t>TX94</t>
  </si>
  <si>
    <t>TX Melissa - US Oil -2697</t>
  </si>
  <si>
    <t>EXPL28 Path 3</t>
  </si>
  <si>
    <t>EXPL28 - Melissa</t>
  </si>
  <si>
    <t>EXPL_88</t>
  </si>
  <si>
    <t>UP Path 103</t>
  </si>
  <si>
    <t>UP - UP MELISSA TX</t>
  </si>
  <si>
    <t>UP_UP Cedar Rapids IA-UP_UP MELISSA TX</t>
  </si>
  <si>
    <t>UP Path 56</t>
  </si>
  <si>
    <t>UP_UP Chicago IL-UP_UP MELISSA TX</t>
  </si>
  <si>
    <t>Mount Pleasant TX</t>
  </si>
  <si>
    <t>TX48</t>
  </si>
  <si>
    <t>TX Mount Pleasant - Delek - 2676</t>
  </si>
  <si>
    <t>UP Path 160</t>
  </si>
  <si>
    <t>UP - UP Mount Pleasant TX</t>
  </si>
  <si>
    <t>UP_tariff_11</t>
  </si>
  <si>
    <t>North Houston TX</t>
  </si>
  <si>
    <t>TX65</t>
  </si>
  <si>
    <t>TX Houston - Gulf Coast - 2790</t>
  </si>
  <si>
    <t>ERPC Path 17</t>
  </si>
  <si>
    <t>ERPC - ERPC Gulf Coast</t>
  </si>
  <si>
    <t>EPP_22</t>
  </si>
  <si>
    <t>ERPC TX 118_0723_TX No. 118.7.0</t>
  </si>
  <si>
    <t>TX67</t>
  </si>
  <si>
    <t>TX Houston - US Oil - 2794</t>
  </si>
  <si>
    <t>EXPL10 Path 3</t>
  </si>
  <si>
    <t>EXPL10 - North Houston</t>
  </si>
  <si>
    <t>EXPL_109</t>
  </si>
  <si>
    <t>TX72</t>
  </si>
  <si>
    <t>TX Houston - Exxon - 2808</t>
  </si>
  <si>
    <t>TX78</t>
  </si>
  <si>
    <t>TX Houston - ERPC - 2817</t>
  </si>
  <si>
    <t>ERPC Path 16</t>
  </si>
  <si>
    <t>ERPC - ERPC North Houston</t>
  </si>
  <si>
    <t>EPP_21</t>
  </si>
  <si>
    <t>Odessa TX</t>
  </si>
  <si>
    <t>TX54</t>
  </si>
  <si>
    <t>TX Odessa - Mag - 2685</t>
  </si>
  <si>
    <t>MG SOR Path 4</t>
  </si>
  <si>
    <t>MG SOR - MG Odessa Ector</t>
  </si>
  <si>
    <t>MG_119</t>
  </si>
  <si>
    <t>MG EP - MG Odessa Ector</t>
  </si>
  <si>
    <t>UP Path 141</t>
  </si>
  <si>
    <t>UP - UP ODESSA TX</t>
  </si>
  <si>
    <t>UP_UP COUNCIL BLUFFS IA-UP_UP ODESSA TX</t>
  </si>
  <si>
    <t>UP Path 59</t>
  </si>
  <si>
    <t>UP_UP Chicago IL-UP_UP ODESSA TX</t>
  </si>
  <si>
    <t>Pasadena TX</t>
  </si>
  <si>
    <t>TX60</t>
  </si>
  <si>
    <t>TX Pasadena - Motiva - 2782</t>
  </si>
  <si>
    <t>EXPL10 Path 1</t>
  </si>
  <si>
    <t>EXPL10 - Allendale Motiva Loop</t>
  </si>
  <si>
    <t>UP Path 212</t>
  </si>
  <si>
    <t>UP - UP PASADENA TX</t>
  </si>
  <si>
    <t>UP_tariff_212</t>
  </si>
  <si>
    <t>TX73</t>
  </si>
  <si>
    <t>TX Pasadena - KM - 2809</t>
  </si>
  <si>
    <t>TX74</t>
  </si>
  <si>
    <t>TX Pasadena - P66 - 2811</t>
  </si>
  <si>
    <t>TX82</t>
  </si>
  <si>
    <t>TX Pasadena - KM - 2830</t>
  </si>
  <si>
    <t>TX92</t>
  </si>
  <si>
    <t>TX Pasadena - MVP - 2865</t>
  </si>
  <si>
    <t>San Angelo TX</t>
  </si>
  <si>
    <t>TX55</t>
  </si>
  <si>
    <t>TX San Angelo - Delek - 2686</t>
  </si>
  <si>
    <t>San Antonio TX</t>
  </si>
  <si>
    <t>TX08</t>
  </si>
  <si>
    <t>TX San Antonio - TSAR - 2712</t>
  </si>
  <si>
    <t>BNSF Path 93</t>
  </si>
  <si>
    <t>BNSF - BNSF San Antonio TX</t>
  </si>
  <si>
    <t>BNSF_tariff_93</t>
  </si>
  <si>
    <t>UP Path 219</t>
  </si>
  <si>
    <t>UP - UP SAN ANTONIO TX</t>
  </si>
  <si>
    <t>UP_219</t>
  </si>
  <si>
    <t>TX17</t>
  </si>
  <si>
    <t>TX San Antonio - Citgo - 2737</t>
  </si>
  <si>
    <t>TX18</t>
  </si>
  <si>
    <t>TX San Antonio - Nustar - 2738</t>
  </si>
  <si>
    <t>TX19</t>
  </si>
  <si>
    <t>TX San Antonio - Nustar - 2739</t>
  </si>
  <si>
    <t>TX20</t>
  </si>
  <si>
    <t>TX San Antonio - Exxon - 2740</t>
  </si>
  <si>
    <t>TX21</t>
  </si>
  <si>
    <t>TX San Antonio - FHR - 2742</t>
  </si>
  <si>
    <t>TX22</t>
  </si>
  <si>
    <t>TX San Antonio - Motiva - 2745</t>
  </si>
  <si>
    <t>TX30</t>
  </si>
  <si>
    <t>TX San Antonio - FHR - 2760</t>
  </si>
  <si>
    <t>Sheerin TX</t>
  </si>
  <si>
    <t>TX52</t>
  </si>
  <si>
    <t>TX Sunray - Diamond - 2682</t>
  </si>
  <si>
    <t>UP - UP SHEERIN TX</t>
  </si>
  <si>
    <t>BNSF Path 95</t>
  </si>
  <si>
    <t>BNSF - BNSF Sheerin TX</t>
  </si>
  <si>
    <t>BNSF_tariff_95</t>
  </si>
  <si>
    <t>TX59</t>
  </si>
  <si>
    <t>TX Sunray - Valero - 2695</t>
  </si>
  <si>
    <t>South Houston TX</t>
  </si>
  <si>
    <t>TX75</t>
  </si>
  <si>
    <t>TX Houston - Exxon - 2812</t>
  </si>
  <si>
    <t>Taylor TX</t>
  </si>
  <si>
    <t>Waco TX</t>
  </si>
  <si>
    <t>TX89</t>
  </si>
  <si>
    <t>TX Taylor - Valero - 2696</t>
  </si>
  <si>
    <t>BNSF Path 107</t>
  </si>
  <si>
    <t>BNSF - BNSF Taylor TX</t>
  </si>
  <si>
    <t>BNSF_tariff_107</t>
  </si>
  <si>
    <t>UP Path 225</t>
  </si>
  <si>
    <t>UP - UP TAYLOR TX</t>
  </si>
  <si>
    <t>UP_225</t>
  </si>
  <si>
    <t>TX90</t>
  </si>
  <si>
    <t>TX Taylor - FHR - 2765</t>
  </si>
  <si>
    <t>Three Rivers TX</t>
  </si>
  <si>
    <t>TX23</t>
  </si>
  <si>
    <t>TX Three Rivers - Diamond - 2747</t>
  </si>
  <si>
    <t>UP Path 226</t>
  </si>
  <si>
    <t>UP - UP THREE RIVERS TX</t>
  </si>
  <si>
    <t>UP_tariff_226</t>
  </si>
  <si>
    <t>Tyler TX</t>
  </si>
  <si>
    <t>TX51</t>
  </si>
  <si>
    <t>TX Tyler - Delek - 2681</t>
  </si>
  <si>
    <t>UP Path 161</t>
  </si>
  <si>
    <t>UP - UP Tyler TX</t>
  </si>
  <si>
    <t>UP_tariff_12</t>
  </si>
  <si>
    <t>Victoria TX</t>
  </si>
  <si>
    <t>TX03</t>
  </si>
  <si>
    <t>TX Victoria - Citgo - 2703</t>
  </si>
  <si>
    <t>UP Path 230</t>
  </si>
  <si>
    <t>UP - UP VICTORIA TX</t>
  </si>
  <si>
    <t>UP_tariff_230</t>
  </si>
  <si>
    <t>TX04</t>
  </si>
  <si>
    <t>TX Waco - Motiva - 2705</t>
  </si>
  <si>
    <t>EXPL10 Path 6</t>
  </si>
  <si>
    <t>EXPL10 - Waco</t>
  </si>
  <si>
    <t>EXPL_112</t>
  </si>
  <si>
    <t>MG SOR Path 5</t>
  </si>
  <si>
    <t>MG SOR - MG Waco Motiva McLennon</t>
  </si>
  <si>
    <t>MG_124</t>
  </si>
  <si>
    <t>UP Path 51</t>
  </si>
  <si>
    <t>UP - UP BROWDER TX</t>
  </si>
  <si>
    <t>UP_UP Chicago IL-UP_UP BROWDER TX</t>
  </si>
  <si>
    <t>UP Path 138</t>
  </si>
  <si>
    <t>UP_UP COUNCIL BLUFFS IA-UP_UP BROWDER TX</t>
  </si>
  <si>
    <t>TX06</t>
  </si>
  <si>
    <t>TX Waco - FHR - 2707</t>
  </si>
  <si>
    <t>TX25</t>
  </si>
  <si>
    <t>TX Waco - Fikes - 2749</t>
  </si>
  <si>
    <t>Waskom TX</t>
  </si>
  <si>
    <t>TX56</t>
  </si>
  <si>
    <t>TX Waskom - ETMT - 2688</t>
  </si>
  <si>
    <t>UP Path 162</t>
  </si>
  <si>
    <t>UP - UP Waskom TX</t>
  </si>
  <si>
    <t>UP_tariff_13</t>
  </si>
  <si>
    <t>Wichita Falls TX</t>
  </si>
  <si>
    <t>TX53</t>
  </si>
  <si>
    <t>TX Wichita Falls - HF Sinclair - 2683</t>
  </si>
  <si>
    <t>BNSF Path 114</t>
  </si>
  <si>
    <t>BNSF - BNSF Wichita Falls TX</t>
  </si>
  <si>
    <t>BNSF_tariff_114</t>
  </si>
  <si>
    <t>UT</t>
  </si>
  <si>
    <t>Cedar City UT</t>
  </si>
  <si>
    <t>UT07</t>
  </si>
  <si>
    <t>UT Cedar City - HF Sinclair - 4207</t>
  </si>
  <si>
    <t>HFS UNEV Path 2</t>
  </si>
  <si>
    <t>HFS UNEV - UNEV Cedar City</t>
  </si>
  <si>
    <t>HFS_2</t>
  </si>
  <si>
    <t>HFS UNEV Path 5</t>
  </si>
  <si>
    <t>HFS UNEV Path 6</t>
  </si>
  <si>
    <t>HFS UNEV Path 7</t>
  </si>
  <si>
    <t>UP Path 142</t>
  </si>
  <si>
    <t>UP - UP CEDAR CITY UT</t>
  </si>
  <si>
    <t>UP_UP COUNCIL BLUFFS IA-UP_UP CEDAR CITY UT</t>
  </si>
  <si>
    <t>UP Path 60</t>
  </si>
  <si>
    <t>UP_UP Chicago IL-UP_UP CEDAR CITY UT</t>
  </si>
  <si>
    <t>Salt Lake City UT</t>
  </si>
  <si>
    <t>UT01</t>
  </si>
  <si>
    <t>UT North Salt Lake - Big West - 4200</t>
  </si>
  <si>
    <t>UP Path 143</t>
  </si>
  <si>
    <t>UP - UP SALT LAKE CITY UT</t>
  </si>
  <si>
    <t>UP_UP COUNCIL BLUFFS IA-UP_UP SALT LAKE CITY UT</t>
  </si>
  <si>
    <t>UP Path 61</t>
  </si>
  <si>
    <t>UP_UP Chicago IL-UP_UP SALT LAKE CITY UT</t>
  </si>
  <si>
    <t>UT02</t>
  </si>
  <si>
    <t>UT Salt Lake City - MPC - 4202</t>
  </si>
  <si>
    <t>UT03</t>
  </si>
  <si>
    <t>UT Salt Lake City - Chevron - 4203</t>
  </si>
  <si>
    <t>UT04</t>
  </si>
  <si>
    <t>UT North Salt Lake City - P66 - 4204</t>
  </si>
  <si>
    <t>P66 PION 2</t>
  </si>
  <si>
    <t>P66 PION - P66 NSL City Davis</t>
  </si>
  <si>
    <t>UT05</t>
  </si>
  <si>
    <t>UT Woods Cross - Silver Eagle - 4205</t>
  </si>
  <si>
    <t>UT06</t>
  </si>
  <si>
    <t>UT Woods Cross - HF Sinclair - 4206</t>
  </si>
  <si>
    <t>UT08</t>
  </si>
  <si>
    <t>UT Woods Cross - HF Sinclair - 4208</t>
  </si>
  <si>
    <t>VA</t>
  </si>
  <si>
    <t>Fairfax VA</t>
  </si>
  <si>
    <t>VA07</t>
  </si>
  <si>
    <t>VA Fairfax - Buckeye - 1659</t>
  </si>
  <si>
    <t>CPL Path 63</t>
  </si>
  <si>
    <t>CPL - Fairfax Delivery</t>
  </si>
  <si>
    <t>CPL_Houston-CPL_Fairfax</t>
  </si>
  <si>
    <t>NS Path 152</t>
  </si>
  <si>
    <t>NS - NS FAIRFAX VA</t>
  </si>
  <si>
    <t>NS_NS DECATUR IL-NS_NS FAIRFAX VA</t>
  </si>
  <si>
    <t>NS Path 70</t>
  </si>
  <si>
    <t>NS_NS Chicago IL-NS_NS FAIRFAX VA</t>
  </si>
  <si>
    <t>VA08</t>
  </si>
  <si>
    <t>VA Fairfax - SRPE - 1660</t>
  </si>
  <si>
    <t>VA09</t>
  </si>
  <si>
    <t>VA Fairfax - Citgo - 1661</t>
  </si>
  <si>
    <t>VA10</t>
  </si>
  <si>
    <t>VA Fairfax - Motiva - 1662</t>
  </si>
  <si>
    <t>VA37</t>
  </si>
  <si>
    <t>VA Fredricksburg - Colonial - 1695</t>
  </si>
  <si>
    <t>CSX Path 34</t>
  </si>
  <si>
    <t>CSX - CSX Fredricksburg VA</t>
  </si>
  <si>
    <t>CSX_tariff_34</t>
  </si>
  <si>
    <t>Manassas VA</t>
  </si>
  <si>
    <t>VA11</t>
  </si>
  <si>
    <t>VA Manassas - ETMT - 1663</t>
  </si>
  <si>
    <t>CPL Path 62</t>
  </si>
  <si>
    <t>CPL - Bull Run Delivery</t>
  </si>
  <si>
    <t>CPL_Houston-CPL_Bull Run</t>
  </si>
  <si>
    <t>NS Path 153</t>
  </si>
  <si>
    <t>NS - NS MANASSAS VA</t>
  </si>
  <si>
    <t>NS_NS DECATUR IL-NS_NS MANASSAS VA</t>
  </si>
  <si>
    <t>NS Path 71</t>
  </si>
  <si>
    <t>NS_NS Chicago IL-NS_NS MANASSAS VA</t>
  </si>
  <si>
    <t>Montvale VA</t>
  </si>
  <si>
    <t>Roanoke VA</t>
  </si>
  <si>
    <t>VA12</t>
  </si>
  <si>
    <t>VA Montvale - SRPE - 1664</t>
  </si>
  <si>
    <t>NS Path 182</t>
  </si>
  <si>
    <t>NS - NS MONTVALE VA</t>
  </si>
  <si>
    <t>NS_tariff_182</t>
  </si>
  <si>
    <t>VA13</t>
  </si>
  <si>
    <t>VA Montvale - Buckeye - 1665</t>
  </si>
  <si>
    <t>VA14</t>
  </si>
  <si>
    <t>VA Montvale - SRPE - 1666</t>
  </si>
  <si>
    <t>VA34</t>
  </si>
  <si>
    <t>VA Montvale - Motiva - 1691</t>
  </si>
  <si>
    <t>Newington VA</t>
  </si>
  <si>
    <t>VA17</t>
  </si>
  <si>
    <t>VA Newington - KM - 1671</t>
  </si>
  <si>
    <t>PPL Path 30</t>
  </si>
  <si>
    <t>PPL - Newington</t>
  </si>
  <si>
    <t>PPL_29</t>
  </si>
  <si>
    <t>CSX Path 61</t>
  </si>
  <si>
    <t>CSX - CSX Newington VA</t>
  </si>
  <si>
    <t>CSX_tariff_61</t>
  </si>
  <si>
    <t>VA35</t>
  </si>
  <si>
    <t>VA Lorton - KM - 1692</t>
  </si>
  <si>
    <t>Norfolk VA</t>
  </si>
  <si>
    <t>Chesapeake VA</t>
  </si>
  <si>
    <t>VA01</t>
  </si>
  <si>
    <t>VA Chesapeake - Buckeye - 1650</t>
  </si>
  <si>
    <t>CPL Path 46</t>
  </si>
  <si>
    <t>CPL - Hill Delivery</t>
  </si>
  <si>
    <t>CPL_Houston-CPL_Norfolk-Hill</t>
  </si>
  <si>
    <t>NS Path 138</t>
  </si>
  <si>
    <t>NS - NS NORFOLK VA</t>
  </si>
  <si>
    <t>NS_NS DECATUR IL-NS_NS NORFOLK VA</t>
  </si>
  <si>
    <t>NS Path 63</t>
  </si>
  <si>
    <t>NS_NS Chicago IL-NS_NS NORFOLK VA</t>
  </si>
  <si>
    <t>VA02</t>
  </si>
  <si>
    <t>VA Chesapeake - Petro FT - 1651</t>
  </si>
  <si>
    <t>CPL Path 47</t>
  </si>
  <si>
    <t>CPL - Norfolk Delivery</t>
  </si>
  <si>
    <t>CPL_Houston-CPL_Norfolk</t>
  </si>
  <si>
    <t>VA03</t>
  </si>
  <si>
    <t>VA Chesapeake - Citgo - 1652</t>
  </si>
  <si>
    <t>VA04</t>
  </si>
  <si>
    <t>VA Chesapeake - KM - 1653</t>
  </si>
  <si>
    <t>VA05</t>
  </si>
  <si>
    <t>VA Chesapeake - KM - 1654</t>
  </si>
  <si>
    <t>VA18</t>
  </si>
  <si>
    <t>VA Chesapeake - Zenith - 1673</t>
  </si>
  <si>
    <t>VA19</t>
  </si>
  <si>
    <t>VA Chesapeake - SRPE - 1674</t>
  </si>
  <si>
    <t>Richmond VA</t>
  </si>
  <si>
    <t>VA06</t>
  </si>
  <si>
    <t>VA Richmond - KM - 1657</t>
  </si>
  <si>
    <t>CPL Path 58</t>
  </si>
  <si>
    <t>CPL - Ruffin Delivery</t>
  </si>
  <si>
    <t>CPL_4</t>
  </si>
  <si>
    <t>CSX USRT PATH 10</t>
  </si>
  <si>
    <t>CSX - CSX Richmond VA Fanshaw Yard</t>
  </si>
  <si>
    <t>CSX USRT PATH 22</t>
  </si>
  <si>
    <t>NS Path 144</t>
  </si>
  <si>
    <t>NS - NS RICHMOND VA</t>
  </si>
  <si>
    <t>NS_NS DECATUR IL-NS_NS RICHMOND VA</t>
  </si>
  <si>
    <t>NS Path 25</t>
  </si>
  <si>
    <t>NS_NS Chicago IL-NS_NS RICHMOND VA</t>
  </si>
  <si>
    <t>VA21</t>
  </si>
  <si>
    <t>VA Richmond - Buckeye - 1677</t>
  </si>
  <si>
    <t>CPL Path 59</t>
  </si>
  <si>
    <t>CPL - Maury Delivery</t>
  </si>
  <si>
    <t>CPL_3</t>
  </si>
  <si>
    <t>VA22</t>
  </si>
  <si>
    <t>VA Richmond - SRPE - 1678</t>
  </si>
  <si>
    <t>VA23</t>
  </si>
  <si>
    <t>VA Richmond - Citgo - 1679</t>
  </si>
  <si>
    <t>VA24</t>
  </si>
  <si>
    <t>VA Richmond - KM - 1681</t>
  </si>
  <si>
    <t>CPL Path 57</t>
  </si>
  <si>
    <t>CPL - Commerce Road Delivery</t>
  </si>
  <si>
    <t>CPL_33</t>
  </si>
  <si>
    <t>PPL Path 27</t>
  </si>
  <si>
    <t>PPL - Richmond</t>
  </si>
  <si>
    <t>PPL_25</t>
  </si>
  <si>
    <t>VA25</t>
  </si>
  <si>
    <t>VA Richmond - First Energy - 1682</t>
  </si>
  <si>
    <t>VA26</t>
  </si>
  <si>
    <t>VA Richmond - KM - 1683</t>
  </si>
  <si>
    <t>VA27</t>
  </si>
  <si>
    <t>VA Richmond - Buckeye - 1684</t>
  </si>
  <si>
    <t>VA28</t>
  </si>
  <si>
    <t>VA Richmond - Motiva - 1685</t>
  </si>
  <si>
    <t>VA30</t>
  </si>
  <si>
    <t>VA Richmond - SRPE - 1687</t>
  </si>
  <si>
    <t>VA38</t>
  </si>
  <si>
    <t>VA Richmond - IMTT - 1696</t>
  </si>
  <si>
    <t>VA31</t>
  </si>
  <si>
    <t>VA Roanoke - KM - 1688</t>
  </si>
  <si>
    <t>PPL Path 25</t>
  </si>
  <si>
    <t>PPL - Roanoke</t>
  </si>
  <si>
    <t>PPL_26</t>
  </si>
  <si>
    <t>NS Path 145</t>
  </si>
  <si>
    <t>NS - NS ROANOKE VA</t>
  </si>
  <si>
    <t>NS_NS DECATUR IL-NS_NS ROANOKE VA</t>
  </si>
  <si>
    <t>NS Path 26</t>
  </si>
  <si>
    <t>NS_NS Chicago IL-NS_NS ROANOKE VA</t>
  </si>
  <si>
    <t>VA32</t>
  </si>
  <si>
    <t>VA Roanoke - Buckeye - 1689</t>
  </si>
  <si>
    <t>VA33</t>
  </si>
  <si>
    <t>VA Roanoke - KM - 1690</t>
  </si>
  <si>
    <t>Yorktown VA</t>
  </si>
  <si>
    <t>VA36</t>
  </si>
  <si>
    <t>VA Yorktown - Plains - 1694</t>
  </si>
  <si>
    <t>CSX Path 96</t>
  </si>
  <si>
    <t>CSX - CSX Yorktown VA</t>
  </si>
  <si>
    <t>CSX_tariff_96</t>
  </si>
  <si>
    <t>WA</t>
  </si>
  <si>
    <t>Anacortes WA</t>
  </si>
  <si>
    <t>WA01</t>
  </si>
  <si>
    <t>WA Anacortes - HF Sinclair - 4400</t>
  </si>
  <si>
    <t>BNSF Path 7</t>
  </si>
  <si>
    <t>BNSF - BNSF Anacortes WA</t>
  </si>
  <si>
    <t>BNSF_tariff_7</t>
  </si>
  <si>
    <t>WA20</t>
  </si>
  <si>
    <t>WA Anacortes - MPC - 4428</t>
  </si>
  <si>
    <t>Ferndale WA</t>
  </si>
  <si>
    <t>WA14</t>
  </si>
  <si>
    <t>WA Blaine - BP - 4418</t>
  </si>
  <si>
    <t>BNSF Path 43</t>
  </si>
  <si>
    <t>BNSF - BNSF Ferndale WA</t>
  </si>
  <si>
    <t>BNSF_tariff_43</t>
  </si>
  <si>
    <t>UP Path 194</t>
  </si>
  <si>
    <t>UP - UP FERNDALE WA</t>
  </si>
  <si>
    <t>UP_tariff_194</t>
  </si>
  <si>
    <t>WA19</t>
  </si>
  <si>
    <t>WA Ferndale - P66 - 4427</t>
  </si>
  <si>
    <t>Moses Lake WA</t>
  </si>
  <si>
    <t>WA02</t>
  </si>
  <si>
    <t>WA Moses Lake - P66 - 4401</t>
  </si>
  <si>
    <t>P66 YLS 1</t>
  </si>
  <si>
    <t>P66 YLS - P66 Parkwater Spokane</t>
  </si>
  <si>
    <t>P66 YLS - P66 Moses Lake Grant</t>
  </si>
  <si>
    <t>P66_3</t>
  </si>
  <si>
    <t>P66 YLS_0723A_123.16.0</t>
  </si>
  <si>
    <t>P66 YLS 10</t>
  </si>
  <si>
    <t>P66 YLS - P66 Thompson Falls Tank Farm Sanders</t>
  </si>
  <si>
    <t>P66_10</t>
  </si>
  <si>
    <t>P66 YLS_0723C_125.17.0</t>
  </si>
  <si>
    <t>BNSF Path 74</t>
  </si>
  <si>
    <t>BNSF - BNSF Moses Lake WA</t>
  </si>
  <si>
    <t>BNSF_tariff_74</t>
  </si>
  <si>
    <t>UP Path 211</t>
  </si>
  <si>
    <t>UP - UP MOSES LAKE WA</t>
  </si>
  <si>
    <t>UP_tariff_211</t>
  </si>
  <si>
    <t>Pasco WA</t>
  </si>
  <si>
    <t>WA03</t>
  </si>
  <si>
    <t>WA Pasco - MPC - 4402</t>
  </si>
  <si>
    <t>MPC NW 4</t>
  </si>
  <si>
    <t>MPC NW - MPC Pasco Station Franklin</t>
  </si>
  <si>
    <t>MPC_4</t>
  </si>
  <si>
    <t>UP Path 147</t>
  </si>
  <si>
    <t>UP - UP PASCO WA</t>
  </si>
  <si>
    <t>UP_UP COUNCIL BLUFFS IA-UP_UP PASCO WA</t>
  </si>
  <si>
    <t>UP Path 65</t>
  </si>
  <si>
    <t>UP_UP Chicago IL-UP_UP PASCO WA</t>
  </si>
  <si>
    <t>WA16</t>
  </si>
  <si>
    <t>WA Pasco - Tidewater - 4420</t>
  </si>
  <si>
    <t>Renton WA</t>
  </si>
  <si>
    <t>Seattle WA</t>
  </si>
  <si>
    <t>WA04</t>
  </si>
  <si>
    <t>WA Renton - P66 - 4404</t>
  </si>
  <si>
    <t>BP OP Path 3</t>
  </si>
  <si>
    <t>BP OP - OP Bayview Tank Farm Skagit</t>
  </si>
  <si>
    <t>BP OP - OP Renton King</t>
  </si>
  <si>
    <t>BP_77</t>
  </si>
  <si>
    <t>BP OP_0124_WUTC 56</t>
  </si>
  <si>
    <t>BNSF USRT PATH 14</t>
  </si>
  <si>
    <t>BNSF - BNSF Seattle WA Stacy Yard</t>
  </si>
  <si>
    <t>BNSF USRT PATH 22</t>
  </si>
  <si>
    <t>BNSF USRT PATH 30</t>
  </si>
  <si>
    <t>BNSF USRT PATH 38</t>
  </si>
  <si>
    <t>BNSF USRT PATH 46</t>
  </si>
  <si>
    <t>BNSF USRT PATH 6</t>
  </si>
  <si>
    <t>UP Path 144</t>
  </si>
  <si>
    <t>UP - UP KENT WA</t>
  </si>
  <si>
    <t>UP_UP COUNCIL BLUFFS IA-UP_UP KENT WA</t>
  </si>
  <si>
    <t>UP Path 62</t>
  </si>
  <si>
    <t>UP_UP Chicago IL-UP_UP KENT WA</t>
  </si>
  <si>
    <t>WA05</t>
  </si>
  <si>
    <t>WA Seattle - KM - 4406</t>
  </si>
  <si>
    <t>BP OP Path 5</t>
  </si>
  <si>
    <t>BP OP - OP Harbor Island King</t>
  </si>
  <si>
    <t>BP_75</t>
  </si>
  <si>
    <t>UP Path 145</t>
  </si>
  <si>
    <t>UP - UP SEATTLE WA</t>
  </si>
  <si>
    <t>UP_UP COUNCIL BLUFFS IA-UP_UP SEATTLE WA</t>
  </si>
  <si>
    <t>UP Path 63</t>
  </si>
  <si>
    <t>UP_UP Chicago IL-UP_UP SEATTLE WA</t>
  </si>
  <si>
    <t>WA06</t>
  </si>
  <si>
    <t>WA Seattle - Shell - 4408</t>
  </si>
  <si>
    <t>WA18</t>
  </si>
  <si>
    <t>WA Seattle - Seaport - 4425</t>
  </si>
  <si>
    <t>Spokane WA</t>
  </si>
  <si>
    <t>WA07</t>
  </si>
  <si>
    <t>WA Spokane - P66 - 4410</t>
  </si>
  <si>
    <t>P66 YLS 6</t>
  </si>
  <si>
    <t>P66 YLS - MPC - P66 Spokane Station Spokane</t>
  </si>
  <si>
    <t>P66 YLS 4</t>
  </si>
  <si>
    <t>P66 YLS - P66 Hillyard Spokane</t>
  </si>
  <si>
    <t>P66 YLS 8</t>
  </si>
  <si>
    <t>BNSF Path 101</t>
  </si>
  <si>
    <t>BNSF - BNSF Spokane WA</t>
  </si>
  <si>
    <t>BNSF_tariff_101</t>
  </si>
  <si>
    <t>WA08</t>
  </si>
  <si>
    <t>WA Spokane - Exxon - 4411</t>
  </si>
  <si>
    <t>WA09</t>
  </si>
  <si>
    <t>WA Spokane - HF Sinclair - 4412</t>
  </si>
  <si>
    <t>MPC NW 7</t>
  </si>
  <si>
    <t>MPC NW - MPC - P66 Spokane Station Spokane</t>
  </si>
  <si>
    <t>MPC_6</t>
  </si>
  <si>
    <t>MPC NW_0723B_2.12.0</t>
  </si>
  <si>
    <t>MPC NW 6</t>
  </si>
  <si>
    <t>P66 YLS 5</t>
  </si>
  <si>
    <t>P66_7</t>
  </si>
  <si>
    <t>P66 YLS 2</t>
  </si>
  <si>
    <t>P66_4</t>
  </si>
  <si>
    <t>P66 YLS 11</t>
  </si>
  <si>
    <t>P66_11</t>
  </si>
  <si>
    <t>Tacoma WA</t>
  </si>
  <si>
    <t>WA10</t>
  </si>
  <si>
    <t>WA Tacoma - P66 - 4413</t>
  </si>
  <si>
    <t>BP OP Path 6</t>
  </si>
  <si>
    <t>BP OP - OP Tacoma Delivery Pierce</t>
  </si>
  <si>
    <t>BP_78</t>
  </si>
  <si>
    <t>UP Path 146</t>
  </si>
  <si>
    <t>UP - UP TACOMA WA</t>
  </si>
  <si>
    <t>UP_UP COUNCIL BLUFFS IA-UP_UP TACOMA WA</t>
  </si>
  <si>
    <t>UP Path 64</t>
  </si>
  <si>
    <t>UP_UP Chicago IL-UP_UP TACOMA WA</t>
  </si>
  <si>
    <t>WA11</t>
  </si>
  <si>
    <t>WA Tacoma - Seaport - 4414</t>
  </si>
  <si>
    <t>WA12</t>
  </si>
  <si>
    <t>WA Tacoma - Shore - 4415</t>
  </si>
  <si>
    <t>WA17</t>
  </si>
  <si>
    <t>WA Tacoma - US Oil - 4421</t>
  </si>
  <si>
    <t>Vancouver WA</t>
  </si>
  <si>
    <t>WA13</t>
  </si>
  <si>
    <t>WA Vancouver - Nustar - 4417</t>
  </si>
  <si>
    <t>UP Path 131</t>
  </si>
  <si>
    <t>UP - UP VANCOUVER WA</t>
  </si>
  <si>
    <t>UP_UP COUNCIL BLUFFS IA-UP_UP VANCOUVER WA</t>
  </si>
  <si>
    <t>UP Path 46</t>
  </si>
  <si>
    <t>UP_UP Chicago IL-UP_UP VANCOUVER WA</t>
  </si>
  <si>
    <t>WA15</t>
  </si>
  <si>
    <t>WA Vancouver - MPC - 4419</t>
  </si>
  <si>
    <t>BP OP Path 7</t>
  </si>
  <si>
    <t>BP OP - OP North Vancouver Clark</t>
  </si>
  <si>
    <t>BP_79</t>
  </si>
  <si>
    <t>WI</t>
  </si>
  <si>
    <t>Chippewa Falls WI</t>
  </si>
  <si>
    <t>WI02</t>
  </si>
  <si>
    <t>WI Chippewa Falls - CHS - 3064</t>
  </si>
  <si>
    <t>UP Path 163</t>
  </si>
  <si>
    <t>UP - UP Chippewa Falls WI</t>
  </si>
  <si>
    <t>UP_tariff_14</t>
  </si>
  <si>
    <t>Green Bay WI</t>
  </si>
  <si>
    <t>WI00</t>
  </si>
  <si>
    <t>WI Green Bay - US Oil - 3061</t>
  </si>
  <si>
    <t>UP Path 164</t>
  </si>
  <si>
    <t>UP - UP Green Bay WI</t>
  </si>
  <si>
    <t>UP_tariff_15</t>
  </si>
  <si>
    <t>WI12</t>
  </si>
  <si>
    <t>WI Green Bay - US Oil - 3075</t>
  </si>
  <si>
    <t>WI14</t>
  </si>
  <si>
    <t>WI Green Bay - US Oil - 3077</t>
  </si>
  <si>
    <t>WI23</t>
  </si>
  <si>
    <t>WI Green Bay - US Oil - 3089</t>
  </si>
  <si>
    <t>Junction City WI</t>
  </si>
  <si>
    <t>WI08</t>
  </si>
  <si>
    <t>WI Junction City - FHR - 3071</t>
  </si>
  <si>
    <t>UP Path 165</t>
  </si>
  <si>
    <t>UP - UP Junction City WI</t>
  </si>
  <si>
    <t>UP_tariff_16</t>
  </si>
  <si>
    <t>Madison WI</t>
  </si>
  <si>
    <t>WI03</t>
  </si>
  <si>
    <t>WI McFarland - CHS - 3065</t>
  </si>
  <si>
    <t>WS BA Path 4</t>
  </si>
  <si>
    <t>WS BA - Madison Terminal</t>
  </si>
  <si>
    <t>WS_7</t>
  </si>
  <si>
    <t>WS BA Path 9</t>
  </si>
  <si>
    <t>WS_13</t>
  </si>
  <si>
    <t>UP Path 148</t>
  </si>
  <si>
    <t>UP - UP MADISON WI</t>
  </si>
  <si>
    <t>UP_UP COUNCIL BLUFFS IA-UP_UP MADISON WI</t>
  </si>
  <si>
    <t>UP Path 66</t>
  </si>
  <si>
    <t>UP_UP Chicago IL-UP_UP MADISON WI</t>
  </si>
  <si>
    <t>WI05</t>
  </si>
  <si>
    <t>WI McFarland - Citgo - 3067</t>
  </si>
  <si>
    <t>WI09</t>
  </si>
  <si>
    <t>WI McFarland - FHR - 3072</t>
  </si>
  <si>
    <t>WI15</t>
  </si>
  <si>
    <t>WI McFarland - US Oil - 3079</t>
  </si>
  <si>
    <t>WI19</t>
  </si>
  <si>
    <t>WI McFarland - Zenith - 3083</t>
  </si>
  <si>
    <t>WI22</t>
  </si>
  <si>
    <t>WI Madison - US Oil - 3088</t>
  </si>
  <si>
    <t>Milwaukee WI</t>
  </si>
  <si>
    <t>WI01</t>
  </si>
  <si>
    <t>WI Milwaukee - Buckeye - 3062</t>
  </si>
  <si>
    <t>WS WI Path 1</t>
  </si>
  <si>
    <t>WS WI - Granville Terminal</t>
  </si>
  <si>
    <t>WS_9</t>
  </si>
  <si>
    <t>WS WI Path 3</t>
  </si>
  <si>
    <t>WS_11</t>
  </si>
  <si>
    <t>UP Path 149</t>
  </si>
  <si>
    <t>UP - UP MILWAUKEE WI</t>
  </si>
  <si>
    <t>UP_UP COUNCIL BLUFFS IA-UP_UP MILWAUKEE WI</t>
  </si>
  <si>
    <t>UP Path 67</t>
  </si>
  <si>
    <t>UP_UP Chicago IL-UP_UP MILWAUKEE WI</t>
  </si>
  <si>
    <t>WI06</t>
  </si>
  <si>
    <t>WI Milwaukee - Citgo - 3068</t>
  </si>
  <si>
    <t>WI10</t>
  </si>
  <si>
    <t>WI Milwaukee - FHR - 3073</t>
  </si>
  <si>
    <t>WI13</t>
  </si>
  <si>
    <t>WI Milwaukee - US Oil - 3076</t>
  </si>
  <si>
    <t>WI20</t>
  </si>
  <si>
    <t>WI Milwaukee - US Oil - 3084</t>
  </si>
  <si>
    <t>WI21</t>
  </si>
  <si>
    <t>WI Milwaukee - US Oil - 3086</t>
  </si>
  <si>
    <t>WI24</t>
  </si>
  <si>
    <t>WI Milwaukee - US Oil - 3090</t>
  </si>
  <si>
    <t>Superior WI</t>
  </si>
  <si>
    <t>WI16</t>
  </si>
  <si>
    <t>WI Superior - Superior - 3080</t>
  </si>
  <si>
    <t>BNSF Path 106</t>
  </si>
  <si>
    <t>BNSF - BNSF Superior WI</t>
  </si>
  <si>
    <t>BNSF_tariff_106</t>
  </si>
  <si>
    <t>Waupun WI</t>
  </si>
  <si>
    <t>WI11</t>
  </si>
  <si>
    <t>WI Waupun - FHR - 3074</t>
  </si>
  <si>
    <t>UP Path 231</t>
  </si>
  <si>
    <t>UP - UP WAUPUN WI</t>
  </si>
  <si>
    <t>UP_tariff_231</t>
  </si>
  <si>
    <t>WV</t>
  </si>
  <si>
    <t>Charleston WV</t>
  </si>
  <si>
    <t>WV00</t>
  </si>
  <si>
    <t>WV Charleston - MPC - 3181</t>
  </si>
  <si>
    <t>CSX Path 18</t>
  </si>
  <si>
    <t>CSX - CSX Charleston WV</t>
  </si>
  <si>
    <t>CSX_tariff_18</t>
  </si>
  <si>
    <t>Hugheston WV</t>
  </si>
  <si>
    <t>WV05</t>
  </si>
  <si>
    <t>WV Hugheston - Ergon - 3188</t>
  </si>
  <si>
    <t>CSX Path 37</t>
  </si>
  <si>
    <t>CSX - CSX Hugheston WV</t>
  </si>
  <si>
    <t>CSX_tariff_37</t>
  </si>
  <si>
    <t>Newell WV</t>
  </si>
  <si>
    <t>WV01</t>
  </si>
  <si>
    <t>WV Newell - Ergon - 3183</t>
  </si>
  <si>
    <t>NS Path 165</t>
  </si>
  <si>
    <t>NS - NS Newell WV</t>
  </si>
  <si>
    <t>NS_tariff_11</t>
  </si>
  <si>
    <t>WY</t>
  </si>
  <si>
    <t>Casper WY</t>
  </si>
  <si>
    <t>WY02</t>
  </si>
  <si>
    <t>WY Casper - HF Sinclair - 4052</t>
  </si>
  <si>
    <t>BNSF Path 22</t>
  </si>
  <si>
    <t>BNSF - BNSF Casper WY</t>
  </si>
  <si>
    <t>BNSF_tariff_22</t>
  </si>
  <si>
    <t>WY08</t>
  </si>
  <si>
    <t>WY Casper - HF Sinclair - 4058</t>
  </si>
  <si>
    <t>WY10</t>
  </si>
  <si>
    <t>WY Evansville - P66 - 4061</t>
  </si>
  <si>
    <t>Cheyenne WY</t>
  </si>
  <si>
    <t>WY03</t>
  </si>
  <si>
    <t>WY Cheyenne - Mag - 4053</t>
  </si>
  <si>
    <t>MG N CTRL Path 5</t>
  </si>
  <si>
    <t>MG_360</t>
  </si>
  <si>
    <t>BNSF Path 24</t>
  </si>
  <si>
    <t>BNSF - BNSF Cheyenne WY</t>
  </si>
  <si>
    <t>BNSF_tariff_24</t>
  </si>
  <si>
    <t>WY05</t>
  </si>
  <si>
    <t>WY Cheyenne - HF Sinclair - 4055</t>
  </si>
  <si>
    <t>Evanston WY</t>
  </si>
  <si>
    <t>WY12</t>
  </si>
  <si>
    <t>WY Evanston - Silver Eagle - 4058</t>
  </si>
  <si>
    <t>P66 PION - P66 Silver Eagle Station Uinta</t>
  </si>
  <si>
    <t>UP Path 166</t>
  </si>
  <si>
    <t>UP - UP Evanston WY</t>
  </si>
  <si>
    <t>UP_tariff_17</t>
  </si>
  <si>
    <t>Gillette WY</t>
  </si>
  <si>
    <t>WY11</t>
  </si>
  <si>
    <t>WY Gillette - Equitable Oil - 4057</t>
  </si>
  <si>
    <t>BNSF Path 48</t>
  </si>
  <si>
    <t>BNSF - BNSF Gillette WY</t>
  </si>
  <si>
    <t>BNSF_tariff_48</t>
  </si>
  <si>
    <t>Newcastle WY</t>
  </si>
  <si>
    <t>WY06</t>
  </si>
  <si>
    <t>WY Newcastle - Wyoming - 4056</t>
  </si>
  <si>
    <t>BNSF Path 76</t>
  </si>
  <si>
    <t>BNSF - BNSF Newcastle WY</t>
  </si>
  <si>
    <t>BNSF_tariff_76</t>
  </si>
  <si>
    <t>Rock Springs WY</t>
  </si>
  <si>
    <t>WY01</t>
  </si>
  <si>
    <t>WY Rock Springs - P66 - 4051</t>
  </si>
  <si>
    <t>P66 PION 1</t>
  </si>
  <si>
    <t>P66 PION - P66 Rock Springs Sweetwater</t>
  </si>
  <si>
    <t>P66_1</t>
  </si>
  <si>
    <t>UP Path 167</t>
  </si>
  <si>
    <t>UP - UP Rock Springs WY</t>
  </si>
  <si>
    <t>UP_tariff_18</t>
  </si>
  <si>
    <t>Sheridan WY</t>
  </si>
  <si>
    <t>WY00</t>
  </si>
  <si>
    <t>WY Sheridan - P66 - 4050</t>
  </si>
  <si>
    <t>BNSF Path 96</t>
  </si>
  <si>
    <t>BNSF - BNSF Sheridan WY</t>
  </si>
  <si>
    <t>BNSF_tariff_96</t>
  </si>
  <si>
    <t>Sinclair WY</t>
  </si>
  <si>
    <t>WY04</t>
  </si>
  <si>
    <t>WY Sinclair - HF Sinclair - 4054</t>
  </si>
  <si>
    <t>UP Path 168</t>
  </si>
  <si>
    <t>UP - UP Sinclair WY</t>
  </si>
  <si>
    <t>UP_tariff_19</t>
  </si>
  <si>
    <t>WY07</t>
  </si>
  <si>
    <t>WY Sinclair - HF Sinclair - 4057</t>
  </si>
  <si>
    <t>tariff_file_name</t>
  </si>
  <si>
    <t>tariff_origin</t>
  </si>
  <si>
    <t>tariff_destination</t>
  </si>
  <si>
    <t>TARIFF, FERC NO. 278.17.0 (278.17.0) C000399_T1320.pdf</t>
  </si>
  <si>
    <t>Whiting . . . . . . . . . . . . . . Indiana</t>
  </si>
  <si>
    <t>Dickson……..Tennessee (Dickson County)</t>
  </si>
  <si>
    <t xml:space="preserve">Whiting . . . . . . . . . . . . . . Indiana (Lake County) </t>
  </si>
  <si>
    <t>Chicago, IL</t>
  </si>
  <si>
    <t>Ethanol Rates Norfolk Southern 5 8 23.pdf</t>
  </si>
  <si>
    <t>XX XDECATUR, IL GROUP</t>
  </si>
  <si>
    <t>XX XKNOXVILLE, TN GROU</t>
  </si>
  <si>
    <t>Council Bluffs, IA</t>
  </si>
  <si>
    <t>NE - GROUP 3 AGS GROUP</t>
  </si>
  <si>
    <t>UP2028BOOK Ethanol Shipping Rates.pdf</t>
  </si>
  <si>
    <t>Colonial-FERC-99.83.0.pdf</t>
  </si>
  <si>
    <t>Houston (Pasadena, Cedar Bayou) Harris County, Texas</t>
  </si>
  <si>
    <t>Oxford (Calhoun County)</t>
  </si>
  <si>
    <t>AL XBIRMINGHAM, AL GRP</t>
  </si>
  <si>
    <t>Birmingham (Jefferson County)</t>
  </si>
  <si>
    <t>Birmingham, AL</t>
  </si>
  <si>
    <t>Boligee (Greene County)</t>
  </si>
  <si>
    <t>FERC No. 155.38.0 Local Tariff (2023 Index) eff 7-1-2023.pdf</t>
  </si>
  <si>
    <t>Baton Rouge, LA (East Baton Rouge Parish)</t>
  </si>
  <si>
    <t>Montgomery, AL (Montgomery County)</t>
  </si>
  <si>
    <t>IL XBLOOMINGTON, IL GR</t>
  </si>
  <si>
    <t>AL XSELMA, AL GROUP</t>
  </si>
  <si>
    <t>Moundville, AL (Hale County)</t>
  </si>
  <si>
    <t>FERC160450MPLLPCentralBase.pdf</t>
  </si>
  <si>
    <t>Duncan, OK</t>
  </si>
  <si>
    <t>Fort Smith, AR</t>
  </si>
  <si>
    <t>FERC161540MPLLPSouthBaseRates.pdf</t>
  </si>
  <si>
    <t>EAST HOUSTON (Harris County)</t>
  </si>
  <si>
    <t>Duncan, OK (MPL Central System Interconnecting Point)</t>
  </si>
  <si>
    <t>East Houston, TX Galena Park, TX Pasadena-MVP, TX</t>
  </si>
  <si>
    <t>Houston TX (East Houston, TX Galena Park, TX Pasadena-MVP, TX)</t>
  </si>
  <si>
    <t>AR-LITTLEROCKAGSGROUP</t>
  </si>
  <si>
    <t>North Little Rock (MPL), AR</t>
  </si>
  <si>
    <t>North Little Rock (Others), AR</t>
  </si>
  <si>
    <t>TE Products FERC No. 55.77.0.pdf</t>
  </si>
  <si>
    <t>Texas City (Galveston Co., TX)</t>
  </si>
  <si>
    <t>North Little Rock (P) (Pulaski Co., AR)</t>
  </si>
  <si>
    <t>Rogers, AR</t>
  </si>
  <si>
    <t>West Memphis (Crittenden Co., AR)</t>
  </si>
  <si>
    <t>El Paso, TX (El Paso County)</t>
  </si>
  <si>
    <t>Phoenix, AZ (Maricopa County)</t>
  </si>
  <si>
    <t>AZ-PHOENIXAGSGROUP</t>
  </si>
  <si>
    <t>Phoenix, AZ</t>
  </si>
  <si>
    <t>Tucson, AZ (Pima County)</t>
  </si>
  <si>
    <t>AZ-TUCSONAGSGROUP</t>
  </si>
  <si>
    <t>Cedar Rapids, IA</t>
  </si>
  <si>
    <t>IA - CEDAR RAPIDS AGS GROUP</t>
  </si>
  <si>
    <t xml:space="preserve">CPUC-17.pdf </t>
  </si>
  <si>
    <t>Colton San Bernardino County California</t>
  </si>
  <si>
    <t>Barstow Terminal San Bernardino County California</t>
  </si>
  <si>
    <t>Colton, San Bernardino County, California</t>
  </si>
  <si>
    <t>CA-LABASINAGSGROUP</t>
  </si>
  <si>
    <t>Tariff 149 North, eff 10-1-23.pdf</t>
  </si>
  <si>
    <t>Benicia Richmond</t>
  </si>
  <si>
    <t>Brisbane</t>
  </si>
  <si>
    <t>Richmond, CA (Contra Costa County)</t>
  </si>
  <si>
    <t>Concord, CA (Contra Costa County)</t>
  </si>
  <si>
    <t>Chico</t>
  </si>
  <si>
    <t>Richmond Concord</t>
  </si>
  <si>
    <t>Tariff No 150 South and West, Final eff 10-1-23.pdf</t>
  </si>
  <si>
    <t>Watson East Hynes</t>
  </si>
  <si>
    <t>Colton</t>
  </si>
  <si>
    <t>Watson or East Hynes, Los Angeles County, California</t>
  </si>
  <si>
    <t>Watson, CA (Los Angeles County)</t>
  </si>
  <si>
    <t>Hynes Junction</t>
  </si>
  <si>
    <t>Fresno</t>
  </si>
  <si>
    <t>Imperial</t>
  </si>
  <si>
    <t>CA-SOUTHAGSGROUP</t>
  </si>
  <si>
    <t>Orange</t>
  </si>
  <si>
    <t>Sacramento</t>
  </si>
  <si>
    <t>San Diego</t>
  </si>
  <si>
    <t>Mission Valley</t>
  </si>
  <si>
    <t>San Jose</t>
  </si>
  <si>
    <t>Stockton</t>
  </si>
  <si>
    <t>SCPCCPUCS12.3.0.pdf</t>
  </si>
  <si>
    <t>SOPUS Carson Terminal, Los Angeles County</t>
  </si>
  <si>
    <t>Shell California Van Nuys Terminal, Los Angeles County</t>
  </si>
  <si>
    <t>FERC163170MPLLPMtnBaseRates.pdf</t>
  </si>
  <si>
    <t>McPherson, Kansas</t>
  </si>
  <si>
    <t>Denver, CO</t>
  </si>
  <si>
    <t>Denver, CO Commerce City, CO (Adams County)</t>
  </si>
  <si>
    <t>McPherson, KS</t>
  </si>
  <si>
    <t>McPherson, KS (McPherson County)</t>
  </si>
  <si>
    <t>CO-DENVERAGSGROUP</t>
  </si>
  <si>
    <t>Dupont, CO</t>
  </si>
  <si>
    <t>Dupont, CO (Adams County)</t>
  </si>
  <si>
    <t>Fountain, CO</t>
  </si>
  <si>
    <t>Fountain, CO (El Paso County)</t>
  </si>
  <si>
    <t>BPL_F438.23.0_Jetlines-1.pdf</t>
  </si>
  <si>
    <t>NEW HAVEN New Haven</t>
  </si>
  <si>
    <t>EAST HARTFORD Hartford</t>
  </si>
  <si>
    <t>PORTLAND Middlesex</t>
  </si>
  <si>
    <t>ROCKY HILL Hartford</t>
  </si>
  <si>
    <t>WETHERSFIELD Hartford</t>
  </si>
  <si>
    <t>XX XJACKSONVILLE, FL G</t>
  </si>
  <si>
    <t>Albany-South (Dougherty County)</t>
  </si>
  <si>
    <t>XX XALBANY, GA GROUP</t>
  </si>
  <si>
    <t>Albany (Dougherty County)</t>
  </si>
  <si>
    <t>Americus (Sumter County)</t>
  </si>
  <si>
    <t>XX XMACON, GA GROUP</t>
  </si>
  <si>
    <t>Athens (Clarke County)</t>
  </si>
  <si>
    <t>XX XATLANTA, GA GROUP</t>
  </si>
  <si>
    <t>Bainbridge (Decatur County)</t>
  </si>
  <si>
    <t>Bremen, GA (Haralson County)</t>
  </si>
  <si>
    <t>Atlanta-Chattahoochee (Fulton County)</t>
  </si>
  <si>
    <t>Columbus, GA (Muscogee County)</t>
  </si>
  <si>
    <t>XX XCOLUMBUS, GA GROUP</t>
  </si>
  <si>
    <t>Atlanta-Doraville (Dekalb County)</t>
  </si>
  <si>
    <t>Griffin (Spaulding County)</t>
  </si>
  <si>
    <t>Lookout Mountain-Chattanooga (Walker County)</t>
  </si>
  <si>
    <t>XX XCHATTANOOGA, TN GR</t>
  </si>
  <si>
    <t>Macon-South (Bibb County)</t>
  </si>
  <si>
    <t>Macon, GA (Bibb County)</t>
  </si>
  <si>
    <t>Atlanta-Powder Springs (Cobb County)</t>
  </si>
  <si>
    <t>GA XROME, GA GROUP</t>
  </si>
  <si>
    <t>XX XCHICAGO, IL GROUP</t>
  </si>
  <si>
    <t>Rome (Floyd County)</t>
  </si>
  <si>
    <t>Oklahoma Central</t>
  </si>
  <si>
    <t>Bettendorf, IA</t>
  </si>
  <si>
    <t>Mason City, IA</t>
  </si>
  <si>
    <t>Iowa City (Coralville), IA</t>
  </si>
  <si>
    <t>RATES  IOWA AND MISSOURI, FERC NO. 25.0.0 (25.13.0) C000152_T1559.pdf</t>
  </si>
  <si>
    <t>SUGAR CREEK TERMINAL Jackson</t>
  </si>
  <si>
    <t>COUNCIL BLUFFS TERMINAL Pottawattamie</t>
  </si>
  <si>
    <t>DUBUQUE STATION Dubuque</t>
  </si>
  <si>
    <t>bpmw-ferc-3-5-0.pdf</t>
  </si>
  <si>
    <t>BP Whiting Refinery, Indiana (Lake County)</t>
  </si>
  <si>
    <t>Dubuque Terminal, Iowa (Dubuque County)</t>
  </si>
  <si>
    <t>DES MOINES TERMINAL Polk</t>
  </si>
  <si>
    <t xml:space="preserve">Dubuque, IA </t>
  </si>
  <si>
    <t>Fort Dodge, IA</t>
  </si>
  <si>
    <t>FERC No.17.36.0 (Cancels FERC No. 17.35.1) .pdf</t>
  </si>
  <si>
    <t>Ponca City, OK No. 2</t>
  </si>
  <si>
    <t>LeMars, IA</t>
  </si>
  <si>
    <t>Milford, IA</t>
  </si>
  <si>
    <t>CEDAR RAPIDS TERMINAL Johnson</t>
  </si>
  <si>
    <t>OTTUMWA TERMINAL Wapello</t>
  </si>
  <si>
    <t>Des Moines, IA</t>
  </si>
  <si>
    <t>Rock Rapids, IA</t>
  </si>
  <si>
    <t>Waterloo, IA</t>
  </si>
  <si>
    <t>fercno 4.13.0 tesoro northwest 070123.pdf</t>
  </si>
  <si>
    <t>Salt Lake Station, David County, Utah</t>
  </si>
  <si>
    <t>Boise Station, Ada County, Idaho</t>
  </si>
  <si>
    <t>ID-NAMPAAGSGROUP</t>
  </si>
  <si>
    <t>Burley Station, Cassia County, Idaho</t>
  </si>
  <si>
    <t>ID-POCATELLOAGSGROUP</t>
  </si>
  <si>
    <t>Pocatello Station, Power County, Idaho</t>
  </si>
  <si>
    <t>WRP_F29.23.0_WRRates_Settlement.pdf</t>
  </si>
  <si>
    <t>WOOD RIVER Madison</t>
  </si>
  <si>
    <t>ARGO Cook</t>
  </si>
  <si>
    <t xml:space="preserve">501680093 cal148 030123.PDF </t>
  </si>
  <si>
    <t>BP’s Whiting Refinery, Indiana (Lake County)</t>
  </si>
  <si>
    <t>KM O’Hare Terminal, Illinois (Cook County)</t>
  </si>
  <si>
    <t>Tariff-FERCNo-100-117-0.pdf</t>
  </si>
  <si>
    <t>Tulsa (Tulsa County, Oklahoma)</t>
  </si>
  <si>
    <t>East St. Louis (St. Clair County)</t>
  </si>
  <si>
    <t>IL-STLOUISAGSGROUP</t>
  </si>
  <si>
    <t>HARRISTOWN Macon</t>
  </si>
  <si>
    <t>EFFINGHAM Effingham</t>
  </si>
  <si>
    <t>KM Argo Harlem Terminal, Illinois (Cook County)</t>
  </si>
  <si>
    <t>Manhattan . . . . . . . . . . . . Illinois (Will County)</t>
  </si>
  <si>
    <t>Manhattan South Station, Illinois (Will County)</t>
  </si>
  <si>
    <t>FERC165160MPLLPManhattanJoint.pdf</t>
  </si>
  <si>
    <t>MANHATTAN, IL</t>
  </si>
  <si>
    <t>Heyworth, IL</t>
  </si>
  <si>
    <t>WRP_F30.18.0_BlueGold.pdf</t>
  </si>
  <si>
    <t>CHICAGO COMPLEX Lake</t>
  </si>
  <si>
    <t>KANKAKEE Kankakee</t>
  </si>
  <si>
    <t>Norris City (White Co., IL)</t>
  </si>
  <si>
    <t>Rochelle Terminal, Illinois (Ogle County)</t>
  </si>
  <si>
    <t>ILCC-102-WestShore-Rates.pdf</t>
  </si>
  <si>
    <t>Lemont (Will County), IL</t>
  </si>
  <si>
    <t>Rockford (Winnebago County), IL</t>
  </si>
  <si>
    <t>Wood River/Hartford (Madison County) Mainline Deliveries</t>
  </si>
  <si>
    <t>BPL_F446.43.0_MPS-Main.pdf</t>
  </si>
  <si>
    <t>CLERMONT Hendricks</t>
  </si>
  <si>
    <t>bpmw ferc 13.0.0.pdf</t>
  </si>
  <si>
    <t>BP’s Whiting Refinery (Lake County, IN)</t>
  </si>
  <si>
    <t>South Bend Terminal (St. Joseph County, IN)</t>
  </si>
  <si>
    <t>Buckeye Chicago Complex (1)</t>
  </si>
  <si>
    <t>HUNTINGTON Huntington</t>
  </si>
  <si>
    <t>TARIFF, FERC NO. 1.5.0 (1.5.0) C010849_T6922.pdf</t>
  </si>
  <si>
    <t>Indianapolis Terminal, Indiana (Marion County)</t>
  </si>
  <si>
    <t>Speedway (Marion Co., IN)</t>
  </si>
  <si>
    <t>MUNCIE Delaware</t>
  </si>
  <si>
    <t>Princeton (Gibson Co., IN)</t>
  </si>
  <si>
    <t>Seymour (Jackson Co., IN)</t>
  </si>
  <si>
    <t xml:space="preserve">Zionsville (Boone Co., IN) </t>
  </si>
  <si>
    <t>ZIONSVILLE Boone</t>
  </si>
  <si>
    <t>Concordia, KS</t>
  </si>
  <si>
    <t>Great Bend, KS</t>
  </si>
  <si>
    <t>KS-KOAGSGROUP</t>
  </si>
  <si>
    <t>Hutchinson, KS</t>
  </si>
  <si>
    <t>Kansas City (Fairfax and Olathe), KS</t>
  </si>
  <si>
    <t>Kansas City (Argentine), KS</t>
  </si>
  <si>
    <t>Olathe-Kenneth (Sinclair), KS</t>
  </si>
  <si>
    <t>Salina, KS</t>
  </si>
  <si>
    <t>Scott City, KS</t>
  </si>
  <si>
    <t>Topeka, KS</t>
  </si>
  <si>
    <t>St. Joseph (Wathena, KS), MO</t>
  </si>
  <si>
    <t>El Dorado, KS</t>
  </si>
  <si>
    <t>p66 ferc no 8.14.0 070123.pdf</t>
  </si>
  <si>
    <t>Borger, Hutchinson County, Texas</t>
  </si>
  <si>
    <t>Wichita, Kansas</t>
  </si>
  <si>
    <t>Borger, Texas</t>
  </si>
  <si>
    <t>fercno313200.pdf</t>
  </si>
  <si>
    <t>ROBINSON (Crawford County)</t>
  </si>
  <si>
    <t>LOUISVILLE, Jefferson County</t>
  </si>
  <si>
    <t>Arcadia (P) (Bienville Parish, LA)</t>
  </si>
  <si>
    <t>Opelousas (St. Landry Parish)</t>
  </si>
  <si>
    <t>Shreveport Area Truck Rack (Bossier Parish, LA)</t>
  </si>
  <si>
    <t>SPRINGFIELD Hampden</t>
  </si>
  <si>
    <t>Baltimore-Curtis Bay (Anne Arundel County)</t>
  </si>
  <si>
    <t>Baltimore, MD</t>
  </si>
  <si>
    <t>MD XBALTIMORE, MD GROU</t>
  </si>
  <si>
    <t>Baltimore-South (Baltimore City)</t>
  </si>
  <si>
    <t>Baltimore-North (Baltimore City)</t>
  </si>
  <si>
    <t>BAY CITY Bay</t>
  </si>
  <si>
    <t>Bay City, Bay County</t>
  </si>
  <si>
    <t>Hammond, Lake County, Indiana</t>
  </si>
  <si>
    <t>Tariff-170.7.0.pdf</t>
  </si>
  <si>
    <t>Niles Twp. (Niles Meter Station), Berrien County</t>
  </si>
  <si>
    <t>Tariff-166.36.0.pdf</t>
  </si>
  <si>
    <t>Niles Twp. Berrien County, Michigan</t>
  </si>
  <si>
    <t>Grand Haven, Ottawa County</t>
  </si>
  <si>
    <t>FLINT Genesee</t>
  </si>
  <si>
    <t>Holland, Ottawa County</t>
  </si>
  <si>
    <t>Blackman Twp. (Jackson Meter Station), Jackson County</t>
  </si>
  <si>
    <t xml:space="preserve">Stockbridge, Ingham County </t>
  </si>
  <si>
    <t>Stockbridge, Ingham County, Michigan</t>
  </si>
  <si>
    <t>Lansing, Clinton County</t>
  </si>
  <si>
    <t>Marshall Twp. (Marshall Meter Station), Calhoun County</t>
  </si>
  <si>
    <t>Jackson Terminal (Jackson County, MI)</t>
  </si>
  <si>
    <t>MI XLANSING, MI GROUP</t>
  </si>
  <si>
    <t>OWOSSO Shiawassee</t>
  </si>
  <si>
    <t>River Rouge Terminal (Wayne County, MI)</t>
  </si>
  <si>
    <t>XX XDETROIT, MI GROUP</t>
  </si>
  <si>
    <t>DETROIT Wayne</t>
  </si>
  <si>
    <t>Detroit (Buckeye) Terminal (Wayne County, MI)</t>
  </si>
  <si>
    <t>DEARBORN Wayne</t>
  </si>
  <si>
    <t>Dearborn Terminal (Wayne County, MI)</t>
  </si>
  <si>
    <t>WOODHAVEN Wayne</t>
  </si>
  <si>
    <t>Woodhaven, Wayne County</t>
  </si>
  <si>
    <t>MINN-27-MPLLP.pdf</t>
  </si>
  <si>
    <t>Minneapolis</t>
  </si>
  <si>
    <t>Alexandria</t>
  </si>
  <si>
    <t>Alexandria, MN</t>
  </si>
  <si>
    <t>Minneapolis (Roseville) Pine Bend St. Paul Park</t>
  </si>
  <si>
    <t>Duluth</t>
  </si>
  <si>
    <t>Duluth, MN</t>
  </si>
  <si>
    <t>Rochester</t>
  </si>
  <si>
    <t>Mankato</t>
  </si>
  <si>
    <t>Mankato, MN</t>
  </si>
  <si>
    <t>Marshall</t>
  </si>
  <si>
    <t>Marshall, MN</t>
  </si>
  <si>
    <t>FERC 16.25.0 (Cancels FERC 16.24.0).pdf</t>
  </si>
  <si>
    <t>Mandan, ND</t>
  </si>
  <si>
    <t>Moorhead, MN</t>
  </si>
  <si>
    <t>BP Dubuque Terminal, Iowa (Dubuque County)</t>
  </si>
  <si>
    <t>Twin Cities Terminal, Roseville, Minnesota (Ramsey County)</t>
  </si>
  <si>
    <t>Minneapolis (MPL)</t>
  </si>
  <si>
    <t>Minneapolis (MPL), MN</t>
  </si>
  <si>
    <t>Sauk Centre, MN</t>
  </si>
  <si>
    <t>Spring Valley Terminal,  Spring Valley, Minnesota  (Fillmore County)</t>
  </si>
  <si>
    <t>Wrenshall</t>
  </si>
  <si>
    <t xml:space="preserve">Wrenshall, MN </t>
  </si>
  <si>
    <t>Cape Girardeau (Scott Co., MO)</t>
  </si>
  <si>
    <t>Carthage, MO</t>
  </si>
  <si>
    <t>Columbia, MO</t>
  </si>
  <si>
    <t>MO-JEFFERSONCITYAGSGROUP</t>
  </si>
  <si>
    <t>Jefferson City, Missouri</t>
  </si>
  <si>
    <t xml:space="preserve">Mount Vernon, MO </t>
  </si>
  <si>
    <t>Palmyra, MO</t>
  </si>
  <si>
    <t>St. Louis (St. Louis County)</t>
  </si>
  <si>
    <t>ST. LOUIS St. Louis</t>
  </si>
  <si>
    <t>Springfield, MO</t>
  </si>
  <si>
    <t>Collins (Covington County)</t>
  </si>
  <si>
    <t>XX XHATTIESBURG, MS GR</t>
  </si>
  <si>
    <t>Meridian (Lauderdale County)</t>
  </si>
  <si>
    <t>Apex (Wake County)</t>
  </si>
  <si>
    <t>Charlotte/Charlotte Douglas Airport (Mecklenburg County)</t>
  </si>
  <si>
    <t>Fayetteville (Cumberland County)</t>
  </si>
  <si>
    <t>NC XRALEIGH, NC GROUP</t>
  </si>
  <si>
    <t>Greensboro (Guilford County)</t>
  </si>
  <si>
    <t>XX XGREENSBORO, NC GRP</t>
  </si>
  <si>
    <t>Selma (Johnston County)</t>
  </si>
  <si>
    <t>Fargo (West Fargo), ND</t>
  </si>
  <si>
    <t xml:space="preserve">Grand Forks (MPL), ND </t>
  </si>
  <si>
    <t>NDPSC No. 22 (Cancels NDPSC No. 21).pdf</t>
  </si>
  <si>
    <t>Jamestown, ND</t>
  </si>
  <si>
    <t>Columbus, NE</t>
  </si>
  <si>
    <t xml:space="preserve">Doniphan, NE </t>
  </si>
  <si>
    <t>Geneva, NE</t>
  </si>
  <si>
    <t>Lincoln (MPL) (Roca), NE</t>
  </si>
  <si>
    <t>Norfolk, NE</t>
  </si>
  <si>
    <t>North Platte, NE</t>
  </si>
  <si>
    <t>Omaha (MPL), NE</t>
  </si>
  <si>
    <t>Osceola, NE</t>
  </si>
  <si>
    <t>Pennsauken (Camden County)</t>
  </si>
  <si>
    <t>Woodbury (Gloucester County)</t>
  </si>
  <si>
    <t>XX XSNJP GROUP</t>
  </si>
  <si>
    <t>Albuquerque Station Bernalillo County, New Mexico</t>
  </si>
  <si>
    <t>Lordsburg, NM (Hidalgo County)</t>
  </si>
  <si>
    <t>North Las Vegas, Clark County, Nevada</t>
  </si>
  <si>
    <t>NV-LASVEGASAGSGROUP</t>
  </si>
  <si>
    <t>NV-RENOAGSGROUP</t>
  </si>
  <si>
    <t xml:space="preserve">FERC 199.16.0 North Line 2023 Index eff 7-1-2023.pdf </t>
  </si>
  <si>
    <t>Reno/Sparks, NV (Washoe County)</t>
  </si>
  <si>
    <t>Albany, NY</t>
  </si>
  <si>
    <t>BPL_F441.20.0_EPS-NorthLine.pdf</t>
  </si>
  <si>
    <t>LINDEN Union</t>
  </si>
  <si>
    <t>BREWERTON Oswego</t>
  </si>
  <si>
    <t>BUFFALO Erie</t>
  </si>
  <si>
    <t>BPL_F439.28.0_LIS.pdf</t>
  </si>
  <si>
    <t>NEW JERSEY LINDEN Union</t>
  </si>
  <si>
    <t>INWOOD, NEW YORK Nassau</t>
  </si>
  <si>
    <t>LONG ISLAND CITY, NEW YORK Queens</t>
  </si>
  <si>
    <t>XX XNNJ GROUP</t>
  </si>
  <si>
    <t>ROCHESTER Monroe</t>
  </si>
  <si>
    <t>MARCY Oneida</t>
  </si>
  <si>
    <t>UTICA Oneida</t>
  </si>
  <si>
    <t>BINGHAMTON/ VESTAL Broome</t>
  </si>
  <si>
    <t>VESTAL Broome</t>
  </si>
  <si>
    <t>SYRACUSE/VAN BUREN Onondaga</t>
  </si>
  <si>
    <t>VAN BUREN Onondaga</t>
  </si>
  <si>
    <t>Inland_OH_7.8.pdf</t>
  </si>
  <si>
    <t>Lima or Toledo</t>
  </si>
  <si>
    <t>Akron</t>
  </si>
  <si>
    <t xml:space="preserve">BPL-R126_Local.pdf </t>
  </si>
  <si>
    <t>TOLEDO Lucas</t>
  </si>
  <si>
    <t>AURORA Portage</t>
  </si>
  <si>
    <t>OH XCLEVELAND, OH GRP</t>
  </si>
  <si>
    <t>BRECKSVILLE Cuyahoga</t>
  </si>
  <si>
    <t>TARIFF, FERC NO. 4.5.0 (4.5.0) C010849_T6922.pdf</t>
  </si>
  <si>
    <t>Dayton…………..Ohio (Montgomery County)</t>
  </si>
  <si>
    <t>Cincinnati…………..Ohio (Hamilton County)</t>
  </si>
  <si>
    <t>Cincinnati…………………..Ohio (Hamilton County)</t>
  </si>
  <si>
    <t>Inland_OH_6.9.pdf</t>
  </si>
  <si>
    <t>Lima</t>
  </si>
  <si>
    <t>Dayton</t>
  </si>
  <si>
    <t>CLEVELAND (Drydock) Cuyahoga</t>
  </si>
  <si>
    <t>COLUMBUS Franklin</t>
  </si>
  <si>
    <t>BPLT_31.14.0_Broadway_Rates-1.pdf</t>
  </si>
  <si>
    <t>CUYAHOGA Hendricks</t>
  </si>
  <si>
    <t>fercno76290 mplx ohio river 2023.pdf</t>
  </si>
  <si>
    <t>HEATH, OHIO (Licking County)</t>
  </si>
  <si>
    <t>COLUMBUS, OHIO (Franklin County)</t>
  </si>
  <si>
    <t>DAYTON, OHIO (Montgomery Cty.)</t>
  </si>
  <si>
    <t>CANTON, OHIO (Stark County)</t>
  </si>
  <si>
    <t>EAST SPARTA, OHIO (Stark County)</t>
  </si>
  <si>
    <t>LIMA Allen</t>
  </si>
  <si>
    <t>LORAIN Lorain</t>
  </si>
  <si>
    <t>WEST TOLEDO TERMINAL Lucas</t>
  </si>
  <si>
    <t>SPLP_OH_11.8.pdf</t>
  </si>
  <si>
    <t>Youngstown</t>
  </si>
  <si>
    <t xml:space="preserve">Enid, OK </t>
  </si>
  <si>
    <t>Pasadena, Houston (Harris County, Texas)</t>
  </si>
  <si>
    <t>Tulsa (Tulsa County)</t>
  </si>
  <si>
    <t>Oklahoma City (MPL), OK</t>
  </si>
  <si>
    <t>Oklahoma City (TMP), OK</t>
  </si>
  <si>
    <t>Portland (Multnomah County), OR</t>
  </si>
  <si>
    <t>Eugene (Lane County), OR</t>
  </si>
  <si>
    <t>BPLT_21.20.0_PPSRates.pdf</t>
  </si>
  <si>
    <t>PAULSBORO Gloucester</t>
  </si>
  <si>
    <t>ALLENTOWN Lehigh</t>
  </si>
  <si>
    <t>XX XALLENTOWN/ BETH GR</t>
  </si>
  <si>
    <t>RATES  PENNSYLVANIA, FERC NO. 442.0.0 (442.35.0) C000151_T751.PDF</t>
  </si>
  <si>
    <t>BOOTH Delaware</t>
  </si>
  <si>
    <t>ELDORADO Blair</t>
  </si>
  <si>
    <t>XX XALTOONA, PA GROUP</t>
  </si>
  <si>
    <t>LOCAL RATES, FERC NO. 3.15.0 (7.0.0) C001265_T911.RTF</t>
  </si>
  <si>
    <t>Delaware City Refining Company LLC Refinery New Castle County Delaware</t>
  </si>
  <si>
    <t>Sunoco Pipeline, L.P. Twin Oaks Pump Station Delaware County Pennsylvania</t>
  </si>
  <si>
    <t>CORAOPOLIS Allegheny</t>
  </si>
  <si>
    <t>PA XPITT, PA GROUP</t>
  </si>
  <si>
    <t>DELMONT Westmoreland</t>
  </si>
  <si>
    <t>HIGHSPIRE Dauphin</t>
  </si>
  <si>
    <t>XX XHARRISBURG, PA GRP</t>
  </si>
  <si>
    <t>TUCKERTON Berks</t>
  </si>
  <si>
    <t>MALVERN Chester</t>
  </si>
  <si>
    <t>MECHANICSBURG Cumberland</t>
  </si>
  <si>
    <t>MIDLAND, PENNSYLVANIA (Beaver County)</t>
  </si>
  <si>
    <t>NEVILLE ISLAND Allegheny</t>
  </si>
  <si>
    <t>Philadelphia-Girard Point (Philadelphia County)</t>
  </si>
  <si>
    <t xml:space="preserve">SINKING SPRING Berks </t>
  </si>
  <si>
    <t>DUPONT Luzerne</t>
  </si>
  <si>
    <t>SINKING SPRING Berks</t>
  </si>
  <si>
    <t>FULLERTON Lehigh</t>
  </si>
  <si>
    <t>Belton (Anderson County)</t>
  </si>
  <si>
    <t>SC XSENECA, SC GROUP</t>
  </si>
  <si>
    <t>North Augusta (Edgefield County)</t>
  </si>
  <si>
    <t>XX XAUGUSTA, GA GROUP</t>
  </si>
  <si>
    <t>Spartanburg (Spartanburg County)</t>
  </si>
  <si>
    <t>SC XSPARTANBURG,SC GRP</t>
  </si>
  <si>
    <t>Aberdeen, SD</t>
  </si>
  <si>
    <t>Mitchell, SD</t>
  </si>
  <si>
    <t>FERC184300MPLLPRMPS.pdf</t>
  </si>
  <si>
    <t>Mule Creek Jct., WY</t>
  </si>
  <si>
    <t>Rapid City, SD</t>
  </si>
  <si>
    <t>Sioux Falls, SD</t>
  </si>
  <si>
    <t>Watertown, SD</t>
  </si>
  <si>
    <t>Wolsey, SD</t>
  </si>
  <si>
    <t>Yankton, SD</t>
  </si>
  <si>
    <t>Chattanooga (Hamilton County)</t>
  </si>
  <si>
    <t>Knoxville (Knox County)</t>
  </si>
  <si>
    <t>Memphis (Exxon) (Shelby Co., TN)</t>
  </si>
  <si>
    <t>Memphis (Lion Oil Terminal) (Shelby Co., TN)</t>
  </si>
  <si>
    <t>Nashville-East (Davidson County)</t>
  </si>
  <si>
    <t>Nashville, TN</t>
  </si>
  <si>
    <t>Nashville (Davidson County)</t>
  </si>
  <si>
    <t>Texas No. 99.6.00 (Cancels Texas No. 99.5.0).pdf</t>
  </si>
  <si>
    <t>Sheerin Station, Moore County, Texas</t>
  </si>
  <si>
    <t>Abernathy, Hale County, Texas</t>
  </si>
  <si>
    <t>Wynnewood Jct., OK</t>
  </si>
  <si>
    <t>Tye (Abilene), TX</t>
  </si>
  <si>
    <t>TX50240MPLLPBase.pdf</t>
  </si>
  <si>
    <t>WEST FT. WORTH, (Tarrant County)</t>
  </si>
  <si>
    <t>TX-DALLASAGSGROUP</t>
  </si>
  <si>
    <t>Amarillo Station, Potter County, Texas</t>
  </si>
  <si>
    <t>TX-AMARILLOAGSGROUP</t>
  </si>
  <si>
    <t>p66 tariff tx no 8.13 july 2023.pdf</t>
  </si>
  <si>
    <t>Amarillo Station Potter County, Texas</t>
  </si>
  <si>
    <t>TE Products TX No. 132.14.0.pdf</t>
  </si>
  <si>
    <t>North Port Arthur (Jefferson Co., TX)</t>
  </si>
  <si>
    <t>Bryan (Brazos County, Texas)</t>
  </si>
  <si>
    <t>Greenville (Hunt County)</t>
  </si>
  <si>
    <t>TX-DGNOAGSGROUP</t>
  </si>
  <si>
    <t>TX-ELPASOAGSGROUP</t>
  </si>
  <si>
    <t>El Paso (MPL), TX (El Paso County)</t>
  </si>
  <si>
    <t>MPL El Paso Jct. (formerly Plains Pipeline, L.P.) El Paso, TX (El Paso County)</t>
  </si>
  <si>
    <t>Grapevine (Tarrant County)</t>
  </si>
  <si>
    <t>Ft. Worth (Tarrant County)</t>
  </si>
  <si>
    <t>Frost, TX</t>
  </si>
  <si>
    <t>TX54250MPLLPPtArthurJt.pdf</t>
  </si>
  <si>
    <t>Port Arthur (Jefferson County, Texas)</t>
  </si>
  <si>
    <t>HEARNE-MOTIVA, (Robertson County)</t>
  </si>
  <si>
    <t>PORT ARTHUR, TX (JEFFERSON County)</t>
  </si>
  <si>
    <t>Houston, TX</t>
  </si>
  <si>
    <t>TX-HOUSTONAGSGROUP</t>
  </si>
  <si>
    <t>Irving (Dallas County)</t>
  </si>
  <si>
    <t>Lubbock, Lubbock County, Texas</t>
  </si>
  <si>
    <t>Melissa (Collin County)</t>
  </si>
  <si>
    <t>TE Products TX No. 118.7.0.pdf</t>
  </si>
  <si>
    <t>North Houston/Aldine Westfield (Harris Co., TX)</t>
  </si>
  <si>
    <t>North Houston (Harris County)</t>
  </si>
  <si>
    <t>North Houston Terminal (Harris Co., TX)</t>
  </si>
  <si>
    <t>Odessa, TX</t>
  </si>
  <si>
    <t>TX-WESTAGSGROUP</t>
  </si>
  <si>
    <t>Waco (McLennon County)</t>
  </si>
  <si>
    <t>, SALT LAKE CITY, UT &amp;#8211; LAS VEGAS, NV, FERC NO. (2.16.0) C002778_T3041.PDF</t>
  </si>
  <si>
    <t>Salt Lake City, Utah</t>
  </si>
  <si>
    <t>Cedar City, Utah</t>
  </si>
  <si>
    <t>ferc-no-64_17-was-64_16-hrm-wx-pioneer-prod-ut-unev-pipeline-ut.pdf</t>
  </si>
  <si>
    <t>HF Sinclair Refining &amp; Marketing Refinery, Woods Cross, Utah</t>
  </si>
  <si>
    <t>UNEV Pipe Line Company’s North Salt Lake Station Davis County, Utah</t>
  </si>
  <si>
    <t>UNEV Pipeline, LLC, Utah Origin Station</t>
  </si>
  <si>
    <t>HollyFrontier Refining &amp; Marketing Refinery, Woods Cross, Utah</t>
  </si>
  <si>
    <t>UT-MILFORDAGSGROUP</t>
  </si>
  <si>
    <t>UT-SALTLAKECITYAGSGROUP</t>
  </si>
  <si>
    <t>RATES, RULES AND REGS, FERC NO. 64.21.0 (64.21.0) C001040_T996.PDF</t>
  </si>
  <si>
    <t>Sinclair Station, Carbon County, Wyoming</t>
  </si>
  <si>
    <t>Pioneer Pipe Line Company’s North Salt Lake Station, Davis County, Utah</t>
  </si>
  <si>
    <t>Fairfax (Fairfax County)</t>
  </si>
  <si>
    <t>XX XWASHINGTON,D.C. GR</t>
  </si>
  <si>
    <t>Bull Run (Prince William County)</t>
  </si>
  <si>
    <t>Newington, VA  (Fairfax County)</t>
  </si>
  <si>
    <t>Norfolk-Hill (City of Chesapeake)</t>
  </si>
  <si>
    <t>XX XNORFOLK, VA GROUP</t>
  </si>
  <si>
    <t>Norfolk (City of Chesapeake)</t>
  </si>
  <si>
    <t>Richmond-Ruffin (City of Richmond)</t>
  </si>
  <si>
    <t>VA XRICHMOND, VA GROUP</t>
  </si>
  <si>
    <t>Richmond-Maury (City of Richmond)</t>
  </si>
  <si>
    <t>Roanoke, VA (Roanoke County)</t>
  </si>
  <si>
    <t>VA XROANOKE, VA GROUP</t>
  </si>
  <si>
    <t>Pasco Station, Franklin County, Washington</t>
  </si>
  <si>
    <t>WA-WALLULAAGSGROUP</t>
  </si>
  <si>
    <t>olym_wutc_56_decrease.pdf</t>
  </si>
  <si>
    <t>Bayview, Skagit County</t>
  </si>
  <si>
    <t>Renton, King County</t>
  </si>
  <si>
    <t>WA-SEATTLEAGSGROUP</t>
  </si>
  <si>
    <t>Seattle, King County</t>
  </si>
  <si>
    <t>fercno 2.12.0 tesoro northwest 070123.pdf</t>
  </si>
  <si>
    <t>Spokane Station, Spokane County, Washington</t>
  </si>
  <si>
    <t>Tacoma, Pierce County</t>
  </si>
  <si>
    <t>OR-PORTLANDAGSGROUP</t>
  </si>
  <si>
    <t>Vancouver, Clark County</t>
  </si>
  <si>
    <t>WS-FERC-71.45.0-WestShore-Rates-Rules-Regs.pdf</t>
  </si>
  <si>
    <t>Madison (Dane County), WI</t>
  </si>
  <si>
    <t>Romeoville (Will County), IL</t>
  </si>
  <si>
    <t>Granville (Milwaukee County), WI</t>
  </si>
  <si>
    <t>WI-SOUTHAGSGROUP</t>
  </si>
  <si>
    <t>Casper or Strouds, WY</t>
  </si>
  <si>
    <t>Cheyenne, WY</t>
  </si>
  <si>
    <t>Rock Springs, Sweetwater County, Wyoming</t>
  </si>
  <si>
    <t>Total</t>
  </si>
  <si>
    <t>TML</t>
  </si>
  <si>
    <t>TPT</t>
  </si>
  <si>
    <t>State</t>
  </si>
  <si>
    <t>Terminal City</t>
  </si>
  <si>
    <t>Terminal Market</t>
  </si>
  <si>
    <t>Region</t>
  </si>
  <si>
    <t>Terminal Code</t>
  </si>
  <si>
    <t>EN Terminal Name</t>
  </si>
  <si>
    <t>facilities charge</t>
  </si>
  <si>
    <t>throughput</t>
  </si>
  <si>
    <t>terminaling estimate</t>
  </si>
  <si>
    <t>Subtotal</t>
  </si>
  <si>
    <t>tariff</t>
  </si>
  <si>
    <t>tvm</t>
  </si>
  <si>
    <t>basis</t>
  </si>
  <si>
    <t>fuel surcharge</t>
  </si>
  <si>
    <t>transload</t>
  </si>
  <si>
    <t>truck freight</t>
  </si>
  <si>
    <t>wholesale margin</t>
  </si>
  <si>
    <t>transportation estimate</t>
  </si>
  <si>
    <t>generic additive</t>
  </si>
  <si>
    <t>line loss</t>
  </si>
  <si>
    <t>Clear Gas</t>
  </si>
  <si>
    <t>E10</t>
  </si>
  <si>
    <t>E15</t>
  </si>
  <si>
    <t>Notes</t>
  </si>
  <si>
    <t>product_code</t>
  </si>
  <si>
    <t>line_item_type_name</t>
  </si>
  <si>
    <t>index_code</t>
  </si>
  <si>
    <t>line_item_adder</t>
  </si>
  <si>
    <t>line_item_percent</t>
  </si>
  <si>
    <t>NULL</t>
  </si>
  <si>
    <t>Product</t>
  </si>
  <si>
    <t>PL_C_PG-AAXIX00-UNL SUB</t>
  </si>
  <si>
    <t>Prior Day</t>
  </si>
  <si>
    <t>Combined Adder</t>
  </si>
  <si>
    <t>Ethanol</t>
  </si>
  <si>
    <t>OP_A_OS-CHI-ETHANOL</t>
  </si>
  <si>
    <t>RIN</t>
  </si>
  <si>
    <t>OP_A_OS-USA-RIN_CURRENT</t>
  </si>
  <si>
    <t>PL_C_PG-PGABD00-UNL91</t>
  </si>
  <si>
    <t>PL_C_WC-AAREL00-CBOB</t>
  </si>
  <si>
    <t>PL_C_WC-PPASQ00-UNL91</t>
  </si>
  <si>
    <t>PL_C_UG-AARQU00-CBOB87</t>
  </si>
  <si>
    <t>PL_C_UG-AARQV00-CBOB93</t>
  </si>
  <si>
    <t>PL_C_UG-AAMFB00-RBOB837</t>
  </si>
  <si>
    <t>PL_C_UG-AAMNG00-RBOB914</t>
  </si>
  <si>
    <t>PL_C_PN-AAPSY00-CBOB</t>
  </si>
  <si>
    <t>PL_C_PN-AAPSZ00-CBOB BL</t>
  </si>
  <si>
    <t>PL_C_PN-AAUAS00-CBOB LP</t>
  </si>
  <si>
    <t>PL_C_PN-AAUAT00-CBOB LP</t>
  </si>
  <si>
    <t>PL_C_WC-PPARH00-RBOB</t>
  </si>
  <si>
    <t>PL_C_WC-AAUEU00-PBOB</t>
  </si>
  <si>
    <t>PL_C_PN-AAWBL00-CBOB</t>
  </si>
  <si>
    <t>PL_C_PN-AAMGV00-RBOB BG</t>
  </si>
  <si>
    <t>PL_C_PN-AAMGY00-RBOB</t>
  </si>
  <si>
    <t>OP_A_OS-LAN-SUBOCT UNL</t>
  </si>
  <si>
    <t>CARB 1</t>
  </si>
  <si>
    <t>OP_L_OS-CAL-CARFEE GASS SYN</t>
  </si>
  <si>
    <t>CARB 2</t>
  </si>
  <si>
    <t>OP_A_OS-CAL GAS90 CMB SYN</t>
  </si>
  <si>
    <t>OP_A_OS-LAN-SUBOCT PREM</t>
  </si>
  <si>
    <t>OP_A_OS-SFR-CBOB UNL</t>
  </si>
  <si>
    <t>OP_A_OS-SFR-CBOB PREM</t>
  </si>
  <si>
    <t>PL_C_PN-AAMHB00-RBOB</t>
  </si>
  <si>
    <t>PL_C_PN-AAMHZ00-RBOB PR</t>
  </si>
  <si>
    <t>OP_A_OS-PNW-SUBOCT UNL</t>
  </si>
  <si>
    <t>OP_A_OS-PNW-SUBOCT PREM</t>
  </si>
  <si>
    <t>Shipping_Aberdeen SD_SD00_8701</t>
  </si>
  <si>
    <t>Shipping_Aberdeen SD_SD00_8710</t>
  </si>
  <si>
    <t>Shipping_Aberdeen SD_SD00_9101</t>
  </si>
  <si>
    <t>Shipping_Aberdeen SD_SD00_9110</t>
  </si>
  <si>
    <t>Shipping_Abernathy TX_TX31_8610</t>
  </si>
  <si>
    <t>Shipping_Abernathy TX_TX31_9110</t>
  </si>
  <si>
    <t>Shipping_Abilene TX_TX24_8710</t>
  </si>
  <si>
    <t>Shipping_Abilene TX_TX24_9110</t>
  </si>
  <si>
    <t>Shipping_Akron OH_OH38_8710</t>
  </si>
  <si>
    <t>Shipping_Akron OH_OH38_9101</t>
  </si>
  <si>
    <t>Shipping_Akron OH_OH38_9310</t>
  </si>
  <si>
    <t>Shipping_Albany GA_GA01_8701</t>
  </si>
  <si>
    <t>Shipping_Albany GA_GA01_8710</t>
  </si>
  <si>
    <t>Shipping_Albany GA_GA01_9101</t>
  </si>
  <si>
    <t>Shipping_Albany GA_GA01_9300</t>
  </si>
  <si>
    <t>Shipping_Albany GA_GA01_9310</t>
  </si>
  <si>
    <t>Shipping_Albuquerque NM_NM00_8610</t>
  </si>
  <si>
    <t>Shipping_Albuquerque NM_NM00_9101</t>
  </si>
  <si>
    <t>Shipping_Albuquerque NM_NM00_9110</t>
  </si>
  <si>
    <t>Shipping_Aledo TX_TX42_8708</t>
  </si>
  <si>
    <t>Shipping_Aledo TX_TX42_8710</t>
  </si>
  <si>
    <t>Shipping_Aledo TX_TX42_8711</t>
  </si>
  <si>
    <t>Shipping_Aledo TX_TX42_8713</t>
  </si>
  <si>
    <t>Shipping_Aledo TX_TX42_9305</t>
  </si>
  <si>
    <t>Shipping_Aledo TX_TX42_9307</t>
  </si>
  <si>
    <t>Shipping_Aledo TX_TX42_9309</t>
  </si>
  <si>
    <t>Shipping_Aledo TX_TX42_9310</t>
  </si>
  <si>
    <t>Shipping_Allentown PA_PA01_8710</t>
  </si>
  <si>
    <t>Shipping_Allentown PA_PA01_9310</t>
  </si>
  <si>
    <t>Shipping_Altoona PA_PA46_8701</t>
  </si>
  <si>
    <t>Shipping_Altoona PA_PA46_8710</t>
  </si>
  <si>
    <t>Shipping_Altoona PA_PA46_9204</t>
  </si>
  <si>
    <t>Shipping_Altoona PA_PA46_9310</t>
  </si>
  <si>
    <t>Shipping_Amarillo TX_TX34_8610</t>
  </si>
  <si>
    <t>Shipping_Amarillo TX_TX34_8710</t>
  </si>
  <si>
    <t>Shipping_Amarillo TX_TX34_9110</t>
  </si>
  <si>
    <t>Shipping_Apex NC_NC23_8710</t>
  </si>
  <si>
    <t>Shipping_Apex NC_NC23_9310</t>
  </si>
  <si>
    <t>Shipping_Arcadia LA_LA01_8710</t>
  </si>
  <si>
    <t>Shipping_Arcadia LA_LA01_9310</t>
  </si>
  <si>
    <t>Shipping_Argo IL_IL13_8711</t>
  </si>
  <si>
    <t>Shipping_Argo IL_IL13_8712</t>
  </si>
  <si>
    <t>Shipping_Argo IL_IL13_8713</t>
  </si>
  <si>
    <t>Shipping_Argo IL_IL13_9205</t>
  </si>
  <si>
    <t>Shipping_Argo IL_IL13_9307</t>
  </si>
  <si>
    <t>Shipping_Argo IL_IL13_9308</t>
  </si>
  <si>
    <t>Shipping_Argo IL_IL13_9309</t>
  </si>
  <si>
    <t>Shipping_Arlington Heights IL_IL01_8711</t>
  </si>
  <si>
    <t>Shipping_Arlington Heights IL_IL01_8712</t>
  </si>
  <si>
    <t>Shipping_Arlington Heights IL_IL01_8713</t>
  </si>
  <si>
    <t>Shipping_Arlington Heights IL_IL01_9307</t>
  </si>
  <si>
    <t>Shipping_Arlington Heights IL_IL01_9308</t>
  </si>
  <si>
    <t>Shipping_Arlington Heights IL_IL01_9309</t>
  </si>
  <si>
    <t>Shipping_Aston PA_PA30_8710</t>
  </si>
  <si>
    <t>Shipping_Aston PA_PA30_8712</t>
  </si>
  <si>
    <t>Shipping_Aston PA_PA30_8713</t>
  </si>
  <si>
    <t>Shipping_Aston PA_PA30_9308</t>
  </si>
  <si>
    <t>Shipping_Aston PA_PA30_9309</t>
  </si>
  <si>
    <t>Shipping_Athens GA_GA04_8701</t>
  </si>
  <si>
    <t>Shipping_Athens GA_GA04_8710</t>
  </si>
  <si>
    <t>Shipping_Athens GA_GA04_9101</t>
  </si>
  <si>
    <t>Shipping_Athens GA_GA04_9310</t>
  </si>
  <si>
    <t>Shipping_Aurora CO_CO00_8502</t>
  </si>
  <si>
    <t>Shipping_Aurora CO_CO00_8510</t>
  </si>
  <si>
    <t>Shipping_Aurora CO_CO00_8708</t>
  </si>
  <si>
    <t>Shipping_Aurora CO_CO00_8710</t>
  </si>
  <si>
    <t>Shipping_Aurora CO_CO00_9107</t>
  </si>
  <si>
    <t>Shipping_Aurora CO_CO00_9110</t>
  </si>
  <si>
    <t>Shipping_Aurora OH_OH46_8701</t>
  </si>
  <si>
    <t>Shipping_Aurora OH_OH46_8710</t>
  </si>
  <si>
    <t>Shipping_Aurora OH_OH46_9310</t>
  </si>
  <si>
    <t>Shipping_Bainbridge GA_GA12_8710</t>
  </si>
  <si>
    <t>Shipping_Bainbridge GA_GA12_9310</t>
  </si>
  <si>
    <t>Shipping_Baltimore MD_MD00_8711</t>
  </si>
  <si>
    <t>Shipping_Baltimore MD_MD00_8713</t>
  </si>
  <si>
    <t>Shipping_Baltimore MD_MD00_9307</t>
  </si>
  <si>
    <t>Shipping_Baltimore MD_MD00_9309</t>
  </si>
  <si>
    <t>Shipping_Bay City MI_MI27_8710</t>
  </si>
  <si>
    <t>Shipping_Bay City MI_MI27_9204</t>
  </si>
  <si>
    <t>Shipping_Bay City MI_MI27_9310</t>
  </si>
  <si>
    <t>Shipping_Beaumont TX_TX68_8708</t>
  </si>
  <si>
    <t>Shipping_Beaumont TX_TX68_8710</t>
  </si>
  <si>
    <t>Shipping_Beaumont TX_TX68_9305</t>
  </si>
  <si>
    <t>Shipping_Beaumont TX_TX68_9307</t>
  </si>
  <si>
    <t>Shipping_Beaumont TX_TX68_9309</t>
  </si>
  <si>
    <t>Shipping_Beaumont TX_TX68_9310</t>
  </si>
  <si>
    <t>Shipping_Belton SC_SC00_8701</t>
  </si>
  <si>
    <t>Shipping_Belton SC_SC00_8710</t>
  </si>
  <si>
    <t>Shipping_Belton SC_SC00_9310</t>
  </si>
  <si>
    <t>Shipping_Bettendorf IA_IA18_8701</t>
  </si>
  <si>
    <t>Shipping_Bettendorf IA_IA18_8710</t>
  </si>
  <si>
    <t>Shipping_Bettendorf IA_IA18_9101</t>
  </si>
  <si>
    <t>Shipping_Bettendorf IA_IA18_9110</t>
  </si>
  <si>
    <t>Shipping_Bettendorf IA_IA18_9310</t>
  </si>
  <si>
    <t>Shipping_Birmingham AL_AL06_8701</t>
  </si>
  <si>
    <t>Shipping_Birmingham AL_AL06_8710</t>
  </si>
  <si>
    <t>Shipping_Birmingham AL_AL06_9101</t>
  </si>
  <si>
    <t>Shipping_Birmingham AL_AL06_9204</t>
  </si>
  <si>
    <t>Shipping_Birmingham AL_AL06_9310</t>
  </si>
  <si>
    <t>Shipping_Boise ID_ID01_8701</t>
  </si>
  <si>
    <t>Shipping_Boise ID_ID01_8710</t>
  </si>
  <si>
    <t>Shipping_Boise ID_ID01_9110</t>
  </si>
  <si>
    <t>Shipping_Boligee AL_AL29_8710</t>
  </si>
  <si>
    <t>Shipping_Boligee AL_AL29_9310</t>
  </si>
  <si>
    <t>Shipping_Brecksville OH_OH31_8710</t>
  </si>
  <si>
    <t>Shipping_Brecksville OH_OH31_9204</t>
  </si>
  <si>
    <t>Shipping_Brecksville OH_OH31_9310</t>
  </si>
  <si>
    <t>Shipping_Bremen GA_GA13_8710</t>
  </si>
  <si>
    <t>Shipping_Bremen GA_GA13_9310</t>
  </si>
  <si>
    <t>Shipping_Brewerton NY_NY38_8701</t>
  </si>
  <si>
    <t>Shipping_Brewerton NY_NY38_8710</t>
  </si>
  <si>
    <t>Shipping_Brewerton NY_NY38_9110</t>
  </si>
  <si>
    <t>Shipping_Brewerton NY_NY38_9310</t>
  </si>
  <si>
    <t>Shipping_Buffalo NY_NY40_8701</t>
  </si>
  <si>
    <t>Shipping_Buffalo NY_NY40_8710</t>
  </si>
  <si>
    <t>Shipping_Buffalo NY_NY40_9310</t>
  </si>
  <si>
    <t>Shipping_Burley ID_ID03_8510</t>
  </si>
  <si>
    <t>Shipping_Burley ID_ID03_9110</t>
  </si>
  <si>
    <t>Shipping_Caddo Mills TX_TX37_8708</t>
  </si>
  <si>
    <t>Shipping_Caddo Mills TX_TX37_8710</t>
  </si>
  <si>
    <t>Shipping_Caddo Mills TX_TX37_8711</t>
  </si>
  <si>
    <t>Shipping_Caddo Mills TX_TX37_8713</t>
  </si>
  <si>
    <t>Shipping_Caddo Mills TX_TX37_9305</t>
  </si>
  <si>
    <t>Shipping_Caddo Mills TX_TX37_9307</t>
  </si>
  <si>
    <t>Shipping_Caddo Mills TX_TX37_9309</t>
  </si>
  <si>
    <t>Shipping_Cahokia IL_IL31_8710</t>
  </si>
  <si>
    <t>Shipping_Cahokia IL_IL31_8711</t>
  </si>
  <si>
    <t>Shipping_Cahokia IL_IL31_8713</t>
  </si>
  <si>
    <t>Shipping_Cahokia IL_IL31_9101</t>
  </si>
  <si>
    <t>Shipping_Cahokia IL_IL31_9110</t>
  </si>
  <si>
    <t>Shipping_Cahokia IL_IL31_9307</t>
  </si>
  <si>
    <t>Shipping_Cahokia IL_IL31_9309</t>
  </si>
  <si>
    <t>Shipping_Cahokia IL_IL31_9310</t>
  </si>
  <si>
    <t>Shipping_Cape Girardeau MO_MO03_8710</t>
  </si>
  <si>
    <t>Shipping_Cape Girardeau MO_MO03_9300</t>
  </si>
  <si>
    <t>Shipping_Cape Girardeau MO_MO03_9310</t>
  </si>
  <si>
    <t>Shipping_Carthage MO_MO04_8701</t>
  </si>
  <si>
    <t>Shipping_Carthage MO_MO04_8710</t>
  </si>
  <si>
    <t>Shipping_Carthage MO_MO04_9101</t>
  </si>
  <si>
    <t>Shipping_Carthage MO_MO04_9110</t>
  </si>
  <si>
    <t>Shipping_Carthage MO_MO04_9310</t>
  </si>
  <si>
    <t>Shipping_Charlotte NC_NC06_8701</t>
  </si>
  <si>
    <t>Shipping_Charlotte NC_NC06_8710</t>
  </si>
  <si>
    <t>Shipping_Charlotte NC_NC06_9101</t>
  </si>
  <si>
    <t>Shipping_Charlotte NC_NC06_9204</t>
  </si>
  <si>
    <t>Shipping_Charlotte NC_NC06_9310</t>
  </si>
  <si>
    <t>Shipping_Chattahoochee GA_GA14_8710</t>
  </si>
  <si>
    <t>Shipping_Chattahoochee GA_GA14_9310</t>
  </si>
  <si>
    <t>Shipping_Chattanooga TN_TN05_8701</t>
  </si>
  <si>
    <t>Shipping_Chattanooga TN_TN05_8710</t>
  </si>
  <si>
    <t>Shipping_Chattanooga TN_TN05_9101</t>
  </si>
  <si>
    <t>Shipping_Chattanooga TN_TN05_9310</t>
  </si>
  <si>
    <t>Shipping_Cheyenne WY_WY03_8510</t>
  </si>
  <si>
    <t>Shipping_Cheyenne WY_WY03_9110</t>
  </si>
  <si>
    <t>Shipping_Cincinnati OH_OH04_8710</t>
  </si>
  <si>
    <t>Shipping_Cincinnati OH_OH04_9204</t>
  </si>
  <si>
    <t>Shipping_Cincinnati OH_OH04_9310</t>
  </si>
  <si>
    <t>Shipping_Clear Lake IA_IA12_8701</t>
  </si>
  <si>
    <t>Shipping_Clear Lake IA_IA12_8710</t>
  </si>
  <si>
    <t>Shipping_Clear Lake IA_IA12_9101</t>
  </si>
  <si>
    <t>Shipping_Clear Lake IA_IA12_9110</t>
  </si>
  <si>
    <t>Shipping_Clear Lake IA_IA12_9310</t>
  </si>
  <si>
    <t>Shipping_Clermont IN_IN19_8710</t>
  </si>
  <si>
    <t>Shipping_Clermont IN_IN19_9310</t>
  </si>
  <si>
    <t>Shipping_Cleveland OH_OH30_8701</t>
  </si>
  <si>
    <t>Shipping_Cleveland OH_OH30_8710</t>
  </si>
  <si>
    <t>Shipping_Cleveland OH_OH30_9300</t>
  </si>
  <si>
    <t>Shipping_Cleveland OH_OH30_9310</t>
  </si>
  <si>
    <t>Shipping_Collins MS_MS02_8701</t>
  </si>
  <si>
    <t>Shipping_Collins MS_MS02_8710</t>
  </si>
  <si>
    <t>Shipping_Collins MS_MS02_9310</t>
  </si>
  <si>
    <t>Shipping_Colton CA_CA09_8705</t>
  </si>
  <si>
    <t>Shipping_Colton CA_CA09_9105</t>
  </si>
  <si>
    <t>Shipping_Columbia MO_MO05_8701</t>
  </si>
  <si>
    <t>Shipping_Columbia MO_MO05_8710</t>
  </si>
  <si>
    <t>Shipping_Columbia MO_MO05_9101</t>
  </si>
  <si>
    <t>Shipping_Columbia MO_MO05_9110</t>
  </si>
  <si>
    <t>Shipping_Columbus GA_GA15_8701</t>
  </si>
  <si>
    <t>Shipping_Columbus GA_GA15_8710</t>
  </si>
  <si>
    <t>Shipping_Columbus GA_GA15_9204</t>
  </si>
  <si>
    <t>Shipping_Columbus GA_GA15_9310</t>
  </si>
  <si>
    <t>Shipping_Columbus NE_NE05_8701</t>
  </si>
  <si>
    <t>Shipping_Columbus NE_NE05_8710</t>
  </si>
  <si>
    <t>Shipping_Columbus NE_NE05_9101</t>
  </si>
  <si>
    <t>Shipping_Columbus NE_NE05_9110</t>
  </si>
  <si>
    <t>Shipping_Columbus OH_OH05_8710</t>
  </si>
  <si>
    <t>Shipping_Columbus OH_OH05_9110</t>
  </si>
  <si>
    <t>Shipping_Columbus OH_OH05_9204</t>
  </si>
  <si>
    <t>Shipping_Columbus OH_OH05_9310</t>
  </si>
  <si>
    <t>Shipping_Concordia KS_KS03_8701</t>
  </si>
  <si>
    <t>Shipping_Concordia KS_KS03_8710</t>
  </si>
  <si>
    <t>Shipping_Concordia KS_KS03_9101</t>
  </si>
  <si>
    <t>Shipping_Concordia KS_KS03_9110</t>
  </si>
  <si>
    <t>Shipping_Coralville IA_IA10_8701</t>
  </si>
  <si>
    <t>Shipping_Coralville IA_IA10_8710</t>
  </si>
  <si>
    <t>Shipping_Coralville IA_IA10_9101</t>
  </si>
  <si>
    <t>Shipping_Coralville IA_IA10_9110</t>
  </si>
  <si>
    <t>Shipping_Coralville IA_IA10_9204</t>
  </si>
  <si>
    <t>Shipping_Coralville IA_IA10_9310</t>
  </si>
  <si>
    <t>Shipping_Coraopolis PA_PA60_8701</t>
  </si>
  <si>
    <t>Shipping_Coraopolis PA_PA60_8703</t>
  </si>
  <si>
    <t>Shipping_Coraopolis PA_PA60_8708</t>
  </si>
  <si>
    <t>Shipping_Coraopolis PA_PA60_8710</t>
  </si>
  <si>
    <t>Shipping_Coraopolis PA_PA60_9305</t>
  </si>
  <si>
    <t>Shipping_Coraopolis PA_PA60_9310</t>
  </si>
  <si>
    <t>Shipping_Council Bluffs IA_IA03_8701</t>
  </si>
  <si>
    <t>Shipping_Council Bluffs IA_IA03_8710</t>
  </si>
  <si>
    <t>Shipping_Council Bluffs IA_IA03_9101</t>
  </si>
  <si>
    <t>Shipping_Council Bluffs IA_IA03_9110</t>
  </si>
  <si>
    <t>Shipping_Council Bluffs IA_IA03_9310</t>
  </si>
  <si>
    <t>Shipping_Cuyahoga Heights OH_OH25_8710</t>
  </si>
  <si>
    <t>Shipping_Cuyahoga Heights OH_OH25_9310</t>
  </si>
  <si>
    <t>Shipping_Dayton OH_OH12_8701</t>
  </si>
  <si>
    <t>Shipping_Dayton OH_OH12_8710</t>
  </si>
  <si>
    <t>Shipping_Dayton OH_OH12_9204</t>
  </si>
  <si>
    <t>Shipping_Dayton OH_OH12_9310</t>
  </si>
  <si>
    <t>Shipping_Decatur IL_IL33_8710</t>
  </si>
  <si>
    <t>Shipping_Decatur IL_IL33_9310</t>
  </si>
  <si>
    <t>Shipping_Delmont PA_PA52_8701</t>
  </si>
  <si>
    <t>Shipping_Delmont PA_PA52_8703</t>
  </si>
  <si>
    <t>Shipping_Delmont PA_PA52_8708</t>
  </si>
  <si>
    <t>Shipping_Delmont PA_PA52_8710</t>
  </si>
  <si>
    <t>Shipping_Delmont PA_PA52_9305</t>
  </si>
  <si>
    <t>Shipping_Delmont PA_PA52_9310</t>
  </si>
  <si>
    <t>Shipping_Des Moines IA_IA05_8701</t>
  </si>
  <si>
    <t>Shipping_Des Moines IA_IA05_8710</t>
  </si>
  <si>
    <t>Shipping_Des Moines IA_IA05_9101</t>
  </si>
  <si>
    <t>Shipping_Des Moines IA_IA05_9110</t>
  </si>
  <si>
    <t>Shipping_Doniphan NE_NE07_8701</t>
  </si>
  <si>
    <t>Shipping_Doniphan NE_NE07_8710</t>
  </si>
  <si>
    <t>Shipping_Doniphan NE_NE07_9101</t>
  </si>
  <si>
    <t>Shipping_Doniphan NE_NE07_9110</t>
  </si>
  <si>
    <t>Shipping_Doniphan NE_NE07_9204</t>
  </si>
  <si>
    <t>Shipping_Doniphan NE_NE07_9310</t>
  </si>
  <si>
    <t>Shipping_Doraville GA_GA25_8701</t>
  </si>
  <si>
    <t>Shipping_Doraville GA_GA25_8710</t>
  </si>
  <si>
    <t>Shipping_Doraville GA_GA25_9101</t>
  </si>
  <si>
    <t>Shipping_Doraville GA_GA25_9204</t>
  </si>
  <si>
    <t>Shipping_Doraville GA_GA25_9310</t>
  </si>
  <si>
    <t>Shipping_Dubuque IA_IA08_8701</t>
  </si>
  <si>
    <t>Shipping_Dubuque IA_IA08_8710</t>
  </si>
  <si>
    <t>Shipping_Dubuque IA_IA08_9101</t>
  </si>
  <si>
    <t>Shipping_Dubuque IA_IA08_9110</t>
  </si>
  <si>
    <t>Shipping_Dubuque IA_IA08_9310</t>
  </si>
  <si>
    <t>Shipping_Duluth MN_MN08_8701</t>
  </si>
  <si>
    <t>Shipping_Duluth MN_MN08_8710</t>
  </si>
  <si>
    <t>Shipping_Duluth MN_MN08_9101</t>
  </si>
  <si>
    <t>Shipping_Duluth MN_MN08_9110</t>
  </si>
  <si>
    <t>Shipping_Duluth MN_MN08_9204</t>
  </si>
  <si>
    <t>Shipping_Duluth MN_MN08_9310</t>
  </si>
  <si>
    <t>Shipping_DuPont CO_CO05_8502</t>
  </si>
  <si>
    <t>Shipping_DuPont CO_CO05_8510</t>
  </si>
  <si>
    <t>Shipping_DuPont CO_CO05_8708</t>
  </si>
  <si>
    <t>Shipping_DuPont CO_CO05_8710</t>
  </si>
  <si>
    <t>Shipping_DuPont CO_CO05_9107</t>
  </si>
  <si>
    <t>Shipping_DuPont CO_CO05_9110</t>
  </si>
  <si>
    <t>Shipping_East Hynes CA_CA14_8705</t>
  </si>
  <si>
    <t>Shipping_East Hynes CA_CA14_9105</t>
  </si>
  <si>
    <t>Shipping_Effingham IL_IL32_8710</t>
  </si>
  <si>
    <t>Shipping_Effingham IL_IL32_9310</t>
  </si>
  <si>
    <t>Shipping_El Paso TX_TX27_8602</t>
  </si>
  <si>
    <t>Shipping_El Paso TX_TX27_8610</t>
  </si>
  <si>
    <t>Shipping_El Paso TX_TX27_8707</t>
  </si>
  <si>
    <t>Shipping_El Paso TX_TX27_8710</t>
  </si>
  <si>
    <t>Shipping_El Paso TX_TX27_9106</t>
  </si>
  <si>
    <t>Shipping_El Paso TX_TX27_9110</t>
  </si>
  <si>
    <t>Shipping_Enid OK_OK01_8701</t>
  </si>
  <si>
    <t>Shipping_Enid OK_OK01_8710</t>
  </si>
  <si>
    <t>Shipping_Enid OK_OK01_9101</t>
  </si>
  <si>
    <t>Shipping_Enid OK_OK01_9110</t>
  </si>
  <si>
    <t>Shipping_Euless TX_TX41_8708</t>
  </si>
  <si>
    <t>Shipping_Euless TX_TX41_8710</t>
  </si>
  <si>
    <t>Shipping_Euless TX_TX41_8711</t>
  </si>
  <si>
    <t>Shipping_Euless TX_TX41_8713</t>
  </si>
  <si>
    <t>Shipping_Euless TX_TX41_9305</t>
  </si>
  <si>
    <t>Shipping_Euless TX_TX41_9307</t>
  </si>
  <si>
    <t>Shipping_Euless TX_TX41_9309</t>
  </si>
  <si>
    <t>Shipping_Euless TX_TX41_9310</t>
  </si>
  <si>
    <t>Shipping_Eyota MN_MN13_8701</t>
  </si>
  <si>
    <t>Shipping_Eyota MN_MN13_8710</t>
  </si>
  <si>
    <t>Shipping_Eyota MN_MN13_9101</t>
  </si>
  <si>
    <t>Shipping_Eyota MN_MN13_9110</t>
  </si>
  <si>
    <t>Shipping_Fairfax VA_VA07_8711</t>
  </si>
  <si>
    <t>Shipping_Fairfax VA_VA07_8713</t>
  </si>
  <si>
    <t>Shipping_Fairfax VA_VA07_9307</t>
  </si>
  <si>
    <t>Shipping_Fairfax VA_VA07_9309</t>
  </si>
  <si>
    <t>Shipping_Fargo ND_ND01_8701</t>
  </si>
  <si>
    <t>Shipping_Fargo ND_ND01_8710</t>
  </si>
  <si>
    <t>Shipping_Fargo ND_ND01_9101</t>
  </si>
  <si>
    <t>Shipping_Fargo ND_ND01_9110</t>
  </si>
  <si>
    <t>Shipping_Fargo ND_ND01_9204</t>
  </si>
  <si>
    <t>Shipping_Fayetteville NC_NC09_8710</t>
  </si>
  <si>
    <t>Shipping_Fayetteville NC_NC09_9310</t>
  </si>
  <si>
    <t>Shipping_Ferrysburg MI_MI12_8710</t>
  </si>
  <si>
    <t>Shipping_Ferrysburg MI_MI12_9310</t>
  </si>
  <si>
    <t>Shipping_Flint MI_MI20_8710</t>
  </si>
  <si>
    <t>Shipping_Flint MI_MI20_9204</t>
  </si>
  <si>
    <t>Shipping_Flint MI_MI20_9310</t>
  </si>
  <si>
    <t>Shipping_Forest View IL_IL02_8711</t>
  </si>
  <si>
    <t>Shipping_Forest View IL_IL02_8712</t>
  </si>
  <si>
    <t>Shipping_Forest View IL_IL02_8713</t>
  </si>
  <si>
    <t>Shipping_Forest View IL_IL02_9307</t>
  </si>
  <si>
    <t>Shipping_Forest View IL_IL02_9308</t>
  </si>
  <si>
    <t>Shipping_Forest View IL_IL02_9309</t>
  </si>
  <si>
    <t>Shipping_Fort Smith AR_AR01_8701</t>
  </si>
  <si>
    <t>Shipping_Fort Smith AR_AR01_8710</t>
  </si>
  <si>
    <t>Shipping_Fort Smith AR_AR01_9101</t>
  </si>
  <si>
    <t>Shipping_Fort Smith AR_AR01_9110</t>
  </si>
  <si>
    <t>Shipping_Fort Smith AR_AR01_9310</t>
  </si>
  <si>
    <t>Shipping_Fort Worth TX_TX45_8708</t>
  </si>
  <si>
    <t>Shipping_Fort Worth TX_TX45_8710</t>
  </si>
  <si>
    <t>Shipping_Fort Worth TX_TX45_8711</t>
  </si>
  <si>
    <t>Shipping_Fort Worth TX_TX45_8713</t>
  </si>
  <si>
    <t>Shipping_Fort Worth TX_TX45_9305</t>
  </si>
  <si>
    <t>Shipping_Fort Worth TX_TX45_9307</t>
  </si>
  <si>
    <t>Shipping_Fort Worth TX_TX45_9309</t>
  </si>
  <si>
    <t>Shipping_Fort Worth TX_TX45_9310</t>
  </si>
  <si>
    <t>Shipping_Fountain CO_CO06_8500</t>
  </si>
  <si>
    <t>Shipping_Fountain CO_CO06_8510</t>
  </si>
  <si>
    <t>Shipping_Fountain CO_CO06_8710</t>
  </si>
  <si>
    <t>Shipping_Fountain CO_CO06_9110</t>
  </si>
  <si>
    <t>Shipping_Fresno CA_CA58_8705</t>
  </si>
  <si>
    <t>Shipping_Fresno CA_CA58_9105</t>
  </si>
  <si>
    <t>Shipping_Frost TX_TX84_8708</t>
  </si>
  <si>
    <t>Shipping_Frost TX_TX84_8710</t>
  </si>
  <si>
    <t>Shipping_Geneva NE_NE06_8701</t>
  </si>
  <si>
    <t>Shipping_Geneva NE_NE06_8710</t>
  </si>
  <si>
    <t>Shipping_Geneva NE_NE06_9101</t>
  </si>
  <si>
    <t>Shipping_Geneva NE_NE06_9110</t>
  </si>
  <si>
    <t>Shipping_Grand Forks ND_ND00_8701</t>
  </si>
  <si>
    <t>Shipping_Grand Forks ND_ND00_8710</t>
  </si>
  <si>
    <t>Shipping_Grand Forks ND_ND00_9101</t>
  </si>
  <si>
    <t>Shipping_Grand Forks ND_ND00_9110</t>
  </si>
  <si>
    <t>Shipping_Grand Forks ND_ND00_9204</t>
  </si>
  <si>
    <t>Shipping_Granger IN_IN01_8710</t>
  </si>
  <si>
    <t>Shipping_Granger IN_IN01_9310</t>
  </si>
  <si>
    <t>Shipping_Grapevine TX_TX46_8708</t>
  </si>
  <si>
    <t>Shipping_Grapevine TX_TX46_8710</t>
  </si>
  <si>
    <t>Shipping_Grapevine TX_TX46_8711</t>
  </si>
  <si>
    <t>Shipping_Grapevine TX_TX46_8713</t>
  </si>
  <si>
    <t>Shipping_Grapevine TX_TX46_9305</t>
  </si>
  <si>
    <t>Shipping_Grapevine TX_TX46_9307</t>
  </si>
  <si>
    <t>Shipping_Grapevine TX_TX46_9309</t>
  </si>
  <si>
    <t>Shipping_Grapevine TX_TX46_9310</t>
  </si>
  <si>
    <t>Shipping_Great Bend KS_KS05_8701</t>
  </si>
  <si>
    <t>Shipping_Great Bend KS_KS05_8710</t>
  </si>
  <si>
    <t>Shipping_Great Bend KS_KS05_9101</t>
  </si>
  <si>
    <t>Shipping_Great Bend KS_KS05_9110</t>
  </si>
  <si>
    <t>Shipping_Greensboro NC_NC10_8701</t>
  </si>
  <si>
    <t>Shipping_Greensboro NC_NC10_8710</t>
  </si>
  <si>
    <t>Shipping_Greensboro NC_NC10_9101</t>
  </si>
  <si>
    <t>Shipping_Greensboro NC_NC10_9204</t>
  </si>
  <si>
    <t>Shipping_Greensboro NC_NC10_9310</t>
  </si>
  <si>
    <t>Shipping_Hammond IN_IN18_8711</t>
  </si>
  <si>
    <t>Shipping_Hammond IN_IN18_8712</t>
  </si>
  <si>
    <t>Shipping_Hammond IN_IN18_8713</t>
  </si>
  <si>
    <t>Shipping_Hammond IN_IN18_9205</t>
  </si>
  <si>
    <t>Shipping_Hammond IN_IN18_9307</t>
  </si>
  <si>
    <t>Shipping_Hammond IN_IN18_9308</t>
  </si>
  <si>
    <t>Shipping_Hammond IN_IN18_9309</t>
  </si>
  <si>
    <t>Shipping_Harrisburg PA_PA10_8701</t>
  </si>
  <si>
    <t>Shipping_Harrisburg PA_PA10_8710</t>
  </si>
  <si>
    <t>Shipping_Harrisburg PA_PA10_9204</t>
  </si>
  <si>
    <t>Shipping_Harrisburg PA_PA10_9310</t>
  </si>
  <si>
    <t>Shipping_Hearne TX_TX02_8708</t>
  </si>
  <si>
    <t>Shipping_Hearne TX_TX02_8710</t>
  </si>
  <si>
    <t>Shipping_Hearne TX_TX02_9305</t>
  </si>
  <si>
    <t>Shipping_Hearne TX_TX02_9307</t>
  </si>
  <si>
    <t>Shipping_Hearne TX_TX02_9309</t>
  </si>
  <si>
    <t>Shipping_Heath OH_OH02_8710</t>
  </si>
  <si>
    <t>Shipping_Heath OH_OH02_9110</t>
  </si>
  <si>
    <t>Shipping_Heath OH_OH02_9204</t>
  </si>
  <si>
    <t>Shipping_Heath OH_OH02_9310</t>
  </si>
  <si>
    <t>Shipping_Heyworth IL_IL34_8710</t>
  </si>
  <si>
    <t>Shipping_Heyworth IL_IL34_9310</t>
  </si>
  <si>
    <t>Shipping_Holland MI_MI32_8710</t>
  </si>
  <si>
    <t>Shipping_Holland MI_MI32_9310</t>
  </si>
  <si>
    <t>Shipping_Huntington IN_IN24_8710</t>
  </si>
  <si>
    <t>Shipping_Huntington IN_IN24_9204</t>
  </si>
  <si>
    <t>Shipping_Huntington IN_IN24_9310</t>
  </si>
  <si>
    <t>Shipping_Hutchinson KS_KS06_8710</t>
  </si>
  <si>
    <t>Shipping_Imperial CA_CA13_8705</t>
  </si>
  <si>
    <t>Shipping_Imperial CA_CA13_9105</t>
  </si>
  <si>
    <t>Shipping_Indianapolis IN_IN02_8710</t>
  </si>
  <si>
    <t>Shipping_Indianapolis IN_IN02_9204</t>
  </si>
  <si>
    <t>Shipping_Indianapolis IN_IN02_9310</t>
  </si>
  <si>
    <t>Shipping_Inwood NY_NY03_8712</t>
  </si>
  <si>
    <t>Shipping_Inwood NY_NY03_8713</t>
  </si>
  <si>
    <t>Shipping_Inwood NY_NY03_9308</t>
  </si>
  <si>
    <t>Shipping_Inwood NY_NY03_9309</t>
  </si>
  <si>
    <t>Shipping_Irving TX_TX38_8708</t>
  </si>
  <si>
    <t>Shipping_Irving TX_TX38_8710</t>
  </si>
  <si>
    <t>Shipping_Irving TX_TX38_8711</t>
  </si>
  <si>
    <t>Shipping_Irving TX_TX38_8713</t>
  </si>
  <si>
    <t>Shipping_Irving TX_TX38_9305</t>
  </si>
  <si>
    <t>Shipping_Irving TX_TX38_9307</t>
  </si>
  <si>
    <t>Shipping_Irving TX_TX38_9309</t>
  </si>
  <si>
    <t>Shipping_Irving TX_TX38_9310</t>
  </si>
  <si>
    <t>Shipping_Jackson MI_MI08_8710</t>
  </si>
  <si>
    <t>Shipping_Jackson MI_MI08_9204</t>
  </si>
  <si>
    <t>Shipping_Jackson MI_MI08_9310</t>
  </si>
  <si>
    <t>Shipping_Jacksonville FL_FL02_8701</t>
  </si>
  <si>
    <t>Shipping_Jacksonville FL_FL02_8710</t>
  </si>
  <si>
    <t>Shipping_Jacksonville FL_FL02_9204</t>
  </si>
  <si>
    <t>Shipping_Jacksonville FL_FL02_9310</t>
  </si>
  <si>
    <t>Shipping_Jefferson City MO_MO06_8701</t>
  </si>
  <si>
    <t>Shipping_Jefferson City MO_MO06_8710</t>
  </si>
  <si>
    <t>Shipping_Jefferson City MO_MO06_9101</t>
  </si>
  <si>
    <t>Shipping_Jefferson City MO_MO06_9110</t>
  </si>
  <si>
    <t>Shipping_Jenks OK_OK02_8710</t>
  </si>
  <si>
    <t>Shipping_Jenks OK_OK02_9110</t>
  </si>
  <si>
    <t>Shipping_Kansas City KS_KS09_8701</t>
  </si>
  <si>
    <t>Shipping_Kansas City KS_KS09_8707</t>
  </si>
  <si>
    <t>Shipping_Kansas City KS_KS09_8710</t>
  </si>
  <si>
    <t>Shipping_Kansas City KS_KS09_9101</t>
  </si>
  <si>
    <t>Shipping_Kansas City KS_KS09_9106</t>
  </si>
  <si>
    <t>Shipping_Kansas City KS_KS09_9110</t>
  </si>
  <si>
    <t>Shipping_Kansas City KS_KS09_9310</t>
  </si>
  <si>
    <t>Shipping_Knoxville TN_TN06_8701</t>
  </si>
  <si>
    <t>Shipping_Knoxville TN_TN06_8710</t>
  </si>
  <si>
    <t>Shipping_Knoxville TN_TN06_9101</t>
  </si>
  <si>
    <t>Shipping_Knoxville TN_TN06_9204</t>
  </si>
  <si>
    <t>Shipping_Knoxville TN_TN06_9300</t>
  </si>
  <si>
    <t>Shipping_Knoxville TN_TN06_9310</t>
  </si>
  <si>
    <t>Shipping_Lansing MI_MI28_8710</t>
  </si>
  <si>
    <t>Shipping_Lansing MI_MI28_9204</t>
  </si>
  <si>
    <t>Shipping_Lansing MI_MI28_9310</t>
  </si>
  <si>
    <t>Shipping_Las Vegas NV_NV02_8710</t>
  </si>
  <si>
    <t>Shipping_Las Vegas NV_NV02_9110</t>
  </si>
  <si>
    <t>Shipping_Le Mars IA_IA11_8710</t>
  </si>
  <si>
    <t>Shipping_Le Mars IA_IA11_9110</t>
  </si>
  <si>
    <t>Shipping_Lima OH_OH37_8701</t>
  </si>
  <si>
    <t>Shipping_Lima OH_OH37_8710</t>
  </si>
  <si>
    <t>Shipping_Lima OH_OH37_9204</t>
  </si>
  <si>
    <t>Shipping_Lima OH_OH37_9310</t>
  </si>
  <si>
    <t>Shipping_Lincoln NE_NE09_8701</t>
  </si>
  <si>
    <t>Shipping_Lincoln NE_NE09_8710</t>
  </si>
  <si>
    <t>Shipping_Lincoln NE_NE09_9101</t>
  </si>
  <si>
    <t>Shipping_Lincoln NE_NE09_9110</t>
  </si>
  <si>
    <t>Shipping_Lincoln NE_NE09_9310</t>
  </si>
  <si>
    <t>Shipping_Little Rock AR_AR02_8300</t>
  </si>
  <si>
    <t>Shipping_Little Rock AR_AR02_8701</t>
  </si>
  <si>
    <t>Shipping_Little Rock AR_AR02_8710</t>
  </si>
  <si>
    <t>Shipping_Little Rock AR_AR02_9101</t>
  </si>
  <si>
    <t>Shipping_Little Rock AR_AR02_9110</t>
  </si>
  <si>
    <t>Shipping_Little Rock AR_AR02_9200</t>
  </si>
  <si>
    <t>Shipping_Little Rock AR_AR02_9204</t>
  </si>
  <si>
    <t>Shipping_Little Rock AR_AR02_9300</t>
  </si>
  <si>
    <t>Shipping_Little Rock AR_AR02_9310</t>
  </si>
  <si>
    <t>Shipping_Long Island City NY_NY02_8712</t>
  </si>
  <si>
    <t>Shipping_Long Island City NY_NY02_9308</t>
  </si>
  <si>
    <t>Shipping_Lookout Mountain GA_GA42_8701</t>
  </si>
  <si>
    <t>Shipping_Lookout Mountain GA_GA42_8710</t>
  </si>
  <si>
    <t>Shipping_Lookout Mountain GA_GA42_9300</t>
  </si>
  <si>
    <t>Shipping_Lookout Mountain GA_GA42_9310</t>
  </si>
  <si>
    <t>Shipping_Lorain OH_OH26_8710</t>
  </si>
  <si>
    <t>Shipping_Lorain OH_OH26_9310</t>
  </si>
  <si>
    <t>Shipping_Louisville KY_KY08_8708</t>
  </si>
  <si>
    <t>Shipping_Louisville KY_KY08_8710</t>
  </si>
  <si>
    <t>Shipping_Louisville KY_KY08_8711</t>
  </si>
  <si>
    <t>Shipping_Louisville KY_KY08_8712</t>
  </si>
  <si>
    <t>Shipping_Louisville KY_KY08_8713</t>
  </si>
  <si>
    <t>Shipping_Louisville KY_KY08_9204</t>
  </si>
  <si>
    <t>Shipping_Louisville KY_KY08_9205</t>
  </si>
  <si>
    <t>Shipping_Louisville KY_KY08_9206</t>
  </si>
  <si>
    <t>Shipping_Louisville KY_KY08_9307</t>
  </si>
  <si>
    <t>Shipping_Louisville KY_KY08_9308</t>
  </si>
  <si>
    <t>Shipping_Louisville KY_KY08_9309</t>
  </si>
  <si>
    <t>Shipping_Louisville KY_KY08_9310</t>
  </si>
  <si>
    <t>Shipping_Lubbock TX_TX47_8610</t>
  </si>
  <si>
    <t>Shipping_Lubbock TX_TX47_8710</t>
  </si>
  <si>
    <t>Shipping_Lubbock TX_TX47_9110</t>
  </si>
  <si>
    <t>Shipping_Macon GA_GA33_8701</t>
  </si>
  <si>
    <t>Shipping_Macon GA_GA33_8710</t>
  </si>
  <si>
    <t>Shipping_Macon GA_GA33_9101</t>
  </si>
  <si>
    <t>Shipping_Macon GA_GA33_9204</t>
  </si>
  <si>
    <t>Shipping_Macon GA_GA33_9300</t>
  </si>
  <si>
    <t>Shipping_Macon GA_GA33_9310</t>
  </si>
  <si>
    <t>Shipping_Macungie PA_PA02_8710</t>
  </si>
  <si>
    <t>Shipping_Macungie PA_PA02_9310</t>
  </si>
  <si>
    <t>Shipping_Madison WI_WI22_8701</t>
  </si>
  <si>
    <t>Shipping_Madison WI_WI22_8710</t>
  </si>
  <si>
    <t>Shipping_Madison WI_WI22_9101</t>
  </si>
  <si>
    <t>Shipping_Madison WI_WI22_9204</t>
  </si>
  <si>
    <t>Shipping_Madison WI_WI22_9310</t>
  </si>
  <si>
    <t>Shipping_Malvern PA_PA11_8710</t>
  </si>
  <si>
    <t>Shipping_Malvern PA_PA11_8712</t>
  </si>
  <si>
    <t>Shipping_Malvern PA_PA11_8713</t>
  </si>
  <si>
    <t>Shipping_Malvern PA_PA11_9308</t>
  </si>
  <si>
    <t>Shipping_Malvern PA_PA11_9309</t>
  </si>
  <si>
    <t>Shipping_Manassas VA_VA11_8711</t>
  </si>
  <si>
    <t>Shipping_Manassas VA_VA11_8713</t>
  </si>
  <si>
    <t>Shipping_Manassas VA_VA11_9307</t>
  </si>
  <si>
    <t>Shipping_Manassas VA_VA11_9309</t>
  </si>
  <si>
    <t>Shipping_Mankato MN_MN10_8701</t>
  </si>
  <si>
    <t>Shipping_Mankato MN_MN10_8710</t>
  </si>
  <si>
    <t>Shipping_Mankato MN_MN10_9101</t>
  </si>
  <si>
    <t>Shipping_Mankato MN_MN10_9110</t>
  </si>
  <si>
    <t>Shipping_Mankato MN_MN10_9204</t>
  </si>
  <si>
    <t>Shipping_Mankato MN_MN10_9310</t>
  </si>
  <si>
    <t>Shipping_Marshall MI_MI33_8710</t>
  </si>
  <si>
    <t>Shipping_Marshall MI_MI33_9310</t>
  </si>
  <si>
    <t>Shipping_Marshall MN_MN11_8701</t>
  </si>
  <si>
    <t>Shipping_Marshall MN_MN11_9101</t>
  </si>
  <si>
    <t>Shipping_Marshall MN_MN11_9110</t>
  </si>
  <si>
    <t>Shipping_Mechanicsburg PA_PA09_8701</t>
  </si>
  <si>
    <t>Shipping_Mechanicsburg PA_PA09_8710</t>
  </si>
  <si>
    <t>Shipping_Mechanicsburg PA_PA09_9204</t>
  </si>
  <si>
    <t>Shipping_Mechanicsburg PA_PA09_9310</t>
  </si>
  <si>
    <t>Shipping_Melissa TX_TX94_8711</t>
  </si>
  <si>
    <t>Shipping_Melissa TX_TX94_8713</t>
  </si>
  <si>
    <t>Shipping_Melissa TX_TX94_9307</t>
  </si>
  <si>
    <t>Shipping_Melissa TX_TX94_9309</t>
  </si>
  <si>
    <t>Shipping_Memphis TN_TN18_8701</t>
  </si>
  <si>
    <t>Shipping_Memphis TN_TN18_8710</t>
  </si>
  <si>
    <t>Shipping_Memphis TN_TN18_9101</t>
  </si>
  <si>
    <t>Shipping_Memphis TN_TN18_9110</t>
  </si>
  <si>
    <t>Shipping_Memphis TN_TN18_9204</t>
  </si>
  <si>
    <t>Shipping_Memphis TN_TN18_9300</t>
  </si>
  <si>
    <t>Shipping_Memphis TN_TN18_9310</t>
  </si>
  <si>
    <t>Shipping_Meridian MS_MS10_8701</t>
  </si>
  <si>
    <t>Shipping_Meridian MS_MS10_8710</t>
  </si>
  <si>
    <t>Shipping_Meridian MS_MS10_9200</t>
  </si>
  <si>
    <t>Shipping_Meridian MS_MS10_9300</t>
  </si>
  <si>
    <t>Shipping_Meridian MS_MS10_9310</t>
  </si>
  <si>
    <t>Shipping_Midland PA_PA49_8708</t>
  </si>
  <si>
    <t>Shipping_Midland PA_PA49_8710</t>
  </si>
  <si>
    <t>Shipping_Midland PA_PA49_9204</t>
  </si>
  <si>
    <t>Shipping_Midland PA_PA49_9305</t>
  </si>
  <si>
    <t>Shipping_Midland PA_PA49_9310</t>
  </si>
  <si>
    <t>Shipping_Milford IA_IA14_8701</t>
  </si>
  <si>
    <t>Shipping_Milford IA_IA14_8710</t>
  </si>
  <si>
    <t>Shipping_Milford IA_IA14_9101</t>
  </si>
  <si>
    <t>Shipping_Milford IA_IA14_9110</t>
  </si>
  <si>
    <t>Shipping_Milford IA_IA14_9310</t>
  </si>
  <si>
    <t>Shipping_Milwaukee WI_WI01_8710</t>
  </si>
  <si>
    <t>Shipping_Milwaukee WI_WI01_8711</t>
  </si>
  <si>
    <t>Shipping_Milwaukee WI_WI01_8712</t>
  </si>
  <si>
    <t>Shipping_Milwaukee WI_WI01_8713</t>
  </si>
  <si>
    <t>Shipping_Milwaukee WI_WI01_9204</t>
  </si>
  <si>
    <t>Shipping_Milwaukee WI_WI01_9205</t>
  </si>
  <si>
    <t>Shipping_Milwaukee WI_WI01_9307</t>
  </si>
  <si>
    <t>Shipping_Milwaukee WI_WI01_9308</t>
  </si>
  <si>
    <t>Shipping_Milwaukee WI_WI01_9309</t>
  </si>
  <si>
    <t>Shipping_Milwaukee WI_WI01_9310</t>
  </si>
  <si>
    <t>Shipping_Mitchell SD_SD01_8701</t>
  </si>
  <si>
    <t>Shipping_Mitchell SD_SD01_8710</t>
  </si>
  <si>
    <t>Shipping_Mitchell SD_SD01_9101</t>
  </si>
  <si>
    <t>Shipping_Mitchell SD_SD01_9110</t>
  </si>
  <si>
    <t>Shipping_Montgomery AL_AL02_8701</t>
  </si>
  <si>
    <t>Shipping_Montgomery AL_AL02_8710</t>
  </si>
  <si>
    <t>Shipping_Montgomery AL_AL02_9101</t>
  </si>
  <si>
    <t>Shipping_Montgomery AL_AL02_9204</t>
  </si>
  <si>
    <t>Shipping_Montgomery AL_AL02_9310</t>
  </si>
  <si>
    <t>Shipping_Moorhead MN_MN00_8701</t>
  </si>
  <si>
    <t>Shipping_Moorhead MN_MN00_8710</t>
  </si>
  <si>
    <t>Shipping_Moorhead MN_MN00_9101</t>
  </si>
  <si>
    <t>Shipping_Moorhead MN_MN00_9110</t>
  </si>
  <si>
    <t>Shipping_Mount Vernon MO_MO17_8710</t>
  </si>
  <si>
    <t>Shipping_Mount Vernon MO_MO17_9110</t>
  </si>
  <si>
    <t>Shipping_Muncie IN_IN22_8710</t>
  </si>
  <si>
    <t>Shipping_Muncie IN_IN22_9204</t>
  </si>
  <si>
    <t>Shipping_Muncie IN_IN22_9310</t>
  </si>
  <si>
    <t>Shipping_Napoleon MI_MI03_8710</t>
  </si>
  <si>
    <t>Shipping_Napoleon MI_MI03_9310</t>
  </si>
  <si>
    <t>Shipping_Nashville TN_TN28_8701</t>
  </si>
  <si>
    <t>Shipping_Nashville TN_TN28_8708</t>
  </si>
  <si>
    <t>Shipping_Nashville TN_TN28_8710</t>
  </si>
  <si>
    <t>Shipping_Nashville TN_TN28_9101</t>
  </si>
  <si>
    <t>Shipping_Nashville TN_TN28_9204</t>
  </si>
  <si>
    <t>Shipping_Nashville TN_TN28_9305</t>
  </si>
  <si>
    <t>Shipping_Nashville TN_TN28_9310</t>
  </si>
  <si>
    <t>Shipping_Neville Island PA_PA50_8701</t>
  </si>
  <si>
    <t>Shipping_Neville Island PA_PA50_8708</t>
  </si>
  <si>
    <t>Shipping_Neville Island PA_PA50_8710</t>
  </si>
  <si>
    <t>Shipping_Neville Island PA_PA50_9305</t>
  </si>
  <si>
    <t>Shipping_Neville Island PA_PA50_9310</t>
  </si>
  <si>
    <t>Shipping_Newington VA_VA35_8711</t>
  </si>
  <si>
    <t>Shipping_Newington VA_VA35_9307</t>
  </si>
  <si>
    <t>Shipping_Niles MI_MI24_8710</t>
  </si>
  <si>
    <t>Shipping_Niles MI_MI24_9204</t>
  </si>
  <si>
    <t>Shipping_Niles MI_MI24_9310</t>
  </si>
  <si>
    <t>Shipping_Norfolk NE_NE10_8701</t>
  </si>
  <si>
    <t>Shipping_Norfolk NE_NE10_8710</t>
  </si>
  <si>
    <t>Shipping_Norfolk NE_NE10_9101</t>
  </si>
  <si>
    <t>Shipping_Norfolk NE_NE10_9110</t>
  </si>
  <si>
    <t>Shipping_Norfolk VA_VA01_8710</t>
  </si>
  <si>
    <t>Shipping_Norfolk VA_VA01_8711</t>
  </si>
  <si>
    <t>Shipping_Norfolk VA_VA01_8713</t>
  </si>
  <si>
    <t>Shipping_Norfolk VA_VA01_9307</t>
  </si>
  <si>
    <t>Shipping_Norfolk VA_VA01_9309</t>
  </si>
  <si>
    <t>Shipping_Norfolk VA_VA01_9310</t>
  </si>
  <si>
    <t>Shipping_Norris City IL_IL28_8701</t>
  </si>
  <si>
    <t>Shipping_Norris City IL_IL28_8710</t>
  </si>
  <si>
    <t>Shipping_Norris City IL_IL28_9101</t>
  </si>
  <si>
    <t>Shipping_Norris City IL_IL28_9110</t>
  </si>
  <si>
    <t>Shipping_Norris City IL_IL28_9200</t>
  </si>
  <si>
    <t>Shipping_Norris City IL_IL28_9204</t>
  </si>
  <si>
    <t>Shipping_Norris City IL_IL28_9310</t>
  </si>
  <si>
    <t>Shipping_North Augusta SC_SC06_8701</t>
  </si>
  <si>
    <t>Shipping_North Augusta SC_SC06_8710</t>
  </si>
  <si>
    <t>Shipping_North Augusta SC_SC06_9110</t>
  </si>
  <si>
    <t>Shipping_North Augusta SC_SC06_9204</t>
  </si>
  <si>
    <t>Shipping_North Augusta SC_SC06_9310</t>
  </si>
  <si>
    <t>Shipping_North Houston TX_TX67_8711</t>
  </si>
  <si>
    <t>Shipping_North Houston TX_TX67_8713</t>
  </si>
  <si>
    <t>Shipping_North Houston TX_TX67_9307</t>
  </si>
  <si>
    <t>Shipping_North Houston TX_TX67_9309</t>
  </si>
  <si>
    <t>Shipping_North Liberty IA_IA15_8710</t>
  </si>
  <si>
    <t>Shipping_North Liberty IA_IA15_9110</t>
  </si>
  <si>
    <t>Shipping_North Platte NE_NE11_8701</t>
  </si>
  <si>
    <t>Shipping_North Platte NE_NE11_8710</t>
  </si>
  <si>
    <t>Shipping_North Platte NE_NE11_9101</t>
  </si>
  <si>
    <t>Shipping_North Platte NE_NE11_9110</t>
  </si>
  <si>
    <t>Shipping_Novi MI_MI31_8707</t>
  </si>
  <si>
    <t>Shipping_Novi MI_MI31_9304</t>
  </si>
  <si>
    <t>Shipping_Novi MI_MI31_9310</t>
  </si>
  <si>
    <t>Shipping_Odessa TX_TX54_8710</t>
  </si>
  <si>
    <t>Shipping_Odessa TX_TX54_9101</t>
  </si>
  <si>
    <t>Shipping_Odessa TX_TX54_9110</t>
  </si>
  <si>
    <t>Shipping_Odessa TX_TX54_9310</t>
  </si>
  <si>
    <t>Shipping_Oklahoma City OK_OK04_8701</t>
  </si>
  <si>
    <t>Shipping_Oklahoma City OK_OK04_8710</t>
  </si>
  <si>
    <t>Shipping_Oklahoma City OK_OK04_9101</t>
  </si>
  <si>
    <t>Shipping_Oklahoma City OK_OK04_9110</t>
  </si>
  <si>
    <t>Shipping_Oklahoma City OK_OK04_9310</t>
  </si>
  <si>
    <t>Shipping_Olathe KS_KS11_8701</t>
  </si>
  <si>
    <t>Shipping_Olathe KS_KS11_8707</t>
  </si>
  <si>
    <t>Shipping_Olathe KS_KS11_8710</t>
  </si>
  <si>
    <t>Shipping_Olathe KS_KS11_9101</t>
  </si>
  <si>
    <t>Shipping_Olathe KS_KS11_9106</t>
  </si>
  <si>
    <t>Shipping_Olathe KS_KS11_9110</t>
  </si>
  <si>
    <t>Shipping_Olathe KS_KS11_9310</t>
  </si>
  <si>
    <t>Shipping_Omaha NE_NE12_8701</t>
  </si>
  <si>
    <t>Shipping_Omaha NE_NE12_8710</t>
  </si>
  <si>
    <t>Shipping_Omaha NE_NE12_9101</t>
  </si>
  <si>
    <t>Shipping_Omaha NE_NE12_9110</t>
  </si>
  <si>
    <t>Shipping_Omaha NE_NE12_9204</t>
  </si>
  <si>
    <t>Shipping_Omaha NE_NE12_9310</t>
  </si>
  <si>
    <t>Shipping_Opelousas LA_LA10_8701</t>
  </si>
  <si>
    <t>Shipping_Opelousas LA_LA10_8710</t>
  </si>
  <si>
    <t>Shipping_Opelousas LA_LA10_9204</t>
  </si>
  <si>
    <t>Shipping_Opelousas LA_LA10_9310</t>
  </si>
  <si>
    <t>Shipping_Orange CA_CA19_8705</t>
  </si>
  <si>
    <t>Shipping_Orange CA_CA19_9105</t>
  </si>
  <si>
    <t>Shipping_Owosso MI_MI25_8710</t>
  </si>
  <si>
    <t>Shipping_Owosso MI_MI25_9310</t>
  </si>
  <si>
    <t>Shipping_Palmyra MO_MO09_8701</t>
  </si>
  <si>
    <t>Shipping_Palmyra MO_MO09_8710</t>
  </si>
  <si>
    <t>Shipping_Palmyra MO_MO09_9101</t>
  </si>
  <si>
    <t>Shipping_Palmyra MO_MO09_9110</t>
  </si>
  <si>
    <t>Shipping_Palmyra MO_MO09_9310</t>
  </si>
  <si>
    <t>Shipping_Pennsauken NJ_NJ17_8712</t>
  </si>
  <si>
    <t>Shipping_Pennsauken NJ_NJ17_9308</t>
  </si>
  <si>
    <t>Shipping_Peosta IA_IA07_8710</t>
  </si>
  <si>
    <t>Shipping_Peosta IA_IA07_9110</t>
  </si>
  <si>
    <t>Shipping_Philadelphia PA_PA24_8710</t>
  </si>
  <si>
    <t>Shipping_Philadelphia PA_PA24_8712</t>
  </si>
  <si>
    <t>Shipping_Philadelphia PA_PA24_8713</t>
  </si>
  <si>
    <t>Shipping_Philadelphia PA_PA24_9308</t>
  </si>
  <si>
    <t>Shipping_Philadelphia PA_PA24_9309</t>
  </si>
  <si>
    <t>Shipping_Phoenix AZ_AZ03_8704</t>
  </si>
  <si>
    <t>Shipping_Phoenix AZ_AZ03_8705</t>
  </si>
  <si>
    <t>Shipping_Phoenix AZ_AZ03_8710</t>
  </si>
  <si>
    <t>Shipping_Phoenix AZ_AZ03_9104</t>
  </si>
  <si>
    <t>Shipping_Phoenix AZ_AZ03_9105</t>
  </si>
  <si>
    <t>Shipping_Phoenix AZ_AZ03_9110</t>
  </si>
  <si>
    <t>Shipping_Pleasant Hill IA_IA06_8701</t>
  </si>
  <si>
    <t>Shipping_Pleasant Hill IA_IA06_8710</t>
  </si>
  <si>
    <t>Shipping_Pleasant Hill IA_IA06_9101</t>
  </si>
  <si>
    <t>Shipping_Pleasant Hill IA_IA06_9110</t>
  </si>
  <si>
    <t>Shipping_Pleasant Hill IA_IA06_9204</t>
  </si>
  <si>
    <t>Shipping_Pleasant Hill IA_IA06_9310</t>
  </si>
  <si>
    <t>Shipping_Pocatello ID_ID05_8510</t>
  </si>
  <si>
    <t>Shipping_Pocatello ID_ID05_8710</t>
  </si>
  <si>
    <t>Shipping_Pocatello ID_ID05_9110</t>
  </si>
  <si>
    <t>Shipping_Powder Springs GA_GA35_8710</t>
  </si>
  <si>
    <t>Shipping_Powder Springs GA_GA35_9204</t>
  </si>
  <si>
    <t>Shipping_Powder Springs GA_GA35_9310</t>
  </si>
  <si>
    <t>Shipping_Princeton IN_IN25_9300</t>
  </si>
  <si>
    <t>Shipping_Rancho Cordova CA_CA45_8705</t>
  </si>
  <si>
    <t>Shipping_Rancho Cordova CA_CA45_9105</t>
  </si>
  <si>
    <t>Shipping_Rapid City SD_SD02_8500</t>
  </si>
  <si>
    <t>Shipping_Rapid City SD_SD02_8510</t>
  </si>
  <si>
    <t>Shipping_Rapid City SD_SD02_8701</t>
  </si>
  <si>
    <t>Shipping_Rapid City SD_SD02_8710</t>
  </si>
  <si>
    <t>Shipping_Rapid City SD_SD02_9101</t>
  </si>
  <si>
    <t>Shipping_Rapid City SD_SD02_9110</t>
  </si>
  <si>
    <t>Shipping_Reading PA_PA35_8710</t>
  </si>
  <si>
    <t>Shipping_Reading PA_PA35_9310</t>
  </si>
  <si>
    <t>Shipping_Reno NV_NV03_8708</t>
  </si>
  <si>
    <t>Shipping_Reno NV_NV03_8710</t>
  </si>
  <si>
    <t>Shipping_Reno NV_NV03_9107</t>
  </si>
  <si>
    <t>Shipping_Reno NV_NV03_9110</t>
  </si>
  <si>
    <t>Shipping_Reno NV_NV03_9310</t>
  </si>
  <si>
    <t>Shipping_Renton WA_WA04_8710</t>
  </si>
  <si>
    <t>Shipping_Renton WA_WA04_9204</t>
  </si>
  <si>
    <t>Shipping_Richmond VA_VA21_8701</t>
  </si>
  <si>
    <t>Shipping_Richmond VA_VA21_8710</t>
  </si>
  <si>
    <t>Shipping_Richmond VA_VA21_8711</t>
  </si>
  <si>
    <t>Shipping_Richmond VA_VA21_8713</t>
  </si>
  <si>
    <t>Shipping_Richmond VA_VA21_9101</t>
  </si>
  <si>
    <t>Shipping_Richmond VA_VA21_9307</t>
  </si>
  <si>
    <t>Shipping_Richmond VA_VA21_9309</t>
  </si>
  <si>
    <t>Shipping_Richmond VA_VA21_9310</t>
  </si>
  <si>
    <t>Shipping_River Rouge MI_MI04_8707</t>
  </si>
  <si>
    <t>Shipping_River Rouge MI_MI04_8710</t>
  </si>
  <si>
    <t>Shipping_River Rouge MI_MI04_9203</t>
  </si>
  <si>
    <t>Shipping_River Rouge MI_MI04_9304</t>
  </si>
  <si>
    <t>Shipping_River Rouge MI_MI04_9310</t>
  </si>
  <si>
    <t>Shipping_Roanoke VA_VA32_8701</t>
  </si>
  <si>
    <t>Shipping_Roanoke VA_VA32_8710</t>
  </si>
  <si>
    <t>Shipping_Roanoke VA_VA32_9101</t>
  </si>
  <si>
    <t>Shipping_Roanoke VA_VA32_9204</t>
  </si>
  <si>
    <t>Shipping_Roanoke VA_VA32_9310</t>
  </si>
  <si>
    <t>Shipping_Rochelle IL_IL03_8710</t>
  </si>
  <si>
    <t>Shipping_Rochelle IL_IL03_9310</t>
  </si>
  <si>
    <t>Shipping_Rochester NY_NY45_8701</t>
  </si>
  <si>
    <t>Shipping_Rochester NY_NY45_8710</t>
  </si>
  <si>
    <t>Shipping_Rochester NY_NY45_9101</t>
  </si>
  <si>
    <t>Shipping_Rochester NY_NY45_9310</t>
  </si>
  <si>
    <t>Shipping_Rockford IL_IL06_8710</t>
  </si>
  <si>
    <t>Shipping_Rockford IL_IL06_9204</t>
  </si>
  <si>
    <t>Shipping_Rockford IL_IL06_9310</t>
  </si>
  <si>
    <t>Shipping_Rock Rapids IA_IA19_8710</t>
  </si>
  <si>
    <t>Shipping_Rogers AR_AR11_8701</t>
  </si>
  <si>
    <t>Shipping_Rogers AR_AR11_8710</t>
  </si>
  <si>
    <t>Shipping_Rogers AR_AR11_9101</t>
  </si>
  <si>
    <t>Shipping_Rogers AR_AR11_9110</t>
  </si>
  <si>
    <t>Shipping_Rogers AR_AR11_9310</t>
  </si>
  <si>
    <t>Shipping_Rome GA_GA36_8701</t>
  </si>
  <si>
    <t>Shipping_Rome GA_GA36_8710</t>
  </si>
  <si>
    <t>Shipping_Rome GA_GA36_9300</t>
  </si>
  <si>
    <t>Shipping_Rome GA_GA36_9310</t>
  </si>
  <si>
    <t>Shipping_Romulus MI_MI29_8707</t>
  </si>
  <si>
    <t>Shipping_Romulus MI_MI29_8710</t>
  </si>
  <si>
    <t>Shipping_Romulus MI_MI29_9203</t>
  </si>
  <si>
    <t>Shipping_Romulus MI_MI29_9304</t>
  </si>
  <si>
    <t>Shipping_Romulus MI_MI29_9310</t>
  </si>
  <si>
    <t>Shipping_Roseville MN_MN12_8701</t>
  </si>
  <si>
    <t>Shipping_Roseville MN_MN12_8710</t>
  </si>
  <si>
    <t>Shipping_Roseville MN_MN12_9101</t>
  </si>
  <si>
    <t>Shipping_Roseville MN_MN12_9110</t>
  </si>
  <si>
    <t>Shipping_Roseville MN_MN12_9204</t>
  </si>
  <si>
    <t>Shipping_Roseville MN_MN12_9310</t>
  </si>
  <si>
    <t>Shipping_Sacramento CA_CA44_8705</t>
  </si>
  <si>
    <t>Shipping_Sacramento CA_CA44_9105</t>
  </si>
  <si>
    <t>Shipping_Saint Louis MO_MO15_8710</t>
  </si>
  <si>
    <t>Shipping_Saint Louis MO_MO15_8711</t>
  </si>
  <si>
    <t>Shipping_Saint Louis MO_MO15_8713</t>
  </si>
  <si>
    <t>Shipping_Saint Louis MO_MO15_9307</t>
  </si>
  <si>
    <t>Shipping_Saint Louis MO_MO15_9309</t>
  </si>
  <si>
    <t>Shipping_Saint Louis MO_MO15_9310</t>
  </si>
  <si>
    <t>Shipping_Salina KS_KS12_8701</t>
  </si>
  <si>
    <t>Shipping_Salina KS_KS12_8710</t>
  </si>
  <si>
    <t>Shipping_Salina KS_KS12_9101</t>
  </si>
  <si>
    <t>Shipping_Salina KS_KS12_9110</t>
  </si>
  <si>
    <t>Shipping_Salt Lake City UT_UT04_8502</t>
  </si>
  <si>
    <t>Shipping_Salt Lake City UT_UT04_8510</t>
  </si>
  <si>
    <t>Shipping_Salt Lake City UT_UT04_8708</t>
  </si>
  <si>
    <t>Shipping_Salt Lake City UT_UT04_8710</t>
  </si>
  <si>
    <t>Shipping_Salt Lake City UT_UT04_9107</t>
  </si>
  <si>
    <t>Shipping_Salt Lake City UT_UT04_9110</t>
  </si>
  <si>
    <t>Shipping_San Diego CA_CA21_8705</t>
  </si>
  <si>
    <t>Shipping_San Diego CA_CA21_9105</t>
  </si>
  <si>
    <t>Shipping_San Diego CA_CA21_9303</t>
  </si>
  <si>
    <t>Shipping_Sauk Centre MN_MN01_8710</t>
  </si>
  <si>
    <t>Shipping_Sauk Centre MN_MN01_9101</t>
  </si>
  <si>
    <t>Shipping_Sauk Centre MN_MN01_9110</t>
  </si>
  <si>
    <t>Shipping_Sauk Centre MN_MN01_9204</t>
  </si>
  <si>
    <t>Shipping_Scott City KS_KS13_8701</t>
  </si>
  <si>
    <t>Shipping_Scott City KS_KS13_8710</t>
  </si>
  <si>
    <t>Shipping_Scott City KS_KS13_9101</t>
  </si>
  <si>
    <t>Shipping_Scott City KS_KS13_9110</t>
  </si>
  <si>
    <t>Shipping_Scranton PA_PA04_8701</t>
  </si>
  <si>
    <t>Shipping_Scranton PA_PA04_8710</t>
  </si>
  <si>
    <t>Shipping_Scranton PA_PA04_9204</t>
  </si>
  <si>
    <t>Shipping_Scranton PA_PA04_9310</t>
  </si>
  <si>
    <t>Shipping_Seattle WA_WA05_8710</t>
  </si>
  <si>
    <t>Shipping_Seattle WA_WA05_9204</t>
  </si>
  <si>
    <t>Shipping_Selma NC_NC31_8701</t>
  </si>
  <si>
    <t>Shipping_Selma NC_NC31_8710</t>
  </si>
  <si>
    <t>Shipping_Selma NC_NC31_9101</t>
  </si>
  <si>
    <t>Shipping_Selma NC_NC31_9204</t>
  </si>
  <si>
    <t>Shipping_Selma NC_NC31_9300</t>
  </si>
  <si>
    <t>Shipping_Selma NC_NC31_9310</t>
  </si>
  <si>
    <t>Shipping_Seymour IN_IN12_8701</t>
  </si>
  <si>
    <t>Shipping_Seymour IN_IN12_8710</t>
  </si>
  <si>
    <t>Shipping_Seymour IN_IN12_9101</t>
  </si>
  <si>
    <t>Shipping_Seymour IN_IN12_9110</t>
  </si>
  <si>
    <t>Shipping_Seymour IN_IN12_9200</t>
  </si>
  <si>
    <t>Shipping_Seymour IN_IN12_9204</t>
  </si>
  <si>
    <t>Shipping_Seymour IN_IN12_9310</t>
  </si>
  <si>
    <t>Shipping_Shreveport LA_LA20_8701</t>
  </si>
  <si>
    <t>Shipping_Shreveport LA_LA20_8710</t>
  </si>
  <si>
    <t>Shipping_Shreveport LA_LA20_9101</t>
  </si>
  <si>
    <t>Shipping_Shreveport LA_LA20_9300</t>
  </si>
  <si>
    <t>Shipping_Shreveport LA_LA20_9310</t>
  </si>
  <si>
    <t>Shipping_Sinking Spring PA_PA17_8710</t>
  </si>
  <si>
    <t>Shipping_Sinking Spring PA_PA17_9310</t>
  </si>
  <si>
    <t>Shipping_Sioux City IA_IA20_8701</t>
  </si>
  <si>
    <t>Shipping_Sioux City IA_IA20_8710</t>
  </si>
  <si>
    <t>Shipping_Sioux City IA_IA20_9101</t>
  </si>
  <si>
    <t>Shipping_Sioux City IA_IA20_9110</t>
  </si>
  <si>
    <t>Shipping_Sioux City IA_IA20_9204</t>
  </si>
  <si>
    <t>Shipping_Sioux City IA_IA20_9310</t>
  </si>
  <si>
    <t>Shipping_Sioux Falls SD_SD04_8701</t>
  </si>
  <si>
    <t>Shipping_Sioux Falls SD_SD04_8710</t>
  </si>
  <si>
    <t>Shipping_Sioux Falls SD_SD04_9101</t>
  </si>
  <si>
    <t>Shipping_Sioux Falls SD_SD04_9110</t>
  </si>
  <si>
    <t>Shipping_Spartanburg SC_SC01_8701</t>
  </si>
  <si>
    <t>Shipping_Spartanburg SC_SC01_8710</t>
  </si>
  <si>
    <t>Shipping_Spartanburg SC_SC01_9101</t>
  </si>
  <si>
    <t>Shipping_Spartanburg SC_SC01_9204</t>
  </si>
  <si>
    <t>Shipping_Spartanburg SC_SC01_9310</t>
  </si>
  <si>
    <t>Shipping_Spokane WA_WA09_8710</t>
  </si>
  <si>
    <t>Shipping_Spokane WA_WA09_9110</t>
  </si>
  <si>
    <t>Shipping_Spokane WA_WA09_9204</t>
  </si>
  <si>
    <t>Shipping_Springfield MO_MO10_8701</t>
  </si>
  <si>
    <t>Shipping_Springfield MO_MO10_8710</t>
  </si>
  <si>
    <t>Shipping_Springfield MO_MO10_9101</t>
  </si>
  <si>
    <t>Shipping_Springfield MO_MO10_9110</t>
  </si>
  <si>
    <t>Shipping_Springfield MO_MO10_9310</t>
  </si>
  <si>
    <t>Shipping_Stockton CA_CA41_8705</t>
  </si>
  <si>
    <t>Shipping_Stockton CA_CA41_9105</t>
  </si>
  <si>
    <t>Shipping_Tacoma WA_WA10_8710</t>
  </si>
  <si>
    <t>Shipping_Tacoma WA_WA10_9110</t>
  </si>
  <si>
    <t>Shipping_Tacoma WA_WA10_9204</t>
  </si>
  <si>
    <t>Shipping_Tampa FL_FL14_8710</t>
  </si>
  <si>
    <t>Shipping_Tampa FL_FL14_9310</t>
  </si>
  <si>
    <t>Shipping_Taylor MI_MI13_8707</t>
  </si>
  <si>
    <t>Shipping_Taylor MI_MI13_9304</t>
  </si>
  <si>
    <t>Shipping_Thorofare NJ_NJ23_8711</t>
  </si>
  <si>
    <t>Shipping_Thorofare NJ_NJ23_8712</t>
  </si>
  <si>
    <t>Shipping_Thorofare NJ_NJ23_8713</t>
  </si>
  <si>
    <t>Shipping_Thorofare NJ_NJ23_9307</t>
  </si>
  <si>
    <t>Shipping_Thorofare NJ_NJ23_9308</t>
  </si>
  <si>
    <t>Shipping_Thorofare NJ_NJ23_9309</t>
  </si>
  <si>
    <t>Shipping_Toledo OH_OH28_8701</t>
  </si>
  <si>
    <t>Shipping_Toledo OH_OH28_8710</t>
  </si>
  <si>
    <t>Shipping_Toledo OH_OH28_9101</t>
  </si>
  <si>
    <t>Shipping_Toledo OH_OH28_9204</t>
  </si>
  <si>
    <t>Shipping_Toledo OH_OH28_9310</t>
  </si>
  <si>
    <t>Shipping_Topeka KS_KS14_8701</t>
  </si>
  <si>
    <t>Shipping_Topeka KS_KS14_8710</t>
  </si>
  <si>
    <t>Shipping_Topeka KS_KS14_9101</t>
  </si>
  <si>
    <t>Shipping_Topeka KS_KS14_9110</t>
  </si>
  <si>
    <t>Shipping_Tucson AZ_AZ05_8710</t>
  </si>
  <si>
    <t>Shipping_Tucson AZ_AZ05_9110</t>
  </si>
  <si>
    <t>Shipping_Tulsa OK_OK09_8701</t>
  </si>
  <si>
    <t>Shipping_Tulsa OK_OK09_8710</t>
  </si>
  <si>
    <t>Shipping_Tulsa OK_OK09_9101</t>
  </si>
  <si>
    <t>Shipping_Tulsa OK_OK09_9110</t>
  </si>
  <si>
    <t>Shipping_Tulsa OK_OK09_9310</t>
  </si>
  <si>
    <t>Shipping_Utica NY_NY43_8701</t>
  </si>
  <si>
    <t>Shipping_Utica NY_NY43_8710</t>
  </si>
  <si>
    <t>Shipping_Utica NY_NY43_9310</t>
  </si>
  <si>
    <t>Shipping_Vancouver WA_WA15_8708</t>
  </si>
  <si>
    <t>Shipping_Vancouver WA_WA15_8710</t>
  </si>
  <si>
    <t>Shipping_Vancouver WA_WA15_9110</t>
  </si>
  <si>
    <t>Shipping_Vancouver WA_WA15_9201</t>
  </si>
  <si>
    <t>Shipping_Vancouver WA_WA15_9204</t>
  </si>
  <si>
    <t>Shipping_Vancouver WA_WA15_9208</t>
  </si>
  <si>
    <t>Shipping_Van Nuys CA_CA75_8705</t>
  </si>
  <si>
    <t>Shipping_Van Nuys CA_CA75_9105</t>
  </si>
  <si>
    <t>Shipping_Vestal NY_NY54_8710</t>
  </si>
  <si>
    <t>Shipping_Vestal NY_NY54_9310</t>
  </si>
  <si>
    <t>Shipping_Waco TX_TX06_8708</t>
  </si>
  <si>
    <t>Shipping_Waco TX_TX06_8710</t>
  </si>
  <si>
    <t>Shipping_Waco TX_TX06_9302</t>
  </si>
  <si>
    <t>Shipping_Waco TX_TX06_9305</t>
  </si>
  <si>
    <t>Shipping_Waco TX_TX06_9307</t>
  </si>
  <si>
    <t>Shipping_Waco TX_TX06_9309</t>
  </si>
  <si>
    <t>Shipping_Waco TX_TX06_9310</t>
  </si>
  <si>
    <t>Shipping_Warners NY_NY51_8710</t>
  </si>
  <si>
    <t>Shipping_Warners NY_NY51_9310</t>
  </si>
  <si>
    <t>Shipping_Waterloo IA_IA21_8710</t>
  </si>
  <si>
    <t>Shipping_Waterloo IA_IA21_9110</t>
  </si>
  <si>
    <t>Shipping_Watertown SD_SD05_8710</t>
  </si>
  <si>
    <t>Shipping_West Memphis AR_AR08_8701</t>
  </si>
  <si>
    <t>Shipping_West Memphis AR_AR08_8710</t>
  </si>
  <si>
    <t>Shipping_Wethersfield CT_CT06_8712</t>
  </si>
  <si>
    <t>Shipping_Whitehall PA_PA32_8710</t>
  </si>
  <si>
    <t>Shipping_Whitehall PA_PA32_9310</t>
  </si>
  <si>
    <t>Shipping_Wichita KS_KS15_8701</t>
  </si>
  <si>
    <t>Shipping_Wichita KS_KS15_8710</t>
  </si>
  <si>
    <t>Shipping_Wichita KS_KS15_9101</t>
  </si>
  <si>
    <t>Shipping_Wichita KS_KS15_9110</t>
  </si>
  <si>
    <t>Shipping_Wolsey SD_SD06_8710</t>
  </si>
  <si>
    <t>Shipping_Woodhaven MI_MI22_8707</t>
  </si>
  <si>
    <t>Shipping_Woodhaven MI_MI22_9304</t>
  </si>
  <si>
    <t>Shipping_Wood River IL_IL25_8710</t>
  </si>
  <si>
    <t>Shipping_Wood River IL_IL25_8711</t>
  </si>
  <si>
    <t>Shipping_Wood River IL_IL25_8713</t>
  </si>
  <si>
    <t>Shipping_Wood River IL_IL25_9110</t>
  </si>
  <si>
    <t>Shipping_Wood River IL_IL25_9206</t>
  </si>
  <si>
    <t>Shipping_Wood River IL_IL25_9307</t>
  </si>
  <si>
    <t>Shipping_Wood River IL_IL25_9309</t>
  </si>
  <si>
    <t>Shipping_Wood River IL_IL25_9310</t>
  </si>
  <si>
    <t>Shipping_Wrenshall MN_MN05_8710</t>
  </si>
  <si>
    <t>Shipping_Wrenshall MN_MN05_9101</t>
  </si>
  <si>
    <t>Shipping_Wrenshall MN_MN05_9110</t>
  </si>
  <si>
    <t>Shipping_Wrenshall MN_MN05_9204</t>
  </si>
  <si>
    <t>Shipping_Wrenshall MN_MN05_9310</t>
  </si>
  <si>
    <t>Shipping_Yankton SD_SD07_8701</t>
  </si>
  <si>
    <t>Shipping_Yankton SD_SD07_8710</t>
  </si>
  <si>
    <t>Shipping_Yankton SD_SD07_9101</t>
  </si>
  <si>
    <t>Shipping_Yankton SD_SD07_9110</t>
  </si>
  <si>
    <t>Shipping_Youngstown OH_OH41_8710</t>
  </si>
  <si>
    <t>Shipping_Youngstown OH_OH41_9204</t>
  </si>
  <si>
    <t>Shipping_Youngstown OH_OH41_9310</t>
  </si>
  <si>
    <t>Shipping_Zionsville IN_IN23_8710</t>
  </si>
  <si>
    <t>Shipping_Zionsville IN_IN23_9204</t>
  </si>
  <si>
    <t>Shipping_Zionsville IN_IN23_9310</t>
  </si>
  <si>
    <t>shipping_code</t>
  </si>
  <si>
    <t>price_day</t>
  </si>
  <si>
    <t>Combined Adders</t>
  </si>
  <si>
    <t>PADD 2</t>
  </si>
  <si>
    <t>Hartford IL</t>
  </si>
  <si>
    <t>PADD 3</t>
  </si>
  <si>
    <t>Oxford AL</t>
  </si>
  <si>
    <t>Anniston/Oxford AL</t>
  </si>
  <si>
    <t>Saraland AL</t>
  </si>
  <si>
    <t>North Little Rock AR</t>
  </si>
  <si>
    <t>PADD 5</t>
  </si>
  <si>
    <t>Lupton AZ</t>
  </si>
  <si>
    <t>Long Beach CA</t>
  </si>
  <si>
    <t>Mission Valley CA</t>
  </si>
  <si>
    <t>San Francisco CA</t>
  </si>
  <si>
    <t>Banta CA</t>
  </si>
  <si>
    <t>Bradshaw CA</t>
  </si>
  <si>
    <t>PADD 4</t>
  </si>
  <si>
    <t>Colarado Springs CO</t>
  </si>
  <si>
    <t>Hartford/Rocky Hill CT</t>
  </si>
  <si>
    <t>PADD 1</t>
  </si>
  <si>
    <t>Freeport FL</t>
  </si>
  <si>
    <t>Port Manatee FL</t>
  </si>
  <si>
    <t>Taft FL</t>
  </si>
  <si>
    <t>Port Everglades FL</t>
  </si>
  <si>
    <t>Iowa City IA</t>
  </si>
  <si>
    <t>Mason City/Clear Lake IA</t>
  </si>
  <si>
    <t>Des Plaines IL</t>
  </si>
  <si>
    <t>Mount Prospect IL</t>
  </si>
  <si>
    <t>Lockport IL</t>
  </si>
  <si>
    <t>Forsythe IL</t>
  </si>
  <si>
    <t>Decatur/Forsythe IL</t>
  </si>
  <si>
    <t>Harristown IL</t>
  </si>
  <si>
    <t>Whiting IN</t>
  </si>
  <si>
    <t>East Chicago IN</t>
  </si>
  <si>
    <t>Speedway IN</t>
  </si>
  <si>
    <t>Valley Center KS</t>
  </si>
  <si>
    <t>Catlettsburg KY</t>
  </si>
  <si>
    <t>Convent/Garyville LA</t>
  </si>
  <si>
    <t>Meraux LA</t>
  </si>
  <si>
    <t>Port Allen LA</t>
  </si>
  <si>
    <t>Westlake LA</t>
  </si>
  <si>
    <t>Bossier LA</t>
  </si>
  <si>
    <t>Mount Airy LA</t>
  </si>
  <si>
    <t>Curtis Bay MD</t>
  </si>
  <si>
    <t>South Portland ME</t>
  </si>
  <si>
    <t>Cheboygan MI</t>
  </si>
  <si>
    <t>Morehead MN</t>
  </si>
  <si>
    <t>Minneapolis MN</t>
  </si>
  <si>
    <t>Esko MN</t>
  </si>
  <si>
    <t>Scott City MO</t>
  </si>
  <si>
    <t>Saint Peter MO</t>
  </si>
  <si>
    <t>Laurel MT</t>
  </si>
  <si>
    <t>Paw Creek NC</t>
  </si>
  <si>
    <t>Raleigh/Apex NC</t>
  </si>
  <si>
    <t>Bismarck/Mandan ND</t>
  </si>
  <si>
    <t>Portsmouth NH</t>
  </si>
  <si>
    <t>Tremley Point NJ</t>
  </si>
  <si>
    <t>Sparks/Reno NV</t>
  </si>
  <si>
    <t>Sparks NV</t>
  </si>
  <si>
    <t>New York NY</t>
  </si>
  <si>
    <t>Glenwood Landing NY</t>
  </si>
  <si>
    <t>Rensselaer NY</t>
  </si>
  <si>
    <t>Roseton NY</t>
  </si>
  <si>
    <t>Marcy NY</t>
  </si>
  <si>
    <t>Binghamton/Vestal NY</t>
  </si>
  <si>
    <t>Akron/Canton OH</t>
  </si>
  <si>
    <t>Grafton OH</t>
  </si>
  <si>
    <t>Oregon OH</t>
  </si>
  <si>
    <t>Willbridge OR</t>
  </si>
  <si>
    <t>Fullerton PA</t>
  </si>
  <si>
    <t>Highspire PA</t>
  </si>
  <si>
    <t>Montello PA</t>
  </si>
  <si>
    <t>Twin Oaks PA</t>
  </si>
  <si>
    <t>Tuckerton PA</t>
  </si>
  <si>
    <t>El Dorado PA</t>
  </si>
  <si>
    <t>East Providence RI</t>
  </si>
  <si>
    <t>North Charleston SC</t>
  </si>
  <si>
    <t>Victoria/Placedo TX</t>
  </si>
  <si>
    <t>Tye TX</t>
  </si>
  <si>
    <t>Mustang Ridge TX</t>
  </si>
  <si>
    <t>Sunray TX</t>
  </si>
  <si>
    <t>Midland/Odessa TX</t>
  </si>
  <si>
    <t>Hebert TX</t>
  </si>
  <si>
    <t>Woods Cross UT</t>
  </si>
  <si>
    <t>Springfield VA</t>
  </si>
  <si>
    <t>Harbor Island WA</t>
  </si>
  <si>
    <t>McFarland WI</t>
  </si>
  <si>
    <t>Evansville 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</si>
</sst>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"/>
    <numFmt numFmtId="165" formatCode="_(* #,##0.0000_);_(* \(#,##0.0000\);_(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6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2" fillId="2" borderId="1" xfId="0" applyFont="1" applyFill="1" applyBorder="1"/>
    <xf numFmtId="0" fontId="2" fillId="3" borderId="1" xfId="0" applyFont="1" applyFill="1" applyBorder="1"/>
    <xf numFmtId="0" fontId="2" fillId="0" borderId="0" xfId="0" applyFont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4" fontId="0" fillId="0" borderId="0" xfId="0" applyNumberFormat="1" applyAlignment="1">
      <alignment horizontal="right"/>
    </xf>
    <xf numFmtId="0" fontId="2" fillId="0" borderId="1" xfId="0" applyFont="1" applyBorder="1"/>
    <xf numFmtId="0" fontId="3" fillId="0" borderId="0" xfId="0" applyFont="1"/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2" fillId="4" borderId="0" xfId="0" applyFont="1" applyFill="1" applyAlignment="1">
      <alignment horizontal="center" vertical="top" wrapText="1"/>
    </xf>
    <xf numFmtId="0" fontId="2" fillId="5" borderId="0" xfId="0" applyFont="1" applyFill="1" applyAlignment="1">
      <alignment horizontal="center" vertical="top" wrapText="1"/>
    </xf>
    <xf numFmtId="0" fontId="2" fillId="6" borderId="0" xfId="0" applyFont="1" applyFill="1" applyAlignment="1">
      <alignment horizontal="center" vertical="top" wrapText="1"/>
    </xf>
    <xf numFmtId="0" fontId="2" fillId="7" borderId="0" xfId="0" applyFont="1" applyFill="1" applyAlignment="1">
      <alignment horizontal="center" vertical="top" wrapText="1"/>
    </xf>
    <xf numFmtId="0" fontId="2" fillId="8" borderId="0" xfId="0" applyFont="1" applyFill="1" applyAlignment="1">
      <alignment horizontal="center" vertical="top" wrapText="1"/>
    </xf>
    <xf numFmtId="0" fontId="2" fillId="9" borderId="0" xfId="0" applyFont="1" applyFill="1" applyAlignment="1">
      <alignment horizontal="center" vertical="top" wrapText="1"/>
    </xf>
    <xf numFmtId="0" fontId="2" fillId="10" borderId="0" xfId="0" applyFont="1" applyFill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center"/>
    </xf>
    <xf numFmtId="165" fontId="0" fillId="4" borderId="0" xfId="1" applyNumberFormat="1" applyFont="1" applyFill="1"/>
    <xf numFmtId="165" fontId="0" fillId="5" borderId="0" xfId="1" applyNumberFormat="1" applyFont="1" applyFill="1"/>
    <xf numFmtId="165" fontId="0" fillId="6" borderId="0" xfId="1" applyNumberFormat="1" applyFont="1" applyFill="1"/>
    <xf numFmtId="165" fontId="0" fillId="7" borderId="0" xfId="1" applyNumberFormat="1" applyFont="1" applyFill="1"/>
    <xf numFmtId="165" fontId="0" fillId="8" borderId="0" xfId="1" applyNumberFormat="1" applyFont="1" applyFill="1"/>
    <xf numFmtId="165" fontId="0" fillId="9" borderId="0" xfId="1" applyNumberFormat="1" applyFont="1" applyFill="1"/>
    <xf numFmtId="165" fontId="0" fillId="10" borderId="0" xfId="1" applyNumberFormat="1" applyFont="1" applyFill="1"/>
    <xf numFmtId="165" fontId="0" fillId="0" borderId="0" xfId="1" applyNumberFormat="1" applyFon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top" wrapText="1"/>
    </xf>
    <xf numFmtId="165" fontId="0" fillId="3" borderId="0" xfId="1" applyNumberFormat="1" applyFont="1" applyFill="1"/>
    <xf numFmtId="0" fontId="0" fillId="3" borderId="0" xfId="0" applyFill="1"/>
    <xf numFmtId="0" fontId="5" fillId="11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top" wrapText="1"/>
    </xf>
    <xf numFmtId="165" fontId="0" fillId="11" borderId="0" xfId="1" applyNumberFormat="1" applyFont="1" applyFill="1"/>
    <xf numFmtId="0" fontId="0" fillId="11" borderId="0" xfId="0" applyFill="1"/>
    <xf numFmtId="14" fontId="0" fillId="0" borderId="0" xfId="0" applyNumberFormat="1"/>
    <xf numFmtId="165" fontId="0" fillId="0" borderId="0" xfId="1" quotePrefix="1" applyNumberFormat="1" applyFont="1"/>
    <xf numFmtId="0" fontId="0" fillId="0" borderId="0" xfId="2" applyNumberFormat="1" applyFont="1"/>
    <xf numFmtId="164" fontId="0" fillId="0" borderId="0" xfId="0" applyNumberFormat="1"/>
    <xf numFmtId="0" fontId="7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ill>
        <patternFill>
          <bgColor theme="7" tint="0.79998168889431442"/>
        </patternFill>
      </fill>
    </dxf>
    <dxf>
      <fill>
        <patternFill patternType="solid">
          <fgColor rgb="FFFFF2CC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80827-9B87-4DFA-A722-F2ADA2236B7C}">
  <dimension ref="A1:H3309"/>
  <sheetViews>
    <sheetView zoomScale="130" zoomScaleNormal="130" workbookViewId="0">
      <pane ySplit="1" topLeftCell="A2" activePane="bottomLeft" state="frozen"/>
      <selection pane="bottomLeft"/>
    </sheetView>
  </sheetViews>
  <sheetFormatPr defaultRowHeight="14.4" x14ac:dyDescent="0.55000000000000004"/>
  <cols>
    <col min="1" max="1" width="39.83984375" customWidth="1"/>
    <col min="2" max="2" width="16.26171875" bestFit="1" customWidth="1"/>
    <col min="3" max="3" width="15.578125" bestFit="1" customWidth="1"/>
    <col min="4" max="4" width="23.15625" bestFit="1" customWidth="1"/>
    <col min="5" max="5" width="29.68359375" bestFit="1" customWidth="1"/>
    <col min="6" max="6" width="18" bestFit="1" customWidth="1"/>
    <col min="7" max="7" width="20.83984375" bestFit="1" customWidth="1"/>
    <col min="8" max="8" width="20" bestFit="1" customWidth="1"/>
  </cols>
  <sheetData>
    <row r="1" spans="1:8" s="3" customFormat="1" x14ac:dyDescent="0.55000000000000004">
      <c r="A1" s="3" t="s">
        <v>7309</v>
      </c>
      <c r="B1" s="3" t="s">
        <v>4</v>
      </c>
      <c r="C1" s="3" t="s">
        <v>6353</v>
      </c>
      <c r="D1" s="3" t="s">
        <v>6354</v>
      </c>
      <c r="E1" s="3" t="s">
        <v>6355</v>
      </c>
      <c r="F1" s="3" t="s">
        <v>7310</v>
      </c>
      <c r="G1" s="3" t="s">
        <v>6356</v>
      </c>
      <c r="H1" s="3" t="s">
        <v>6357</v>
      </c>
    </row>
    <row r="2" spans="1:8" x14ac:dyDescent="0.55000000000000004">
      <c r="A2" s="61" t="s">
        <v>6395</v>
      </c>
      <c r="B2" t="s">
        <v>4625</v>
      </c>
      <c r="C2">
        <v>8701</v>
      </c>
      <c r="D2" t="s">
        <v>6359</v>
      </c>
      <c r="E2" t="s">
        <v>6360</v>
      </c>
      <c r="F2" t="s">
        <v>6361</v>
      </c>
      <c r="G2" s="43">
        <v>0</v>
      </c>
      <c r="H2" s="63">
        <v>1</v>
      </c>
    </row>
    <row r="3" spans="1:8" x14ac:dyDescent="0.55000000000000004">
      <c r="A3" s="61" t="s">
        <v>6395</v>
      </c>
      <c r="B3" t="s">
        <v>4625</v>
      </c>
      <c r="C3">
        <v>8701</v>
      </c>
      <c r="D3" t="s">
        <v>6362</v>
      </c>
      <c r="E3" t="s">
        <v>6358</v>
      </c>
      <c r="F3" t="s">
        <v>6358</v>
      </c>
      <c r="G3" s="43">
        <v>0.1135</v>
      </c>
      <c r="H3" s="63">
        <v>1</v>
      </c>
    </row>
    <row r="4" spans="1:8" x14ac:dyDescent="0.55000000000000004">
      <c r="A4" s="61" t="s">
        <v>6396</v>
      </c>
      <c r="B4" t="s">
        <v>4625</v>
      </c>
      <c r="C4">
        <v>8710</v>
      </c>
      <c r="D4" t="s">
        <v>6359</v>
      </c>
      <c r="E4" t="s">
        <v>6360</v>
      </c>
      <c r="F4" t="s">
        <v>6361</v>
      </c>
      <c r="G4" s="43">
        <v>0</v>
      </c>
      <c r="H4" s="63">
        <v>0.9</v>
      </c>
    </row>
    <row r="5" spans="1:8" x14ac:dyDescent="0.55000000000000004">
      <c r="A5" s="61" t="s">
        <v>6396</v>
      </c>
      <c r="B5" t="s">
        <v>4625</v>
      </c>
      <c r="C5">
        <v>8710</v>
      </c>
      <c r="D5" t="s">
        <v>6363</v>
      </c>
      <c r="E5" t="s">
        <v>6364</v>
      </c>
      <c r="F5" t="s">
        <v>6361</v>
      </c>
      <c r="G5" s="43">
        <v>0</v>
      </c>
      <c r="H5" s="63">
        <v>0.1</v>
      </c>
    </row>
    <row r="6" spans="1:8" x14ac:dyDescent="0.55000000000000004">
      <c r="A6" s="61" t="s">
        <v>6396</v>
      </c>
      <c r="B6" t="s">
        <v>4625</v>
      </c>
      <c r="C6">
        <v>8710</v>
      </c>
      <c r="D6" t="s">
        <v>6362</v>
      </c>
      <c r="E6" t="s">
        <v>6358</v>
      </c>
      <c r="F6" t="s">
        <v>6358</v>
      </c>
      <c r="G6" s="43">
        <v>9.4299999999999995E-2</v>
      </c>
      <c r="H6" s="63">
        <v>1</v>
      </c>
    </row>
    <row r="7" spans="1:8" x14ac:dyDescent="0.55000000000000004">
      <c r="A7" s="61" t="s">
        <v>6396</v>
      </c>
      <c r="B7" t="s">
        <v>4625</v>
      </c>
      <c r="C7">
        <v>8710</v>
      </c>
      <c r="D7" t="s">
        <v>6365</v>
      </c>
      <c r="E7" t="s">
        <v>6366</v>
      </c>
      <c r="F7" t="s">
        <v>6361</v>
      </c>
      <c r="G7" s="43">
        <v>0</v>
      </c>
      <c r="H7" s="63">
        <v>-0.1</v>
      </c>
    </row>
    <row r="8" spans="1:8" x14ac:dyDescent="0.55000000000000004">
      <c r="A8" s="61" t="s">
        <v>6397</v>
      </c>
      <c r="B8" t="s">
        <v>4625</v>
      </c>
      <c r="C8">
        <v>9101</v>
      </c>
      <c r="D8" t="s">
        <v>6359</v>
      </c>
      <c r="E8" t="s">
        <v>6367</v>
      </c>
      <c r="F8" t="s">
        <v>6361</v>
      </c>
      <c r="G8" s="43">
        <v>0</v>
      </c>
      <c r="H8" s="63">
        <v>1</v>
      </c>
    </row>
    <row r="9" spans="1:8" x14ac:dyDescent="0.55000000000000004">
      <c r="A9" s="61" t="s">
        <v>6397</v>
      </c>
      <c r="B9" t="s">
        <v>4625</v>
      </c>
      <c r="C9">
        <v>9101</v>
      </c>
      <c r="D9" t="s">
        <v>6362</v>
      </c>
      <c r="E9" t="s">
        <v>6358</v>
      </c>
      <c r="F9" t="s">
        <v>6358</v>
      </c>
      <c r="G9" s="43">
        <v>0.1135</v>
      </c>
      <c r="H9" s="63">
        <v>1</v>
      </c>
    </row>
    <row r="10" spans="1:8" x14ac:dyDescent="0.55000000000000004">
      <c r="A10" s="61" t="s">
        <v>6398</v>
      </c>
      <c r="B10" t="s">
        <v>4625</v>
      </c>
      <c r="C10">
        <v>9110</v>
      </c>
      <c r="D10" t="s">
        <v>6359</v>
      </c>
      <c r="E10" t="s">
        <v>6367</v>
      </c>
      <c r="F10" t="s">
        <v>6361</v>
      </c>
      <c r="G10" s="43">
        <v>0</v>
      </c>
      <c r="H10" s="63">
        <v>0.9</v>
      </c>
    </row>
    <row r="11" spans="1:8" x14ac:dyDescent="0.55000000000000004">
      <c r="A11" s="61" t="s">
        <v>6398</v>
      </c>
      <c r="B11" t="s">
        <v>4625</v>
      </c>
      <c r="C11">
        <v>9110</v>
      </c>
      <c r="D11" t="s">
        <v>6363</v>
      </c>
      <c r="E11" t="s">
        <v>6364</v>
      </c>
      <c r="F11" t="s">
        <v>6361</v>
      </c>
      <c r="G11" s="43">
        <v>0</v>
      </c>
      <c r="H11" s="63">
        <v>0.1</v>
      </c>
    </row>
    <row r="12" spans="1:8" x14ac:dyDescent="0.55000000000000004">
      <c r="A12" s="61" t="s">
        <v>6398</v>
      </c>
      <c r="B12" t="s">
        <v>4625</v>
      </c>
      <c r="C12">
        <v>9110</v>
      </c>
      <c r="D12" t="s">
        <v>6362</v>
      </c>
      <c r="E12" t="s">
        <v>6358</v>
      </c>
      <c r="F12" t="s">
        <v>6358</v>
      </c>
      <c r="G12" s="43">
        <v>9.4299999999999995E-2</v>
      </c>
      <c r="H12" s="63">
        <v>1</v>
      </c>
    </row>
    <row r="13" spans="1:8" x14ac:dyDescent="0.55000000000000004">
      <c r="A13" s="61" t="s">
        <v>6398</v>
      </c>
      <c r="B13" t="s">
        <v>4625</v>
      </c>
      <c r="C13">
        <v>9110</v>
      </c>
      <c r="D13" t="s">
        <v>6365</v>
      </c>
      <c r="E13" t="s">
        <v>6366</v>
      </c>
      <c r="F13" t="s">
        <v>6361</v>
      </c>
      <c r="G13" s="43">
        <v>0</v>
      </c>
      <c r="H13" s="63">
        <v>-0.1</v>
      </c>
    </row>
    <row r="14" spans="1:8" x14ac:dyDescent="0.55000000000000004">
      <c r="A14" s="61" t="s">
        <v>6399</v>
      </c>
      <c r="B14" t="s">
        <v>4818</v>
      </c>
      <c r="C14">
        <v>8610</v>
      </c>
      <c r="D14" t="s">
        <v>6359</v>
      </c>
      <c r="E14" t="s">
        <v>6360</v>
      </c>
      <c r="F14" t="s">
        <v>6361</v>
      </c>
      <c r="G14" s="43">
        <v>0</v>
      </c>
      <c r="H14" s="63">
        <v>0.9</v>
      </c>
    </row>
    <row r="15" spans="1:8" x14ac:dyDescent="0.55000000000000004">
      <c r="A15" s="61" t="s">
        <v>6399</v>
      </c>
      <c r="B15" t="s">
        <v>4818</v>
      </c>
      <c r="C15">
        <v>8610</v>
      </c>
      <c r="D15" t="s">
        <v>6363</v>
      </c>
      <c r="E15" t="s">
        <v>6364</v>
      </c>
      <c r="F15" t="s">
        <v>6361</v>
      </c>
      <c r="G15" s="43">
        <v>0</v>
      </c>
      <c r="H15" s="63">
        <v>0.1</v>
      </c>
    </row>
    <row r="16" spans="1:8" x14ac:dyDescent="0.55000000000000004">
      <c r="A16" s="61" t="s">
        <v>6399</v>
      </c>
      <c r="B16" t="s">
        <v>4818</v>
      </c>
      <c r="C16">
        <v>8610</v>
      </c>
      <c r="D16" t="s">
        <v>6362</v>
      </c>
      <c r="E16" t="s">
        <v>6358</v>
      </c>
      <c r="F16" t="s">
        <v>6358</v>
      </c>
      <c r="G16" s="43">
        <v>5.5500000000000001E-2</v>
      </c>
      <c r="H16" s="63">
        <v>1</v>
      </c>
    </row>
    <row r="17" spans="1:8" x14ac:dyDescent="0.55000000000000004">
      <c r="A17" s="61" t="s">
        <v>6399</v>
      </c>
      <c r="B17" t="s">
        <v>4818</v>
      </c>
      <c r="C17">
        <v>8610</v>
      </c>
      <c r="D17" t="s">
        <v>6365</v>
      </c>
      <c r="E17" t="s">
        <v>6366</v>
      </c>
      <c r="F17" t="s">
        <v>6361</v>
      </c>
      <c r="G17" s="43">
        <v>0</v>
      </c>
      <c r="H17" s="63">
        <v>-0.1</v>
      </c>
    </row>
    <row r="18" spans="1:8" x14ac:dyDescent="0.55000000000000004">
      <c r="A18" s="61" t="s">
        <v>6400</v>
      </c>
      <c r="B18" t="s">
        <v>4818</v>
      </c>
      <c r="C18">
        <v>9110</v>
      </c>
      <c r="D18" t="s">
        <v>6359</v>
      </c>
      <c r="E18" t="s">
        <v>6367</v>
      </c>
      <c r="F18" t="s">
        <v>6361</v>
      </c>
      <c r="G18" s="43">
        <v>0</v>
      </c>
      <c r="H18" s="63">
        <v>0.9</v>
      </c>
    </row>
    <row r="19" spans="1:8" x14ac:dyDescent="0.55000000000000004">
      <c r="A19" s="61" t="s">
        <v>6400</v>
      </c>
      <c r="B19" t="s">
        <v>4818</v>
      </c>
      <c r="C19">
        <v>9110</v>
      </c>
      <c r="D19" t="s">
        <v>6363</v>
      </c>
      <c r="E19" t="s">
        <v>6364</v>
      </c>
      <c r="F19" t="s">
        <v>6361</v>
      </c>
      <c r="G19" s="43">
        <v>0</v>
      </c>
      <c r="H19" s="63">
        <v>0.1</v>
      </c>
    </row>
    <row r="20" spans="1:8" x14ac:dyDescent="0.55000000000000004">
      <c r="A20" s="61" t="s">
        <v>6400</v>
      </c>
      <c r="B20" t="s">
        <v>4818</v>
      </c>
      <c r="C20">
        <v>9110</v>
      </c>
      <c r="D20" t="s">
        <v>6362</v>
      </c>
      <c r="E20" t="s">
        <v>6358</v>
      </c>
      <c r="F20" t="s">
        <v>6358</v>
      </c>
      <c r="G20" s="43">
        <v>5.5500000000000001E-2</v>
      </c>
      <c r="H20" s="63">
        <v>1</v>
      </c>
    </row>
    <row r="21" spans="1:8" x14ac:dyDescent="0.55000000000000004">
      <c r="A21" s="61" t="s">
        <v>6400</v>
      </c>
      <c r="B21" t="s">
        <v>4818</v>
      </c>
      <c r="C21">
        <v>9110</v>
      </c>
      <c r="D21" t="s">
        <v>6365</v>
      </c>
      <c r="E21" t="s">
        <v>6366</v>
      </c>
      <c r="F21" t="s">
        <v>6361</v>
      </c>
      <c r="G21" s="43">
        <v>0</v>
      </c>
      <c r="H21" s="63">
        <v>-0.1</v>
      </c>
    </row>
    <row r="22" spans="1:8" x14ac:dyDescent="0.55000000000000004">
      <c r="A22" s="61" t="s">
        <v>6401</v>
      </c>
      <c r="B22" t="s">
        <v>4829</v>
      </c>
      <c r="C22">
        <v>8710</v>
      </c>
      <c r="D22" t="s">
        <v>6359</v>
      </c>
      <c r="E22" t="s">
        <v>6360</v>
      </c>
      <c r="F22" t="s">
        <v>6361</v>
      </c>
      <c r="G22" s="43">
        <v>0</v>
      </c>
      <c r="H22" s="63">
        <v>0.9</v>
      </c>
    </row>
    <row r="23" spans="1:8" x14ac:dyDescent="0.55000000000000004">
      <c r="A23" s="61" t="s">
        <v>6401</v>
      </c>
      <c r="B23" t="s">
        <v>4829</v>
      </c>
      <c r="C23">
        <v>8710</v>
      </c>
      <c r="D23" t="s">
        <v>6363</v>
      </c>
      <c r="E23" t="s">
        <v>6364</v>
      </c>
      <c r="F23" t="s">
        <v>6361</v>
      </c>
      <c r="G23" s="43">
        <v>0</v>
      </c>
      <c r="H23" s="63">
        <v>0.1</v>
      </c>
    </row>
    <row r="24" spans="1:8" x14ac:dyDescent="0.55000000000000004">
      <c r="A24" s="61" t="s">
        <v>6401</v>
      </c>
      <c r="B24" t="s">
        <v>4829</v>
      </c>
      <c r="C24">
        <v>8710</v>
      </c>
      <c r="D24" t="s">
        <v>6362</v>
      </c>
      <c r="E24" t="s">
        <v>6358</v>
      </c>
      <c r="F24" t="s">
        <v>6358</v>
      </c>
      <c r="G24" s="62">
        <v>0.1237</v>
      </c>
      <c r="H24" s="63">
        <v>1</v>
      </c>
    </row>
    <row r="25" spans="1:8" x14ac:dyDescent="0.55000000000000004">
      <c r="A25" s="61" t="s">
        <v>6401</v>
      </c>
      <c r="B25" t="s">
        <v>4829</v>
      </c>
      <c r="C25">
        <v>8710</v>
      </c>
      <c r="D25" t="s">
        <v>6365</v>
      </c>
      <c r="E25" t="s">
        <v>6366</v>
      </c>
      <c r="F25" t="s">
        <v>6361</v>
      </c>
      <c r="G25" s="43">
        <v>0</v>
      </c>
      <c r="H25" s="63">
        <v>-0.1</v>
      </c>
    </row>
    <row r="26" spans="1:8" x14ac:dyDescent="0.55000000000000004">
      <c r="A26" s="61" t="s">
        <v>6402</v>
      </c>
      <c r="B26" t="s">
        <v>4829</v>
      </c>
      <c r="C26">
        <v>9110</v>
      </c>
      <c r="D26" t="s">
        <v>6359</v>
      </c>
      <c r="E26" t="s">
        <v>6367</v>
      </c>
      <c r="F26" t="s">
        <v>6361</v>
      </c>
      <c r="G26" s="43">
        <v>0</v>
      </c>
      <c r="H26" s="63">
        <v>0.9</v>
      </c>
    </row>
    <row r="27" spans="1:8" x14ac:dyDescent="0.55000000000000004">
      <c r="A27" s="61" t="s">
        <v>6402</v>
      </c>
      <c r="B27" t="s">
        <v>4829</v>
      </c>
      <c r="C27">
        <v>9110</v>
      </c>
      <c r="D27" t="s">
        <v>6363</v>
      </c>
      <c r="E27" t="s">
        <v>6364</v>
      </c>
      <c r="F27" t="s">
        <v>6361</v>
      </c>
      <c r="G27" s="43">
        <v>0</v>
      </c>
      <c r="H27" s="63">
        <v>0.1</v>
      </c>
    </row>
    <row r="28" spans="1:8" x14ac:dyDescent="0.55000000000000004">
      <c r="A28" s="61" t="s">
        <v>6402</v>
      </c>
      <c r="B28" t="s">
        <v>4829</v>
      </c>
      <c r="C28">
        <v>9110</v>
      </c>
      <c r="D28" t="s">
        <v>6362</v>
      </c>
      <c r="E28" t="s">
        <v>6358</v>
      </c>
      <c r="F28" t="s">
        <v>6358</v>
      </c>
      <c r="G28" s="62">
        <v>0.1237</v>
      </c>
      <c r="H28" s="63">
        <v>1</v>
      </c>
    </row>
    <row r="29" spans="1:8" x14ac:dyDescent="0.55000000000000004">
      <c r="A29" s="61" t="s">
        <v>6402</v>
      </c>
      <c r="B29" t="s">
        <v>4829</v>
      </c>
      <c r="C29">
        <v>9110</v>
      </c>
      <c r="D29" t="s">
        <v>6365</v>
      </c>
      <c r="E29" t="s">
        <v>6366</v>
      </c>
      <c r="F29" t="s">
        <v>6361</v>
      </c>
      <c r="G29" s="43">
        <v>0</v>
      </c>
      <c r="H29" s="63">
        <v>-0.1</v>
      </c>
    </row>
    <row r="30" spans="1:8" x14ac:dyDescent="0.55000000000000004">
      <c r="A30" s="61" t="s">
        <v>6403</v>
      </c>
      <c r="B30" t="s">
        <v>3842</v>
      </c>
      <c r="C30">
        <v>8710</v>
      </c>
      <c r="D30" t="s">
        <v>6359</v>
      </c>
      <c r="E30" t="s">
        <v>6368</v>
      </c>
      <c r="F30" t="s">
        <v>6361</v>
      </c>
      <c r="G30" s="43">
        <v>0</v>
      </c>
      <c r="H30" s="63">
        <v>0.9</v>
      </c>
    </row>
    <row r="31" spans="1:8" x14ac:dyDescent="0.55000000000000004">
      <c r="A31" s="61" t="s">
        <v>6403</v>
      </c>
      <c r="B31" t="s">
        <v>3842</v>
      </c>
      <c r="C31">
        <v>8710</v>
      </c>
      <c r="D31" t="s">
        <v>6363</v>
      </c>
      <c r="E31" t="s">
        <v>6364</v>
      </c>
      <c r="F31" t="s">
        <v>6361</v>
      </c>
      <c r="G31" s="43">
        <v>0</v>
      </c>
      <c r="H31" s="63">
        <v>0.1</v>
      </c>
    </row>
    <row r="32" spans="1:8" x14ac:dyDescent="0.55000000000000004">
      <c r="A32" s="61" t="s">
        <v>6403</v>
      </c>
      <c r="B32" t="s">
        <v>3842</v>
      </c>
      <c r="C32">
        <v>8710</v>
      </c>
      <c r="D32" t="s">
        <v>6362</v>
      </c>
      <c r="E32" t="s">
        <v>6358</v>
      </c>
      <c r="F32" t="s">
        <v>6358</v>
      </c>
      <c r="G32" s="43">
        <v>7.3999999999999996E-2</v>
      </c>
      <c r="H32" s="63">
        <v>1</v>
      </c>
    </row>
    <row r="33" spans="1:8" x14ac:dyDescent="0.55000000000000004">
      <c r="A33" s="61" t="s">
        <v>6403</v>
      </c>
      <c r="B33" t="s">
        <v>3842</v>
      </c>
      <c r="C33">
        <v>8710</v>
      </c>
      <c r="D33" t="s">
        <v>6365</v>
      </c>
      <c r="E33" t="s">
        <v>6366</v>
      </c>
      <c r="F33" t="s">
        <v>6361</v>
      </c>
      <c r="G33" s="43">
        <v>0</v>
      </c>
      <c r="H33" s="63">
        <v>-0.1</v>
      </c>
    </row>
    <row r="34" spans="1:8" x14ac:dyDescent="0.55000000000000004">
      <c r="A34" s="61" t="s">
        <v>6404</v>
      </c>
      <c r="B34" t="s">
        <v>3842</v>
      </c>
      <c r="C34">
        <v>9101</v>
      </c>
      <c r="D34" t="s">
        <v>6359</v>
      </c>
      <c r="E34" t="s">
        <v>6369</v>
      </c>
      <c r="F34" t="s">
        <v>6361</v>
      </c>
      <c r="G34" s="43">
        <v>0</v>
      </c>
      <c r="H34" s="63">
        <v>1</v>
      </c>
    </row>
    <row r="35" spans="1:8" x14ac:dyDescent="0.55000000000000004">
      <c r="A35" s="61" t="s">
        <v>6404</v>
      </c>
      <c r="B35" t="s">
        <v>3842</v>
      </c>
      <c r="C35">
        <v>9101</v>
      </c>
      <c r="D35" t="s">
        <v>6362</v>
      </c>
      <c r="E35" t="s">
        <v>6358</v>
      </c>
      <c r="F35" t="s">
        <v>6358</v>
      </c>
      <c r="G35" s="43">
        <v>6.0699999999999997E-2</v>
      </c>
      <c r="H35" s="63">
        <v>1</v>
      </c>
    </row>
    <row r="36" spans="1:8" x14ac:dyDescent="0.55000000000000004">
      <c r="A36" s="61" t="s">
        <v>6405</v>
      </c>
      <c r="B36" t="s">
        <v>3842</v>
      </c>
      <c r="C36">
        <v>9310</v>
      </c>
      <c r="D36" t="s">
        <v>6359</v>
      </c>
      <c r="E36" t="s">
        <v>6369</v>
      </c>
      <c r="F36" t="s">
        <v>6361</v>
      </c>
      <c r="G36" s="43">
        <v>0</v>
      </c>
      <c r="H36" s="63">
        <v>0.9</v>
      </c>
    </row>
    <row r="37" spans="1:8" x14ac:dyDescent="0.55000000000000004">
      <c r="A37" s="61" t="s">
        <v>6405</v>
      </c>
      <c r="B37" t="s">
        <v>3842</v>
      </c>
      <c r="C37">
        <v>9310</v>
      </c>
      <c r="D37" t="s">
        <v>6363</v>
      </c>
      <c r="E37" t="s">
        <v>6364</v>
      </c>
      <c r="F37" t="s">
        <v>6361</v>
      </c>
      <c r="G37" s="43">
        <v>0</v>
      </c>
      <c r="H37" s="63">
        <v>0.1</v>
      </c>
    </row>
    <row r="38" spans="1:8" x14ac:dyDescent="0.55000000000000004">
      <c r="A38" s="61" t="s">
        <v>6405</v>
      </c>
      <c r="B38" t="s">
        <v>3842</v>
      </c>
      <c r="C38">
        <v>9310</v>
      </c>
      <c r="D38" t="s">
        <v>6362</v>
      </c>
      <c r="E38" t="s">
        <v>6358</v>
      </c>
      <c r="F38" t="s">
        <v>6358</v>
      </c>
      <c r="G38" s="43">
        <v>7.3999999999999996E-2</v>
      </c>
      <c r="H38" s="63">
        <v>1</v>
      </c>
    </row>
    <row r="39" spans="1:8" x14ac:dyDescent="0.55000000000000004">
      <c r="A39" s="61" t="s">
        <v>6405</v>
      </c>
      <c r="B39" t="s">
        <v>3842</v>
      </c>
      <c r="C39">
        <v>9310</v>
      </c>
      <c r="D39" t="s">
        <v>6365</v>
      </c>
      <c r="E39" t="s">
        <v>6366</v>
      </c>
      <c r="F39" t="s">
        <v>6361</v>
      </c>
      <c r="G39" s="43">
        <v>0</v>
      </c>
      <c r="H39" s="63">
        <v>-0.1</v>
      </c>
    </row>
    <row r="40" spans="1:8" x14ac:dyDescent="0.55000000000000004">
      <c r="A40" s="61" t="s">
        <v>6406</v>
      </c>
      <c r="B40" t="s">
        <v>999</v>
      </c>
      <c r="C40">
        <v>8701</v>
      </c>
      <c r="D40" t="s">
        <v>6359</v>
      </c>
      <c r="E40" t="s">
        <v>6370</v>
      </c>
      <c r="F40" t="s">
        <v>6361</v>
      </c>
      <c r="G40" s="43">
        <v>0</v>
      </c>
      <c r="H40" s="63">
        <v>1</v>
      </c>
    </row>
    <row r="41" spans="1:8" x14ac:dyDescent="0.55000000000000004">
      <c r="A41" s="61" t="s">
        <v>6406</v>
      </c>
      <c r="B41" t="s">
        <v>999</v>
      </c>
      <c r="C41">
        <v>8701</v>
      </c>
      <c r="D41" t="s">
        <v>6362</v>
      </c>
      <c r="E41" t="s">
        <v>6358</v>
      </c>
      <c r="F41" t="s">
        <v>6358</v>
      </c>
      <c r="G41" s="43">
        <v>0.06</v>
      </c>
      <c r="H41" s="63">
        <v>1</v>
      </c>
    </row>
    <row r="42" spans="1:8" x14ac:dyDescent="0.55000000000000004">
      <c r="A42" s="61" t="s">
        <v>6407</v>
      </c>
      <c r="B42" t="s">
        <v>999</v>
      </c>
      <c r="C42">
        <v>8710</v>
      </c>
      <c r="D42" t="s">
        <v>6359</v>
      </c>
      <c r="E42" t="s">
        <v>6370</v>
      </c>
      <c r="F42" t="s">
        <v>6361</v>
      </c>
      <c r="G42" s="43">
        <v>0</v>
      </c>
      <c r="H42" s="63">
        <v>0.9</v>
      </c>
    </row>
    <row r="43" spans="1:8" x14ac:dyDescent="0.55000000000000004">
      <c r="A43" s="61" t="s">
        <v>6407</v>
      </c>
      <c r="B43" t="s">
        <v>999</v>
      </c>
      <c r="C43">
        <v>8710</v>
      </c>
      <c r="D43" t="s">
        <v>6363</v>
      </c>
      <c r="E43" t="s">
        <v>6364</v>
      </c>
      <c r="F43" t="s">
        <v>6361</v>
      </c>
      <c r="G43" s="43">
        <v>0</v>
      </c>
      <c r="H43" s="63">
        <v>0.1</v>
      </c>
    </row>
    <row r="44" spans="1:8" x14ac:dyDescent="0.55000000000000004">
      <c r="A44" s="61" t="s">
        <v>6407</v>
      </c>
      <c r="B44" t="s">
        <v>999</v>
      </c>
      <c r="C44">
        <v>8710</v>
      </c>
      <c r="D44" t="s">
        <v>6362</v>
      </c>
      <c r="E44" t="s">
        <v>6358</v>
      </c>
      <c r="F44" t="s">
        <v>6358</v>
      </c>
      <c r="G44" s="43">
        <v>7.9000000000000001E-2</v>
      </c>
      <c r="H44" s="63">
        <v>1</v>
      </c>
    </row>
    <row r="45" spans="1:8" x14ac:dyDescent="0.55000000000000004">
      <c r="A45" s="61" t="s">
        <v>6407</v>
      </c>
      <c r="B45" t="s">
        <v>999</v>
      </c>
      <c r="C45">
        <v>8710</v>
      </c>
      <c r="D45" t="s">
        <v>6365</v>
      </c>
      <c r="E45" t="s">
        <v>6366</v>
      </c>
      <c r="F45" t="s">
        <v>6361</v>
      </c>
      <c r="G45" s="43">
        <v>0</v>
      </c>
      <c r="H45" s="63">
        <v>-0.1</v>
      </c>
    </row>
    <row r="46" spans="1:8" x14ac:dyDescent="0.55000000000000004">
      <c r="A46" s="61" t="s">
        <v>6408</v>
      </c>
      <c r="B46" t="s">
        <v>999</v>
      </c>
      <c r="C46">
        <v>9101</v>
      </c>
      <c r="D46" t="s">
        <v>6359</v>
      </c>
      <c r="E46" t="s">
        <v>6371</v>
      </c>
      <c r="F46" t="s">
        <v>6361</v>
      </c>
      <c r="G46" s="43">
        <v>0</v>
      </c>
      <c r="H46" s="63">
        <v>1</v>
      </c>
    </row>
    <row r="47" spans="1:8" x14ac:dyDescent="0.55000000000000004">
      <c r="A47" s="61" t="s">
        <v>6408</v>
      </c>
      <c r="B47" t="s">
        <v>999</v>
      </c>
      <c r="C47">
        <v>9101</v>
      </c>
      <c r="D47" t="s">
        <v>6362</v>
      </c>
      <c r="E47" t="s">
        <v>6358</v>
      </c>
      <c r="F47" t="s">
        <v>6358</v>
      </c>
      <c r="G47" s="43">
        <v>0.06</v>
      </c>
      <c r="H47" s="63">
        <v>1</v>
      </c>
    </row>
    <row r="48" spans="1:8" x14ac:dyDescent="0.55000000000000004">
      <c r="A48" s="61" t="s">
        <v>6409</v>
      </c>
      <c r="B48" t="s">
        <v>999</v>
      </c>
      <c r="C48">
        <v>9300</v>
      </c>
      <c r="D48" t="s">
        <v>6359</v>
      </c>
      <c r="E48" t="s">
        <v>6371</v>
      </c>
      <c r="F48" t="s">
        <v>6361</v>
      </c>
      <c r="G48" s="43">
        <v>0</v>
      </c>
      <c r="H48" s="63">
        <v>1</v>
      </c>
    </row>
    <row r="49" spans="1:8" x14ac:dyDescent="0.55000000000000004">
      <c r="A49" s="61" t="s">
        <v>6409</v>
      </c>
      <c r="B49" t="s">
        <v>999</v>
      </c>
      <c r="C49">
        <v>9300</v>
      </c>
      <c r="D49" t="s">
        <v>6362</v>
      </c>
      <c r="E49" t="s">
        <v>6358</v>
      </c>
      <c r="F49" t="s">
        <v>6358</v>
      </c>
      <c r="G49" s="43">
        <v>0.06</v>
      </c>
      <c r="H49" s="63">
        <v>1</v>
      </c>
    </row>
    <row r="50" spans="1:8" x14ac:dyDescent="0.55000000000000004">
      <c r="A50" s="61" t="s">
        <v>6410</v>
      </c>
      <c r="B50" t="s">
        <v>999</v>
      </c>
      <c r="C50">
        <v>9310</v>
      </c>
      <c r="D50" t="s">
        <v>6359</v>
      </c>
      <c r="E50" t="s">
        <v>6371</v>
      </c>
      <c r="F50" t="s">
        <v>6361</v>
      </c>
      <c r="G50" s="43">
        <v>0</v>
      </c>
      <c r="H50" s="63">
        <v>0.9</v>
      </c>
    </row>
    <row r="51" spans="1:8" x14ac:dyDescent="0.55000000000000004">
      <c r="A51" s="61" t="s">
        <v>6410</v>
      </c>
      <c r="B51" t="s">
        <v>999</v>
      </c>
      <c r="C51">
        <v>9310</v>
      </c>
      <c r="D51" t="s">
        <v>6363</v>
      </c>
      <c r="E51" t="s">
        <v>6364</v>
      </c>
      <c r="F51" t="s">
        <v>6361</v>
      </c>
      <c r="G51" s="43">
        <v>0</v>
      </c>
      <c r="H51" s="63">
        <v>0.1</v>
      </c>
    </row>
    <row r="52" spans="1:8" x14ac:dyDescent="0.55000000000000004">
      <c r="A52" s="61" t="s">
        <v>6410</v>
      </c>
      <c r="B52" t="s">
        <v>999</v>
      </c>
      <c r="C52">
        <v>9310</v>
      </c>
      <c r="D52" t="s">
        <v>6362</v>
      </c>
      <c r="E52" t="s">
        <v>6358</v>
      </c>
      <c r="F52" t="s">
        <v>6358</v>
      </c>
      <c r="G52" s="43">
        <v>7.9000000000000001E-2</v>
      </c>
      <c r="H52" s="63">
        <v>1</v>
      </c>
    </row>
    <row r="53" spans="1:8" x14ac:dyDescent="0.55000000000000004">
      <c r="A53" s="61" t="s">
        <v>6410</v>
      </c>
      <c r="B53" t="s">
        <v>999</v>
      </c>
      <c r="C53">
        <v>9310</v>
      </c>
      <c r="D53" t="s">
        <v>6365</v>
      </c>
      <c r="E53" t="s">
        <v>6366</v>
      </c>
      <c r="F53" t="s">
        <v>6361</v>
      </c>
      <c r="G53" s="43">
        <v>0</v>
      </c>
      <c r="H53" s="63">
        <v>-0.1</v>
      </c>
    </row>
    <row r="54" spans="1:8" x14ac:dyDescent="0.55000000000000004">
      <c r="A54" s="61" t="s">
        <v>6411</v>
      </c>
      <c r="B54" t="s">
        <v>3548</v>
      </c>
      <c r="C54">
        <v>8610</v>
      </c>
      <c r="D54" t="s">
        <v>6359</v>
      </c>
      <c r="E54" t="s">
        <v>6370</v>
      </c>
      <c r="F54" t="s">
        <v>6361</v>
      </c>
      <c r="G54" s="43">
        <v>0</v>
      </c>
      <c r="H54" s="63">
        <v>0.9</v>
      </c>
    </row>
    <row r="55" spans="1:8" x14ac:dyDescent="0.55000000000000004">
      <c r="A55" s="61" t="s">
        <v>6411</v>
      </c>
      <c r="B55" t="s">
        <v>3548</v>
      </c>
      <c r="C55">
        <v>8610</v>
      </c>
      <c r="D55" t="s">
        <v>6363</v>
      </c>
      <c r="E55" t="s">
        <v>6364</v>
      </c>
      <c r="F55" t="s">
        <v>6361</v>
      </c>
      <c r="G55" s="43">
        <v>0</v>
      </c>
      <c r="H55" s="63">
        <v>0.1</v>
      </c>
    </row>
    <row r="56" spans="1:8" x14ac:dyDescent="0.55000000000000004">
      <c r="A56" s="61" t="s">
        <v>6411</v>
      </c>
      <c r="B56" t="s">
        <v>3548</v>
      </c>
      <c r="C56">
        <v>8610</v>
      </c>
      <c r="D56" t="s">
        <v>6362</v>
      </c>
      <c r="E56" t="s">
        <v>6358</v>
      </c>
      <c r="F56" t="s">
        <v>6358</v>
      </c>
      <c r="G56" s="43">
        <v>0.2056</v>
      </c>
      <c r="H56" s="63">
        <v>1</v>
      </c>
    </row>
    <row r="57" spans="1:8" x14ac:dyDescent="0.55000000000000004">
      <c r="A57" s="61" t="s">
        <v>6411</v>
      </c>
      <c r="B57" t="s">
        <v>3548</v>
      </c>
      <c r="C57">
        <v>8610</v>
      </c>
      <c r="D57" t="s">
        <v>6365</v>
      </c>
      <c r="E57" t="s">
        <v>6366</v>
      </c>
      <c r="F57" t="s">
        <v>6361</v>
      </c>
      <c r="G57" s="43">
        <v>0</v>
      </c>
      <c r="H57" s="63">
        <v>-0.1</v>
      </c>
    </row>
    <row r="58" spans="1:8" x14ac:dyDescent="0.55000000000000004">
      <c r="A58" s="61" t="s">
        <v>6412</v>
      </c>
      <c r="B58" t="s">
        <v>3548</v>
      </c>
      <c r="C58">
        <v>9101</v>
      </c>
      <c r="D58" t="s">
        <v>6359</v>
      </c>
      <c r="E58" t="s">
        <v>6371</v>
      </c>
      <c r="F58" t="s">
        <v>6361</v>
      </c>
      <c r="G58" s="43">
        <v>0</v>
      </c>
      <c r="H58" s="63">
        <v>1</v>
      </c>
    </row>
    <row r="59" spans="1:8" x14ac:dyDescent="0.55000000000000004">
      <c r="A59" s="61" t="s">
        <v>6412</v>
      </c>
      <c r="B59" t="s">
        <v>3548</v>
      </c>
      <c r="C59">
        <v>9101</v>
      </c>
      <c r="D59" t="s">
        <v>6362</v>
      </c>
      <c r="E59" t="s">
        <v>6358</v>
      </c>
      <c r="F59" t="s">
        <v>6358</v>
      </c>
      <c r="G59" s="43">
        <v>0.20630000000000001</v>
      </c>
      <c r="H59" s="63">
        <v>1</v>
      </c>
    </row>
    <row r="60" spans="1:8" x14ac:dyDescent="0.55000000000000004">
      <c r="A60" s="61" t="s">
        <v>6413</v>
      </c>
      <c r="B60" t="s">
        <v>3548</v>
      </c>
      <c r="C60">
        <v>9110</v>
      </c>
      <c r="D60" t="s">
        <v>6359</v>
      </c>
      <c r="E60" t="s">
        <v>6371</v>
      </c>
      <c r="F60" t="s">
        <v>6361</v>
      </c>
      <c r="G60" s="43">
        <v>0</v>
      </c>
      <c r="H60" s="63">
        <v>0.9</v>
      </c>
    </row>
    <row r="61" spans="1:8" x14ac:dyDescent="0.55000000000000004">
      <c r="A61" s="61" t="s">
        <v>6413</v>
      </c>
      <c r="B61" t="s">
        <v>3548</v>
      </c>
      <c r="C61">
        <v>9110</v>
      </c>
      <c r="D61" t="s">
        <v>6363</v>
      </c>
      <c r="E61" t="s">
        <v>6364</v>
      </c>
      <c r="F61" t="s">
        <v>6361</v>
      </c>
      <c r="G61" s="43">
        <v>0</v>
      </c>
      <c r="H61" s="63">
        <v>0.1</v>
      </c>
    </row>
    <row r="62" spans="1:8" x14ac:dyDescent="0.55000000000000004">
      <c r="A62" s="61" t="s">
        <v>6413</v>
      </c>
      <c r="B62" t="s">
        <v>3548</v>
      </c>
      <c r="C62">
        <v>9110</v>
      </c>
      <c r="D62" t="s">
        <v>6362</v>
      </c>
      <c r="E62" t="s">
        <v>6358</v>
      </c>
      <c r="F62" t="s">
        <v>6358</v>
      </c>
      <c r="G62" s="43">
        <v>0.2056</v>
      </c>
      <c r="H62" s="63">
        <v>1</v>
      </c>
    </row>
    <row r="63" spans="1:8" x14ac:dyDescent="0.55000000000000004">
      <c r="A63" s="61" t="s">
        <v>6413</v>
      </c>
      <c r="B63" t="s">
        <v>3548</v>
      </c>
      <c r="C63">
        <v>9110</v>
      </c>
      <c r="D63" t="s">
        <v>6365</v>
      </c>
      <c r="E63" t="s">
        <v>6366</v>
      </c>
      <c r="F63" t="s">
        <v>6361</v>
      </c>
      <c r="G63" s="43">
        <v>0</v>
      </c>
      <c r="H63" s="63">
        <v>-0.1</v>
      </c>
    </row>
    <row r="64" spans="1:8" x14ac:dyDescent="0.55000000000000004">
      <c r="A64" s="61" t="s">
        <v>6414</v>
      </c>
      <c r="B64" t="s">
        <v>4843</v>
      </c>
      <c r="C64">
        <v>8708</v>
      </c>
      <c r="D64" t="s">
        <v>6359</v>
      </c>
      <c r="E64" t="s">
        <v>6370</v>
      </c>
      <c r="F64" t="s">
        <v>6361</v>
      </c>
      <c r="G64" s="43">
        <v>0</v>
      </c>
      <c r="H64" s="63">
        <v>0.9</v>
      </c>
    </row>
    <row r="65" spans="1:8" x14ac:dyDescent="0.55000000000000004">
      <c r="A65" s="61" t="s">
        <v>6414</v>
      </c>
      <c r="B65" t="s">
        <v>4843</v>
      </c>
      <c r="C65">
        <v>8708</v>
      </c>
      <c r="D65" t="s">
        <v>6363</v>
      </c>
      <c r="E65" t="s">
        <v>6364</v>
      </c>
      <c r="F65" t="s">
        <v>6361</v>
      </c>
      <c r="G65" s="43">
        <v>0</v>
      </c>
      <c r="H65" s="63">
        <v>0.1</v>
      </c>
    </row>
    <row r="66" spans="1:8" x14ac:dyDescent="0.55000000000000004">
      <c r="A66" s="61" t="s">
        <v>6414</v>
      </c>
      <c r="B66" t="s">
        <v>4843</v>
      </c>
      <c r="C66">
        <v>8708</v>
      </c>
      <c r="D66" t="s">
        <v>6362</v>
      </c>
      <c r="E66" t="s">
        <v>6358</v>
      </c>
      <c r="F66" t="s">
        <v>6358</v>
      </c>
      <c r="G66" s="43">
        <v>7.7899999999999997E-2</v>
      </c>
      <c r="H66" s="63">
        <v>1</v>
      </c>
    </row>
    <row r="67" spans="1:8" x14ac:dyDescent="0.55000000000000004">
      <c r="A67" s="61" t="s">
        <v>6414</v>
      </c>
      <c r="B67" t="s">
        <v>4843</v>
      </c>
      <c r="C67">
        <v>8708</v>
      </c>
      <c r="D67" t="s">
        <v>6365</v>
      </c>
      <c r="E67" t="s">
        <v>6366</v>
      </c>
      <c r="F67" t="s">
        <v>6361</v>
      </c>
      <c r="G67" s="43">
        <v>0</v>
      </c>
      <c r="H67" s="63">
        <v>-0.1</v>
      </c>
    </row>
    <row r="68" spans="1:8" x14ac:dyDescent="0.55000000000000004">
      <c r="A68" s="61" t="s">
        <v>6415</v>
      </c>
      <c r="B68" t="s">
        <v>4843</v>
      </c>
      <c r="C68">
        <v>8710</v>
      </c>
      <c r="D68" t="s">
        <v>6359</v>
      </c>
      <c r="E68" t="s">
        <v>6370</v>
      </c>
      <c r="F68" t="s">
        <v>6361</v>
      </c>
      <c r="G68" s="43">
        <v>0</v>
      </c>
      <c r="H68" s="63">
        <v>0.9</v>
      </c>
    </row>
    <row r="69" spans="1:8" x14ac:dyDescent="0.55000000000000004">
      <c r="A69" s="61" t="s">
        <v>6415</v>
      </c>
      <c r="B69" t="s">
        <v>4843</v>
      </c>
      <c r="C69">
        <v>8710</v>
      </c>
      <c r="D69" t="s">
        <v>6363</v>
      </c>
      <c r="E69" t="s">
        <v>6364</v>
      </c>
      <c r="F69" t="s">
        <v>6361</v>
      </c>
      <c r="G69" s="43">
        <v>0</v>
      </c>
      <c r="H69" s="63">
        <v>0.1</v>
      </c>
    </row>
    <row r="70" spans="1:8" x14ac:dyDescent="0.55000000000000004">
      <c r="A70" s="61" t="s">
        <v>6415</v>
      </c>
      <c r="B70" t="s">
        <v>4843</v>
      </c>
      <c r="C70">
        <v>8710</v>
      </c>
      <c r="D70" t="s">
        <v>6362</v>
      </c>
      <c r="E70" t="s">
        <v>6358</v>
      </c>
      <c r="F70" t="s">
        <v>6358</v>
      </c>
      <c r="G70" s="43">
        <v>7.7899999999999997E-2</v>
      </c>
      <c r="H70" s="63">
        <v>1</v>
      </c>
    </row>
    <row r="71" spans="1:8" x14ac:dyDescent="0.55000000000000004">
      <c r="A71" s="61" t="s">
        <v>6415</v>
      </c>
      <c r="B71" t="s">
        <v>4843</v>
      </c>
      <c r="C71">
        <v>8710</v>
      </c>
      <c r="D71" t="s">
        <v>6365</v>
      </c>
      <c r="E71" t="s">
        <v>6366</v>
      </c>
      <c r="F71" t="s">
        <v>6361</v>
      </c>
      <c r="G71" s="43">
        <v>0</v>
      </c>
      <c r="H71" s="63">
        <v>-0.1</v>
      </c>
    </row>
    <row r="72" spans="1:8" x14ac:dyDescent="0.55000000000000004">
      <c r="A72" s="61" t="s">
        <v>6416</v>
      </c>
      <c r="B72" t="s">
        <v>4843</v>
      </c>
      <c r="C72">
        <v>8711</v>
      </c>
      <c r="D72" t="s">
        <v>6359</v>
      </c>
      <c r="E72" t="s">
        <v>6372</v>
      </c>
      <c r="F72" t="s">
        <v>6361</v>
      </c>
      <c r="G72" s="43">
        <v>0</v>
      </c>
      <c r="H72" s="63">
        <v>0.9</v>
      </c>
    </row>
    <row r="73" spans="1:8" x14ac:dyDescent="0.55000000000000004">
      <c r="A73" s="61" t="s">
        <v>6416</v>
      </c>
      <c r="B73" t="s">
        <v>4843</v>
      </c>
      <c r="C73">
        <v>8711</v>
      </c>
      <c r="D73" t="s">
        <v>6363</v>
      </c>
      <c r="E73" t="s">
        <v>6364</v>
      </c>
      <c r="F73" t="s">
        <v>6361</v>
      </c>
      <c r="G73" s="43">
        <v>0</v>
      </c>
      <c r="H73" s="63">
        <v>0.1</v>
      </c>
    </row>
    <row r="74" spans="1:8" x14ac:dyDescent="0.55000000000000004">
      <c r="A74" s="61" t="s">
        <v>6416</v>
      </c>
      <c r="B74" t="s">
        <v>4843</v>
      </c>
      <c r="C74">
        <v>8711</v>
      </c>
      <c r="D74" t="s">
        <v>6362</v>
      </c>
      <c r="E74" t="s">
        <v>6358</v>
      </c>
      <c r="F74" t="s">
        <v>6358</v>
      </c>
      <c r="G74" s="43">
        <v>7.7899999999999997E-2</v>
      </c>
      <c r="H74" s="63">
        <v>1</v>
      </c>
    </row>
    <row r="75" spans="1:8" x14ac:dyDescent="0.55000000000000004">
      <c r="A75" s="61" t="s">
        <v>6416</v>
      </c>
      <c r="B75" t="s">
        <v>4843</v>
      </c>
      <c r="C75">
        <v>8711</v>
      </c>
      <c r="D75" t="s">
        <v>6365</v>
      </c>
      <c r="E75" t="s">
        <v>6366</v>
      </c>
      <c r="F75" t="s">
        <v>6361</v>
      </c>
      <c r="G75" s="43">
        <v>0</v>
      </c>
      <c r="H75" s="63">
        <v>-0.1</v>
      </c>
    </row>
    <row r="76" spans="1:8" x14ac:dyDescent="0.55000000000000004">
      <c r="A76" s="61" t="s">
        <v>6417</v>
      </c>
      <c r="B76" t="s">
        <v>4843</v>
      </c>
      <c r="C76">
        <v>8713</v>
      </c>
      <c r="D76" t="s">
        <v>6359</v>
      </c>
      <c r="E76" t="s">
        <v>6372</v>
      </c>
      <c r="F76" t="s">
        <v>6361</v>
      </c>
      <c r="G76" s="43">
        <v>0</v>
      </c>
      <c r="H76" s="63">
        <v>0.9</v>
      </c>
    </row>
    <row r="77" spans="1:8" x14ac:dyDescent="0.55000000000000004">
      <c r="A77" s="61" t="s">
        <v>6417</v>
      </c>
      <c r="B77" t="s">
        <v>4843</v>
      </c>
      <c r="C77">
        <v>8713</v>
      </c>
      <c r="D77" t="s">
        <v>6363</v>
      </c>
      <c r="E77" t="s">
        <v>6364</v>
      </c>
      <c r="F77" t="s">
        <v>6361</v>
      </c>
      <c r="G77" s="43">
        <v>0</v>
      </c>
      <c r="H77" s="63">
        <v>0.1</v>
      </c>
    </row>
    <row r="78" spans="1:8" x14ac:dyDescent="0.55000000000000004">
      <c r="A78" s="61" t="s">
        <v>6417</v>
      </c>
      <c r="B78" t="s">
        <v>4843</v>
      </c>
      <c r="C78">
        <v>8713</v>
      </c>
      <c r="D78" t="s">
        <v>6362</v>
      </c>
      <c r="E78" t="s">
        <v>6358</v>
      </c>
      <c r="F78" t="s">
        <v>6358</v>
      </c>
      <c r="G78" s="43">
        <v>7.7899999999999997E-2</v>
      </c>
      <c r="H78" s="63">
        <v>1</v>
      </c>
    </row>
    <row r="79" spans="1:8" x14ac:dyDescent="0.55000000000000004">
      <c r="A79" s="61" t="s">
        <v>6417</v>
      </c>
      <c r="B79" t="s">
        <v>4843</v>
      </c>
      <c r="C79">
        <v>8713</v>
      </c>
      <c r="D79" t="s">
        <v>6365</v>
      </c>
      <c r="E79" t="s">
        <v>6366</v>
      </c>
      <c r="F79" t="s">
        <v>6361</v>
      </c>
      <c r="G79" s="43">
        <v>0</v>
      </c>
      <c r="H79" s="63">
        <v>-0.1</v>
      </c>
    </row>
    <row r="80" spans="1:8" x14ac:dyDescent="0.55000000000000004">
      <c r="A80" s="61" t="s">
        <v>6418</v>
      </c>
      <c r="B80" t="s">
        <v>4843</v>
      </c>
      <c r="C80">
        <v>9305</v>
      </c>
      <c r="D80" t="s">
        <v>6359</v>
      </c>
      <c r="E80" t="s">
        <v>6371</v>
      </c>
      <c r="F80" t="s">
        <v>6361</v>
      </c>
      <c r="G80" s="43">
        <v>0</v>
      </c>
      <c r="H80" s="63">
        <v>0.9</v>
      </c>
    </row>
    <row r="81" spans="1:8" x14ac:dyDescent="0.55000000000000004">
      <c r="A81" s="61" t="s">
        <v>6418</v>
      </c>
      <c r="B81" t="s">
        <v>4843</v>
      </c>
      <c r="C81">
        <v>9305</v>
      </c>
      <c r="D81" t="s">
        <v>6363</v>
      </c>
      <c r="E81" t="s">
        <v>6364</v>
      </c>
      <c r="F81" t="s">
        <v>6361</v>
      </c>
      <c r="G81" s="43">
        <v>0</v>
      </c>
      <c r="H81" s="63">
        <v>0.1</v>
      </c>
    </row>
    <row r="82" spans="1:8" x14ac:dyDescent="0.55000000000000004">
      <c r="A82" s="61" t="s">
        <v>6418</v>
      </c>
      <c r="B82" t="s">
        <v>4843</v>
      </c>
      <c r="C82">
        <v>9305</v>
      </c>
      <c r="D82" t="s">
        <v>6362</v>
      </c>
      <c r="E82" t="s">
        <v>6358</v>
      </c>
      <c r="F82" t="s">
        <v>6358</v>
      </c>
      <c r="G82" s="43">
        <v>7.7899999999999997E-2</v>
      </c>
      <c r="H82" s="63">
        <v>1</v>
      </c>
    </row>
    <row r="83" spans="1:8" x14ac:dyDescent="0.55000000000000004">
      <c r="A83" s="61" t="s">
        <v>6418</v>
      </c>
      <c r="B83" t="s">
        <v>4843</v>
      </c>
      <c r="C83">
        <v>9305</v>
      </c>
      <c r="D83" t="s">
        <v>6365</v>
      </c>
      <c r="E83" t="s">
        <v>6366</v>
      </c>
      <c r="F83" t="s">
        <v>6361</v>
      </c>
      <c r="G83" s="43">
        <v>0</v>
      </c>
      <c r="H83" s="63">
        <v>-0.1</v>
      </c>
    </row>
    <row r="84" spans="1:8" x14ac:dyDescent="0.55000000000000004">
      <c r="A84" s="61" t="s">
        <v>6419</v>
      </c>
      <c r="B84" t="s">
        <v>4843</v>
      </c>
      <c r="C84">
        <v>9307</v>
      </c>
      <c r="D84" t="s">
        <v>6359</v>
      </c>
      <c r="E84" t="s">
        <v>6373</v>
      </c>
      <c r="F84" t="s">
        <v>6361</v>
      </c>
      <c r="G84" s="43">
        <v>0</v>
      </c>
      <c r="H84" s="63">
        <v>0.9</v>
      </c>
    </row>
    <row r="85" spans="1:8" x14ac:dyDescent="0.55000000000000004">
      <c r="A85" s="61" t="s">
        <v>6419</v>
      </c>
      <c r="B85" t="s">
        <v>4843</v>
      </c>
      <c r="C85">
        <v>9307</v>
      </c>
      <c r="D85" t="s">
        <v>6363</v>
      </c>
      <c r="E85" t="s">
        <v>6364</v>
      </c>
      <c r="F85" t="s">
        <v>6361</v>
      </c>
      <c r="G85" s="43">
        <v>0</v>
      </c>
      <c r="H85" s="63">
        <v>0.1</v>
      </c>
    </row>
    <row r="86" spans="1:8" x14ac:dyDescent="0.55000000000000004">
      <c r="A86" s="61" t="s">
        <v>6419</v>
      </c>
      <c r="B86" t="s">
        <v>4843</v>
      </c>
      <c r="C86">
        <v>9307</v>
      </c>
      <c r="D86" t="s">
        <v>6362</v>
      </c>
      <c r="E86" t="s">
        <v>6358</v>
      </c>
      <c r="F86" t="s">
        <v>6358</v>
      </c>
      <c r="G86" s="43">
        <v>7.7899999999999997E-2</v>
      </c>
      <c r="H86" s="63">
        <v>1</v>
      </c>
    </row>
    <row r="87" spans="1:8" x14ac:dyDescent="0.55000000000000004">
      <c r="A87" s="61" t="s">
        <v>6419</v>
      </c>
      <c r="B87" t="s">
        <v>4843</v>
      </c>
      <c r="C87">
        <v>9307</v>
      </c>
      <c r="D87" t="s">
        <v>6365</v>
      </c>
      <c r="E87" t="s">
        <v>6366</v>
      </c>
      <c r="F87" t="s">
        <v>6361</v>
      </c>
      <c r="G87" s="43">
        <v>0</v>
      </c>
      <c r="H87" s="63">
        <v>-0.1</v>
      </c>
    </row>
    <row r="88" spans="1:8" x14ac:dyDescent="0.55000000000000004">
      <c r="A88" s="61" t="s">
        <v>6420</v>
      </c>
      <c r="B88" t="s">
        <v>4843</v>
      </c>
      <c r="C88">
        <v>9309</v>
      </c>
      <c r="D88" t="s">
        <v>6359</v>
      </c>
      <c r="E88" t="s">
        <v>6373</v>
      </c>
      <c r="F88" t="s">
        <v>6361</v>
      </c>
      <c r="G88" s="43">
        <v>0</v>
      </c>
      <c r="H88" s="63">
        <v>0.9</v>
      </c>
    </row>
    <row r="89" spans="1:8" x14ac:dyDescent="0.55000000000000004">
      <c r="A89" s="61" t="s">
        <v>6420</v>
      </c>
      <c r="B89" t="s">
        <v>4843</v>
      </c>
      <c r="C89">
        <v>9309</v>
      </c>
      <c r="D89" t="s">
        <v>6363</v>
      </c>
      <c r="E89" t="s">
        <v>6364</v>
      </c>
      <c r="F89" t="s">
        <v>6361</v>
      </c>
      <c r="G89" s="43">
        <v>0</v>
      </c>
      <c r="H89" s="63">
        <v>0.1</v>
      </c>
    </row>
    <row r="90" spans="1:8" x14ac:dyDescent="0.55000000000000004">
      <c r="A90" s="61" t="s">
        <v>6420</v>
      </c>
      <c r="B90" t="s">
        <v>4843</v>
      </c>
      <c r="C90">
        <v>9309</v>
      </c>
      <c r="D90" t="s">
        <v>6362</v>
      </c>
      <c r="E90" t="s">
        <v>6358</v>
      </c>
      <c r="F90" t="s">
        <v>6358</v>
      </c>
      <c r="G90" s="43">
        <v>7.7899999999999997E-2</v>
      </c>
      <c r="H90" s="63">
        <v>1</v>
      </c>
    </row>
    <row r="91" spans="1:8" x14ac:dyDescent="0.55000000000000004">
      <c r="A91" s="61" t="s">
        <v>6420</v>
      </c>
      <c r="B91" t="s">
        <v>4843</v>
      </c>
      <c r="C91">
        <v>9309</v>
      </c>
      <c r="D91" t="s">
        <v>6365</v>
      </c>
      <c r="E91" t="s">
        <v>6366</v>
      </c>
      <c r="F91" t="s">
        <v>6361</v>
      </c>
      <c r="G91" s="43">
        <v>0</v>
      </c>
      <c r="H91" s="63">
        <v>-0.1</v>
      </c>
    </row>
    <row r="92" spans="1:8" x14ac:dyDescent="0.55000000000000004">
      <c r="A92" s="61" t="s">
        <v>6421</v>
      </c>
      <c r="B92" t="s">
        <v>4843</v>
      </c>
      <c r="C92">
        <v>9310</v>
      </c>
      <c r="D92" t="s">
        <v>6359</v>
      </c>
      <c r="E92" t="s">
        <v>6371</v>
      </c>
      <c r="F92" t="s">
        <v>6361</v>
      </c>
      <c r="G92" s="43">
        <v>0</v>
      </c>
      <c r="H92" s="63">
        <v>0.9</v>
      </c>
    </row>
    <row r="93" spans="1:8" x14ac:dyDescent="0.55000000000000004">
      <c r="A93" s="61" t="s">
        <v>6421</v>
      </c>
      <c r="B93" t="s">
        <v>4843</v>
      </c>
      <c r="C93">
        <v>9310</v>
      </c>
      <c r="D93" t="s">
        <v>6363</v>
      </c>
      <c r="E93" t="s">
        <v>6364</v>
      </c>
      <c r="F93" t="s">
        <v>6361</v>
      </c>
      <c r="G93" s="43">
        <v>0</v>
      </c>
      <c r="H93" s="63">
        <v>0.1</v>
      </c>
    </row>
    <row r="94" spans="1:8" x14ac:dyDescent="0.55000000000000004">
      <c r="A94" s="61" t="s">
        <v>6421</v>
      </c>
      <c r="B94" t="s">
        <v>4843</v>
      </c>
      <c r="C94">
        <v>9310</v>
      </c>
      <c r="D94" t="s">
        <v>6362</v>
      </c>
      <c r="E94" t="s">
        <v>6358</v>
      </c>
      <c r="F94" t="s">
        <v>6358</v>
      </c>
      <c r="G94" s="43">
        <v>7.7899999999999997E-2</v>
      </c>
      <c r="H94" s="63">
        <v>1</v>
      </c>
    </row>
    <row r="95" spans="1:8" x14ac:dyDescent="0.55000000000000004">
      <c r="A95" s="61" t="s">
        <v>6421</v>
      </c>
      <c r="B95" t="s">
        <v>4843</v>
      </c>
      <c r="C95">
        <v>9310</v>
      </c>
      <c r="D95" t="s">
        <v>6365</v>
      </c>
      <c r="E95" t="s">
        <v>6366</v>
      </c>
      <c r="F95" t="s">
        <v>6361</v>
      </c>
      <c r="G95" s="43">
        <v>0</v>
      </c>
      <c r="H95" s="63">
        <v>-0.1</v>
      </c>
    </row>
    <row r="96" spans="1:8" x14ac:dyDescent="0.55000000000000004">
      <c r="A96" s="61" t="s">
        <v>6422</v>
      </c>
      <c r="B96" t="s">
        <v>4212</v>
      </c>
      <c r="C96">
        <v>8710</v>
      </c>
      <c r="D96" t="s">
        <v>6359</v>
      </c>
      <c r="E96" t="s">
        <v>6374</v>
      </c>
      <c r="F96" t="s">
        <v>6361</v>
      </c>
      <c r="G96" s="43">
        <v>0</v>
      </c>
      <c r="H96" s="63">
        <v>0.9</v>
      </c>
    </row>
    <row r="97" spans="1:8" x14ac:dyDescent="0.55000000000000004">
      <c r="A97" s="61" t="s">
        <v>6422</v>
      </c>
      <c r="B97" t="s">
        <v>4212</v>
      </c>
      <c r="C97">
        <v>8710</v>
      </c>
      <c r="D97" t="s">
        <v>6363</v>
      </c>
      <c r="E97" t="s">
        <v>6364</v>
      </c>
      <c r="F97" t="s">
        <v>6361</v>
      </c>
      <c r="G97" s="43">
        <v>0</v>
      </c>
      <c r="H97" s="63">
        <v>0.1</v>
      </c>
    </row>
    <row r="98" spans="1:8" x14ac:dyDescent="0.55000000000000004">
      <c r="A98" s="61" t="s">
        <v>6422</v>
      </c>
      <c r="B98" t="s">
        <v>4212</v>
      </c>
      <c r="C98">
        <v>8710</v>
      </c>
      <c r="D98" t="s">
        <v>6362</v>
      </c>
      <c r="E98" t="s">
        <v>6358</v>
      </c>
      <c r="F98" t="s">
        <v>6358</v>
      </c>
      <c r="G98" s="43">
        <v>6.7306499999999991E-2</v>
      </c>
      <c r="H98" s="63">
        <v>1</v>
      </c>
    </row>
    <row r="99" spans="1:8" x14ac:dyDescent="0.55000000000000004">
      <c r="A99" s="61" t="s">
        <v>6422</v>
      </c>
      <c r="B99" t="s">
        <v>4212</v>
      </c>
      <c r="C99">
        <v>8710</v>
      </c>
      <c r="D99" t="s">
        <v>6365</v>
      </c>
      <c r="E99" t="s">
        <v>6366</v>
      </c>
      <c r="F99" t="s">
        <v>6361</v>
      </c>
      <c r="G99" s="43">
        <v>0</v>
      </c>
      <c r="H99" s="63">
        <v>-0.1</v>
      </c>
    </row>
    <row r="100" spans="1:8" x14ac:dyDescent="0.55000000000000004">
      <c r="A100" s="61" t="s">
        <v>6423</v>
      </c>
      <c r="B100" t="s">
        <v>4212</v>
      </c>
      <c r="C100">
        <v>9310</v>
      </c>
      <c r="D100" t="s">
        <v>6359</v>
      </c>
      <c r="E100" t="s">
        <v>6375</v>
      </c>
      <c r="F100" t="s">
        <v>6361</v>
      </c>
      <c r="G100" s="43">
        <v>0</v>
      </c>
      <c r="H100" s="63">
        <v>0.9</v>
      </c>
    </row>
    <row r="101" spans="1:8" x14ac:dyDescent="0.55000000000000004">
      <c r="A101" s="61" t="s">
        <v>6423</v>
      </c>
      <c r="B101" t="s">
        <v>4212</v>
      </c>
      <c r="C101">
        <v>9310</v>
      </c>
      <c r="D101" t="s">
        <v>6363</v>
      </c>
      <c r="E101" t="s">
        <v>6364</v>
      </c>
      <c r="F101" t="s">
        <v>6361</v>
      </c>
      <c r="G101" s="43">
        <v>0</v>
      </c>
      <c r="H101" s="63">
        <v>0.1</v>
      </c>
    </row>
    <row r="102" spans="1:8" x14ac:dyDescent="0.55000000000000004">
      <c r="A102" s="61" t="s">
        <v>6423</v>
      </c>
      <c r="B102" t="s">
        <v>4212</v>
      </c>
      <c r="C102">
        <v>9310</v>
      </c>
      <c r="D102" t="s">
        <v>6362</v>
      </c>
      <c r="E102" t="s">
        <v>6358</v>
      </c>
      <c r="F102" t="s">
        <v>6358</v>
      </c>
      <c r="G102" s="43">
        <v>6.7306499999999991E-2</v>
      </c>
      <c r="H102" s="63">
        <v>1</v>
      </c>
    </row>
    <row r="103" spans="1:8" x14ac:dyDescent="0.55000000000000004">
      <c r="A103" s="61" t="s">
        <v>6423</v>
      </c>
      <c r="B103" t="s">
        <v>4212</v>
      </c>
      <c r="C103">
        <v>9310</v>
      </c>
      <c r="D103" t="s">
        <v>6365</v>
      </c>
      <c r="E103" t="s">
        <v>6366</v>
      </c>
      <c r="F103" t="s">
        <v>6361</v>
      </c>
      <c r="G103" s="43">
        <v>0</v>
      </c>
      <c r="H103" s="63">
        <v>-0.1</v>
      </c>
    </row>
    <row r="104" spans="1:8" x14ac:dyDescent="0.55000000000000004">
      <c r="A104" s="61" t="s">
        <v>6424</v>
      </c>
      <c r="B104" t="s">
        <v>4226</v>
      </c>
      <c r="C104">
        <v>8701</v>
      </c>
      <c r="D104" t="s">
        <v>6359</v>
      </c>
      <c r="E104" t="s">
        <v>6376</v>
      </c>
      <c r="F104" t="s">
        <v>6361</v>
      </c>
      <c r="G104" s="43">
        <v>0</v>
      </c>
      <c r="H104" s="63">
        <v>1</v>
      </c>
    </row>
    <row r="105" spans="1:8" x14ac:dyDescent="0.55000000000000004">
      <c r="A105" s="61" t="s">
        <v>6424</v>
      </c>
      <c r="B105" t="s">
        <v>4226</v>
      </c>
      <c r="C105">
        <v>8701</v>
      </c>
      <c r="D105" t="s">
        <v>6362</v>
      </c>
      <c r="E105" t="s">
        <v>6358</v>
      </c>
      <c r="F105" t="s">
        <v>6358</v>
      </c>
      <c r="G105" s="43">
        <v>4.7E-2</v>
      </c>
      <c r="H105" s="63">
        <v>1</v>
      </c>
    </row>
    <row r="106" spans="1:8" x14ac:dyDescent="0.55000000000000004">
      <c r="A106" s="61" t="s">
        <v>6425</v>
      </c>
      <c r="B106" t="s">
        <v>4226</v>
      </c>
      <c r="C106">
        <v>8710</v>
      </c>
      <c r="D106" t="s">
        <v>6359</v>
      </c>
      <c r="E106" t="s">
        <v>6376</v>
      </c>
      <c r="F106" t="s">
        <v>6361</v>
      </c>
      <c r="G106" s="43">
        <v>0</v>
      </c>
      <c r="H106" s="63">
        <v>0.9</v>
      </c>
    </row>
    <row r="107" spans="1:8" x14ac:dyDescent="0.55000000000000004">
      <c r="A107" s="61" t="s">
        <v>6425</v>
      </c>
      <c r="B107" t="s">
        <v>4226</v>
      </c>
      <c r="C107">
        <v>8710</v>
      </c>
      <c r="D107" t="s">
        <v>6363</v>
      </c>
      <c r="E107" t="s">
        <v>6364</v>
      </c>
      <c r="F107" t="s">
        <v>6361</v>
      </c>
      <c r="G107" s="43">
        <v>0</v>
      </c>
      <c r="H107" s="63">
        <v>0.1</v>
      </c>
    </row>
    <row r="108" spans="1:8" x14ac:dyDescent="0.55000000000000004">
      <c r="A108" s="61" t="s">
        <v>6425</v>
      </c>
      <c r="B108" t="s">
        <v>4226</v>
      </c>
      <c r="C108">
        <v>8710</v>
      </c>
      <c r="D108" t="s">
        <v>6362</v>
      </c>
      <c r="E108" t="s">
        <v>6358</v>
      </c>
      <c r="F108" t="s">
        <v>6358</v>
      </c>
      <c r="G108" s="43">
        <v>6.3399999999999998E-2</v>
      </c>
      <c r="H108" s="63">
        <v>1</v>
      </c>
    </row>
    <row r="109" spans="1:8" x14ac:dyDescent="0.55000000000000004">
      <c r="A109" s="61" t="s">
        <v>6425</v>
      </c>
      <c r="B109" t="s">
        <v>4226</v>
      </c>
      <c r="C109">
        <v>8710</v>
      </c>
      <c r="D109" t="s">
        <v>6365</v>
      </c>
      <c r="E109" t="s">
        <v>6366</v>
      </c>
      <c r="F109" t="s">
        <v>6361</v>
      </c>
      <c r="G109" s="43">
        <v>0</v>
      </c>
      <c r="H109" s="63">
        <v>-0.1</v>
      </c>
    </row>
    <row r="110" spans="1:8" x14ac:dyDescent="0.55000000000000004">
      <c r="A110" s="61" t="s">
        <v>6426</v>
      </c>
      <c r="B110" t="s">
        <v>4226</v>
      </c>
      <c r="C110">
        <v>9204</v>
      </c>
      <c r="D110" t="s">
        <v>6359</v>
      </c>
      <c r="E110" t="s">
        <v>6377</v>
      </c>
      <c r="F110" t="s">
        <v>6361</v>
      </c>
      <c r="G110" s="43">
        <v>0</v>
      </c>
      <c r="H110" s="63">
        <v>0.9</v>
      </c>
    </row>
    <row r="111" spans="1:8" x14ac:dyDescent="0.55000000000000004">
      <c r="A111" s="61" t="s">
        <v>6426</v>
      </c>
      <c r="B111" t="s">
        <v>4226</v>
      </c>
      <c r="C111">
        <v>9204</v>
      </c>
      <c r="D111" t="s">
        <v>6363</v>
      </c>
      <c r="E111" t="s">
        <v>6364</v>
      </c>
      <c r="F111" t="s">
        <v>6361</v>
      </c>
      <c r="G111" s="43">
        <v>0</v>
      </c>
      <c r="H111" s="63">
        <v>0.1</v>
      </c>
    </row>
    <row r="112" spans="1:8" x14ac:dyDescent="0.55000000000000004">
      <c r="A112" s="61" t="s">
        <v>6426</v>
      </c>
      <c r="B112" t="s">
        <v>4226</v>
      </c>
      <c r="C112">
        <v>9204</v>
      </c>
      <c r="D112" t="s">
        <v>6362</v>
      </c>
      <c r="E112" t="s">
        <v>6358</v>
      </c>
      <c r="F112" t="s">
        <v>6358</v>
      </c>
      <c r="G112" s="43">
        <v>6.3399999999999998E-2</v>
      </c>
      <c r="H112" s="63">
        <v>1</v>
      </c>
    </row>
    <row r="113" spans="1:8" x14ac:dyDescent="0.55000000000000004">
      <c r="A113" s="61" t="s">
        <v>6426</v>
      </c>
      <c r="B113" t="s">
        <v>4226</v>
      </c>
      <c r="C113">
        <v>9204</v>
      </c>
      <c r="D113" t="s">
        <v>6365</v>
      </c>
      <c r="E113" t="s">
        <v>6366</v>
      </c>
      <c r="F113" t="s">
        <v>6361</v>
      </c>
      <c r="G113" s="43">
        <v>0</v>
      </c>
      <c r="H113" s="63">
        <v>-0.1</v>
      </c>
    </row>
    <row r="114" spans="1:8" x14ac:dyDescent="0.55000000000000004">
      <c r="A114" s="61" t="s">
        <v>6427</v>
      </c>
      <c r="B114" t="s">
        <v>4226</v>
      </c>
      <c r="C114">
        <v>9310</v>
      </c>
      <c r="D114" t="s">
        <v>6359</v>
      </c>
      <c r="E114" t="s">
        <v>6377</v>
      </c>
      <c r="F114" t="s">
        <v>6361</v>
      </c>
      <c r="G114" s="43">
        <v>0</v>
      </c>
      <c r="H114" s="63">
        <v>0.9</v>
      </c>
    </row>
    <row r="115" spans="1:8" x14ac:dyDescent="0.55000000000000004">
      <c r="A115" s="61" t="s">
        <v>6427</v>
      </c>
      <c r="B115" t="s">
        <v>4226</v>
      </c>
      <c r="C115">
        <v>9310</v>
      </c>
      <c r="D115" t="s">
        <v>6363</v>
      </c>
      <c r="E115" t="s">
        <v>6364</v>
      </c>
      <c r="F115" t="s">
        <v>6361</v>
      </c>
      <c r="G115" s="43">
        <v>0</v>
      </c>
      <c r="H115" s="63">
        <v>0.1</v>
      </c>
    </row>
    <row r="116" spans="1:8" x14ac:dyDescent="0.55000000000000004">
      <c r="A116" s="61" t="s">
        <v>6427</v>
      </c>
      <c r="B116" t="s">
        <v>4226</v>
      </c>
      <c r="C116">
        <v>9310</v>
      </c>
      <c r="D116" t="s">
        <v>6362</v>
      </c>
      <c r="E116" t="s">
        <v>6358</v>
      </c>
      <c r="F116" t="s">
        <v>6358</v>
      </c>
      <c r="G116" s="43">
        <v>6.3399999999999998E-2</v>
      </c>
      <c r="H116" s="63">
        <v>1</v>
      </c>
    </row>
    <row r="117" spans="1:8" x14ac:dyDescent="0.55000000000000004">
      <c r="A117" s="61" t="s">
        <v>6427</v>
      </c>
      <c r="B117" t="s">
        <v>4226</v>
      </c>
      <c r="C117">
        <v>9310</v>
      </c>
      <c r="D117" t="s">
        <v>6365</v>
      </c>
      <c r="E117" t="s">
        <v>6366</v>
      </c>
      <c r="F117" t="s">
        <v>6361</v>
      </c>
      <c r="G117" s="43">
        <v>0</v>
      </c>
      <c r="H117" s="63">
        <v>-0.1</v>
      </c>
    </row>
    <row r="118" spans="1:8" x14ac:dyDescent="0.55000000000000004">
      <c r="A118" s="61" t="s">
        <v>6428</v>
      </c>
      <c r="B118" t="s">
        <v>4881</v>
      </c>
      <c r="C118">
        <v>8610</v>
      </c>
      <c r="D118" t="s">
        <v>6359</v>
      </c>
      <c r="E118" t="s">
        <v>6360</v>
      </c>
      <c r="F118" t="s">
        <v>6361</v>
      </c>
      <c r="G118" s="43">
        <v>0</v>
      </c>
      <c r="H118" s="63">
        <v>0.9</v>
      </c>
    </row>
    <row r="119" spans="1:8" x14ac:dyDescent="0.55000000000000004">
      <c r="A119" s="61" t="s">
        <v>6428</v>
      </c>
      <c r="B119" t="s">
        <v>4881</v>
      </c>
      <c r="C119">
        <v>8610</v>
      </c>
      <c r="D119" t="s">
        <v>6363</v>
      </c>
      <c r="E119" t="s">
        <v>6364</v>
      </c>
      <c r="F119" t="s">
        <v>6361</v>
      </c>
      <c r="G119" s="43">
        <v>0</v>
      </c>
      <c r="H119" s="63">
        <v>0.1</v>
      </c>
    </row>
    <row r="120" spans="1:8" x14ac:dyDescent="0.55000000000000004">
      <c r="A120" s="61" t="s">
        <v>6428</v>
      </c>
      <c r="B120" t="s">
        <v>4881</v>
      </c>
      <c r="C120">
        <v>8610</v>
      </c>
      <c r="D120" t="s">
        <v>6362</v>
      </c>
      <c r="E120" t="s">
        <v>6358</v>
      </c>
      <c r="F120" t="s">
        <v>6358</v>
      </c>
      <c r="G120" s="43">
        <v>3.9399999999999998E-2</v>
      </c>
      <c r="H120" s="63">
        <v>1</v>
      </c>
    </row>
    <row r="121" spans="1:8" x14ac:dyDescent="0.55000000000000004">
      <c r="A121" s="61" t="s">
        <v>6428</v>
      </c>
      <c r="B121" t="s">
        <v>4881</v>
      </c>
      <c r="C121">
        <v>8610</v>
      </c>
      <c r="D121" t="s">
        <v>6365</v>
      </c>
      <c r="E121" t="s">
        <v>6366</v>
      </c>
      <c r="F121" t="s">
        <v>6361</v>
      </c>
      <c r="G121" s="43">
        <v>0</v>
      </c>
      <c r="H121" s="63">
        <v>-0.1</v>
      </c>
    </row>
    <row r="122" spans="1:8" x14ac:dyDescent="0.55000000000000004">
      <c r="A122" s="61" t="s">
        <v>6429</v>
      </c>
      <c r="B122" t="s">
        <v>4881</v>
      </c>
      <c r="C122">
        <v>8710</v>
      </c>
      <c r="D122" t="s">
        <v>6359</v>
      </c>
      <c r="E122" t="s">
        <v>6360</v>
      </c>
      <c r="F122" t="s">
        <v>6361</v>
      </c>
      <c r="G122" s="43">
        <v>0</v>
      </c>
      <c r="H122" s="63">
        <v>0.9</v>
      </c>
    </row>
    <row r="123" spans="1:8" x14ac:dyDescent="0.55000000000000004">
      <c r="A123" s="61" t="s">
        <v>6429</v>
      </c>
      <c r="B123" t="s">
        <v>4881</v>
      </c>
      <c r="C123">
        <v>8710</v>
      </c>
      <c r="D123" t="s">
        <v>6363</v>
      </c>
      <c r="E123" t="s">
        <v>6364</v>
      </c>
      <c r="F123" t="s">
        <v>6361</v>
      </c>
      <c r="G123" s="43">
        <v>0</v>
      </c>
      <c r="H123" s="63">
        <v>0.1</v>
      </c>
    </row>
    <row r="124" spans="1:8" x14ac:dyDescent="0.55000000000000004">
      <c r="A124" s="61" t="s">
        <v>6429</v>
      </c>
      <c r="B124" t="s">
        <v>4881</v>
      </c>
      <c r="C124">
        <v>8710</v>
      </c>
      <c r="D124" t="s">
        <v>6362</v>
      </c>
      <c r="E124" t="s">
        <v>6358</v>
      </c>
      <c r="F124" t="s">
        <v>6358</v>
      </c>
      <c r="G124" s="43">
        <v>3.9399999999999998E-2</v>
      </c>
      <c r="H124" s="63">
        <v>1</v>
      </c>
    </row>
    <row r="125" spans="1:8" x14ac:dyDescent="0.55000000000000004">
      <c r="A125" s="61" t="s">
        <v>6429</v>
      </c>
      <c r="B125" t="s">
        <v>4881</v>
      </c>
      <c r="C125">
        <v>8710</v>
      </c>
      <c r="D125" t="s">
        <v>6365</v>
      </c>
      <c r="E125" t="s">
        <v>6366</v>
      </c>
      <c r="F125" t="s">
        <v>6361</v>
      </c>
      <c r="G125" s="43">
        <v>0</v>
      </c>
      <c r="H125" s="63">
        <v>-0.1</v>
      </c>
    </row>
    <row r="126" spans="1:8" x14ac:dyDescent="0.55000000000000004">
      <c r="A126" s="61" t="s">
        <v>6430</v>
      </c>
      <c r="B126" t="s">
        <v>4881</v>
      </c>
      <c r="C126">
        <v>9110</v>
      </c>
      <c r="D126" t="s">
        <v>6359</v>
      </c>
      <c r="E126" t="s">
        <v>6367</v>
      </c>
      <c r="F126" t="s">
        <v>6361</v>
      </c>
      <c r="G126" s="43">
        <v>0</v>
      </c>
      <c r="H126" s="63">
        <v>0.9</v>
      </c>
    </row>
    <row r="127" spans="1:8" x14ac:dyDescent="0.55000000000000004">
      <c r="A127" s="61" t="s">
        <v>6430</v>
      </c>
      <c r="B127" t="s">
        <v>4881</v>
      </c>
      <c r="C127">
        <v>9110</v>
      </c>
      <c r="D127" t="s">
        <v>6363</v>
      </c>
      <c r="E127" t="s">
        <v>6364</v>
      </c>
      <c r="F127" t="s">
        <v>6361</v>
      </c>
      <c r="G127" s="43">
        <v>0</v>
      </c>
      <c r="H127" s="63">
        <v>0.1</v>
      </c>
    </row>
    <row r="128" spans="1:8" x14ac:dyDescent="0.55000000000000004">
      <c r="A128" s="61" t="s">
        <v>6430</v>
      </c>
      <c r="B128" t="s">
        <v>4881</v>
      </c>
      <c r="C128">
        <v>9110</v>
      </c>
      <c r="D128" t="s">
        <v>6362</v>
      </c>
      <c r="E128" t="s">
        <v>6358</v>
      </c>
      <c r="F128" t="s">
        <v>6358</v>
      </c>
      <c r="G128" s="43">
        <v>3.9399999999999998E-2</v>
      </c>
      <c r="H128" s="63">
        <v>1</v>
      </c>
    </row>
    <row r="129" spans="1:8" x14ac:dyDescent="0.55000000000000004">
      <c r="A129" s="61" t="s">
        <v>6430</v>
      </c>
      <c r="B129" t="s">
        <v>4881</v>
      </c>
      <c r="C129">
        <v>9110</v>
      </c>
      <c r="D129" t="s">
        <v>6365</v>
      </c>
      <c r="E129" t="s">
        <v>6366</v>
      </c>
      <c r="F129" t="s">
        <v>6361</v>
      </c>
      <c r="G129" s="43">
        <v>0</v>
      </c>
      <c r="H129" s="63">
        <v>-0.1</v>
      </c>
    </row>
    <row r="130" spans="1:8" x14ac:dyDescent="0.55000000000000004">
      <c r="A130" s="61" t="s">
        <v>6431</v>
      </c>
      <c r="B130" t="s">
        <v>3087</v>
      </c>
      <c r="C130">
        <v>8710</v>
      </c>
      <c r="D130" t="s">
        <v>6359</v>
      </c>
      <c r="E130" t="s">
        <v>6370</v>
      </c>
      <c r="F130" t="s">
        <v>6361</v>
      </c>
      <c r="G130" s="43">
        <v>0</v>
      </c>
      <c r="H130" s="63">
        <v>0.9</v>
      </c>
    </row>
    <row r="131" spans="1:8" x14ac:dyDescent="0.55000000000000004">
      <c r="A131" s="61" t="s">
        <v>6431</v>
      </c>
      <c r="B131" t="s">
        <v>3087</v>
      </c>
      <c r="C131">
        <v>8710</v>
      </c>
      <c r="D131" t="s">
        <v>6363</v>
      </c>
      <c r="E131" t="s">
        <v>6364</v>
      </c>
      <c r="F131" t="s">
        <v>6361</v>
      </c>
      <c r="G131" s="43">
        <v>0</v>
      </c>
      <c r="H131" s="63">
        <v>0.1</v>
      </c>
    </row>
    <row r="132" spans="1:8" x14ac:dyDescent="0.55000000000000004">
      <c r="A132" s="61" t="s">
        <v>6431</v>
      </c>
      <c r="B132" t="s">
        <v>3087</v>
      </c>
      <c r="C132">
        <v>8710</v>
      </c>
      <c r="D132" t="s">
        <v>6362</v>
      </c>
      <c r="E132" t="s">
        <v>6358</v>
      </c>
      <c r="F132" t="s">
        <v>6358</v>
      </c>
      <c r="G132" s="43">
        <v>8.1699999999999995E-2</v>
      </c>
      <c r="H132" s="63">
        <v>1</v>
      </c>
    </row>
    <row r="133" spans="1:8" x14ac:dyDescent="0.55000000000000004">
      <c r="A133" s="61" t="s">
        <v>6431</v>
      </c>
      <c r="B133" t="s">
        <v>3087</v>
      </c>
      <c r="C133">
        <v>8710</v>
      </c>
      <c r="D133" t="s">
        <v>6365</v>
      </c>
      <c r="E133" t="s">
        <v>6366</v>
      </c>
      <c r="F133" t="s">
        <v>6361</v>
      </c>
      <c r="G133" s="43">
        <v>0</v>
      </c>
      <c r="H133" s="63">
        <v>-0.1</v>
      </c>
    </row>
    <row r="134" spans="1:8" x14ac:dyDescent="0.55000000000000004">
      <c r="A134" s="61" t="s">
        <v>6432</v>
      </c>
      <c r="B134" t="s">
        <v>3087</v>
      </c>
      <c r="C134">
        <v>9310</v>
      </c>
      <c r="D134" t="s">
        <v>6359</v>
      </c>
      <c r="E134" t="s">
        <v>6371</v>
      </c>
      <c r="F134" t="s">
        <v>6361</v>
      </c>
      <c r="G134" s="43">
        <v>0</v>
      </c>
      <c r="H134" s="63">
        <v>0.9</v>
      </c>
    </row>
    <row r="135" spans="1:8" x14ac:dyDescent="0.55000000000000004">
      <c r="A135" s="61" t="s">
        <v>6432</v>
      </c>
      <c r="B135" t="s">
        <v>3087</v>
      </c>
      <c r="C135">
        <v>9310</v>
      </c>
      <c r="D135" t="s">
        <v>6363</v>
      </c>
      <c r="E135" t="s">
        <v>6364</v>
      </c>
      <c r="F135" t="s">
        <v>6361</v>
      </c>
      <c r="G135" s="43">
        <v>0</v>
      </c>
      <c r="H135" s="63">
        <v>0.1</v>
      </c>
    </row>
    <row r="136" spans="1:8" x14ac:dyDescent="0.55000000000000004">
      <c r="A136" s="61" t="s">
        <v>6432</v>
      </c>
      <c r="B136" t="s">
        <v>3087</v>
      </c>
      <c r="C136">
        <v>9310</v>
      </c>
      <c r="D136" t="s">
        <v>6362</v>
      </c>
      <c r="E136" t="s">
        <v>6358</v>
      </c>
      <c r="F136" t="s">
        <v>6358</v>
      </c>
      <c r="G136" s="43">
        <v>8.1699999999999995E-2</v>
      </c>
      <c r="H136" s="63">
        <v>1</v>
      </c>
    </row>
    <row r="137" spans="1:8" x14ac:dyDescent="0.55000000000000004">
      <c r="A137" s="61" t="s">
        <v>6432</v>
      </c>
      <c r="B137" t="s">
        <v>3087</v>
      </c>
      <c r="C137">
        <v>9310</v>
      </c>
      <c r="D137" t="s">
        <v>6365</v>
      </c>
      <c r="E137" t="s">
        <v>6366</v>
      </c>
      <c r="F137" t="s">
        <v>6361</v>
      </c>
      <c r="G137" s="43">
        <v>0</v>
      </c>
      <c r="H137" s="63">
        <v>-0.1</v>
      </c>
    </row>
    <row r="138" spans="1:8" x14ac:dyDescent="0.55000000000000004">
      <c r="A138" s="61" t="s">
        <v>6433</v>
      </c>
      <c r="B138" t="s">
        <v>2233</v>
      </c>
      <c r="C138">
        <v>8710</v>
      </c>
      <c r="D138" t="s">
        <v>6359</v>
      </c>
      <c r="E138" t="s">
        <v>6370</v>
      </c>
      <c r="F138" t="s">
        <v>6361</v>
      </c>
      <c r="G138" s="43">
        <v>0</v>
      </c>
      <c r="H138" s="63">
        <v>0.9</v>
      </c>
    </row>
    <row r="139" spans="1:8" x14ac:dyDescent="0.55000000000000004">
      <c r="A139" s="61" t="s">
        <v>6433</v>
      </c>
      <c r="B139" t="s">
        <v>2233</v>
      </c>
      <c r="C139">
        <v>8710</v>
      </c>
      <c r="D139" t="s">
        <v>6363</v>
      </c>
      <c r="E139" t="s">
        <v>6364</v>
      </c>
      <c r="F139" t="s">
        <v>6361</v>
      </c>
      <c r="G139" s="43">
        <v>0</v>
      </c>
      <c r="H139" s="63">
        <v>0.1</v>
      </c>
    </row>
    <row r="140" spans="1:8" x14ac:dyDescent="0.55000000000000004">
      <c r="A140" s="61" t="s">
        <v>6433</v>
      </c>
      <c r="B140" t="s">
        <v>2233</v>
      </c>
      <c r="C140">
        <v>8710</v>
      </c>
      <c r="D140" t="s">
        <v>6362</v>
      </c>
      <c r="E140" t="s">
        <v>6358</v>
      </c>
      <c r="F140" t="s">
        <v>6358</v>
      </c>
      <c r="G140" s="43">
        <v>7.0499999999999993E-2</v>
      </c>
      <c r="H140" s="63">
        <v>1</v>
      </c>
    </row>
    <row r="141" spans="1:8" x14ac:dyDescent="0.55000000000000004">
      <c r="A141" s="61" t="s">
        <v>6433</v>
      </c>
      <c r="B141" t="s">
        <v>2233</v>
      </c>
      <c r="C141">
        <v>8710</v>
      </c>
      <c r="D141" t="s">
        <v>6365</v>
      </c>
      <c r="E141" t="s">
        <v>6366</v>
      </c>
      <c r="F141" t="s">
        <v>6361</v>
      </c>
      <c r="G141" s="43">
        <v>0</v>
      </c>
      <c r="H141" s="63">
        <v>-0.1</v>
      </c>
    </row>
    <row r="142" spans="1:8" x14ac:dyDescent="0.55000000000000004">
      <c r="A142" s="61" t="s">
        <v>6434</v>
      </c>
      <c r="B142" t="s">
        <v>2233</v>
      </c>
      <c r="C142">
        <v>9310</v>
      </c>
      <c r="D142" t="s">
        <v>6359</v>
      </c>
      <c r="E142" t="s">
        <v>6371</v>
      </c>
      <c r="F142" t="s">
        <v>6361</v>
      </c>
      <c r="G142" s="43">
        <v>0</v>
      </c>
      <c r="H142" s="63">
        <v>0.9</v>
      </c>
    </row>
    <row r="143" spans="1:8" x14ac:dyDescent="0.55000000000000004">
      <c r="A143" s="61" t="s">
        <v>6434</v>
      </c>
      <c r="B143" t="s">
        <v>2233</v>
      </c>
      <c r="C143">
        <v>9310</v>
      </c>
      <c r="D143" t="s">
        <v>6363</v>
      </c>
      <c r="E143" t="s">
        <v>6364</v>
      </c>
      <c r="F143" t="s">
        <v>6361</v>
      </c>
      <c r="G143" s="43">
        <v>0</v>
      </c>
      <c r="H143" s="63">
        <v>0.1</v>
      </c>
    </row>
    <row r="144" spans="1:8" x14ac:dyDescent="0.55000000000000004">
      <c r="A144" s="61" t="s">
        <v>6434</v>
      </c>
      <c r="B144" t="s">
        <v>2233</v>
      </c>
      <c r="C144">
        <v>9310</v>
      </c>
      <c r="D144" t="s">
        <v>6362</v>
      </c>
      <c r="E144" t="s">
        <v>6358</v>
      </c>
      <c r="F144" t="s">
        <v>6358</v>
      </c>
      <c r="G144" s="43">
        <v>7.0499999999999993E-2</v>
      </c>
      <c r="H144" s="63">
        <v>1</v>
      </c>
    </row>
    <row r="145" spans="1:8" x14ac:dyDescent="0.55000000000000004">
      <c r="A145" s="61" t="s">
        <v>6434</v>
      </c>
      <c r="B145" t="s">
        <v>2233</v>
      </c>
      <c r="C145">
        <v>9310</v>
      </c>
      <c r="D145" t="s">
        <v>6365</v>
      </c>
      <c r="E145" t="s">
        <v>6366</v>
      </c>
      <c r="F145" t="s">
        <v>6361</v>
      </c>
      <c r="G145" s="43">
        <v>0</v>
      </c>
      <c r="H145" s="63">
        <v>-0.1</v>
      </c>
    </row>
    <row r="146" spans="1:8" x14ac:dyDescent="0.55000000000000004">
      <c r="A146" s="61" t="s">
        <v>6435</v>
      </c>
      <c r="B146" t="s">
        <v>1537</v>
      </c>
      <c r="C146">
        <v>8711</v>
      </c>
      <c r="D146" t="s">
        <v>6359</v>
      </c>
      <c r="E146" t="s">
        <v>6378</v>
      </c>
      <c r="F146" t="s">
        <v>6361</v>
      </c>
      <c r="G146" s="43">
        <v>0</v>
      </c>
      <c r="H146" s="63">
        <v>0.9</v>
      </c>
    </row>
    <row r="147" spans="1:8" x14ac:dyDescent="0.55000000000000004">
      <c r="A147" s="61" t="s">
        <v>6435</v>
      </c>
      <c r="B147" t="s">
        <v>1537</v>
      </c>
      <c r="C147">
        <v>8711</v>
      </c>
      <c r="D147" t="s">
        <v>6363</v>
      </c>
      <c r="E147" t="s">
        <v>6364</v>
      </c>
      <c r="F147" t="s">
        <v>6361</v>
      </c>
      <c r="G147" s="43">
        <v>0</v>
      </c>
      <c r="H147" s="63">
        <v>0.1</v>
      </c>
    </row>
    <row r="148" spans="1:8" x14ac:dyDescent="0.55000000000000004">
      <c r="A148" s="61" t="s">
        <v>6435</v>
      </c>
      <c r="B148" t="s">
        <v>1537</v>
      </c>
      <c r="C148">
        <v>8711</v>
      </c>
      <c r="D148" t="s">
        <v>6362</v>
      </c>
      <c r="E148" t="s">
        <v>6358</v>
      </c>
      <c r="F148" t="s">
        <v>6358</v>
      </c>
      <c r="G148" s="43">
        <v>4.6100000000000002E-2</v>
      </c>
      <c r="H148" s="63">
        <v>1</v>
      </c>
    </row>
    <row r="149" spans="1:8" x14ac:dyDescent="0.55000000000000004">
      <c r="A149" s="61" t="s">
        <v>6435</v>
      </c>
      <c r="B149" t="s">
        <v>1537</v>
      </c>
      <c r="C149">
        <v>8711</v>
      </c>
      <c r="D149" t="s">
        <v>6365</v>
      </c>
      <c r="E149" t="s">
        <v>6366</v>
      </c>
      <c r="F149" t="s">
        <v>6361</v>
      </c>
      <c r="G149" s="43">
        <v>0</v>
      </c>
      <c r="H149" s="63">
        <v>-0.1</v>
      </c>
    </row>
    <row r="150" spans="1:8" x14ac:dyDescent="0.55000000000000004">
      <c r="A150" s="61" t="s">
        <v>6436</v>
      </c>
      <c r="B150" t="s">
        <v>1537</v>
      </c>
      <c r="C150">
        <v>8712</v>
      </c>
      <c r="D150" t="s">
        <v>6359</v>
      </c>
      <c r="E150" t="s">
        <v>6378</v>
      </c>
      <c r="F150" t="s">
        <v>6361</v>
      </c>
      <c r="G150" s="43">
        <v>0</v>
      </c>
      <c r="H150" s="63">
        <v>0.9</v>
      </c>
    </row>
    <row r="151" spans="1:8" x14ac:dyDescent="0.55000000000000004">
      <c r="A151" s="61" t="s">
        <v>6436</v>
      </c>
      <c r="B151" t="s">
        <v>1537</v>
      </c>
      <c r="C151">
        <v>8712</v>
      </c>
      <c r="D151" t="s">
        <v>6363</v>
      </c>
      <c r="E151" t="s">
        <v>6364</v>
      </c>
      <c r="F151" t="s">
        <v>6361</v>
      </c>
      <c r="G151" s="43">
        <v>0</v>
      </c>
      <c r="H151" s="63">
        <v>0.1</v>
      </c>
    </row>
    <row r="152" spans="1:8" x14ac:dyDescent="0.55000000000000004">
      <c r="A152" s="61" t="s">
        <v>6436</v>
      </c>
      <c r="B152" t="s">
        <v>1537</v>
      </c>
      <c r="C152">
        <v>8712</v>
      </c>
      <c r="D152" t="s">
        <v>6362</v>
      </c>
      <c r="E152" t="s">
        <v>6358</v>
      </c>
      <c r="F152" t="s">
        <v>6358</v>
      </c>
      <c r="G152" s="43">
        <v>4.6100000000000002E-2</v>
      </c>
      <c r="H152" s="63">
        <v>1</v>
      </c>
    </row>
    <row r="153" spans="1:8" x14ac:dyDescent="0.55000000000000004">
      <c r="A153" s="61" t="s">
        <v>6436</v>
      </c>
      <c r="B153" t="s">
        <v>1537</v>
      </c>
      <c r="C153">
        <v>8712</v>
      </c>
      <c r="D153" t="s">
        <v>6365</v>
      </c>
      <c r="E153" t="s">
        <v>6366</v>
      </c>
      <c r="F153" t="s">
        <v>6361</v>
      </c>
      <c r="G153" s="43">
        <v>0</v>
      </c>
      <c r="H153" s="63">
        <v>-0.1</v>
      </c>
    </row>
    <row r="154" spans="1:8" x14ac:dyDescent="0.55000000000000004">
      <c r="A154" s="61" t="s">
        <v>6437</v>
      </c>
      <c r="B154" t="s">
        <v>1537</v>
      </c>
      <c r="C154">
        <v>8713</v>
      </c>
      <c r="D154" t="s">
        <v>6359</v>
      </c>
      <c r="E154" t="s">
        <v>6378</v>
      </c>
      <c r="F154" t="s">
        <v>6361</v>
      </c>
      <c r="G154" s="43">
        <v>0</v>
      </c>
      <c r="H154" s="63">
        <v>0.9</v>
      </c>
    </row>
    <row r="155" spans="1:8" x14ac:dyDescent="0.55000000000000004">
      <c r="A155" s="61" t="s">
        <v>6437</v>
      </c>
      <c r="B155" t="s">
        <v>1537</v>
      </c>
      <c r="C155">
        <v>8713</v>
      </c>
      <c r="D155" t="s">
        <v>6363</v>
      </c>
      <c r="E155" t="s">
        <v>6364</v>
      </c>
      <c r="F155" t="s">
        <v>6361</v>
      </c>
      <c r="G155" s="43">
        <v>0</v>
      </c>
      <c r="H155" s="63">
        <v>0.1</v>
      </c>
    </row>
    <row r="156" spans="1:8" x14ac:dyDescent="0.55000000000000004">
      <c r="A156" s="61" t="s">
        <v>6437</v>
      </c>
      <c r="B156" t="s">
        <v>1537</v>
      </c>
      <c r="C156">
        <v>8713</v>
      </c>
      <c r="D156" t="s">
        <v>6362</v>
      </c>
      <c r="E156" t="s">
        <v>6358</v>
      </c>
      <c r="F156" t="s">
        <v>6358</v>
      </c>
      <c r="G156" s="43">
        <v>4.6100000000000002E-2</v>
      </c>
      <c r="H156" s="63">
        <v>1</v>
      </c>
    </row>
    <row r="157" spans="1:8" x14ac:dyDescent="0.55000000000000004">
      <c r="A157" s="61" t="s">
        <v>6437</v>
      </c>
      <c r="B157" t="s">
        <v>1537</v>
      </c>
      <c r="C157">
        <v>8713</v>
      </c>
      <c r="D157" t="s">
        <v>6365</v>
      </c>
      <c r="E157" t="s">
        <v>6366</v>
      </c>
      <c r="F157" t="s">
        <v>6361</v>
      </c>
      <c r="G157" s="43">
        <v>0</v>
      </c>
      <c r="H157" s="63">
        <v>-0.1</v>
      </c>
    </row>
    <row r="158" spans="1:8" x14ac:dyDescent="0.55000000000000004">
      <c r="A158" s="61" t="s">
        <v>6438</v>
      </c>
      <c r="B158" t="s">
        <v>1537</v>
      </c>
      <c r="C158">
        <v>9205</v>
      </c>
      <c r="D158" t="s">
        <v>6359</v>
      </c>
      <c r="E158" t="s">
        <v>6379</v>
      </c>
      <c r="F158" t="s">
        <v>6361</v>
      </c>
      <c r="G158" s="43">
        <v>0</v>
      </c>
      <c r="H158" s="63">
        <v>0.9</v>
      </c>
    </row>
    <row r="159" spans="1:8" x14ac:dyDescent="0.55000000000000004">
      <c r="A159" s="61" t="s">
        <v>6438</v>
      </c>
      <c r="B159" t="s">
        <v>1537</v>
      </c>
      <c r="C159">
        <v>9205</v>
      </c>
      <c r="D159" t="s">
        <v>6363</v>
      </c>
      <c r="E159" t="s">
        <v>6364</v>
      </c>
      <c r="F159" t="s">
        <v>6361</v>
      </c>
      <c r="G159" s="43">
        <v>0</v>
      </c>
      <c r="H159" s="63">
        <v>0.1</v>
      </c>
    </row>
    <row r="160" spans="1:8" x14ac:dyDescent="0.55000000000000004">
      <c r="A160" s="61" t="s">
        <v>6438</v>
      </c>
      <c r="B160" t="s">
        <v>1537</v>
      </c>
      <c r="C160">
        <v>9205</v>
      </c>
      <c r="D160" t="s">
        <v>6362</v>
      </c>
      <c r="E160" t="s">
        <v>6358</v>
      </c>
      <c r="F160" t="s">
        <v>6358</v>
      </c>
      <c r="G160" s="43">
        <v>4.6100000000000002E-2</v>
      </c>
      <c r="H160" s="63">
        <v>1</v>
      </c>
    </row>
    <row r="161" spans="1:8" x14ac:dyDescent="0.55000000000000004">
      <c r="A161" s="61" t="s">
        <v>6438</v>
      </c>
      <c r="B161" t="s">
        <v>1537</v>
      </c>
      <c r="C161">
        <v>9205</v>
      </c>
      <c r="D161" t="s">
        <v>6365</v>
      </c>
      <c r="E161" t="s">
        <v>6366</v>
      </c>
      <c r="F161" t="s">
        <v>6361</v>
      </c>
      <c r="G161" s="43">
        <v>0</v>
      </c>
      <c r="H161" s="63">
        <v>-0.1</v>
      </c>
    </row>
    <row r="162" spans="1:8" x14ac:dyDescent="0.55000000000000004">
      <c r="A162" s="61" t="s">
        <v>6439</v>
      </c>
      <c r="B162" t="s">
        <v>1537</v>
      </c>
      <c r="C162">
        <v>9307</v>
      </c>
      <c r="D162" t="s">
        <v>6359</v>
      </c>
      <c r="E162" t="s">
        <v>6379</v>
      </c>
      <c r="F162" t="s">
        <v>6361</v>
      </c>
      <c r="G162" s="43">
        <v>0</v>
      </c>
      <c r="H162" s="63">
        <v>0.9</v>
      </c>
    </row>
    <row r="163" spans="1:8" x14ac:dyDescent="0.55000000000000004">
      <c r="A163" s="61" t="s">
        <v>6439</v>
      </c>
      <c r="B163" t="s">
        <v>1537</v>
      </c>
      <c r="C163">
        <v>9307</v>
      </c>
      <c r="D163" t="s">
        <v>6363</v>
      </c>
      <c r="E163" t="s">
        <v>6364</v>
      </c>
      <c r="F163" t="s">
        <v>6361</v>
      </c>
      <c r="G163" s="43">
        <v>0</v>
      </c>
      <c r="H163" s="63">
        <v>0.1</v>
      </c>
    </row>
    <row r="164" spans="1:8" x14ac:dyDescent="0.55000000000000004">
      <c r="A164" s="61" t="s">
        <v>6439</v>
      </c>
      <c r="B164" t="s">
        <v>1537</v>
      </c>
      <c r="C164">
        <v>9307</v>
      </c>
      <c r="D164" t="s">
        <v>6362</v>
      </c>
      <c r="E164" t="s">
        <v>6358</v>
      </c>
      <c r="F164" t="s">
        <v>6358</v>
      </c>
      <c r="G164" s="43">
        <v>4.6100000000000002E-2</v>
      </c>
      <c r="H164" s="63">
        <v>1</v>
      </c>
    </row>
    <row r="165" spans="1:8" x14ac:dyDescent="0.55000000000000004">
      <c r="A165" s="61" t="s">
        <v>6439</v>
      </c>
      <c r="B165" t="s">
        <v>1537</v>
      </c>
      <c r="C165">
        <v>9307</v>
      </c>
      <c r="D165" t="s">
        <v>6365</v>
      </c>
      <c r="E165" t="s">
        <v>6366</v>
      </c>
      <c r="F165" t="s">
        <v>6361</v>
      </c>
      <c r="G165" s="43">
        <v>0</v>
      </c>
      <c r="H165" s="63">
        <v>-0.1</v>
      </c>
    </row>
    <row r="166" spans="1:8" x14ac:dyDescent="0.55000000000000004">
      <c r="A166" s="61" t="s">
        <v>6440</v>
      </c>
      <c r="B166" t="s">
        <v>1537</v>
      </c>
      <c r="C166">
        <v>9308</v>
      </c>
      <c r="D166" t="s">
        <v>6359</v>
      </c>
      <c r="E166" t="s">
        <v>6379</v>
      </c>
      <c r="F166" t="s">
        <v>6361</v>
      </c>
      <c r="G166" s="43">
        <v>0</v>
      </c>
      <c r="H166" s="63">
        <v>0.9</v>
      </c>
    </row>
    <row r="167" spans="1:8" x14ac:dyDescent="0.55000000000000004">
      <c r="A167" s="61" t="s">
        <v>6440</v>
      </c>
      <c r="B167" t="s">
        <v>1537</v>
      </c>
      <c r="C167">
        <v>9308</v>
      </c>
      <c r="D167" t="s">
        <v>6363</v>
      </c>
      <c r="E167" t="s">
        <v>6364</v>
      </c>
      <c r="F167" t="s">
        <v>6361</v>
      </c>
      <c r="G167" s="43">
        <v>0</v>
      </c>
      <c r="H167" s="63">
        <v>0.1</v>
      </c>
    </row>
    <row r="168" spans="1:8" x14ac:dyDescent="0.55000000000000004">
      <c r="A168" s="61" t="s">
        <v>6440</v>
      </c>
      <c r="B168" t="s">
        <v>1537</v>
      </c>
      <c r="C168">
        <v>9308</v>
      </c>
      <c r="D168" t="s">
        <v>6362</v>
      </c>
      <c r="E168" t="s">
        <v>6358</v>
      </c>
      <c r="F168" t="s">
        <v>6358</v>
      </c>
      <c r="G168" s="43">
        <v>4.6100000000000002E-2</v>
      </c>
      <c r="H168" s="63">
        <v>1</v>
      </c>
    </row>
    <row r="169" spans="1:8" x14ac:dyDescent="0.55000000000000004">
      <c r="A169" s="61" t="s">
        <v>6440</v>
      </c>
      <c r="B169" t="s">
        <v>1537</v>
      </c>
      <c r="C169">
        <v>9308</v>
      </c>
      <c r="D169" t="s">
        <v>6365</v>
      </c>
      <c r="E169" t="s">
        <v>6366</v>
      </c>
      <c r="F169" t="s">
        <v>6361</v>
      </c>
      <c r="G169" s="43">
        <v>0</v>
      </c>
      <c r="H169" s="63">
        <v>-0.1</v>
      </c>
    </row>
    <row r="170" spans="1:8" x14ac:dyDescent="0.55000000000000004">
      <c r="A170" s="61" t="s">
        <v>6441</v>
      </c>
      <c r="B170" t="s">
        <v>1537</v>
      </c>
      <c r="C170">
        <v>9309</v>
      </c>
      <c r="D170" t="s">
        <v>6359</v>
      </c>
      <c r="E170" t="s">
        <v>6379</v>
      </c>
      <c r="F170" t="s">
        <v>6361</v>
      </c>
      <c r="G170" s="43">
        <v>0</v>
      </c>
      <c r="H170" s="63">
        <v>0.9</v>
      </c>
    </row>
    <row r="171" spans="1:8" x14ac:dyDescent="0.55000000000000004">
      <c r="A171" s="61" t="s">
        <v>6441</v>
      </c>
      <c r="B171" t="s">
        <v>1537</v>
      </c>
      <c r="C171">
        <v>9309</v>
      </c>
      <c r="D171" t="s">
        <v>6363</v>
      </c>
      <c r="E171" t="s">
        <v>6364</v>
      </c>
      <c r="F171" t="s">
        <v>6361</v>
      </c>
      <c r="G171" s="43">
        <v>0</v>
      </c>
      <c r="H171" s="63">
        <v>0.1</v>
      </c>
    </row>
    <row r="172" spans="1:8" x14ac:dyDescent="0.55000000000000004">
      <c r="A172" s="61" t="s">
        <v>6441</v>
      </c>
      <c r="B172" t="s">
        <v>1537</v>
      </c>
      <c r="C172">
        <v>9309</v>
      </c>
      <c r="D172" t="s">
        <v>6362</v>
      </c>
      <c r="E172" t="s">
        <v>6358</v>
      </c>
      <c r="F172" t="s">
        <v>6358</v>
      </c>
      <c r="G172" s="43">
        <v>4.6100000000000002E-2</v>
      </c>
      <c r="H172" s="63">
        <v>1</v>
      </c>
    </row>
    <row r="173" spans="1:8" x14ac:dyDescent="0.55000000000000004">
      <c r="A173" s="61" t="s">
        <v>6441</v>
      </c>
      <c r="B173" t="s">
        <v>1537</v>
      </c>
      <c r="C173">
        <v>9309</v>
      </c>
      <c r="D173" t="s">
        <v>6365</v>
      </c>
      <c r="E173" t="s">
        <v>6366</v>
      </c>
      <c r="F173" t="s">
        <v>6361</v>
      </c>
      <c r="G173" s="43">
        <v>0</v>
      </c>
      <c r="H173" s="63">
        <v>-0.1</v>
      </c>
    </row>
    <row r="174" spans="1:8" x14ac:dyDescent="0.55000000000000004">
      <c r="A174" s="61" t="s">
        <v>6442</v>
      </c>
      <c r="B174" t="s">
        <v>1544</v>
      </c>
      <c r="C174">
        <v>8711</v>
      </c>
      <c r="D174" t="s">
        <v>6359</v>
      </c>
      <c r="E174" t="s">
        <v>6378</v>
      </c>
      <c r="F174" t="s">
        <v>6361</v>
      </c>
      <c r="G174" s="43">
        <v>0</v>
      </c>
      <c r="H174" s="63">
        <v>0.9</v>
      </c>
    </row>
    <row r="175" spans="1:8" x14ac:dyDescent="0.55000000000000004">
      <c r="A175" s="61" t="s">
        <v>6442</v>
      </c>
      <c r="B175" t="s">
        <v>1544</v>
      </c>
      <c r="C175">
        <v>8711</v>
      </c>
      <c r="D175" t="s">
        <v>6363</v>
      </c>
      <c r="E175" t="s">
        <v>6364</v>
      </c>
      <c r="F175" t="s">
        <v>6361</v>
      </c>
      <c r="G175" s="43">
        <v>0</v>
      </c>
      <c r="H175" s="63">
        <v>0.1</v>
      </c>
    </row>
    <row r="176" spans="1:8" x14ac:dyDescent="0.55000000000000004">
      <c r="A176" s="61" t="s">
        <v>6442</v>
      </c>
      <c r="B176" t="s">
        <v>1544</v>
      </c>
      <c r="C176">
        <v>8711</v>
      </c>
      <c r="D176" t="s">
        <v>6362</v>
      </c>
      <c r="E176" t="s">
        <v>6358</v>
      </c>
      <c r="F176" t="s">
        <v>6358</v>
      </c>
      <c r="G176" s="43">
        <v>5.11E-2</v>
      </c>
      <c r="H176" s="63">
        <v>1</v>
      </c>
    </row>
    <row r="177" spans="1:8" x14ac:dyDescent="0.55000000000000004">
      <c r="A177" s="61" t="s">
        <v>6442</v>
      </c>
      <c r="B177" t="s">
        <v>1544</v>
      </c>
      <c r="C177">
        <v>8711</v>
      </c>
      <c r="D177" t="s">
        <v>6365</v>
      </c>
      <c r="E177" t="s">
        <v>6366</v>
      </c>
      <c r="F177" t="s">
        <v>6361</v>
      </c>
      <c r="G177" s="43">
        <v>0</v>
      </c>
      <c r="H177" s="63">
        <v>-0.1</v>
      </c>
    </row>
    <row r="178" spans="1:8" x14ac:dyDescent="0.55000000000000004">
      <c r="A178" s="61" t="s">
        <v>6443</v>
      </c>
      <c r="B178" t="s">
        <v>1544</v>
      </c>
      <c r="C178">
        <v>8712</v>
      </c>
      <c r="D178" t="s">
        <v>6359</v>
      </c>
      <c r="E178" t="s">
        <v>6378</v>
      </c>
      <c r="F178" t="s">
        <v>6361</v>
      </c>
      <c r="G178" s="43">
        <v>0</v>
      </c>
      <c r="H178" s="63">
        <v>0.9</v>
      </c>
    </row>
    <row r="179" spans="1:8" x14ac:dyDescent="0.55000000000000004">
      <c r="A179" s="61" t="s">
        <v>6443</v>
      </c>
      <c r="B179" t="s">
        <v>1544</v>
      </c>
      <c r="C179">
        <v>8712</v>
      </c>
      <c r="D179" t="s">
        <v>6363</v>
      </c>
      <c r="E179" t="s">
        <v>6364</v>
      </c>
      <c r="F179" t="s">
        <v>6361</v>
      </c>
      <c r="G179" s="43">
        <v>0</v>
      </c>
      <c r="H179" s="63">
        <v>0.1</v>
      </c>
    </row>
    <row r="180" spans="1:8" x14ac:dyDescent="0.55000000000000004">
      <c r="A180" s="61" t="s">
        <v>6443</v>
      </c>
      <c r="B180" t="s">
        <v>1544</v>
      </c>
      <c r="C180">
        <v>8712</v>
      </c>
      <c r="D180" t="s">
        <v>6362</v>
      </c>
      <c r="E180" t="s">
        <v>6358</v>
      </c>
      <c r="F180" t="s">
        <v>6358</v>
      </c>
      <c r="G180" s="43">
        <v>5.11E-2</v>
      </c>
      <c r="H180" s="63">
        <v>1</v>
      </c>
    </row>
    <row r="181" spans="1:8" x14ac:dyDescent="0.55000000000000004">
      <c r="A181" s="61" t="s">
        <v>6443</v>
      </c>
      <c r="B181" t="s">
        <v>1544</v>
      </c>
      <c r="C181">
        <v>8712</v>
      </c>
      <c r="D181" t="s">
        <v>6365</v>
      </c>
      <c r="E181" t="s">
        <v>6366</v>
      </c>
      <c r="F181" t="s">
        <v>6361</v>
      </c>
      <c r="G181" s="43">
        <v>0</v>
      </c>
      <c r="H181" s="63">
        <v>-0.1</v>
      </c>
    </row>
    <row r="182" spans="1:8" x14ac:dyDescent="0.55000000000000004">
      <c r="A182" s="61" t="s">
        <v>6444</v>
      </c>
      <c r="B182" t="s">
        <v>1544</v>
      </c>
      <c r="C182">
        <v>8713</v>
      </c>
      <c r="D182" t="s">
        <v>6359</v>
      </c>
      <c r="E182" t="s">
        <v>6378</v>
      </c>
      <c r="F182" t="s">
        <v>6361</v>
      </c>
      <c r="G182" s="43">
        <v>0</v>
      </c>
      <c r="H182" s="63">
        <v>0.9</v>
      </c>
    </row>
    <row r="183" spans="1:8" x14ac:dyDescent="0.55000000000000004">
      <c r="A183" s="61" t="s">
        <v>6444</v>
      </c>
      <c r="B183" t="s">
        <v>1544</v>
      </c>
      <c r="C183">
        <v>8713</v>
      </c>
      <c r="D183" t="s">
        <v>6363</v>
      </c>
      <c r="E183" t="s">
        <v>6364</v>
      </c>
      <c r="F183" t="s">
        <v>6361</v>
      </c>
      <c r="G183" s="43">
        <v>0</v>
      </c>
      <c r="H183" s="63">
        <v>0.1</v>
      </c>
    </row>
    <row r="184" spans="1:8" x14ac:dyDescent="0.55000000000000004">
      <c r="A184" s="61" t="s">
        <v>6444</v>
      </c>
      <c r="B184" t="s">
        <v>1544</v>
      </c>
      <c r="C184">
        <v>8713</v>
      </c>
      <c r="D184" t="s">
        <v>6362</v>
      </c>
      <c r="E184" t="s">
        <v>6358</v>
      </c>
      <c r="F184" t="s">
        <v>6358</v>
      </c>
      <c r="G184" s="43">
        <v>5.11E-2</v>
      </c>
      <c r="H184" s="63">
        <v>1</v>
      </c>
    </row>
    <row r="185" spans="1:8" x14ac:dyDescent="0.55000000000000004">
      <c r="A185" s="61" t="s">
        <v>6444</v>
      </c>
      <c r="B185" t="s">
        <v>1544</v>
      </c>
      <c r="C185">
        <v>8713</v>
      </c>
      <c r="D185" t="s">
        <v>6365</v>
      </c>
      <c r="E185" t="s">
        <v>6366</v>
      </c>
      <c r="F185" t="s">
        <v>6361</v>
      </c>
      <c r="G185" s="43">
        <v>0</v>
      </c>
      <c r="H185" s="63">
        <v>-0.1</v>
      </c>
    </row>
    <row r="186" spans="1:8" x14ac:dyDescent="0.55000000000000004">
      <c r="A186" s="61" t="s">
        <v>6445</v>
      </c>
      <c r="B186" t="s">
        <v>1544</v>
      </c>
      <c r="C186">
        <v>9307</v>
      </c>
      <c r="D186" t="s">
        <v>6359</v>
      </c>
      <c r="E186" t="s">
        <v>6379</v>
      </c>
      <c r="F186" t="s">
        <v>6361</v>
      </c>
      <c r="G186" s="43">
        <v>0</v>
      </c>
      <c r="H186" s="63">
        <v>0.9</v>
      </c>
    </row>
    <row r="187" spans="1:8" x14ac:dyDescent="0.55000000000000004">
      <c r="A187" s="61" t="s">
        <v>6445</v>
      </c>
      <c r="B187" t="s">
        <v>1544</v>
      </c>
      <c r="C187">
        <v>9307</v>
      </c>
      <c r="D187" t="s">
        <v>6363</v>
      </c>
      <c r="E187" t="s">
        <v>6364</v>
      </c>
      <c r="F187" t="s">
        <v>6361</v>
      </c>
      <c r="G187" s="43">
        <v>0</v>
      </c>
      <c r="H187" s="63">
        <v>0.1</v>
      </c>
    </row>
    <row r="188" spans="1:8" x14ac:dyDescent="0.55000000000000004">
      <c r="A188" s="61" t="s">
        <v>6445</v>
      </c>
      <c r="B188" t="s">
        <v>1544</v>
      </c>
      <c r="C188">
        <v>9307</v>
      </c>
      <c r="D188" t="s">
        <v>6362</v>
      </c>
      <c r="E188" t="s">
        <v>6358</v>
      </c>
      <c r="F188" t="s">
        <v>6358</v>
      </c>
      <c r="G188" s="43">
        <v>5.11E-2</v>
      </c>
      <c r="H188" s="63">
        <v>1</v>
      </c>
    </row>
    <row r="189" spans="1:8" x14ac:dyDescent="0.55000000000000004">
      <c r="A189" s="61" t="s">
        <v>6445</v>
      </c>
      <c r="B189" t="s">
        <v>1544</v>
      </c>
      <c r="C189">
        <v>9307</v>
      </c>
      <c r="D189" t="s">
        <v>6365</v>
      </c>
      <c r="E189" t="s">
        <v>6366</v>
      </c>
      <c r="F189" t="s">
        <v>6361</v>
      </c>
      <c r="G189" s="43">
        <v>0</v>
      </c>
      <c r="H189" s="63">
        <v>-0.1</v>
      </c>
    </row>
    <row r="190" spans="1:8" x14ac:dyDescent="0.55000000000000004">
      <c r="A190" s="61" t="s">
        <v>6446</v>
      </c>
      <c r="B190" t="s">
        <v>1544</v>
      </c>
      <c r="C190">
        <v>9308</v>
      </c>
      <c r="D190" t="s">
        <v>6359</v>
      </c>
      <c r="E190" t="s">
        <v>6379</v>
      </c>
      <c r="F190" t="s">
        <v>6361</v>
      </c>
      <c r="G190" s="43">
        <v>0</v>
      </c>
      <c r="H190" s="63">
        <v>0.9</v>
      </c>
    </row>
    <row r="191" spans="1:8" x14ac:dyDescent="0.55000000000000004">
      <c r="A191" s="61" t="s">
        <v>6446</v>
      </c>
      <c r="B191" t="s">
        <v>1544</v>
      </c>
      <c r="C191">
        <v>9308</v>
      </c>
      <c r="D191" t="s">
        <v>6363</v>
      </c>
      <c r="E191" t="s">
        <v>6364</v>
      </c>
      <c r="F191" t="s">
        <v>6361</v>
      </c>
      <c r="G191" s="43">
        <v>0</v>
      </c>
      <c r="H191" s="63">
        <v>0.1</v>
      </c>
    </row>
    <row r="192" spans="1:8" x14ac:dyDescent="0.55000000000000004">
      <c r="A192" s="61" t="s">
        <v>6446</v>
      </c>
      <c r="B192" t="s">
        <v>1544</v>
      </c>
      <c r="C192">
        <v>9308</v>
      </c>
      <c r="D192" t="s">
        <v>6362</v>
      </c>
      <c r="E192" t="s">
        <v>6358</v>
      </c>
      <c r="F192" t="s">
        <v>6358</v>
      </c>
      <c r="G192" s="43">
        <v>5.11E-2</v>
      </c>
      <c r="H192" s="63">
        <v>1</v>
      </c>
    </row>
    <row r="193" spans="1:8" x14ac:dyDescent="0.55000000000000004">
      <c r="A193" s="61" t="s">
        <v>6446</v>
      </c>
      <c r="B193" t="s">
        <v>1544</v>
      </c>
      <c r="C193">
        <v>9308</v>
      </c>
      <c r="D193" t="s">
        <v>6365</v>
      </c>
      <c r="E193" t="s">
        <v>6366</v>
      </c>
      <c r="F193" t="s">
        <v>6361</v>
      </c>
      <c r="G193" s="43">
        <v>0</v>
      </c>
      <c r="H193" s="63">
        <v>-0.1</v>
      </c>
    </row>
    <row r="194" spans="1:8" x14ac:dyDescent="0.55000000000000004">
      <c r="A194" s="61" t="s">
        <v>6447</v>
      </c>
      <c r="B194" t="s">
        <v>1544</v>
      </c>
      <c r="C194">
        <v>9309</v>
      </c>
      <c r="D194" t="s">
        <v>6359</v>
      </c>
      <c r="E194" t="s">
        <v>6379</v>
      </c>
      <c r="F194" t="s">
        <v>6361</v>
      </c>
      <c r="G194" s="43">
        <v>0</v>
      </c>
      <c r="H194" s="63">
        <v>0.9</v>
      </c>
    </row>
    <row r="195" spans="1:8" x14ac:dyDescent="0.55000000000000004">
      <c r="A195" s="61" t="s">
        <v>6447</v>
      </c>
      <c r="B195" t="s">
        <v>1544</v>
      </c>
      <c r="C195">
        <v>9309</v>
      </c>
      <c r="D195" t="s">
        <v>6363</v>
      </c>
      <c r="E195" t="s">
        <v>6364</v>
      </c>
      <c r="F195" t="s">
        <v>6361</v>
      </c>
      <c r="G195" s="43">
        <v>0</v>
      </c>
      <c r="H195" s="63">
        <v>0.1</v>
      </c>
    </row>
    <row r="196" spans="1:8" x14ac:dyDescent="0.55000000000000004">
      <c r="A196" s="61" t="s">
        <v>6447</v>
      </c>
      <c r="B196" t="s">
        <v>1544</v>
      </c>
      <c r="C196">
        <v>9309</v>
      </c>
      <c r="D196" t="s">
        <v>6362</v>
      </c>
      <c r="E196" t="s">
        <v>6358</v>
      </c>
      <c r="F196" t="s">
        <v>6358</v>
      </c>
      <c r="G196" s="43">
        <v>5.11E-2</v>
      </c>
      <c r="H196" s="63">
        <v>1</v>
      </c>
    </row>
    <row r="197" spans="1:8" x14ac:dyDescent="0.55000000000000004">
      <c r="A197" s="61" t="s">
        <v>6447</v>
      </c>
      <c r="B197" t="s">
        <v>1544</v>
      </c>
      <c r="C197">
        <v>9309</v>
      </c>
      <c r="D197" t="s">
        <v>6365</v>
      </c>
      <c r="E197" t="s">
        <v>6366</v>
      </c>
      <c r="F197" t="s">
        <v>6361</v>
      </c>
      <c r="G197" s="43">
        <v>0</v>
      </c>
      <c r="H197" s="63">
        <v>-0.1</v>
      </c>
    </row>
    <row r="198" spans="1:8" x14ac:dyDescent="0.55000000000000004">
      <c r="A198" s="61" t="s">
        <v>6448</v>
      </c>
      <c r="B198" t="s">
        <v>4246</v>
      </c>
      <c r="C198">
        <v>8710</v>
      </c>
      <c r="D198" t="s">
        <v>6359</v>
      </c>
      <c r="E198" t="s">
        <v>6380</v>
      </c>
      <c r="F198" t="s">
        <v>6361</v>
      </c>
      <c r="G198" s="43">
        <v>0</v>
      </c>
      <c r="H198" s="63">
        <v>0.9</v>
      </c>
    </row>
    <row r="199" spans="1:8" x14ac:dyDescent="0.55000000000000004">
      <c r="A199" s="61" t="s">
        <v>6448</v>
      </c>
      <c r="B199" t="s">
        <v>4246</v>
      </c>
      <c r="C199">
        <v>8710</v>
      </c>
      <c r="D199" t="s">
        <v>6363</v>
      </c>
      <c r="E199" t="s">
        <v>6364</v>
      </c>
      <c r="F199" t="s">
        <v>6361</v>
      </c>
      <c r="G199" s="43">
        <v>0</v>
      </c>
      <c r="H199" s="63">
        <v>0.1</v>
      </c>
    </row>
    <row r="200" spans="1:8" x14ac:dyDescent="0.55000000000000004">
      <c r="A200" s="61" t="s">
        <v>6448</v>
      </c>
      <c r="B200" t="s">
        <v>4246</v>
      </c>
      <c r="C200">
        <v>8710</v>
      </c>
      <c r="D200" t="s">
        <v>6362</v>
      </c>
      <c r="E200" t="s">
        <v>6358</v>
      </c>
      <c r="F200" t="s">
        <v>6358</v>
      </c>
      <c r="G200" s="43">
        <v>5.2499999999999998E-2</v>
      </c>
      <c r="H200" s="63">
        <v>1</v>
      </c>
    </row>
    <row r="201" spans="1:8" x14ac:dyDescent="0.55000000000000004">
      <c r="A201" s="61" t="s">
        <v>6448</v>
      </c>
      <c r="B201" t="s">
        <v>4246</v>
      </c>
      <c r="C201">
        <v>8710</v>
      </c>
      <c r="D201" t="s">
        <v>6365</v>
      </c>
      <c r="E201" t="s">
        <v>6366</v>
      </c>
      <c r="F201" t="s">
        <v>6361</v>
      </c>
      <c r="G201" s="43">
        <v>0</v>
      </c>
      <c r="H201" s="63">
        <v>-0.1</v>
      </c>
    </row>
    <row r="202" spans="1:8" x14ac:dyDescent="0.55000000000000004">
      <c r="A202" s="61" t="s">
        <v>6449</v>
      </c>
      <c r="B202" t="s">
        <v>4246</v>
      </c>
      <c r="C202">
        <v>8712</v>
      </c>
      <c r="D202" t="s">
        <v>6359</v>
      </c>
      <c r="E202" t="s">
        <v>6381</v>
      </c>
      <c r="F202" t="s">
        <v>6361</v>
      </c>
      <c r="G202" s="43">
        <v>0</v>
      </c>
      <c r="H202" s="63">
        <v>0.9</v>
      </c>
    </row>
    <row r="203" spans="1:8" x14ac:dyDescent="0.55000000000000004">
      <c r="A203" s="61" t="s">
        <v>6449</v>
      </c>
      <c r="B203" t="s">
        <v>4246</v>
      </c>
      <c r="C203">
        <v>8712</v>
      </c>
      <c r="D203" t="s">
        <v>6363</v>
      </c>
      <c r="E203" t="s">
        <v>6364</v>
      </c>
      <c r="F203" t="s">
        <v>6361</v>
      </c>
      <c r="G203" s="43">
        <v>0</v>
      </c>
      <c r="H203" s="63">
        <v>0.1</v>
      </c>
    </row>
    <row r="204" spans="1:8" x14ac:dyDescent="0.55000000000000004">
      <c r="A204" s="61" t="s">
        <v>6449</v>
      </c>
      <c r="B204" t="s">
        <v>4246</v>
      </c>
      <c r="C204">
        <v>8712</v>
      </c>
      <c r="D204" t="s">
        <v>6362</v>
      </c>
      <c r="E204" t="s">
        <v>6358</v>
      </c>
      <c r="F204" t="s">
        <v>6358</v>
      </c>
      <c r="G204" s="43">
        <v>5.2499999999999998E-2</v>
      </c>
      <c r="H204" s="63">
        <v>1</v>
      </c>
    </row>
    <row r="205" spans="1:8" x14ac:dyDescent="0.55000000000000004">
      <c r="A205" s="61" t="s">
        <v>6449</v>
      </c>
      <c r="B205" t="s">
        <v>4246</v>
      </c>
      <c r="C205">
        <v>8712</v>
      </c>
      <c r="D205" t="s">
        <v>6365</v>
      </c>
      <c r="E205" t="s">
        <v>6366</v>
      </c>
      <c r="F205" t="s">
        <v>6361</v>
      </c>
      <c r="G205" s="43">
        <v>0</v>
      </c>
      <c r="H205" s="63">
        <v>-0.1</v>
      </c>
    </row>
    <row r="206" spans="1:8" x14ac:dyDescent="0.55000000000000004">
      <c r="A206" s="61" t="s">
        <v>6450</v>
      </c>
      <c r="B206" t="s">
        <v>4246</v>
      </c>
      <c r="C206">
        <v>8713</v>
      </c>
      <c r="D206" t="s">
        <v>6359</v>
      </c>
      <c r="E206" t="s">
        <v>6381</v>
      </c>
      <c r="F206" t="s">
        <v>6361</v>
      </c>
      <c r="G206" s="43">
        <v>0</v>
      </c>
      <c r="H206" s="63">
        <v>0.9</v>
      </c>
    </row>
    <row r="207" spans="1:8" x14ac:dyDescent="0.55000000000000004">
      <c r="A207" s="61" t="s">
        <v>6450</v>
      </c>
      <c r="B207" t="s">
        <v>4246</v>
      </c>
      <c r="C207">
        <v>8713</v>
      </c>
      <c r="D207" t="s">
        <v>6363</v>
      </c>
      <c r="E207" t="s">
        <v>6364</v>
      </c>
      <c r="F207" t="s">
        <v>6361</v>
      </c>
      <c r="G207" s="43">
        <v>0</v>
      </c>
      <c r="H207" s="63">
        <v>0.1</v>
      </c>
    </row>
    <row r="208" spans="1:8" x14ac:dyDescent="0.55000000000000004">
      <c r="A208" s="61" t="s">
        <v>6450</v>
      </c>
      <c r="B208" t="s">
        <v>4246</v>
      </c>
      <c r="C208">
        <v>8713</v>
      </c>
      <c r="D208" t="s">
        <v>6362</v>
      </c>
      <c r="E208" t="s">
        <v>6358</v>
      </c>
      <c r="F208" t="s">
        <v>6358</v>
      </c>
      <c r="G208" s="43">
        <v>5.2499999999999998E-2</v>
      </c>
      <c r="H208" s="63">
        <v>1</v>
      </c>
    </row>
    <row r="209" spans="1:8" x14ac:dyDescent="0.55000000000000004">
      <c r="A209" s="61" t="s">
        <v>6450</v>
      </c>
      <c r="B209" t="s">
        <v>4246</v>
      </c>
      <c r="C209">
        <v>8713</v>
      </c>
      <c r="D209" t="s">
        <v>6365</v>
      </c>
      <c r="E209" t="s">
        <v>6366</v>
      </c>
      <c r="F209" t="s">
        <v>6361</v>
      </c>
      <c r="G209" s="43">
        <v>0</v>
      </c>
      <c r="H209" s="63">
        <v>-0.1</v>
      </c>
    </row>
    <row r="210" spans="1:8" x14ac:dyDescent="0.55000000000000004">
      <c r="A210" s="61" t="s">
        <v>6451</v>
      </c>
      <c r="B210" t="s">
        <v>4246</v>
      </c>
      <c r="C210">
        <v>9308</v>
      </c>
      <c r="D210" t="s">
        <v>6359</v>
      </c>
      <c r="E210" t="s">
        <v>6382</v>
      </c>
      <c r="F210" t="s">
        <v>6361</v>
      </c>
      <c r="G210" s="43">
        <v>0</v>
      </c>
      <c r="H210" s="63">
        <v>0.9</v>
      </c>
    </row>
    <row r="211" spans="1:8" x14ac:dyDescent="0.55000000000000004">
      <c r="A211" s="61" t="s">
        <v>6451</v>
      </c>
      <c r="B211" t="s">
        <v>4246</v>
      </c>
      <c r="C211">
        <v>9308</v>
      </c>
      <c r="D211" t="s">
        <v>6363</v>
      </c>
      <c r="E211" t="s">
        <v>6364</v>
      </c>
      <c r="F211" t="s">
        <v>6361</v>
      </c>
      <c r="G211" s="43">
        <v>0</v>
      </c>
      <c r="H211" s="63">
        <v>0.1</v>
      </c>
    </row>
    <row r="212" spans="1:8" x14ac:dyDescent="0.55000000000000004">
      <c r="A212" s="61" t="s">
        <v>6451</v>
      </c>
      <c r="B212" t="s">
        <v>4246</v>
      </c>
      <c r="C212">
        <v>9308</v>
      </c>
      <c r="D212" t="s">
        <v>6362</v>
      </c>
      <c r="E212" t="s">
        <v>6358</v>
      </c>
      <c r="F212" t="s">
        <v>6358</v>
      </c>
      <c r="G212" s="43">
        <v>5.2499999999999998E-2</v>
      </c>
      <c r="H212" s="63">
        <v>1</v>
      </c>
    </row>
    <row r="213" spans="1:8" x14ac:dyDescent="0.55000000000000004">
      <c r="A213" s="61" t="s">
        <v>6451</v>
      </c>
      <c r="B213" t="s">
        <v>4246</v>
      </c>
      <c r="C213">
        <v>9308</v>
      </c>
      <c r="D213" t="s">
        <v>6365</v>
      </c>
      <c r="E213" t="s">
        <v>6366</v>
      </c>
      <c r="F213" t="s">
        <v>6361</v>
      </c>
      <c r="G213" s="43">
        <v>0</v>
      </c>
      <c r="H213" s="63">
        <v>-0.1</v>
      </c>
    </row>
    <row r="214" spans="1:8" x14ac:dyDescent="0.55000000000000004">
      <c r="A214" s="61" t="s">
        <v>6452</v>
      </c>
      <c r="B214" t="s">
        <v>4246</v>
      </c>
      <c r="C214">
        <v>9309</v>
      </c>
      <c r="D214" t="s">
        <v>6359</v>
      </c>
      <c r="E214" t="s">
        <v>6382</v>
      </c>
      <c r="F214" t="s">
        <v>6361</v>
      </c>
      <c r="G214" s="43">
        <v>0</v>
      </c>
      <c r="H214" s="63">
        <v>0.9</v>
      </c>
    </row>
    <row r="215" spans="1:8" x14ac:dyDescent="0.55000000000000004">
      <c r="A215" s="61" t="s">
        <v>6452</v>
      </c>
      <c r="B215" t="s">
        <v>4246</v>
      </c>
      <c r="C215">
        <v>9309</v>
      </c>
      <c r="D215" t="s">
        <v>6363</v>
      </c>
      <c r="E215" t="s">
        <v>6364</v>
      </c>
      <c r="F215" t="s">
        <v>6361</v>
      </c>
      <c r="G215" s="43">
        <v>0</v>
      </c>
      <c r="H215" s="63">
        <v>0.1</v>
      </c>
    </row>
    <row r="216" spans="1:8" x14ac:dyDescent="0.55000000000000004">
      <c r="A216" s="61" t="s">
        <v>6452</v>
      </c>
      <c r="B216" t="s">
        <v>4246</v>
      </c>
      <c r="C216">
        <v>9309</v>
      </c>
      <c r="D216" t="s">
        <v>6362</v>
      </c>
      <c r="E216" t="s">
        <v>6358</v>
      </c>
      <c r="F216" t="s">
        <v>6358</v>
      </c>
      <c r="G216" s="43">
        <v>5.2499999999999998E-2</v>
      </c>
      <c r="H216" s="63">
        <v>1</v>
      </c>
    </row>
    <row r="217" spans="1:8" x14ac:dyDescent="0.55000000000000004">
      <c r="A217" s="61" t="s">
        <v>6452</v>
      </c>
      <c r="B217" t="s">
        <v>4246</v>
      </c>
      <c r="C217">
        <v>9309</v>
      </c>
      <c r="D217" t="s">
        <v>6365</v>
      </c>
      <c r="E217" t="s">
        <v>6366</v>
      </c>
      <c r="F217" t="s">
        <v>6361</v>
      </c>
      <c r="G217" s="43">
        <v>0</v>
      </c>
      <c r="H217" s="63">
        <v>-0.1</v>
      </c>
    </row>
    <row r="218" spans="1:8" x14ac:dyDescent="0.55000000000000004">
      <c r="A218" s="61" t="s">
        <v>6453</v>
      </c>
      <c r="B218" t="s">
        <v>1018</v>
      </c>
      <c r="C218">
        <v>8701</v>
      </c>
      <c r="D218" t="s">
        <v>6359</v>
      </c>
      <c r="E218" t="s">
        <v>6370</v>
      </c>
      <c r="F218" t="s">
        <v>6361</v>
      </c>
      <c r="G218" s="43">
        <v>0</v>
      </c>
      <c r="H218" s="63">
        <v>1</v>
      </c>
    </row>
    <row r="219" spans="1:8" x14ac:dyDescent="0.55000000000000004">
      <c r="A219" s="61" t="s">
        <v>6453</v>
      </c>
      <c r="B219" t="s">
        <v>1018</v>
      </c>
      <c r="C219">
        <v>8701</v>
      </c>
      <c r="D219" t="s">
        <v>6362</v>
      </c>
      <c r="E219" t="s">
        <v>6358</v>
      </c>
      <c r="F219" t="s">
        <v>6358</v>
      </c>
      <c r="G219" s="43">
        <v>5.7500000000000002E-2</v>
      </c>
      <c r="H219" s="63">
        <v>1</v>
      </c>
    </row>
    <row r="220" spans="1:8" x14ac:dyDescent="0.55000000000000004">
      <c r="A220" s="61" t="s">
        <v>6454</v>
      </c>
      <c r="B220" t="s">
        <v>1018</v>
      </c>
      <c r="C220">
        <v>8710</v>
      </c>
      <c r="D220" t="s">
        <v>6359</v>
      </c>
      <c r="E220" t="s">
        <v>6370</v>
      </c>
      <c r="F220" t="s">
        <v>6361</v>
      </c>
      <c r="G220" s="43">
        <v>0</v>
      </c>
      <c r="H220" s="63">
        <v>0.9</v>
      </c>
    </row>
    <row r="221" spans="1:8" x14ac:dyDescent="0.55000000000000004">
      <c r="A221" s="61" t="s">
        <v>6454</v>
      </c>
      <c r="B221" t="s">
        <v>1018</v>
      </c>
      <c r="C221">
        <v>8710</v>
      </c>
      <c r="D221" t="s">
        <v>6363</v>
      </c>
      <c r="E221" t="s">
        <v>6364</v>
      </c>
      <c r="F221" t="s">
        <v>6361</v>
      </c>
      <c r="G221" s="43">
        <v>0</v>
      </c>
      <c r="H221" s="63">
        <v>0.1</v>
      </c>
    </row>
    <row r="222" spans="1:8" x14ac:dyDescent="0.55000000000000004">
      <c r="A222" s="61" t="s">
        <v>6454</v>
      </c>
      <c r="B222" t="s">
        <v>1018</v>
      </c>
      <c r="C222">
        <v>8710</v>
      </c>
      <c r="D222" t="s">
        <v>6362</v>
      </c>
      <c r="E222" t="s">
        <v>6358</v>
      </c>
      <c r="F222" t="s">
        <v>6358</v>
      </c>
      <c r="G222" s="43">
        <v>7.5600000000000001E-2</v>
      </c>
      <c r="H222" s="63">
        <v>1</v>
      </c>
    </row>
    <row r="223" spans="1:8" x14ac:dyDescent="0.55000000000000004">
      <c r="A223" s="61" t="s">
        <v>6454</v>
      </c>
      <c r="B223" t="s">
        <v>1018</v>
      </c>
      <c r="C223">
        <v>8710</v>
      </c>
      <c r="D223" t="s">
        <v>6365</v>
      </c>
      <c r="E223" t="s">
        <v>6366</v>
      </c>
      <c r="F223" t="s">
        <v>6361</v>
      </c>
      <c r="G223" s="43">
        <v>0</v>
      </c>
      <c r="H223" s="63">
        <v>-0.1</v>
      </c>
    </row>
    <row r="224" spans="1:8" x14ac:dyDescent="0.55000000000000004">
      <c r="A224" s="61" t="s">
        <v>6455</v>
      </c>
      <c r="B224" t="s">
        <v>1018</v>
      </c>
      <c r="C224">
        <v>9101</v>
      </c>
      <c r="D224" t="s">
        <v>6359</v>
      </c>
      <c r="E224" t="s">
        <v>6371</v>
      </c>
      <c r="F224" t="s">
        <v>6361</v>
      </c>
      <c r="G224" s="43">
        <v>0</v>
      </c>
      <c r="H224" s="63">
        <v>1</v>
      </c>
    </row>
    <row r="225" spans="1:8" x14ac:dyDescent="0.55000000000000004">
      <c r="A225" s="61" t="s">
        <v>6455</v>
      </c>
      <c r="B225" t="s">
        <v>1018</v>
      </c>
      <c r="C225">
        <v>9101</v>
      </c>
      <c r="D225" t="s">
        <v>6362</v>
      </c>
      <c r="E225" t="s">
        <v>6358</v>
      </c>
      <c r="F225" t="s">
        <v>6358</v>
      </c>
      <c r="G225" s="43">
        <v>5.7500000000000002E-2</v>
      </c>
      <c r="H225" s="63">
        <v>1</v>
      </c>
    </row>
    <row r="226" spans="1:8" x14ac:dyDescent="0.55000000000000004">
      <c r="A226" s="61" t="s">
        <v>6456</v>
      </c>
      <c r="B226" t="s">
        <v>1018</v>
      </c>
      <c r="C226">
        <v>9310</v>
      </c>
      <c r="D226" t="s">
        <v>6359</v>
      </c>
      <c r="E226" t="s">
        <v>6371</v>
      </c>
      <c r="F226" t="s">
        <v>6361</v>
      </c>
      <c r="G226" s="43">
        <v>0</v>
      </c>
      <c r="H226" s="63">
        <v>0.9</v>
      </c>
    </row>
    <row r="227" spans="1:8" x14ac:dyDescent="0.55000000000000004">
      <c r="A227" s="61" t="s">
        <v>6456</v>
      </c>
      <c r="B227" t="s">
        <v>1018</v>
      </c>
      <c r="C227">
        <v>9310</v>
      </c>
      <c r="D227" t="s">
        <v>6363</v>
      </c>
      <c r="E227" t="s">
        <v>6364</v>
      </c>
      <c r="F227" t="s">
        <v>6361</v>
      </c>
      <c r="G227" s="43">
        <v>0</v>
      </c>
      <c r="H227" s="63">
        <v>0.1</v>
      </c>
    </row>
    <row r="228" spans="1:8" x14ac:dyDescent="0.55000000000000004">
      <c r="A228" s="61" t="s">
        <v>6456</v>
      </c>
      <c r="B228" t="s">
        <v>1018</v>
      </c>
      <c r="C228">
        <v>9310</v>
      </c>
      <c r="D228" t="s">
        <v>6362</v>
      </c>
      <c r="E228" t="s">
        <v>6358</v>
      </c>
      <c r="F228" t="s">
        <v>6358</v>
      </c>
      <c r="G228" s="43">
        <v>7.5600000000000001E-2</v>
      </c>
      <c r="H228" s="63">
        <v>1</v>
      </c>
    </row>
    <row r="229" spans="1:8" x14ac:dyDescent="0.55000000000000004">
      <c r="A229" s="61" t="s">
        <v>6456</v>
      </c>
      <c r="B229" t="s">
        <v>1018</v>
      </c>
      <c r="C229">
        <v>9310</v>
      </c>
      <c r="D229" t="s">
        <v>6365</v>
      </c>
      <c r="E229" t="s">
        <v>6366</v>
      </c>
      <c r="F229" t="s">
        <v>6361</v>
      </c>
      <c r="G229" s="43">
        <v>0</v>
      </c>
      <c r="H229" s="63">
        <v>-0.1</v>
      </c>
    </row>
    <row r="230" spans="1:8" x14ac:dyDescent="0.55000000000000004">
      <c r="A230" s="61" t="s">
        <v>6457</v>
      </c>
      <c r="B230" t="s">
        <v>683</v>
      </c>
      <c r="C230">
        <v>8502</v>
      </c>
      <c r="D230" t="s">
        <v>6359</v>
      </c>
      <c r="E230" t="s">
        <v>6360</v>
      </c>
      <c r="F230" t="s">
        <v>6361</v>
      </c>
      <c r="G230" s="43">
        <v>0</v>
      </c>
      <c r="H230" s="63">
        <v>0.9</v>
      </c>
    </row>
    <row r="231" spans="1:8" x14ac:dyDescent="0.55000000000000004">
      <c r="A231" s="61" t="s">
        <v>6457</v>
      </c>
      <c r="B231" t="s">
        <v>683</v>
      </c>
      <c r="C231">
        <v>8502</v>
      </c>
      <c r="D231" t="s">
        <v>6363</v>
      </c>
      <c r="E231" t="s">
        <v>6364</v>
      </c>
      <c r="F231" t="s">
        <v>6361</v>
      </c>
      <c r="G231" s="43">
        <v>0</v>
      </c>
      <c r="H231" s="63">
        <v>0.1</v>
      </c>
    </row>
    <row r="232" spans="1:8" x14ac:dyDescent="0.55000000000000004">
      <c r="A232" s="61" t="s">
        <v>6457</v>
      </c>
      <c r="B232" t="s">
        <v>683</v>
      </c>
      <c r="C232">
        <v>8502</v>
      </c>
      <c r="D232" t="s">
        <v>6362</v>
      </c>
      <c r="E232" t="s">
        <v>6358</v>
      </c>
      <c r="F232" t="s">
        <v>6358</v>
      </c>
      <c r="G232" s="43">
        <v>8.09E-2</v>
      </c>
      <c r="H232" s="63">
        <v>1</v>
      </c>
    </row>
    <row r="233" spans="1:8" x14ac:dyDescent="0.55000000000000004">
      <c r="A233" s="61" t="s">
        <v>6457</v>
      </c>
      <c r="B233" t="s">
        <v>683</v>
      </c>
      <c r="C233">
        <v>8502</v>
      </c>
      <c r="D233" t="s">
        <v>6365</v>
      </c>
      <c r="E233" t="s">
        <v>6366</v>
      </c>
      <c r="F233" t="s">
        <v>6361</v>
      </c>
      <c r="G233" s="43">
        <v>0</v>
      </c>
      <c r="H233" s="63">
        <v>-0.1</v>
      </c>
    </row>
    <row r="234" spans="1:8" x14ac:dyDescent="0.55000000000000004">
      <c r="A234" s="61" t="s">
        <v>6458</v>
      </c>
      <c r="B234" t="s">
        <v>683</v>
      </c>
      <c r="C234">
        <v>8510</v>
      </c>
      <c r="D234" t="s">
        <v>6359</v>
      </c>
      <c r="E234" t="s">
        <v>6360</v>
      </c>
      <c r="F234" t="s">
        <v>6361</v>
      </c>
      <c r="G234" s="43">
        <v>0</v>
      </c>
      <c r="H234" s="63">
        <v>0.9</v>
      </c>
    </row>
    <row r="235" spans="1:8" x14ac:dyDescent="0.55000000000000004">
      <c r="A235" s="61" t="s">
        <v>6458</v>
      </c>
      <c r="B235" t="s">
        <v>683</v>
      </c>
      <c r="C235">
        <v>8510</v>
      </c>
      <c r="D235" t="s">
        <v>6363</v>
      </c>
      <c r="E235" t="s">
        <v>6364</v>
      </c>
      <c r="F235" t="s">
        <v>6361</v>
      </c>
      <c r="G235" s="43">
        <v>0</v>
      </c>
      <c r="H235" s="63">
        <v>0.1</v>
      </c>
    </row>
    <row r="236" spans="1:8" x14ac:dyDescent="0.55000000000000004">
      <c r="A236" s="61" t="s">
        <v>6458</v>
      </c>
      <c r="B236" t="s">
        <v>683</v>
      </c>
      <c r="C236">
        <v>8510</v>
      </c>
      <c r="D236" t="s">
        <v>6362</v>
      </c>
      <c r="E236" t="s">
        <v>6358</v>
      </c>
      <c r="F236" t="s">
        <v>6358</v>
      </c>
      <c r="G236" s="43">
        <v>8.09E-2</v>
      </c>
      <c r="H236" s="63">
        <v>1</v>
      </c>
    </row>
    <row r="237" spans="1:8" x14ac:dyDescent="0.55000000000000004">
      <c r="A237" s="61" t="s">
        <v>6458</v>
      </c>
      <c r="B237" t="s">
        <v>683</v>
      </c>
      <c r="C237">
        <v>8510</v>
      </c>
      <c r="D237" t="s">
        <v>6365</v>
      </c>
      <c r="E237" t="s">
        <v>6366</v>
      </c>
      <c r="F237" t="s">
        <v>6361</v>
      </c>
      <c r="G237" s="43">
        <v>0</v>
      </c>
      <c r="H237" s="63">
        <v>-0.1</v>
      </c>
    </row>
    <row r="238" spans="1:8" x14ac:dyDescent="0.55000000000000004">
      <c r="A238" s="61" t="s">
        <v>6459</v>
      </c>
      <c r="B238" t="s">
        <v>683</v>
      </c>
      <c r="C238">
        <v>8708</v>
      </c>
      <c r="D238" t="s">
        <v>6359</v>
      </c>
      <c r="E238" t="s">
        <v>6360</v>
      </c>
      <c r="F238" t="s">
        <v>6361</v>
      </c>
      <c r="G238" s="43">
        <v>0</v>
      </c>
      <c r="H238" s="63">
        <v>0.9</v>
      </c>
    </row>
    <row r="239" spans="1:8" x14ac:dyDescent="0.55000000000000004">
      <c r="A239" s="61" t="s">
        <v>6459</v>
      </c>
      <c r="B239" t="s">
        <v>683</v>
      </c>
      <c r="C239">
        <v>8708</v>
      </c>
      <c r="D239" t="s">
        <v>6363</v>
      </c>
      <c r="E239" t="s">
        <v>6364</v>
      </c>
      <c r="F239" t="s">
        <v>6361</v>
      </c>
      <c r="G239" s="43">
        <v>0</v>
      </c>
      <c r="H239" s="63">
        <v>0.1</v>
      </c>
    </row>
    <row r="240" spans="1:8" x14ac:dyDescent="0.55000000000000004">
      <c r="A240" s="61" t="s">
        <v>6459</v>
      </c>
      <c r="B240" t="s">
        <v>683</v>
      </c>
      <c r="C240">
        <v>8708</v>
      </c>
      <c r="D240" t="s">
        <v>6362</v>
      </c>
      <c r="E240" t="s">
        <v>6358</v>
      </c>
      <c r="F240" t="s">
        <v>6358</v>
      </c>
      <c r="G240" s="43">
        <v>8.09E-2</v>
      </c>
      <c r="H240" s="63">
        <v>1</v>
      </c>
    </row>
    <row r="241" spans="1:8" x14ac:dyDescent="0.55000000000000004">
      <c r="A241" s="61" t="s">
        <v>6459</v>
      </c>
      <c r="B241" t="s">
        <v>683</v>
      </c>
      <c r="C241">
        <v>8708</v>
      </c>
      <c r="D241" t="s">
        <v>6365</v>
      </c>
      <c r="E241" t="s">
        <v>6366</v>
      </c>
      <c r="F241" t="s">
        <v>6361</v>
      </c>
      <c r="G241" s="43">
        <v>0</v>
      </c>
      <c r="H241" s="63">
        <v>-0.1</v>
      </c>
    </row>
    <row r="242" spans="1:8" x14ac:dyDescent="0.55000000000000004">
      <c r="A242" s="61" t="s">
        <v>6460</v>
      </c>
      <c r="B242" t="s">
        <v>683</v>
      </c>
      <c r="C242">
        <v>8710</v>
      </c>
      <c r="D242" t="s">
        <v>6359</v>
      </c>
      <c r="E242" t="s">
        <v>6360</v>
      </c>
      <c r="F242" t="s">
        <v>6361</v>
      </c>
      <c r="G242" s="43">
        <v>0</v>
      </c>
      <c r="H242" s="63">
        <v>0.9</v>
      </c>
    </row>
    <row r="243" spans="1:8" x14ac:dyDescent="0.55000000000000004">
      <c r="A243" s="61" t="s">
        <v>6460</v>
      </c>
      <c r="B243" t="s">
        <v>683</v>
      </c>
      <c r="C243">
        <v>8710</v>
      </c>
      <c r="D243" t="s">
        <v>6363</v>
      </c>
      <c r="E243" t="s">
        <v>6364</v>
      </c>
      <c r="F243" t="s">
        <v>6361</v>
      </c>
      <c r="G243" s="43">
        <v>0</v>
      </c>
      <c r="H243" s="63">
        <v>0.1</v>
      </c>
    </row>
    <row r="244" spans="1:8" x14ac:dyDescent="0.55000000000000004">
      <c r="A244" s="61" t="s">
        <v>6460</v>
      </c>
      <c r="B244" t="s">
        <v>683</v>
      </c>
      <c r="C244">
        <v>8710</v>
      </c>
      <c r="D244" t="s">
        <v>6362</v>
      </c>
      <c r="E244" t="s">
        <v>6358</v>
      </c>
      <c r="F244" t="s">
        <v>6358</v>
      </c>
      <c r="G244" s="43">
        <v>8.09E-2</v>
      </c>
      <c r="H244" s="63">
        <v>1</v>
      </c>
    </row>
    <row r="245" spans="1:8" x14ac:dyDescent="0.55000000000000004">
      <c r="A245" s="61" t="s">
        <v>6460</v>
      </c>
      <c r="B245" t="s">
        <v>683</v>
      </c>
      <c r="C245">
        <v>8710</v>
      </c>
      <c r="D245" t="s">
        <v>6365</v>
      </c>
      <c r="E245" t="s">
        <v>6366</v>
      </c>
      <c r="F245" t="s">
        <v>6361</v>
      </c>
      <c r="G245" s="43">
        <v>0</v>
      </c>
      <c r="H245" s="63">
        <v>-0.1</v>
      </c>
    </row>
    <row r="246" spans="1:8" x14ac:dyDescent="0.55000000000000004">
      <c r="A246" s="61" t="s">
        <v>6461</v>
      </c>
      <c r="B246" t="s">
        <v>683</v>
      </c>
      <c r="C246">
        <v>9107</v>
      </c>
      <c r="D246" t="s">
        <v>6359</v>
      </c>
      <c r="E246" t="s">
        <v>6367</v>
      </c>
      <c r="F246" t="s">
        <v>6361</v>
      </c>
      <c r="G246" s="43">
        <v>0</v>
      </c>
      <c r="H246" s="63">
        <v>0.9</v>
      </c>
    </row>
    <row r="247" spans="1:8" x14ac:dyDescent="0.55000000000000004">
      <c r="A247" s="61" t="s">
        <v>6461</v>
      </c>
      <c r="B247" t="s">
        <v>683</v>
      </c>
      <c r="C247">
        <v>9107</v>
      </c>
      <c r="D247" t="s">
        <v>6363</v>
      </c>
      <c r="E247" t="s">
        <v>6364</v>
      </c>
      <c r="F247" t="s">
        <v>6361</v>
      </c>
      <c r="G247" s="43">
        <v>0</v>
      </c>
      <c r="H247" s="63">
        <v>0.1</v>
      </c>
    </row>
    <row r="248" spans="1:8" x14ac:dyDescent="0.55000000000000004">
      <c r="A248" s="61" t="s">
        <v>6461</v>
      </c>
      <c r="B248" t="s">
        <v>683</v>
      </c>
      <c r="C248">
        <v>9107</v>
      </c>
      <c r="D248" t="s">
        <v>6362</v>
      </c>
      <c r="E248" t="s">
        <v>6358</v>
      </c>
      <c r="F248" t="s">
        <v>6358</v>
      </c>
      <c r="G248" s="43">
        <v>8.09E-2</v>
      </c>
      <c r="H248" s="63">
        <v>1</v>
      </c>
    </row>
    <row r="249" spans="1:8" x14ac:dyDescent="0.55000000000000004">
      <c r="A249" s="61" t="s">
        <v>6461</v>
      </c>
      <c r="B249" t="s">
        <v>683</v>
      </c>
      <c r="C249">
        <v>9107</v>
      </c>
      <c r="D249" t="s">
        <v>6365</v>
      </c>
      <c r="E249" t="s">
        <v>6366</v>
      </c>
      <c r="F249" t="s">
        <v>6361</v>
      </c>
      <c r="G249" s="43">
        <v>0</v>
      </c>
      <c r="H249" s="63">
        <v>-0.1</v>
      </c>
    </row>
    <row r="250" spans="1:8" x14ac:dyDescent="0.55000000000000004">
      <c r="A250" s="61" t="s">
        <v>6462</v>
      </c>
      <c r="B250" t="s">
        <v>683</v>
      </c>
      <c r="C250">
        <v>9110</v>
      </c>
      <c r="D250" t="s">
        <v>6359</v>
      </c>
      <c r="E250" t="s">
        <v>6367</v>
      </c>
      <c r="F250" t="s">
        <v>6361</v>
      </c>
      <c r="G250" s="43">
        <v>0</v>
      </c>
      <c r="H250" s="63">
        <v>0.9</v>
      </c>
    </row>
    <row r="251" spans="1:8" x14ac:dyDescent="0.55000000000000004">
      <c r="A251" s="61" t="s">
        <v>6462</v>
      </c>
      <c r="B251" t="s">
        <v>683</v>
      </c>
      <c r="C251">
        <v>9110</v>
      </c>
      <c r="D251" t="s">
        <v>6363</v>
      </c>
      <c r="E251" t="s">
        <v>6364</v>
      </c>
      <c r="F251" t="s">
        <v>6361</v>
      </c>
      <c r="G251" s="43">
        <v>0</v>
      </c>
      <c r="H251" s="63">
        <v>0.1</v>
      </c>
    </row>
    <row r="252" spans="1:8" x14ac:dyDescent="0.55000000000000004">
      <c r="A252" s="61" t="s">
        <v>6462</v>
      </c>
      <c r="B252" t="s">
        <v>683</v>
      </c>
      <c r="C252">
        <v>9110</v>
      </c>
      <c r="D252" t="s">
        <v>6362</v>
      </c>
      <c r="E252" t="s">
        <v>6358</v>
      </c>
      <c r="F252" t="s">
        <v>6358</v>
      </c>
      <c r="G252" s="43">
        <v>8.09E-2</v>
      </c>
      <c r="H252" s="63">
        <v>1</v>
      </c>
    </row>
    <row r="253" spans="1:8" x14ac:dyDescent="0.55000000000000004">
      <c r="A253" s="61" t="s">
        <v>6462</v>
      </c>
      <c r="B253" t="s">
        <v>683</v>
      </c>
      <c r="C253">
        <v>9110</v>
      </c>
      <c r="D253" t="s">
        <v>6365</v>
      </c>
      <c r="E253" t="s">
        <v>6366</v>
      </c>
      <c r="F253" t="s">
        <v>6361</v>
      </c>
      <c r="G253" s="43">
        <v>0</v>
      </c>
      <c r="H253" s="63">
        <v>-0.1</v>
      </c>
    </row>
    <row r="254" spans="1:8" x14ac:dyDescent="0.55000000000000004">
      <c r="A254" s="61" t="s">
        <v>6463</v>
      </c>
      <c r="B254" t="s">
        <v>3859</v>
      </c>
      <c r="C254">
        <v>8701</v>
      </c>
      <c r="D254" t="s">
        <v>6359</v>
      </c>
      <c r="E254" t="s">
        <v>6368</v>
      </c>
      <c r="F254" t="s">
        <v>6361</v>
      </c>
      <c r="G254" s="43">
        <v>0</v>
      </c>
      <c r="H254" s="63">
        <v>1</v>
      </c>
    </row>
    <row r="255" spans="1:8" x14ac:dyDescent="0.55000000000000004">
      <c r="A255" s="61" t="s">
        <v>6463</v>
      </c>
      <c r="B255" t="s">
        <v>3859</v>
      </c>
      <c r="C255">
        <v>8701</v>
      </c>
      <c r="D255" t="s">
        <v>6362</v>
      </c>
      <c r="E255" t="s">
        <v>6358</v>
      </c>
      <c r="F255" t="s">
        <v>6358</v>
      </c>
      <c r="G255" s="43">
        <v>4.9799999999999997E-2</v>
      </c>
      <c r="H255" s="63">
        <v>1</v>
      </c>
    </row>
    <row r="256" spans="1:8" x14ac:dyDescent="0.55000000000000004">
      <c r="A256" s="61" t="s">
        <v>6464</v>
      </c>
      <c r="B256" t="s">
        <v>3859</v>
      </c>
      <c r="C256">
        <v>8710</v>
      </c>
      <c r="D256" t="s">
        <v>6359</v>
      </c>
      <c r="E256" t="s">
        <v>6368</v>
      </c>
      <c r="F256" t="s">
        <v>6361</v>
      </c>
      <c r="G256" s="43">
        <v>0</v>
      </c>
      <c r="H256" s="63">
        <v>0.9</v>
      </c>
    </row>
    <row r="257" spans="1:8" x14ac:dyDescent="0.55000000000000004">
      <c r="A257" s="61" t="s">
        <v>6464</v>
      </c>
      <c r="B257" t="s">
        <v>3859</v>
      </c>
      <c r="C257">
        <v>8710</v>
      </c>
      <c r="D257" t="s">
        <v>6363</v>
      </c>
      <c r="E257" t="s">
        <v>6364</v>
      </c>
      <c r="F257" t="s">
        <v>6361</v>
      </c>
      <c r="G257" s="43">
        <v>0</v>
      </c>
      <c r="H257" s="63">
        <v>0.1</v>
      </c>
    </row>
    <row r="258" spans="1:8" x14ac:dyDescent="0.55000000000000004">
      <c r="A258" s="61" t="s">
        <v>6464</v>
      </c>
      <c r="B258" t="s">
        <v>3859</v>
      </c>
      <c r="C258">
        <v>8710</v>
      </c>
      <c r="D258" t="s">
        <v>6362</v>
      </c>
      <c r="E258" t="s">
        <v>6358</v>
      </c>
      <c r="F258" t="s">
        <v>6358</v>
      </c>
      <c r="G258" s="62">
        <v>6.0299999999999999E-2</v>
      </c>
      <c r="H258" s="63">
        <v>1</v>
      </c>
    </row>
    <row r="259" spans="1:8" x14ac:dyDescent="0.55000000000000004">
      <c r="A259" s="61" t="s">
        <v>6464</v>
      </c>
      <c r="B259" t="s">
        <v>3859</v>
      </c>
      <c r="C259">
        <v>8710</v>
      </c>
      <c r="D259" t="s">
        <v>6365</v>
      </c>
      <c r="E259" t="s">
        <v>6366</v>
      </c>
      <c r="F259" t="s">
        <v>6361</v>
      </c>
      <c r="G259" s="43">
        <v>0</v>
      </c>
      <c r="H259" s="63">
        <v>-0.1</v>
      </c>
    </row>
    <row r="260" spans="1:8" x14ac:dyDescent="0.55000000000000004">
      <c r="A260" s="61" t="s">
        <v>6465</v>
      </c>
      <c r="B260" t="s">
        <v>3859</v>
      </c>
      <c r="C260">
        <v>9310</v>
      </c>
      <c r="D260" t="s">
        <v>6359</v>
      </c>
      <c r="E260" t="s">
        <v>6369</v>
      </c>
      <c r="F260" t="s">
        <v>6361</v>
      </c>
      <c r="G260" s="43">
        <v>0</v>
      </c>
      <c r="H260" s="63">
        <v>0.9</v>
      </c>
    </row>
    <row r="261" spans="1:8" x14ac:dyDescent="0.55000000000000004">
      <c r="A261" s="61" t="s">
        <v>6465</v>
      </c>
      <c r="B261" t="s">
        <v>3859</v>
      </c>
      <c r="C261">
        <v>9310</v>
      </c>
      <c r="D261" t="s">
        <v>6363</v>
      </c>
      <c r="E261" t="s">
        <v>6364</v>
      </c>
      <c r="F261" t="s">
        <v>6361</v>
      </c>
      <c r="G261" s="43">
        <v>0</v>
      </c>
      <c r="H261" s="63">
        <v>0.1</v>
      </c>
    </row>
    <row r="262" spans="1:8" x14ac:dyDescent="0.55000000000000004">
      <c r="A262" s="61" t="s">
        <v>6465</v>
      </c>
      <c r="B262" t="s">
        <v>3859</v>
      </c>
      <c r="C262">
        <v>9310</v>
      </c>
      <c r="D262" t="s">
        <v>6362</v>
      </c>
      <c r="E262" t="s">
        <v>6358</v>
      </c>
      <c r="F262" t="s">
        <v>6358</v>
      </c>
      <c r="G262" s="62">
        <v>6.0299999999999999E-2</v>
      </c>
      <c r="H262" s="63">
        <v>1</v>
      </c>
    </row>
    <row r="263" spans="1:8" x14ac:dyDescent="0.55000000000000004">
      <c r="A263" s="61" t="s">
        <v>6465</v>
      </c>
      <c r="B263" t="s">
        <v>3859</v>
      </c>
      <c r="C263">
        <v>9310</v>
      </c>
      <c r="D263" t="s">
        <v>6365</v>
      </c>
      <c r="E263" t="s">
        <v>6366</v>
      </c>
      <c r="F263" t="s">
        <v>6361</v>
      </c>
      <c r="G263" s="43">
        <v>0</v>
      </c>
      <c r="H263" s="63">
        <v>-0.1</v>
      </c>
    </row>
    <row r="264" spans="1:8" x14ac:dyDescent="0.55000000000000004">
      <c r="A264" s="61" t="s">
        <v>6466</v>
      </c>
      <c r="B264" t="s">
        <v>1042</v>
      </c>
      <c r="C264">
        <v>8710</v>
      </c>
      <c r="D264" t="s">
        <v>6359</v>
      </c>
      <c r="E264" t="s">
        <v>6370</v>
      </c>
      <c r="F264" t="s">
        <v>6361</v>
      </c>
      <c r="G264" s="43">
        <v>0</v>
      </c>
      <c r="H264" s="63">
        <v>0.9</v>
      </c>
    </row>
    <row r="265" spans="1:8" x14ac:dyDescent="0.55000000000000004">
      <c r="A265" s="61" t="s">
        <v>6466</v>
      </c>
      <c r="B265" t="s">
        <v>1042</v>
      </c>
      <c r="C265">
        <v>8710</v>
      </c>
      <c r="D265" t="s">
        <v>6363</v>
      </c>
      <c r="E265" t="s">
        <v>6364</v>
      </c>
      <c r="F265" t="s">
        <v>6361</v>
      </c>
      <c r="G265" s="43">
        <v>0</v>
      </c>
      <c r="H265" s="63">
        <v>0.1</v>
      </c>
    </row>
    <row r="266" spans="1:8" x14ac:dyDescent="0.55000000000000004">
      <c r="A266" s="61" t="s">
        <v>6466</v>
      </c>
      <c r="B266" t="s">
        <v>1042</v>
      </c>
      <c r="C266">
        <v>8710</v>
      </c>
      <c r="D266" t="s">
        <v>6362</v>
      </c>
      <c r="E266" t="s">
        <v>6358</v>
      </c>
      <c r="F266" t="s">
        <v>6358</v>
      </c>
      <c r="G266" s="43">
        <v>8.1900000000000001E-2</v>
      </c>
      <c r="H266" s="63">
        <v>1</v>
      </c>
    </row>
    <row r="267" spans="1:8" x14ac:dyDescent="0.55000000000000004">
      <c r="A267" s="61" t="s">
        <v>6466</v>
      </c>
      <c r="B267" t="s">
        <v>1042</v>
      </c>
      <c r="C267">
        <v>8710</v>
      </c>
      <c r="D267" t="s">
        <v>6365</v>
      </c>
      <c r="E267" t="s">
        <v>6366</v>
      </c>
      <c r="F267" t="s">
        <v>6361</v>
      </c>
      <c r="G267" s="43">
        <v>0</v>
      </c>
      <c r="H267" s="63">
        <v>-0.1</v>
      </c>
    </row>
    <row r="268" spans="1:8" x14ac:dyDescent="0.55000000000000004">
      <c r="A268" s="61" t="s">
        <v>6467</v>
      </c>
      <c r="B268" t="s">
        <v>1042</v>
      </c>
      <c r="C268">
        <v>9310</v>
      </c>
      <c r="D268" t="s">
        <v>6359</v>
      </c>
      <c r="E268" t="s">
        <v>6371</v>
      </c>
      <c r="F268" t="s">
        <v>6361</v>
      </c>
      <c r="G268" s="43">
        <v>0</v>
      </c>
      <c r="H268" s="63">
        <v>0.9</v>
      </c>
    </row>
    <row r="269" spans="1:8" x14ac:dyDescent="0.55000000000000004">
      <c r="A269" s="61" t="s">
        <v>6467</v>
      </c>
      <c r="B269" t="s">
        <v>1042</v>
      </c>
      <c r="C269">
        <v>9310</v>
      </c>
      <c r="D269" t="s">
        <v>6363</v>
      </c>
      <c r="E269" t="s">
        <v>6364</v>
      </c>
      <c r="F269" t="s">
        <v>6361</v>
      </c>
      <c r="G269" s="43">
        <v>0</v>
      </c>
      <c r="H269" s="63">
        <v>0.1</v>
      </c>
    </row>
    <row r="270" spans="1:8" x14ac:dyDescent="0.55000000000000004">
      <c r="A270" s="61" t="s">
        <v>6467</v>
      </c>
      <c r="B270" t="s">
        <v>1042</v>
      </c>
      <c r="C270">
        <v>9310</v>
      </c>
      <c r="D270" t="s">
        <v>6362</v>
      </c>
      <c r="E270" t="s">
        <v>6358</v>
      </c>
      <c r="F270" t="s">
        <v>6358</v>
      </c>
      <c r="G270" s="43">
        <v>8.1900000000000001E-2</v>
      </c>
      <c r="H270" s="63">
        <v>1</v>
      </c>
    </row>
    <row r="271" spans="1:8" x14ac:dyDescent="0.55000000000000004">
      <c r="A271" s="61" t="s">
        <v>6467</v>
      </c>
      <c r="B271" t="s">
        <v>1042</v>
      </c>
      <c r="C271">
        <v>9310</v>
      </c>
      <c r="D271" t="s">
        <v>6365</v>
      </c>
      <c r="E271" t="s">
        <v>6366</v>
      </c>
      <c r="F271" t="s">
        <v>6361</v>
      </c>
      <c r="G271" s="43">
        <v>0</v>
      </c>
      <c r="H271" s="63">
        <v>-0.1</v>
      </c>
    </row>
    <row r="272" spans="1:8" x14ac:dyDescent="0.55000000000000004">
      <c r="A272" s="61" t="s">
        <v>6468</v>
      </c>
      <c r="B272" t="s">
        <v>2393</v>
      </c>
      <c r="C272">
        <v>8711</v>
      </c>
      <c r="D272" t="s">
        <v>6359</v>
      </c>
      <c r="E272" t="s">
        <v>6372</v>
      </c>
      <c r="F272" t="s">
        <v>6361</v>
      </c>
      <c r="G272" s="43">
        <v>0</v>
      </c>
      <c r="H272" s="63">
        <v>0.9</v>
      </c>
    </row>
    <row r="273" spans="1:8" x14ac:dyDescent="0.55000000000000004">
      <c r="A273" s="61" t="s">
        <v>6468</v>
      </c>
      <c r="B273" t="s">
        <v>2393</v>
      </c>
      <c r="C273">
        <v>8711</v>
      </c>
      <c r="D273" t="s">
        <v>6363</v>
      </c>
      <c r="E273" t="s">
        <v>6364</v>
      </c>
      <c r="F273" t="s">
        <v>6361</v>
      </c>
      <c r="G273" s="43">
        <v>0</v>
      </c>
      <c r="H273" s="63">
        <v>0.1</v>
      </c>
    </row>
    <row r="274" spans="1:8" x14ac:dyDescent="0.55000000000000004">
      <c r="A274" s="61" t="s">
        <v>6468</v>
      </c>
      <c r="B274" t="s">
        <v>2393</v>
      </c>
      <c r="C274">
        <v>8711</v>
      </c>
      <c r="D274" t="s">
        <v>6362</v>
      </c>
      <c r="E274" t="s">
        <v>6358</v>
      </c>
      <c r="F274" t="s">
        <v>6358</v>
      </c>
      <c r="G274" s="43">
        <v>8.4099999999999994E-2</v>
      </c>
      <c r="H274" s="63">
        <v>1</v>
      </c>
    </row>
    <row r="275" spans="1:8" x14ac:dyDescent="0.55000000000000004">
      <c r="A275" s="61" t="s">
        <v>6468</v>
      </c>
      <c r="B275" t="s">
        <v>2393</v>
      </c>
      <c r="C275">
        <v>8711</v>
      </c>
      <c r="D275" t="s">
        <v>6365</v>
      </c>
      <c r="E275" t="s">
        <v>6366</v>
      </c>
      <c r="F275" t="s">
        <v>6361</v>
      </c>
      <c r="G275" s="43">
        <v>0</v>
      </c>
      <c r="H275" s="63">
        <v>-0.1</v>
      </c>
    </row>
    <row r="276" spans="1:8" x14ac:dyDescent="0.55000000000000004">
      <c r="A276" s="61" t="s">
        <v>6469</v>
      </c>
      <c r="B276" t="s">
        <v>2393</v>
      </c>
      <c r="C276">
        <v>8713</v>
      </c>
      <c r="D276" t="s">
        <v>6359</v>
      </c>
      <c r="E276" t="s">
        <v>6372</v>
      </c>
      <c r="F276" t="s">
        <v>6361</v>
      </c>
      <c r="G276" s="43">
        <v>0</v>
      </c>
      <c r="H276" s="63">
        <v>0.9</v>
      </c>
    </row>
    <row r="277" spans="1:8" x14ac:dyDescent="0.55000000000000004">
      <c r="A277" s="61" t="s">
        <v>6469</v>
      </c>
      <c r="B277" t="s">
        <v>2393</v>
      </c>
      <c r="C277">
        <v>8713</v>
      </c>
      <c r="D277" t="s">
        <v>6363</v>
      </c>
      <c r="E277" t="s">
        <v>6364</v>
      </c>
      <c r="F277" t="s">
        <v>6361</v>
      </c>
      <c r="G277" s="43">
        <v>0</v>
      </c>
      <c r="H277" s="63">
        <v>0.1</v>
      </c>
    </row>
    <row r="278" spans="1:8" x14ac:dyDescent="0.55000000000000004">
      <c r="A278" s="61" t="s">
        <v>6469</v>
      </c>
      <c r="B278" t="s">
        <v>2393</v>
      </c>
      <c r="C278">
        <v>8713</v>
      </c>
      <c r="D278" t="s">
        <v>6362</v>
      </c>
      <c r="E278" t="s">
        <v>6358</v>
      </c>
      <c r="F278" t="s">
        <v>6358</v>
      </c>
      <c r="G278" s="43">
        <v>8.4099999999999994E-2</v>
      </c>
      <c r="H278" s="63">
        <v>1</v>
      </c>
    </row>
    <row r="279" spans="1:8" x14ac:dyDescent="0.55000000000000004">
      <c r="A279" s="61" t="s">
        <v>6469</v>
      </c>
      <c r="B279" t="s">
        <v>2393</v>
      </c>
      <c r="C279">
        <v>8713</v>
      </c>
      <c r="D279" t="s">
        <v>6365</v>
      </c>
      <c r="E279" t="s">
        <v>6366</v>
      </c>
      <c r="F279" t="s">
        <v>6361</v>
      </c>
      <c r="G279" s="43">
        <v>0</v>
      </c>
      <c r="H279" s="63">
        <v>-0.1</v>
      </c>
    </row>
    <row r="280" spans="1:8" x14ac:dyDescent="0.55000000000000004">
      <c r="A280" s="61" t="s">
        <v>6470</v>
      </c>
      <c r="B280" t="s">
        <v>2393</v>
      </c>
      <c r="C280">
        <v>9307</v>
      </c>
      <c r="D280" t="s">
        <v>6359</v>
      </c>
      <c r="E280" t="s">
        <v>6373</v>
      </c>
      <c r="F280" t="s">
        <v>6361</v>
      </c>
      <c r="G280" s="43">
        <v>0</v>
      </c>
      <c r="H280" s="63">
        <v>0.9</v>
      </c>
    </row>
    <row r="281" spans="1:8" x14ac:dyDescent="0.55000000000000004">
      <c r="A281" s="61" t="s">
        <v>6470</v>
      </c>
      <c r="B281" t="s">
        <v>2393</v>
      </c>
      <c r="C281">
        <v>9307</v>
      </c>
      <c r="D281" t="s">
        <v>6363</v>
      </c>
      <c r="E281" t="s">
        <v>6364</v>
      </c>
      <c r="F281" t="s">
        <v>6361</v>
      </c>
      <c r="G281" s="43">
        <v>0</v>
      </c>
      <c r="H281" s="63">
        <v>0.1</v>
      </c>
    </row>
    <row r="282" spans="1:8" x14ac:dyDescent="0.55000000000000004">
      <c r="A282" s="61" t="s">
        <v>6470</v>
      </c>
      <c r="B282" t="s">
        <v>2393</v>
      </c>
      <c r="C282">
        <v>9307</v>
      </c>
      <c r="D282" t="s">
        <v>6362</v>
      </c>
      <c r="E282" t="s">
        <v>6358</v>
      </c>
      <c r="F282" t="s">
        <v>6358</v>
      </c>
      <c r="G282" s="43">
        <v>8.4099999999999994E-2</v>
      </c>
      <c r="H282" s="63">
        <v>1</v>
      </c>
    </row>
    <row r="283" spans="1:8" x14ac:dyDescent="0.55000000000000004">
      <c r="A283" s="61" t="s">
        <v>6470</v>
      </c>
      <c r="B283" t="s">
        <v>2393</v>
      </c>
      <c r="C283">
        <v>9307</v>
      </c>
      <c r="D283" t="s">
        <v>6365</v>
      </c>
      <c r="E283" t="s">
        <v>6366</v>
      </c>
      <c r="F283" t="s">
        <v>6361</v>
      </c>
      <c r="G283" s="43">
        <v>0</v>
      </c>
      <c r="H283" s="63">
        <v>-0.1</v>
      </c>
    </row>
    <row r="284" spans="1:8" x14ac:dyDescent="0.55000000000000004">
      <c r="A284" s="61" t="s">
        <v>6471</v>
      </c>
      <c r="B284" t="s">
        <v>2393</v>
      </c>
      <c r="C284">
        <v>9309</v>
      </c>
      <c r="D284" t="s">
        <v>6359</v>
      </c>
      <c r="E284" t="s">
        <v>6373</v>
      </c>
      <c r="F284" t="s">
        <v>6361</v>
      </c>
      <c r="G284" s="43">
        <v>0</v>
      </c>
      <c r="H284" s="63">
        <v>0.9</v>
      </c>
    </row>
    <row r="285" spans="1:8" x14ac:dyDescent="0.55000000000000004">
      <c r="A285" s="61" t="s">
        <v>6471</v>
      </c>
      <c r="B285" t="s">
        <v>2393</v>
      </c>
      <c r="C285">
        <v>9309</v>
      </c>
      <c r="D285" t="s">
        <v>6363</v>
      </c>
      <c r="E285" t="s">
        <v>6364</v>
      </c>
      <c r="F285" t="s">
        <v>6361</v>
      </c>
      <c r="G285" s="43">
        <v>0</v>
      </c>
      <c r="H285" s="63">
        <v>0.1</v>
      </c>
    </row>
    <row r="286" spans="1:8" x14ac:dyDescent="0.55000000000000004">
      <c r="A286" s="61" t="s">
        <v>6471</v>
      </c>
      <c r="B286" t="s">
        <v>2393</v>
      </c>
      <c r="C286">
        <v>9309</v>
      </c>
      <c r="D286" t="s">
        <v>6362</v>
      </c>
      <c r="E286" t="s">
        <v>6358</v>
      </c>
      <c r="F286" t="s">
        <v>6358</v>
      </c>
      <c r="G286" s="43">
        <v>8.4099999999999994E-2</v>
      </c>
      <c r="H286" s="63">
        <v>1</v>
      </c>
    </row>
    <row r="287" spans="1:8" x14ac:dyDescent="0.55000000000000004">
      <c r="A287" s="61" t="s">
        <v>6471</v>
      </c>
      <c r="B287" t="s">
        <v>2393</v>
      </c>
      <c r="C287">
        <v>9309</v>
      </c>
      <c r="D287" t="s">
        <v>6365</v>
      </c>
      <c r="E287" t="s">
        <v>6366</v>
      </c>
      <c r="F287" t="s">
        <v>6361</v>
      </c>
      <c r="G287" s="43">
        <v>0</v>
      </c>
      <c r="H287" s="63">
        <v>-0.1</v>
      </c>
    </row>
    <row r="288" spans="1:8" x14ac:dyDescent="0.55000000000000004">
      <c r="A288" s="61" t="s">
        <v>6472</v>
      </c>
      <c r="B288" t="s">
        <v>2459</v>
      </c>
      <c r="C288">
        <v>8710</v>
      </c>
      <c r="D288" t="s">
        <v>6359</v>
      </c>
      <c r="E288" t="s">
        <v>6368</v>
      </c>
      <c r="F288" t="s">
        <v>6361</v>
      </c>
      <c r="G288" s="43">
        <v>0</v>
      </c>
      <c r="H288" s="63">
        <v>0.9</v>
      </c>
    </row>
    <row r="289" spans="1:8" x14ac:dyDescent="0.55000000000000004">
      <c r="A289" s="61" t="s">
        <v>6472</v>
      </c>
      <c r="B289" t="s">
        <v>2459</v>
      </c>
      <c r="C289">
        <v>8710</v>
      </c>
      <c r="D289" t="s">
        <v>6363</v>
      </c>
      <c r="E289" t="s">
        <v>6364</v>
      </c>
      <c r="F289" t="s">
        <v>6361</v>
      </c>
      <c r="G289" s="43">
        <v>0</v>
      </c>
      <c r="H289" s="63">
        <v>0.1</v>
      </c>
    </row>
    <row r="290" spans="1:8" x14ac:dyDescent="0.55000000000000004">
      <c r="A290" s="61" t="s">
        <v>6472</v>
      </c>
      <c r="B290" t="s">
        <v>2459</v>
      </c>
      <c r="C290">
        <v>8710</v>
      </c>
      <c r="D290" t="s">
        <v>6362</v>
      </c>
      <c r="E290" t="s">
        <v>6358</v>
      </c>
      <c r="F290" t="s">
        <v>6358</v>
      </c>
      <c r="G290" s="43">
        <v>0.12540000000000001</v>
      </c>
      <c r="H290" s="63">
        <v>1</v>
      </c>
    </row>
    <row r="291" spans="1:8" x14ac:dyDescent="0.55000000000000004">
      <c r="A291" s="61" t="s">
        <v>6472</v>
      </c>
      <c r="B291" t="s">
        <v>2459</v>
      </c>
      <c r="C291">
        <v>8710</v>
      </c>
      <c r="D291" t="s">
        <v>6365</v>
      </c>
      <c r="E291" t="s">
        <v>6366</v>
      </c>
      <c r="F291" t="s">
        <v>6361</v>
      </c>
      <c r="G291" s="43">
        <v>0</v>
      </c>
      <c r="H291" s="63">
        <v>-0.1</v>
      </c>
    </row>
    <row r="292" spans="1:8" x14ac:dyDescent="0.55000000000000004">
      <c r="A292" s="61" t="s">
        <v>6473</v>
      </c>
      <c r="B292" t="s">
        <v>2459</v>
      </c>
      <c r="C292">
        <v>9204</v>
      </c>
      <c r="D292" t="s">
        <v>6359</v>
      </c>
      <c r="E292" t="s">
        <v>6369</v>
      </c>
      <c r="F292" t="s">
        <v>6361</v>
      </c>
      <c r="G292" s="43">
        <v>0</v>
      </c>
      <c r="H292" s="63">
        <v>0.9</v>
      </c>
    </row>
    <row r="293" spans="1:8" x14ac:dyDescent="0.55000000000000004">
      <c r="A293" s="61" t="s">
        <v>6473</v>
      </c>
      <c r="B293" t="s">
        <v>2459</v>
      </c>
      <c r="C293">
        <v>9204</v>
      </c>
      <c r="D293" t="s">
        <v>6363</v>
      </c>
      <c r="E293" t="s">
        <v>6364</v>
      </c>
      <c r="F293" t="s">
        <v>6361</v>
      </c>
      <c r="G293" s="43">
        <v>0</v>
      </c>
      <c r="H293" s="63">
        <v>0.1</v>
      </c>
    </row>
    <row r="294" spans="1:8" x14ac:dyDescent="0.55000000000000004">
      <c r="A294" s="61" t="s">
        <v>6473</v>
      </c>
      <c r="B294" t="s">
        <v>2459</v>
      </c>
      <c r="C294">
        <v>9204</v>
      </c>
      <c r="D294" t="s">
        <v>6362</v>
      </c>
      <c r="E294" t="s">
        <v>6358</v>
      </c>
      <c r="F294" t="s">
        <v>6358</v>
      </c>
      <c r="G294" s="43">
        <v>0.12540000000000001</v>
      </c>
      <c r="H294" s="63">
        <v>1</v>
      </c>
    </row>
    <row r="295" spans="1:8" x14ac:dyDescent="0.55000000000000004">
      <c r="A295" s="61" t="s">
        <v>6473</v>
      </c>
      <c r="B295" t="s">
        <v>2459</v>
      </c>
      <c r="C295">
        <v>9204</v>
      </c>
      <c r="D295" t="s">
        <v>6365</v>
      </c>
      <c r="E295" t="s">
        <v>6366</v>
      </c>
      <c r="F295" t="s">
        <v>6361</v>
      </c>
      <c r="G295" s="43">
        <v>0</v>
      </c>
      <c r="H295" s="63">
        <v>-0.1</v>
      </c>
    </row>
    <row r="296" spans="1:8" x14ac:dyDescent="0.55000000000000004">
      <c r="A296" s="61" t="s">
        <v>6474</v>
      </c>
      <c r="B296" t="s">
        <v>2459</v>
      </c>
      <c r="C296">
        <v>9310</v>
      </c>
      <c r="D296" t="s">
        <v>6359</v>
      </c>
      <c r="E296" t="s">
        <v>6369</v>
      </c>
      <c r="F296" t="s">
        <v>6361</v>
      </c>
      <c r="G296" s="43">
        <v>0</v>
      </c>
      <c r="H296" s="63">
        <v>0.9</v>
      </c>
    </row>
    <row r="297" spans="1:8" x14ac:dyDescent="0.55000000000000004">
      <c r="A297" s="61" t="s">
        <v>6474</v>
      </c>
      <c r="B297" t="s">
        <v>2459</v>
      </c>
      <c r="C297">
        <v>9310</v>
      </c>
      <c r="D297" t="s">
        <v>6363</v>
      </c>
      <c r="E297" t="s">
        <v>6364</v>
      </c>
      <c r="F297" t="s">
        <v>6361</v>
      </c>
      <c r="G297" s="43">
        <v>0</v>
      </c>
      <c r="H297" s="63">
        <v>0.1</v>
      </c>
    </row>
    <row r="298" spans="1:8" x14ac:dyDescent="0.55000000000000004">
      <c r="A298" s="61" t="s">
        <v>6474</v>
      </c>
      <c r="B298" t="s">
        <v>2459</v>
      </c>
      <c r="C298">
        <v>9310</v>
      </c>
      <c r="D298" t="s">
        <v>6362</v>
      </c>
      <c r="E298" t="s">
        <v>6358</v>
      </c>
      <c r="F298" t="s">
        <v>6358</v>
      </c>
      <c r="G298" s="43">
        <v>0.12540000000000001</v>
      </c>
      <c r="H298" s="63">
        <v>1</v>
      </c>
    </row>
    <row r="299" spans="1:8" x14ac:dyDescent="0.55000000000000004">
      <c r="A299" s="61" t="s">
        <v>6474</v>
      </c>
      <c r="B299" t="s">
        <v>2459</v>
      </c>
      <c r="C299">
        <v>9310</v>
      </c>
      <c r="D299" t="s">
        <v>6365</v>
      </c>
      <c r="E299" t="s">
        <v>6366</v>
      </c>
      <c r="F299" t="s">
        <v>6361</v>
      </c>
      <c r="G299" s="43">
        <v>0</v>
      </c>
      <c r="H299" s="63">
        <v>-0.1</v>
      </c>
    </row>
    <row r="300" spans="1:8" x14ac:dyDescent="0.55000000000000004">
      <c r="A300" s="61" t="s">
        <v>6475</v>
      </c>
      <c r="B300" t="s">
        <v>4902</v>
      </c>
      <c r="C300">
        <v>8708</v>
      </c>
      <c r="D300" t="s">
        <v>6359</v>
      </c>
      <c r="E300" t="s">
        <v>6370</v>
      </c>
      <c r="F300" t="s">
        <v>6361</v>
      </c>
      <c r="G300" s="43">
        <v>0</v>
      </c>
      <c r="H300" s="63">
        <v>0.9</v>
      </c>
    </row>
    <row r="301" spans="1:8" x14ac:dyDescent="0.55000000000000004">
      <c r="A301" s="61" t="s">
        <v>6475</v>
      </c>
      <c r="B301" t="s">
        <v>4902</v>
      </c>
      <c r="C301">
        <v>8708</v>
      </c>
      <c r="D301" t="s">
        <v>6363</v>
      </c>
      <c r="E301" t="s">
        <v>6364</v>
      </c>
      <c r="F301" t="s">
        <v>6361</v>
      </c>
      <c r="G301" s="43">
        <v>0</v>
      </c>
      <c r="H301" s="63">
        <v>0.1</v>
      </c>
    </row>
    <row r="302" spans="1:8" x14ac:dyDescent="0.55000000000000004">
      <c r="A302" s="61" t="s">
        <v>6475</v>
      </c>
      <c r="B302" t="s">
        <v>4902</v>
      </c>
      <c r="C302">
        <v>8708</v>
      </c>
      <c r="D302" t="s">
        <v>6362</v>
      </c>
      <c r="E302" t="s">
        <v>6358</v>
      </c>
      <c r="F302" t="s">
        <v>6358</v>
      </c>
      <c r="G302" s="62">
        <v>5.8400000000000001E-2</v>
      </c>
      <c r="H302" s="63">
        <v>1</v>
      </c>
    </row>
    <row r="303" spans="1:8" x14ac:dyDescent="0.55000000000000004">
      <c r="A303" s="61" t="s">
        <v>6475</v>
      </c>
      <c r="B303" t="s">
        <v>4902</v>
      </c>
      <c r="C303">
        <v>8708</v>
      </c>
      <c r="D303" t="s">
        <v>6365</v>
      </c>
      <c r="E303" t="s">
        <v>6366</v>
      </c>
      <c r="F303" t="s">
        <v>6361</v>
      </c>
      <c r="G303" s="43">
        <v>0</v>
      </c>
      <c r="H303" s="63">
        <v>-0.1</v>
      </c>
    </row>
    <row r="304" spans="1:8" x14ac:dyDescent="0.55000000000000004">
      <c r="A304" s="61" t="s">
        <v>6476</v>
      </c>
      <c r="B304" t="s">
        <v>4902</v>
      </c>
      <c r="C304">
        <v>8710</v>
      </c>
      <c r="D304" t="s">
        <v>6359</v>
      </c>
      <c r="E304" t="s">
        <v>6370</v>
      </c>
      <c r="F304" t="s">
        <v>6361</v>
      </c>
      <c r="G304" s="43">
        <v>0</v>
      </c>
      <c r="H304" s="63">
        <v>0.9</v>
      </c>
    </row>
    <row r="305" spans="1:8" x14ac:dyDescent="0.55000000000000004">
      <c r="A305" s="61" t="s">
        <v>6476</v>
      </c>
      <c r="B305" t="s">
        <v>4902</v>
      </c>
      <c r="C305">
        <v>8710</v>
      </c>
      <c r="D305" t="s">
        <v>6363</v>
      </c>
      <c r="E305" t="s">
        <v>6364</v>
      </c>
      <c r="F305" t="s">
        <v>6361</v>
      </c>
      <c r="G305" s="43">
        <v>0</v>
      </c>
      <c r="H305" s="63">
        <v>0.1</v>
      </c>
    </row>
    <row r="306" spans="1:8" x14ac:dyDescent="0.55000000000000004">
      <c r="A306" s="61" t="s">
        <v>6476</v>
      </c>
      <c r="B306" t="s">
        <v>4902</v>
      </c>
      <c r="C306">
        <v>8710</v>
      </c>
      <c r="D306" t="s">
        <v>6362</v>
      </c>
      <c r="E306" t="s">
        <v>6358</v>
      </c>
      <c r="F306" t="s">
        <v>6358</v>
      </c>
      <c r="G306" s="62">
        <v>5.8400000000000001E-2</v>
      </c>
      <c r="H306" s="63">
        <v>1</v>
      </c>
    </row>
    <row r="307" spans="1:8" x14ac:dyDescent="0.55000000000000004">
      <c r="A307" s="61" t="s">
        <v>6476</v>
      </c>
      <c r="B307" t="s">
        <v>4902</v>
      </c>
      <c r="C307">
        <v>8710</v>
      </c>
      <c r="D307" t="s">
        <v>6365</v>
      </c>
      <c r="E307" t="s">
        <v>6366</v>
      </c>
      <c r="F307" t="s">
        <v>6361</v>
      </c>
      <c r="G307" s="43">
        <v>0</v>
      </c>
      <c r="H307" s="63">
        <v>-0.1</v>
      </c>
    </row>
    <row r="308" spans="1:8" x14ac:dyDescent="0.55000000000000004">
      <c r="A308" s="61" t="s">
        <v>6477</v>
      </c>
      <c r="B308" t="s">
        <v>4902</v>
      </c>
      <c r="C308">
        <v>9305</v>
      </c>
      <c r="D308" t="s">
        <v>6359</v>
      </c>
      <c r="E308" t="s">
        <v>6371</v>
      </c>
      <c r="F308" t="s">
        <v>6361</v>
      </c>
      <c r="G308" s="43">
        <v>0</v>
      </c>
      <c r="H308" s="63">
        <v>0.9</v>
      </c>
    </row>
    <row r="309" spans="1:8" x14ac:dyDescent="0.55000000000000004">
      <c r="A309" s="61" t="s">
        <v>6477</v>
      </c>
      <c r="B309" t="s">
        <v>4902</v>
      </c>
      <c r="C309">
        <v>9305</v>
      </c>
      <c r="D309" t="s">
        <v>6363</v>
      </c>
      <c r="E309" t="s">
        <v>6364</v>
      </c>
      <c r="F309" t="s">
        <v>6361</v>
      </c>
      <c r="G309" s="43">
        <v>0</v>
      </c>
      <c r="H309" s="63">
        <v>0.1</v>
      </c>
    </row>
    <row r="310" spans="1:8" x14ac:dyDescent="0.55000000000000004">
      <c r="A310" s="61" t="s">
        <v>6477</v>
      </c>
      <c r="B310" t="s">
        <v>4902</v>
      </c>
      <c r="C310">
        <v>9305</v>
      </c>
      <c r="D310" t="s">
        <v>6362</v>
      </c>
      <c r="E310" t="s">
        <v>6358</v>
      </c>
      <c r="F310" t="s">
        <v>6358</v>
      </c>
      <c r="G310" s="62">
        <v>5.8400000000000001E-2</v>
      </c>
      <c r="H310" s="63">
        <v>1</v>
      </c>
    </row>
    <row r="311" spans="1:8" x14ac:dyDescent="0.55000000000000004">
      <c r="A311" s="61" t="s">
        <v>6477</v>
      </c>
      <c r="B311" t="s">
        <v>4902</v>
      </c>
      <c r="C311">
        <v>9305</v>
      </c>
      <c r="D311" t="s">
        <v>6365</v>
      </c>
      <c r="E311" t="s">
        <v>6366</v>
      </c>
      <c r="F311" t="s">
        <v>6361</v>
      </c>
      <c r="G311" s="43">
        <v>0</v>
      </c>
      <c r="H311" s="63">
        <v>-0.1</v>
      </c>
    </row>
    <row r="312" spans="1:8" x14ac:dyDescent="0.55000000000000004">
      <c r="A312" s="61" t="s">
        <v>6478</v>
      </c>
      <c r="B312" t="s">
        <v>4902</v>
      </c>
      <c r="C312">
        <v>9307</v>
      </c>
      <c r="D312" t="s">
        <v>6359</v>
      </c>
      <c r="E312" t="s">
        <v>6373</v>
      </c>
      <c r="F312" t="s">
        <v>6361</v>
      </c>
      <c r="G312" s="43">
        <v>0</v>
      </c>
      <c r="H312" s="63">
        <v>0.9</v>
      </c>
    </row>
    <row r="313" spans="1:8" x14ac:dyDescent="0.55000000000000004">
      <c r="A313" s="61" t="s">
        <v>6478</v>
      </c>
      <c r="B313" t="s">
        <v>4902</v>
      </c>
      <c r="C313">
        <v>9307</v>
      </c>
      <c r="D313" t="s">
        <v>6363</v>
      </c>
      <c r="E313" t="s">
        <v>6364</v>
      </c>
      <c r="F313" t="s">
        <v>6361</v>
      </c>
      <c r="G313" s="43">
        <v>0</v>
      </c>
      <c r="H313" s="63">
        <v>0.1</v>
      </c>
    </row>
    <row r="314" spans="1:8" x14ac:dyDescent="0.55000000000000004">
      <c r="A314" s="61" t="s">
        <v>6478</v>
      </c>
      <c r="B314" t="s">
        <v>4902</v>
      </c>
      <c r="C314">
        <v>9307</v>
      </c>
      <c r="D314" t="s">
        <v>6362</v>
      </c>
      <c r="E314" t="s">
        <v>6358</v>
      </c>
      <c r="F314" t="s">
        <v>6358</v>
      </c>
      <c r="G314" s="62">
        <v>5.8400000000000001E-2</v>
      </c>
      <c r="H314" s="63">
        <v>1</v>
      </c>
    </row>
    <row r="315" spans="1:8" x14ac:dyDescent="0.55000000000000004">
      <c r="A315" s="61" t="s">
        <v>6478</v>
      </c>
      <c r="B315" t="s">
        <v>4902</v>
      </c>
      <c r="C315">
        <v>9307</v>
      </c>
      <c r="D315" t="s">
        <v>6365</v>
      </c>
      <c r="E315" t="s">
        <v>6366</v>
      </c>
      <c r="F315" t="s">
        <v>6361</v>
      </c>
      <c r="G315" s="43">
        <v>0</v>
      </c>
      <c r="H315" s="63">
        <v>-0.1</v>
      </c>
    </row>
    <row r="316" spans="1:8" x14ac:dyDescent="0.55000000000000004">
      <c r="A316" s="61" t="s">
        <v>6479</v>
      </c>
      <c r="B316" t="s">
        <v>4902</v>
      </c>
      <c r="C316">
        <v>9309</v>
      </c>
      <c r="D316" t="s">
        <v>6359</v>
      </c>
      <c r="E316" t="s">
        <v>6373</v>
      </c>
      <c r="F316" t="s">
        <v>6361</v>
      </c>
      <c r="G316" s="43">
        <v>0</v>
      </c>
      <c r="H316" s="63">
        <v>0.9</v>
      </c>
    </row>
    <row r="317" spans="1:8" x14ac:dyDescent="0.55000000000000004">
      <c r="A317" s="61" t="s">
        <v>6479</v>
      </c>
      <c r="B317" t="s">
        <v>4902</v>
      </c>
      <c r="C317">
        <v>9309</v>
      </c>
      <c r="D317" t="s">
        <v>6363</v>
      </c>
      <c r="E317" t="s">
        <v>6364</v>
      </c>
      <c r="F317" t="s">
        <v>6361</v>
      </c>
      <c r="G317" s="43">
        <v>0</v>
      </c>
      <c r="H317" s="63">
        <v>0.1</v>
      </c>
    </row>
    <row r="318" spans="1:8" x14ac:dyDescent="0.55000000000000004">
      <c r="A318" s="61" t="s">
        <v>6479</v>
      </c>
      <c r="B318" t="s">
        <v>4902</v>
      </c>
      <c r="C318">
        <v>9309</v>
      </c>
      <c r="D318" t="s">
        <v>6362</v>
      </c>
      <c r="E318" t="s">
        <v>6358</v>
      </c>
      <c r="F318" t="s">
        <v>6358</v>
      </c>
      <c r="G318" s="62">
        <v>5.8400000000000001E-2</v>
      </c>
      <c r="H318" s="63">
        <v>1</v>
      </c>
    </row>
    <row r="319" spans="1:8" x14ac:dyDescent="0.55000000000000004">
      <c r="A319" s="61" t="s">
        <v>6479</v>
      </c>
      <c r="B319" t="s">
        <v>4902</v>
      </c>
      <c r="C319">
        <v>9309</v>
      </c>
      <c r="D319" t="s">
        <v>6365</v>
      </c>
      <c r="E319" t="s">
        <v>6366</v>
      </c>
      <c r="F319" t="s">
        <v>6361</v>
      </c>
      <c r="G319" s="43">
        <v>0</v>
      </c>
      <c r="H319" s="63">
        <v>-0.1</v>
      </c>
    </row>
    <row r="320" spans="1:8" x14ac:dyDescent="0.55000000000000004">
      <c r="A320" s="61" t="s">
        <v>6480</v>
      </c>
      <c r="B320" t="s">
        <v>4902</v>
      </c>
      <c r="C320">
        <v>9310</v>
      </c>
      <c r="D320" t="s">
        <v>6359</v>
      </c>
      <c r="E320" t="s">
        <v>6371</v>
      </c>
      <c r="F320" t="s">
        <v>6361</v>
      </c>
      <c r="G320" s="43">
        <v>0</v>
      </c>
      <c r="H320" s="63">
        <v>0.9</v>
      </c>
    </row>
    <row r="321" spans="1:8" x14ac:dyDescent="0.55000000000000004">
      <c r="A321" s="61" t="s">
        <v>6480</v>
      </c>
      <c r="B321" t="s">
        <v>4902</v>
      </c>
      <c r="C321">
        <v>9310</v>
      </c>
      <c r="D321" t="s">
        <v>6363</v>
      </c>
      <c r="E321" t="s">
        <v>6364</v>
      </c>
      <c r="F321" t="s">
        <v>6361</v>
      </c>
      <c r="G321" s="43">
        <v>0</v>
      </c>
      <c r="H321" s="63">
        <v>0.1</v>
      </c>
    </row>
    <row r="322" spans="1:8" x14ac:dyDescent="0.55000000000000004">
      <c r="A322" s="61" t="s">
        <v>6480</v>
      </c>
      <c r="B322" t="s">
        <v>4902</v>
      </c>
      <c r="C322">
        <v>9310</v>
      </c>
      <c r="D322" t="s">
        <v>6362</v>
      </c>
      <c r="E322" t="s">
        <v>6358</v>
      </c>
      <c r="F322" t="s">
        <v>6358</v>
      </c>
      <c r="G322" s="62">
        <v>5.8400000000000001E-2</v>
      </c>
      <c r="H322" s="63">
        <v>1</v>
      </c>
    </row>
    <row r="323" spans="1:8" x14ac:dyDescent="0.55000000000000004">
      <c r="A323" s="61" t="s">
        <v>6480</v>
      </c>
      <c r="B323" t="s">
        <v>4902</v>
      </c>
      <c r="C323">
        <v>9310</v>
      </c>
      <c r="D323" t="s">
        <v>6365</v>
      </c>
      <c r="E323" t="s">
        <v>6366</v>
      </c>
      <c r="F323" t="s">
        <v>6361</v>
      </c>
      <c r="G323" s="43">
        <v>0</v>
      </c>
      <c r="H323" s="63">
        <v>-0.1</v>
      </c>
    </row>
    <row r="324" spans="1:8" x14ac:dyDescent="0.55000000000000004">
      <c r="A324" s="61" t="s">
        <v>6481</v>
      </c>
      <c r="B324" t="s">
        <v>4550</v>
      </c>
      <c r="C324">
        <v>8701</v>
      </c>
      <c r="D324" t="s">
        <v>6359</v>
      </c>
      <c r="E324" t="s">
        <v>6370</v>
      </c>
      <c r="F324" t="s">
        <v>6361</v>
      </c>
      <c r="G324" s="43">
        <v>0</v>
      </c>
      <c r="H324" s="63">
        <v>1</v>
      </c>
    </row>
    <row r="325" spans="1:8" x14ac:dyDescent="0.55000000000000004">
      <c r="A325" s="61" t="s">
        <v>6481</v>
      </c>
      <c r="B325" t="s">
        <v>4550</v>
      </c>
      <c r="C325">
        <v>8701</v>
      </c>
      <c r="D325" t="s">
        <v>6362</v>
      </c>
      <c r="E325" t="s">
        <v>6358</v>
      </c>
      <c r="F325" t="s">
        <v>6358</v>
      </c>
      <c r="G325" s="43">
        <v>5.8799999999999998E-2</v>
      </c>
      <c r="H325" s="63">
        <v>1</v>
      </c>
    </row>
    <row r="326" spans="1:8" x14ac:dyDescent="0.55000000000000004">
      <c r="A326" s="61" t="s">
        <v>6482</v>
      </c>
      <c r="B326" t="s">
        <v>4550</v>
      </c>
      <c r="C326">
        <v>8710</v>
      </c>
      <c r="D326" t="s">
        <v>6359</v>
      </c>
      <c r="E326" t="s">
        <v>6370</v>
      </c>
      <c r="F326" t="s">
        <v>6361</v>
      </c>
      <c r="G326" s="43">
        <v>0</v>
      </c>
      <c r="H326" s="63">
        <v>0.9</v>
      </c>
    </row>
    <row r="327" spans="1:8" x14ac:dyDescent="0.55000000000000004">
      <c r="A327" s="61" t="s">
        <v>6482</v>
      </c>
      <c r="B327" t="s">
        <v>4550</v>
      </c>
      <c r="C327">
        <v>8710</v>
      </c>
      <c r="D327" t="s">
        <v>6363</v>
      </c>
      <c r="E327" t="s">
        <v>6364</v>
      </c>
      <c r="F327" t="s">
        <v>6361</v>
      </c>
      <c r="G327" s="43">
        <v>0</v>
      </c>
      <c r="H327" s="63">
        <v>0.1</v>
      </c>
    </row>
    <row r="328" spans="1:8" x14ac:dyDescent="0.55000000000000004">
      <c r="A328" s="61" t="s">
        <v>6482</v>
      </c>
      <c r="B328" t="s">
        <v>4550</v>
      </c>
      <c r="C328">
        <v>8710</v>
      </c>
      <c r="D328" t="s">
        <v>6362</v>
      </c>
      <c r="E328" t="s">
        <v>6358</v>
      </c>
      <c r="F328" t="s">
        <v>6358</v>
      </c>
      <c r="G328" s="43">
        <v>7.5399999999999995E-2</v>
      </c>
      <c r="H328" s="63">
        <v>1</v>
      </c>
    </row>
    <row r="329" spans="1:8" x14ac:dyDescent="0.55000000000000004">
      <c r="A329" s="61" t="s">
        <v>6482</v>
      </c>
      <c r="B329" t="s">
        <v>4550</v>
      </c>
      <c r="C329">
        <v>8710</v>
      </c>
      <c r="D329" t="s">
        <v>6365</v>
      </c>
      <c r="E329" t="s">
        <v>6366</v>
      </c>
      <c r="F329" t="s">
        <v>6361</v>
      </c>
      <c r="G329" s="43">
        <v>0</v>
      </c>
      <c r="H329" s="63">
        <v>-0.1</v>
      </c>
    </row>
    <row r="330" spans="1:8" x14ac:dyDescent="0.55000000000000004">
      <c r="A330" s="61" t="s">
        <v>6483</v>
      </c>
      <c r="B330" t="s">
        <v>4550</v>
      </c>
      <c r="C330">
        <v>9310</v>
      </c>
      <c r="D330" t="s">
        <v>6359</v>
      </c>
      <c r="E330" t="s">
        <v>6371</v>
      </c>
      <c r="F330" t="s">
        <v>6361</v>
      </c>
      <c r="G330" s="43">
        <v>0</v>
      </c>
      <c r="H330" s="63">
        <v>0.9</v>
      </c>
    </row>
    <row r="331" spans="1:8" x14ac:dyDescent="0.55000000000000004">
      <c r="A331" s="61" t="s">
        <v>6483</v>
      </c>
      <c r="B331" t="s">
        <v>4550</v>
      </c>
      <c r="C331">
        <v>9310</v>
      </c>
      <c r="D331" t="s">
        <v>6363</v>
      </c>
      <c r="E331" t="s">
        <v>6364</v>
      </c>
      <c r="F331" t="s">
        <v>6361</v>
      </c>
      <c r="G331" s="43">
        <v>0</v>
      </c>
      <c r="H331" s="63">
        <v>0.1</v>
      </c>
    </row>
    <row r="332" spans="1:8" x14ac:dyDescent="0.55000000000000004">
      <c r="A332" s="61" t="s">
        <v>6483</v>
      </c>
      <c r="B332" t="s">
        <v>4550</v>
      </c>
      <c r="C332">
        <v>9310</v>
      </c>
      <c r="D332" t="s">
        <v>6362</v>
      </c>
      <c r="E332" t="s">
        <v>6358</v>
      </c>
      <c r="F332" t="s">
        <v>6358</v>
      </c>
      <c r="G332" s="43">
        <v>7.5399999999999995E-2</v>
      </c>
      <c r="H332" s="63">
        <v>1</v>
      </c>
    </row>
    <row r="333" spans="1:8" x14ac:dyDescent="0.55000000000000004">
      <c r="A333" s="61" t="s">
        <v>6483</v>
      </c>
      <c r="B333" t="s">
        <v>4550</v>
      </c>
      <c r="C333">
        <v>9310</v>
      </c>
      <c r="D333" t="s">
        <v>6365</v>
      </c>
      <c r="E333" t="s">
        <v>6366</v>
      </c>
      <c r="F333" t="s">
        <v>6361</v>
      </c>
      <c r="G333" s="43">
        <v>0</v>
      </c>
      <c r="H333" s="63">
        <v>-0.1</v>
      </c>
    </row>
    <row r="334" spans="1:8" x14ac:dyDescent="0.55000000000000004">
      <c r="A334" s="61" t="s">
        <v>6484</v>
      </c>
      <c r="B334" t="s">
        <v>1220</v>
      </c>
      <c r="C334">
        <v>8701</v>
      </c>
      <c r="D334" t="s">
        <v>6359</v>
      </c>
      <c r="E334" t="s">
        <v>6360</v>
      </c>
      <c r="F334" t="s">
        <v>6361</v>
      </c>
      <c r="G334" s="43">
        <v>0</v>
      </c>
      <c r="H334" s="63">
        <v>1</v>
      </c>
    </row>
    <row r="335" spans="1:8" x14ac:dyDescent="0.55000000000000004">
      <c r="A335" s="61" t="s">
        <v>6484</v>
      </c>
      <c r="B335" t="s">
        <v>1220</v>
      </c>
      <c r="C335">
        <v>8701</v>
      </c>
      <c r="D335" t="s">
        <v>6362</v>
      </c>
      <c r="E335" t="s">
        <v>6358</v>
      </c>
      <c r="F335" t="s">
        <v>6358</v>
      </c>
      <c r="G335" s="43">
        <v>0.12659999999999999</v>
      </c>
      <c r="H335" s="63">
        <v>1</v>
      </c>
    </row>
    <row r="336" spans="1:8" x14ac:dyDescent="0.55000000000000004">
      <c r="A336" s="61" t="s">
        <v>6485</v>
      </c>
      <c r="B336" t="s">
        <v>1220</v>
      </c>
      <c r="C336">
        <v>8710</v>
      </c>
      <c r="D336" t="s">
        <v>6359</v>
      </c>
      <c r="E336" t="s">
        <v>6360</v>
      </c>
      <c r="F336" t="s">
        <v>6361</v>
      </c>
      <c r="G336" s="43">
        <v>0</v>
      </c>
      <c r="H336" s="63">
        <v>0.9</v>
      </c>
    </row>
    <row r="337" spans="1:8" x14ac:dyDescent="0.55000000000000004">
      <c r="A337" s="61" t="s">
        <v>6485</v>
      </c>
      <c r="B337" t="s">
        <v>1220</v>
      </c>
      <c r="C337">
        <v>8710</v>
      </c>
      <c r="D337" t="s">
        <v>6363</v>
      </c>
      <c r="E337" t="s">
        <v>6364</v>
      </c>
      <c r="F337" t="s">
        <v>6361</v>
      </c>
      <c r="G337" s="43">
        <v>0</v>
      </c>
      <c r="H337" s="63">
        <v>0.1</v>
      </c>
    </row>
    <row r="338" spans="1:8" x14ac:dyDescent="0.55000000000000004">
      <c r="A338" s="61" t="s">
        <v>6485</v>
      </c>
      <c r="B338" t="s">
        <v>1220</v>
      </c>
      <c r="C338">
        <v>8710</v>
      </c>
      <c r="D338" t="s">
        <v>6362</v>
      </c>
      <c r="E338" t="s">
        <v>6358</v>
      </c>
      <c r="F338" t="s">
        <v>6358</v>
      </c>
      <c r="G338" s="43">
        <v>0.1061</v>
      </c>
      <c r="H338" s="63">
        <v>1</v>
      </c>
    </row>
    <row r="339" spans="1:8" x14ac:dyDescent="0.55000000000000004">
      <c r="A339" s="61" t="s">
        <v>6485</v>
      </c>
      <c r="B339" t="s">
        <v>1220</v>
      </c>
      <c r="C339">
        <v>8710</v>
      </c>
      <c r="D339" t="s">
        <v>6365</v>
      </c>
      <c r="E339" t="s">
        <v>6366</v>
      </c>
      <c r="F339" t="s">
        <v>6361</v>
      </c>
      <c r="G339" s="43">
        <v>0</v>
      </c>
      <c r="H339" s="63">
        <v>-0.1</v>
      </c>
    </row>
    <row r="340" spans="1:8" x14ac:dyDescent="0.55000000000000004">
      <c r="A340" s="61" t="s">
        <v>6486</v>
      </c>
      <c r="B340" t="s">
        <v>1220</v>
      </c>
      <c r="C340">
        <v>9101</v>
      </c>
      <c r="D340" t="s">
        <v>6359</v>
      </c>
      <c r="E340" t="s">
        <v>6367</v>
      </c>
      <c r="F340" t="s">
        <v>6361</v>
      </c>
      <c r="G340" s="43">
        <v>0</v>
      </c>
      <c r="H340" s="63">
        <v>1</v>
      </c>
    </row>
    <row r="341" spans="1:8" x14ac:dyDescent="0.55000000000000004">
      <c r="A341" s="61" t="s">
        <v>6486</v>
      </c>
      <c r="B341" t="s">
        <v>1220</v>
      </c>
      <c r="C341">
        <v>9101</v>
      </c>
      <c r="D341" t="s">
        <v>6362</v>
      </c>
      <c r="E341" t="s">
        <v>6358</v>
      </c>
      <c r="F341" t="s">
        <v>6358</v>
      </c>
      <c r="G341" s="43">
        <v>0.12659999999999999</v>
      </c>
      <c r="H341" s="63">
        <v>1</v>
      </c>
    </row>
    <row r="342" spans="1:8" x14ac:dyDescent="0.55000000000000004">
      <c r="A342" s="61" t="s">
        <v>6487</v>
      </c>
      <c r="B342" t="s">
        <v>1220</v>
      </c>
      <c r="C342">
        <v>9110</v>
      </c>
      <c r="D342" t="s">
        <v>6359</v>
      </c>
      <c r="E342" t="s">
        <v>6367</v>
      </c>
      <c r="F342" t="s">
        <v>6361</v>
      </c>
      <c r="G342" s="43">
        <v>0</v>
      </c>
      <c r="H342" s="63">
        <v>0.9</v>
      </c>
    </row>
    <row r="343" spans="1:8" x14ac:dyDescent="0.55000000000000004">
      <c r="A343" s="61" t="s">
        <v>6487</v>
      </c>
      <c r="B343" t="s">
        <v>1220</v>
      </c>
      <c r="C343">
        <v>9110</v>
      </c>
      <c r="D343" t="s">
        <v>6363</v>
      </c>
      <c r="E343" t="s">
        <v>6364</v>
      </c>
      <c r="F343" t="s">
        <v>6361</v>
      </c>
      <c r="G343" s="43">
        <v>0</v>
      </c>
      <c r="H343" s="63">
        <v>0.1</v>
      </c>
    </row>
    <row r="344" spans="1:8" x14ac:dyDescent="0.55000000000000004">
      <c r="A344" s="61" t="s">
        <v>6487</v>
      </c>
      <c r="B344" t="s">
        <v>1220</v>
      </c>
      <c r="C344">
        <v>9110</v>
      </c>
      <c r="D344" t="s">
        <v>6362</v>
      </c>
      <c r="E344" t="s">
        <v>6358</v>
      </c>
      <c r="F344" t="s">
        <v>6358</v>
      </c>
      <c r="G344" s="43">
        <v>0.1061</v>
      </c>
      <c r="H344" s="63">
        <v>1</v>
      </c>
    </row>
    <row r="345" spans="1:8" x14ac:dyDescent="0.55000000000000004">
      <c r="A345" s="61" t="s">
        <v>6487</v>
      </c>
      <c r="B345" t="s">
        <v>1220</v>
      </c>
      <c r="C345">
        <v>9110</v>
      </c>
      <c r="D345" t="s">
        <v>6365</v>
      </c>
      <c r="E345" t="s">
        <v>6366</v>
      </c>
      <c r="F345" t="s">
        <v>6361</v>
      </c>
      <c r="G345" s="43">
        <v>0</v>
      </c>
      <c r="H345" s="63">
        <v>-0.1</v>
      </c>
    </row>
    <row r="346" spans="1:8" x14ac:dyDescent="0.55000000000000004">
      <c r="A346" s="61" t="s">
        <v>6488</v>
      </c>
      <c r="B346" t="s">
        <v>1220</v>
      </c>
      <c r="C346">
        <v>9310</v>
      </c>
      <c r="D346" t="s">
        <v>6359</v>
      </c>
      <c r="E346" t="s">
        <v>6367</v>
      </c>
      <c r="F346" t="s">
        <v>6361</v>
      </c>
      <c r="G346" s="43">
        <v>0</v>
      </c>
      <c r="H346" s="63">
        <v>0.9</v>
      </c>
    </row>
    <row r="347" spans="1:8" x14ac:dyDescent="0.55000000000000004">
      <c r="A347" s="61" t="s">
        <v>6488</v>
      </c>
      <c r="B347" t="s">
        <v>1220</v>
      </c>
      <c r="C347">
        <v>9310</v>
      </c>
      <c r="D347" t="s">
        <v>6363</v>
      </c>
      <c r="E347" t="s">
        <v>6364</v>
      </c>
      <c r="F347" t="s">
        <v>6361</v>
      </c>
      <c r="G347" s="43">
        <v>0</v>
      </c>
      <c r="H347" s="63">
        <v>0.1</v>
      </c>
    </row>
    <row r="348" spans="1:8" x14ac:dyDescent="0.55000000000000004">
      <c r="A348" s="61" t="s">
        <v>6488</v>
      </c>
      <c r="B348" t="s">
        <v>1220</v>
      </c>
      <c r="C348">
        <v>9310</v>
      </c>
      <c r="D348" t="s">
        <v>6362</v>
      </c>
      <c r="E348" t="s">
        <v>6358</v>
      </c>
      <c r="F348" t="s">
        <v>6358</v>
      </c>
      <c r="G348" s="43">
        <v>0.1061</v>
      </c>
      <c r="H348" s="63">
        <v>1</v>
      </c>
    </row>
    <row r="349" spans="1:8" x14ac:dyDescent="0.55000000000000004">
      <c r="A349" s="61" t="s">
        <v>6488</v>
      </c>
      <c r="B349" t="s">
        <v>1220</v>
      </c>
      <c r="C349">
        <v>9310</v>
      </c>
      <c r="D349" t="s">
        <v>6365</v>
      </c>
      <c r="E349" t="s">
        <v>6366</v>
      </c>
      <c r="F349" t="s">
        <v>6361</v>
      </c>
      <c r="G349" s="43">
        <v>0</v>
      </c>
      <c r="H349" s="63">
        <v>-0.1</v>
      </c>
    </row>
    <row r="350" spans="1:8" x14ac:dyDescent="0.55000000000000004">
      <c r="A350" s="61" t="s">
        <v>6489</v>
      </c>
      <c r="B350" t="s">
        <v>121</v>
      </c>
      <c r="C350">
        <v>8701</v>
      </c>
      <c r="D350" t="s">
        <v>6359</v>
      </c>
      <c r="E350" t="s">
        <v>6370</v>
      </c>
      <c r="F350" t="s">
        <v>6361</v>
      </c>
      <c r="G350" s="43">
        <v>0</v>
      </c>
      <c r="H350" s="63">
        <v>1</v>
      </c>
    </row>
    <row r="351" spans="1:8" x14ac:dyDescent="0.55000000000000004">
      <c r="A351" s="61" t="s">
        <v>6489</v>
      </c>
      <c r="B351" t="s">
        <v>121</v>
      </c>
      <c r="C351">
        <v>8701</v>
      </c>
      <c r="D351" t="s">
        <v>6362</v>
      </c>
      <c r="E351" t="s">
        <v>6358</v>
      </c>
      <c r="F351" t="s">
        <v>6358</v>
      </c>
      <c r="G351" s="43">
        <v>4.99E-2</v>
      </c>
      <c r="H351" s="63">
        <v>1</v>
      </c>
    </row>
    <row r="352" spans="1:8" x14ac:dyDescent="0.55000000000000004">
      <c r="A352" s="61" t="s">
        <v>6490</v>
      </c>
      <c r="B352" t="s">
        <v>121</v>
      </c>
      <c r="C352">
        <v>8710</v>
      </c>
      <c r="D352" t="s">
        <v>6359</v>
      </c>
      <c r="E352" t="s">
        <v>6370</v>
      </c>
      <c r="F352" t="s">
        <v>6361</v>
      </c>
      <c r="G352" s="43">
        <v>0</v>
      </c>
      <c r="H352" s="63">
        <v>0.9</v>
      </c>
    </row>
    <row r="353" spans="1:8" x14ac:dyDescent="0.55000000000000004">
      <c r="A353" s="61" t="s">
        <v>6490</v>
      </c>
      <c r="B353" t="s">
        <v>121</v>
      </c>
      <c r="C353">
        <v>8710</v>
      </c>
      <c r="D353" t="s">
        <v>6363</v>
      </c>
      <c r="E353" t="s">
        <v>6364</v>
      </c>
      <c r="F353" t="s">
        <v>6361</v>
      </c>
      <c r="G353" s="43">
        <v>0</v>
      </c>
      <c r="H353" s="63">
        <v>0.1</v>
      </c>
    </row>
    <row r="354" spans="1:8" x14ac:dyDescent="0.55000000000000004">
      <c r="A354" s="61" t="s">
        <v>6490</v>
      </c>
      <c r="B354" t="s">
        <v>121</v>
      </c>
      <c r="C354">
        <v>8710</v>
      </c>
      <c r="D354" t="s">
        <v>6362</v>
      </c>
      <c r="E354" t="s">
        <v>6358</v>
      </c>
      <c r="F354" t="s">
        <v>6358</v>
      </c>
      <c r="G354" s="43">
        <v>6.4500000000000002E-2</v>
      </c>
      <c r="H354" s="63">
        <v>1</v>
      </c>
    </row>
    <row r="355" spans="1:8" x14ac:dyDescent="0.55000000000000004">
      <c r="A355" s="61" t="s">
        <v>6490</v>
      </c>
      <c r="B355" t="s">
        <v>121</v>
      </c>
      <c r="C355">
        <v>8710</v>
      </c>
      <c r="D355" t="s">
        <v>6365</v>
      </c>
      <c r="E355" t="s">
        <v>6366</v>
      </c>
      <c r="F355" t="s">
        <v>6361</v>
      </c>
      <c r="G355" s="43">
        <v>0</v>
      </c>
      <c r="H355" s="63">
        <v>-0.1</v>
      </c>
    </row>
    <row r="356" spans="1:8" x14ac:dyDescent="0.55000000000000004">
      <c r="A356" s="61" t="s">
        <v>6491</v>
      </c>
      <c r="B356" t="s">
        <v>121</v>
      </c>
      <c r="C356">
        <v>9101</v>
      </c>
      <c r="D356" t="s">
        <v>6359</v>
      </c>
      <c r="E356" t="s">
        <v>6371</v>
      </c>
      <c r="F356" t="s">
        <v>6361</v>
      </c>
      <c r="G356" s="43">
        <v>0</v>
      </c>
      <c r="H356" s="63">
        <v>1</v>
      </c>
    </row>
    <row r="357" spans="1:8" x14ac:dyDescent="0.55000000000000004">
      <c r="A357" s="61" t="s">
        <v>6491</v>
      </c>
      <c r="B357" t="s">
        <v>121</v>
      </c>
      <c r="C357">
        <v>9101</v>
      </c>
      <c r="D357" t="s">
        <v>6362</v>
      </c>
      <c r="E357" t="s">
        <v>6358</v>
      </c>
      <c r="F357" t="s">
        <v>6358</v>
      </c>
      <c r="G357" s="43">
        <v>4.99E-2</v>
      </c>
      <c r="H357" s="63">
        <v>1</v>
      </c>
    </row>
    <row r="358" spans="1:8" x14ac:dyDescent="0.55000000000000004">
      <c r="A358" s="61" t="s">
        <v>6492</v>
      </c>
      <c r="B358" t="s">
        <v>121</v>
      </c>
      <c r="C358">
        <v>9204</v>
      </c>
      <c r="D358" t="s">
        <v>6359</v>
      </c>
      <c r="E358" t="s">
        <v>6371</v>
      </c>
      <c r="F358" t="s">
        <v>6361</v>
      </c>
      <c r="G358" s="43">
        <v>0</v>
      </c>
      <c r="H358" s="63">
        <v>0.9</v>
      </c>
    </row>
    <row r="359" spans="1:8" x14ac:dyDescent="0.55000000000000004">
      <c r="A359" s="61" t="s">
        <v>6492</v>
      </c>
      <c r="B359" t="s">
        <v>121</v>
      </c>
      <c r="C359">
        <v>9204</v>
      </c>
      <c r="D359" t="s">
        <v>6363</v>
      </c>
      <c r="E359" t="s">
        <v>6364</v>
      </c>
      <c r="F359" t="s">
        <v>6361</v>
      </c>
      <c r="G359" s="43">
        <v>0</v>
      </c>
      <c r="H359" s="63">
        <v>0.1</v>
      </c>
    </row>
    <row r="360" spans="1:8" x14ac:dyDescent="0.55000000000000004">
      <c r="A360" s="61" t="s">
        <v>6492</v>
      </c>
      <c r="B360" t="s">
        <v>121</v>
      </c>
      <c r="C360">
        <v>9204</v>
      </c>
      <c r="D360" t="s">
        <v>6362</v>
      </c>
      <c r="E360" t="s">
        <v>6358</v>
      </c>
      <c r="F360" t="s">
        <v>6358</v>
      </c>
      <c r="G360" s="43">
        <v>6.4500000000000002E-2</v>
      </c>
      <c r="H360" s="63">
        <v>1</v>
      </c>
    </row>
    <row r="361" spans="1:8" x14ac:dyDescent="0.55000000000000004">
      <c r="A361" s="61" t="s">
        <v>6492</v>
      </c>
      <c r="B361" t="s">
        <v>121</v>
      </c>
      <c r="C361">
        <v>9204</v>
      </c>
      <c r="D361" t="s">
        <v>6365</v>
      </c>
      <c r="E361" t="s">
        <v>6366</v>
      </c>
      <c r="F361" t="s">
        <v>6361</v>
      </c>
      <c r="G361" s="43">
        <v>0</v>
      </c>
      <c r="H361" s="63">
        <v>-0.1</v>
      </c>
    </row>
    <row r="362" spans="1:8" x14ac:dyDescent="0.55000000000000004">
      <c r="A362" s="61" t="s">
        <v>6493</v>
      </c>
      <c r="B362" t="s">
        <v>121</v>
      </c>
      <c r="C362">
        <v>9310</v>
      </c>
      <c r="D362" t="s">
        <v>6359</v>
      </c>
      <c r="E362" t="s">
        <v>6371</v>
      </c>
      <c r="F362" t="s">
        <v>6361</v>
      </c>
      <c r="G362" s="43">
        <v>0</v>
      </c>
      <c r="H362" s="63">
        <v>0.9</v>
      </c>
    </row>
    <row r="363" spans="1:8" x14ac:dyDescent="0.55000000000000004">
      <c r="A363" s="61" t="s">
        <v>6493</v>
      </c>
      <c r="B363" t="s">
        <v>121</v>
      </c>
      <c r="C363">
        <v>9310</v>
      </c>
      <c r="D363" t="s">
        <v>6363</v>
      </c>
      <c r="E363" t="s">
        <v>6364</v>
      </c>
      <c r="F363" t="s">
        <v>6361</v>
      </c>
      <c r="G363" s="43">
        <v>0</v>
      </c>
      <c r="H363" s="63">
        <v>0.1</v>
      </c>
    </row>
    <row r="364" spans="1:8" x14ac:dyDescent="0.55000000000000004">
      <c r="A364" s="61" t="s">
        <v>6493</v>
      </c>
      <c r="B364" t="s">
        <v>121</v>
      </c>
      <c r="C364">
        <v>9310</v>
      </c>
      <c r="D364" t="s">
        <v>6362</v>
      </c>
      <c r="E364" t="s">
        <v>6358</v>
      </c>
      <c r="F364" t="s">
        <v>6358</v>
      </c>
      <c r="G364" s="43">
        <v>6.4500000000000002E-2</v>
      </c>
      <c r="H364" s="63">
        <v>1</v>
      </c>
    </row>
    <row r="365" spans="1:8" x14ac:dyDescent="0.55000000000000004">
      <c r="A365" s="61" t="s">
        <v>6493</v>
      </c>
      <c r="B365" t="s">
        <v>121</v>
      </c>
      <c r="C365">
        <v>9310</v>
      </c>
      <c r="D365" t="s">
        <v>6365</v>
      </c>
      <c r="E365" t="s">
        <v>6366</v>
      </c>
      <c r="F365" t="s">
        <v>6361</v>
      </c>
      <c r="G365" s="43">
        <v>0</v>
      </c>
      <c r="H365" s="63">
        <v>-0.1</v>
      </c>
    </row>
    <row r="366" spans="1:8" x14ac:dyDescent="0.55000000000000004">
      <c r="A366" s="61" t="s">
        <v>6494</v>
      </c>
      <c r="B366" t="s">
        <v>1492</v>
      </c>
      <c r="C366">
        <v>8701</v>
      </c>
      <c r="D366" t="s">
        <v>6359</v>
      </c>
      <c r="E366" t="s">
        <v>6360</v>
      </c>
      <c r="F366" t="s">
        <v>6361</v>
      </c>
      <c r="G366" s="43">
        <v>0</v>
      </c>
      <c r="H366" s="63">
        <v>1</v>
      </c>
    </row>
    <row r="367" spans="1:8" x14ac:dyDescent="0.55000000000000004">
      <c r="A367" s="61" t="s">
        <v>6494</v>
      </c>
      <c r="B367" t="s">
        <v>1492</v>
      </c>
      <c r="C367">
        <v>8701</v>
      </c>
      <c r="D367" t="s">
        <v>6362</v>
      </c>
      <c r="E367" t="s">
        <v>6358</v>
      </c>
      <c r="F367" t="s">
        <v>6358</v>
      </c>
      <c r="G367" s="43">
        <v>7.1099999999999997E-2</v>
      </c>
      <c r="H367" s="63">
        <v>1</v>
      </c>
    </row>
    <row r="368" spans="1:8" x14ac:dyDescent="0.55000000000000004">
      <c r="A368" s="61" t="s">
        <v>6495</v>
      </c>
      <c r="B368" t="s">
        <v>1492</v>
      </c>
      <c r="C368">
        <v>8710</v>
      </c>
      <c r="D368" t="s">
        <v>6359</v>
      </c>
      <c r="E368" t="s">
        <v>6360</v>
      </c>
      <c r="F368" t="s">
        <v>6361</v>
      </c>
      <c r="G368" s="43">
        <v>0</v>
      </c>
      <c r="H368" s="63">
        <v>0.9</v>
      </c>
    </row>
    <row r="369" spans="1:8" x14ac:dyDescent="0.55000000000000004">
      <c r="A369" s="61" t="s">
        <v>6495</v>
      </c>
      <c r="B369" t="s">
        <v>1492</v>
      </c>
      <c r="C369">
        <v>8710</v>
      </c>
      <c r="D369" t="s">
        <v>6363</v>
      </c>
      <c r="E369" t="s">
        <v>6364</v>
      </c>
      <c r="F369" t="s">
        <v>6361</v>
      </c>
      <c r="G369" s="43">
        <v>0</v>
      </c>
      <c r="H369" s="63">
        <v>0.1</v>
      </c>
    </row>
    <row r="370" spans="1:8" x14ac:dyDescent="0.55000000000000004">
      <c r="A370" s="61" t="s">
        <v>6495</v>
      </c>
      <c r="B370" t="s">
        <v>1492</v>
      </c>
      <c r="C370">
        <v>8710</v>
      </c>
      <c r="D370" t="s">
        <v>6362</v>
      </c>
      <c r="E370" t="s">
        <v>6358</v>
      </c>
      <c r="F370" t="s">
        <v>6358</v>
      </c>
      <c r="G370" s="43">
        <v>8.5800000000000001E-2</v>
      </c>
      <c r="H370" s="63">
        <v>1</v>
      </c>
    </row>
    <row r="371" spans="1:8" x14ac:dyDescent="0.55000000000000004">
      <c r="A371" s="61" t="s">
        <v>6495</v>
      </c>
      <c r="B371" t="s">
        <v>1492</v>
      </c>
      <c r="C371">
        <v>8710</v>
      </c>
      <c r="D371" t="s">
        <v>6365</v>
      </c>
      <c r="E371" t="s">
        <v>6366</v>
      </c>
      <c r="F371" t="s">
        <v>6361</v>
      </c>
      <c r="G371" s="43">
        <v>0</v>
      </c>
      <c r="H371" s="63">
        <v>-0.1</v>
      </c>
    </row>
    <row r="372" spans="1:8" x14ac:dyDescent="0.55000000000000004">
      <c r="A372" s="61" t="s">
        <v>6496</v>
      </c>
      <c r="B372" t="s">
        <v>1492</v>
      </c>
      <c r="C372">
        <v>9110</v>
      </c>
      <c r="D372" t="s">
        <v>6359</v>
      </c>
      <c r="E372" t="s">
        <v>6367</v>
      </c>
      <c r="F372" t="s">
        <v>6361</v>
      </c>
      <c r="G372" s="43">
        <v>0</v>
      </c>
      <c r="H372" s="63">
        <v>0.9</v>
      </c>
    </row>
    <row r="373" spans="1:8" x14ac:dyDescent="0.55000000000000004">
      <c r="A373" s="61" t="s">
        <v>6496</v>
      </c>
      <c r="B373" t="s">
        <v>1492</v>
      </c>
      <c r="C373">
        <v>9110</v>
      </c>
      <c r="D373" t="s">
        <v>6363</v>
      </c>
      <c r="E373" t="s">
        <v>6364</v>
      </c>
      <c r="F373" t="s">
        <v>6361</v>
      </c>
      <c r="G373" s="43">
        <v>0</v>
      </c>
      <c r="H373" s="63">
        <v>0.1</v>
      </c>
    </row>
    <row r="374" spans="1:8" x14ac:dyDescent="0.55000000000000004">
      <c r="A374" s="61" t="s">
        <v>6496</v>
      </c>
      <c r="B374" t="s">
        <v>1492</v>
      </c>
      <c r="C374">
        <v>9110</v>
      </c>
      <c r="D374" t="s">
        <v>6362</v>
      </c>
      <c r="E374" t="s">
        <v>6358</v>
      </c>
      <c r="F374" t="s">
        <v>6358</v>
      </c>
      <c r="G374" s="43">
        <v>8.5800000000000001E-2</v>
      </c>
      <c r="H374" s="63">
        <v>1</v>
      </c>
    </row>
    <row r="375" spans="1:8" x14ac:dyDescent="0.55000000000000004">
      <c r="A375" s="61" t="s">
        <v>6496</v>
      </c>
      <c r="B375" t="s">
        <v>1492</v>
      </c>
      <c r="C375">
        <v>9110</v>
      </c>
      <c r="D375" t="s">
        <v>6365</v>
      </c>
      <c r="E375" t="s">
        <v>6366</v>
      </c>
      <c r="F375" t="s">
        <v>6361</v>
      </c>
      <c r="G375" s="43">
        <v>0</v>
      </c>
      <c r="H375" s="63">
        <v>-0.1</v>
      </c>
    </row>
    <row r="376" spans="1:8" x14ac:dyDescent="0.55000000000000004">
      <c r="A376" s="61" t="s">
        <v>6497</v>
      </c>
      <c r="B376" t="s">
        <v>130</v>
      </c>
      <c r="C376">
        <v>8710</v>
      </c>
      <c r="D376" t="s">
        <v>6359</v>
      </c>
      <c r="E376" t="s">
        <v>6370</v>
      </c>
      <c r="F376" t="s">
        <v>6361</v>
      </c>
      <c r="G376" s="43">
        <v>0</v>
      </c>
      <c r="H376" s="63">
        <v>0.9</v>
      </c>
    </row>
    <row r="377" spans="1:8" x14ac:dyDescent="0.55000000000000004">
      <c r="A377" s="61" t="s">
        <v>6497</v>
      </c>
      <c r="B377" t="s">
        <v>130</v>
      </c>
      <c r="C377">
        <v>8710</v>
      </c>
      <c r="D377" t="s">
        <v>6363</v>
      </c>
      <c r="E377" t="s">
        <v>6364</v>
      </c>
      <c r="F377" t="s">
        <v>6361</v>
      </c>
      <c r="G377" s="43">
        <v>0</v>
      </c>
      <c r="H377" s="63">
        <v>0.1</v>
      </c>
    </row>
    <row r="378" spans="1:8" x14ac:dyDescent="0.55000000000000004">
      <c r="A378" s="61" t="s">
        <v>6497</v>
      </c>
      <c r="B378" t="s">
        <v>130</v>
      </c>
      <c r="C378">
        <v>8710</v>
      </c>
      <c r="D378" t="s">
        <v>6362</v>
      </c>
      <c r="E378" t="s">
        <v>6358</v>
      </c>
      <c r="F378" t="s">
        <v>6358</v>
      </c>
      <c r="G378" s="43">
        <v>6.4299999999999996E-2</v>
      </c>
      <c r="H378" s="63">
        <v>1</v>
      </c>
    </row>
    <row r="379" spans="1:8" x14ac:dyDescent="0.55000000000000004">
      <c r="A379" s="61" t="s">
        <v>6497</v>
      </c>
      <c r="B379" t="s">
        <v>130</v>
      </c>
      <c r="C379">
        <v>8710</v>
      </c>
      <c r="D379" t="s">
        <v>6365</v>
      </c>
      <c r="E379" t="s">
        <v>6366</v>
      </c>
      <c r="F379" t="s">
        <v>6361</v>
      </c>
      <c r="G379" s="43">
        <v>0</v>
      </c>
      <c r="H379" s="63">
        <v>-0.1</v>
      </c>
    </row>
    <row r="380" spans="1:8" x14ac:dyDescent="0.55000000000000004">
      <c r="A380" s="61" t="s">
        <v>6498</v>
      </c>
      <c r="B380" t="s">
        <v>130</v>
      </c>
      <c r="C380">
        <v>9310</v>
      </c>
      <c r="D380" t="s">
        <v>6359</v>
      </c>
      <c r="E380" t="s">
        <v>6371</v>
      </c>
      <c r="F380" t="s">
        <v>6361</v>
      </c>
      <c r="G380" s="43">
        <v>0</v>
      </c>
      <c r="H380" s="63">
        <v>0.9</v>
      </c>
    </row>
    <row r="381" spans="1:8" x14ac:dyDescent="0.55000000000000004">
      <c r="A381" s="61" t="s">
        <v>6498</v>
      </c>
      <c r="B381" t="s">
        <v>130</v>
      </c>
      <c r="C381">
        <v>9310</v>
      </c>
      <c r="D381" t="s">
        <v>6363</v>
      </c>
      <c r="E381" t="s">
        <v>6364</v>
      </c>
      <c r="F381" t="s">
        <v>6361</v>
      </c>
      <c r="G381" s="43">
        <v>0</v>
      </c>
      <c r="H381" s="63">
        <v>0.1</v>
      </c>
    </row>
    <row r="382" spans="1:8" x14ac:dyDescent="0.55000000000000004">
      <c r="A382" s="61" t="s">
        <v>6498</v>
      </c>
      <c r="B382" t="s">
        <v>130</v>
      </c>
      <c r="C382">
        <v>9310</v>
      </c>
      <c r="D382" t="s">
        <v>6362</v>
      </c>
      <c r="E382" t="s">
        <v>6358</v>
      </c>
      <c r="F382" t="s">
        <v>6358</v>
      </c>
      <c r="G382" s="43">
        <v>6.4299999999999996E-2</v>
      </c>
      <c r="H382" s="63">
        <v>1</v>
      </c>
    </row>
    <row r="383" spans="1:8" x14ac:dyDescent="0.55000000000000004">
      <c r="A383" s="61" t="s">
        <v>6498</v>
      </c>
      <c r="B383" t="s">
        <v>130</v>
      </c>
      <c r="C383">
        <v>9310</v>
      </c>
      <c r="D383" t="s">
        <v>6365</v>
      </c>
      <c r="E383" t="s">
        <v>6366</v>
      </c>
      <c r="F383" t="s">
        <v>6361</v>
      </c>
      <c r="G383" s="43">
        <v>0</v>
      </c>
      <c r="H383" s="63">
        <v>-0.1</v>
      </c>
    </row>
    <row r="384" spans="1:8" x14ac:dyDescent="0.55000000000000004">
      <c r="A384" s="61" t="s">
        <v>6499</v>
      </c>
      <c r="B384" t="s">
        <v>3872</v>
      </c>
      <c r="C384">
        <v>8710</v>
      </c>
      <c r="D384" t="s">
        <v>6359</v>
      </c>
      <c r="E384" t="s">
        <v>6368</v>
      </c>
      <c r="F384" t="s">
        <v>6361</v>
      </c>
      <c r="G384" s="43">
        <v>0</v>
      </c>
      <c r="H384" s="63">
        <v>0.9</v>
      </c>
    </row>
    <row r="385" spans="1:8" x14ac:dyDescent="0.55000000000000004">
      <c r="A385" s="61" t="s">
        <v>6499</v>
      </c>
      <c r="B385" t="s">
        <v>3872</v>
      </c>
      <c r="C385">
        <v>8710</v>
      </c>
      <c r="D385" t="s">
        <v>6363</v>
      </c>
      <c r="E385" t="s">
        <v>6364</v>
      </c>
      <c r="F385" t="s">
        <v>6361</v>
      </c>
      <c r="G385" s="43">
        <v>0</v>
      </c>
      <c r="H385" s="63">
        <v>0.1</v>
      </c>
    </row>
    <row r="386" spans="1:8" x14ac:dyDescent="0.55000000000000004">
      <c r="A386" s="61" t="s">
        <v>6499</v>
      </c>
      <c r="B386" t="s">
        <v>3872</v>
      </c>
      <c r="C386">
        <v>8710</v>
      </c>
      <c r="D386" t="s">
        <v>6362</v>
      </c>
      <c r="E386" t="s">
        <v>6358</v>
      </c>
      <c r="F386" t="s">
        <v>6358</v>
      </c>
      <c r="G386" s="43">
        <v>8.0600000000000005E-2</v>
      </c>
      <c r="H386" s="63">
        <v>1</v>
      </c>
    </row>
    <row r="387" spans="1:8" x14ac:dyDescent="0.55000000000000004">
      <c r="A387" s="61" t="s">
        <v>6499</v>
      </c>
      <c r="B387" t="s">
        <v>3872</v>
      </c>
      <c r="C387">
        <v>8710</v>
      </c>
      <c r="D387" t="s">
        <v>6365</v>
      </c>
      <c r="E387" t="s">
        <v>6366</v>
      </c>
      <c r="F387" t="s">
        <v>6361</v>
      </c>
      <c r="G387" s="43">
        <v>0</v>
      </c>
      <c r="H387" s="63">
        <v>-0.1</v>
      </c>
    </row>
    <row r="388" spans="1:8" x14ac:dyDescent="0.55000000000000004">
      <c r="A388" s="61" t="s">
        <v>6500</v>
      </c>
      <c r="B388" t="s">
        <v>3872</v>
      </c>
      <c r="C388">
        <v>9204</v>
      </c>
      <c r="D388" t="s">
        <v>6359</v>
      </c>
      <c r="E388" t="s">
        <v>6369</v>
      </c>
      <c r="F388" t="s">
        <v>6361</v>
      </c>
      <c r="G388" s="43">
        <v>0</v>
      </c>
      <c r="H388" s="63">
        <v>0.9</v>
      </c>
    </row>
    <row r="389" spans="1:8" x14ac:dyDescent="0.55000000000000004">
      <c r="A389" s="61" t="s">
        <v>6500</v>
      </c>
      <c r="B389" t="s">
        <v>3872</v>
      </c>
      <c r="C389">
        <v>9204</v>
      </c>
      <c r="D389" t="s">
        <v>6363</v>
      </c>
      <c r="E389" t="s">
        <v>6364</v>
      </c>
      <c r="F389" t="s">
        <v>6361</v>
      </c>
      <c r="G389" s="43">
        <v>0</v>
      </c>
      <c r="H389" s="63">
        <v>0.1</v>
      </c>
    </row>
    <row r="390" spans="1:8" x14ac:dyDescent="0.55000000000000004">
      <c r="A390" s="61" t="s">
        <v>6500</v>
      </c>
      <c r="B390" t="s">
        <v>3872</v>
      </c>
      <c r="C390">
        <v>9204</v>
      </c>
      <c r="D390" t="s">
        <v>6362</v>
      </c>
      <c r="E390" t="s">
        <v>6358</v>
      </c>
      <c r="F390" t="s">
        <v>6358</v>
      </c>
      <c r="G390" s="43">
        <v>8.0600000000000005E-2</v>
      </c>
      <c r="H390" s="63">
        <v>1</v>
      </c>
    </row>
    <row r="391" spans="1:8" x14ac:dyDescent="0.55000000000000004">
      <c r="A391" s="61" t="s">
        <v>6500</v>
      </c>
      <c r="B391" t="s">
        <v>3872</v>
      </c>
      <c r="C391">
        <v>9204</v>
      </c>
      <c r="D391" t="s">
        <v>6365</v>
      </c>
      <c r="E391" t="s">
        <v>6366</v>
      </c>
      <c r="F391" t="s">
        <v>6361</v>
      </c>
      <c r="G391" s="43">
        <v>0</v>
      </c>
      <c r="H391" s="63">
        <v>-0.1</v>
      </c>
    </row>
    <row r="392" spans="1:8" x14ac:dyDescent="0.55000000000000004">
      <c r="A392" s="61" t="s">
        <v>6501</v>
      </c>
      <c r="B392" t="s">
        <v>3872</v>
      </c>
      <c r="C392">
        <v>9310</v>
      </c>
      <c r="D392" t="s">
        <v>6359</v>
      </c>
      <c r="E392" t="s">
        <v>6369</v>
      </c>
      <c r="F392" t="s">
        <v>6361</v>
      </c>
      <c r="G392" s="43">
        <v>0</v>
      </c>
      <c r="H392" s="63">
        <v>0.9</v>
      </c>
    </row>
    <row r="393" spans="1:8" x14ac:dyDescent="0.55000000000000004">
      <c r="A393" s="61" t="s">
        <v>6501</v>
      </c>
      <c r="B393" t="s">
        <v>3872</v>
      </c>
      <c r="C393">
        <v>9310</v>
      </c>
      <c r="D393" t="s">
        <v>6363</v>
      </c>
      <c r="E393" t="s">
        <v>6364</v>
      </c>
      <c r="F393" t="s">
        <v>6361</v>
      </c>
      <c r="G393" s="43">
        <v>0</v>
      </c>
      <c r="H393" s="63">
        <v>0.1</v>
      </c>
    </row>
    <row r="394" spans="1:8" x14ac:dyDescent="0.55000000000000004">
      <c r="A394" s="61" t="s">
        <v>6501</v>
      </c>
      <c r="B394" t="s">
        <v>3872</v>
      </c>
      <c r="C394">
        <v>9310</v>
      </c>
      <c r="D394" t="s">
        <v>6362</v>
      </c>
      <c r="E394" t="s">
        <v>6358</v>
      </c>
      <c r="F394" t="s">
        <v>6358</v>
      </c>
      <c r="G394" s="43">
        <v>8.0600000000000005E-2</v>
      </c>
      <c r="H394" s="63">
        <v>1</v>
      </c>
    </row>
    <row r="395" spans="1:8" x14ac:dyDescent="0.55000000000000004">
      <c r="A395" s="61" t="s">
        <v>6501</v>
      </c>
      <c r="B395" t="s">
        <v>3872</v>
      </c>
      <c r="C395">
        <v>9310</v>
      </c>
      <c r="D395" t="s">
        <v>6365</v>
      </c>
      <c r="E395" t="s">
        <v>6366</v>
      </c>
      <c r="F395" t="s">
        <v>6361</v>
      </c>
      <c r="G395" s="43">
        <v>0</v>
      </c>
      <c r="H395" s="63">
        <v>-0.1</v>
      </c>
    </row>
    <row r="396" spans="1:8" x14ac:dyDescent="0.55000000000000004">
      <c r="A396" s="61" t="s">
        <v>6502</v>
      </c>
      <c r="B396" t="s">
        <v>1046</v>
      </c>
      <c r="C396">
        <v>8710</v>
      </c>
      <c r="D396" t="s">
        <v>6359</v>
      </c>
      <c r="E396" t="s">
        <v>6370</v>
      </c>
      <c r="F396" t="s">
        <v>6361</v>
      </c>
      <c r="G396" s="43">
        <v>0</v>
      </c>
      <c r="H396" s="63">
        <v>0.9</v>
      </c>
    </row>
    <row r="397" spans="1:8" x14ac:dyDescent="0.55000000000000004">
      <c r="A397" s="61" t="s">
        <v>6502</v>
      </c>
      <c r="B397" t="s">
        <v>1046</v>
      </c>
      <c r="C397">
        <v>8710</v>
      </c>
      <c r="D397" t="s">
        <v>6363</v>
      </c>
      <c r="E397" t="s">
        <v>6364</v>
      </c>
      <c r="F397" t="s">
        <v>6361</v>
      </c>
      <c r="G397" s="43">
        <v>0</v>
      </c>
      <c r="H397" s="63">
        <v>0.1</v>
      </c>
    </row>
    <row r="398" spans="1:8" x14ac:dyDescent="0.55000000000000004">
      <c r="A398" s="61" t="s">
        <v>6502</v>
      </c>
      <c r="B398" t="s">
        <v>1046</v>
      </c>
      <c r="C398">
        <v>8710</v>
      </c>
      <c r="D398" t="s">
        <v>6362</v>
      </c>
      <c r="E398" t="s">
        <v>6358</v>
      </c>
      <c r="F398" t="s">
        <v>6358</v>
      </c>
      <c r="G398" s="43">
        <v>6.9099999999999995E-2</v>
      </c>
      <c r="H398" s="63">
        <v>1</v>
      </c>
    </row>
    <row r="399" spans="1:8" x14ac:dyDescent="0.55000000000000004">
      <c r="A399" s="61" t="s">
        <v>6502</v>
      </c>
      <c r="B399" t="s">
        <v>1046</v>
      </c>
      <c r="C399">
        <v>8710</v>
      </c>
      <c r="D399" t="s">
        <v>6365</v>
      </c>
      <c r="E399" t="s">
        <v>6366</v>
      </c>
      <c r="F399" t="s">
        <v>6361</v>
      </c>
      <c r="G399" s="43">
        <v>0</v>
      </c>
      <c r="H399" s="63">
        <v>-0.1</v>
      </c>
    </row>
    <row r="400" spans="1:8" x14ac:dyDescent="0.55000000000000004">
      <c r="A400" s="61" t="s">
        <v>6503</v>
      </c>
      <c r="B400" t="s">
        <v>1046</v>
      </c>
      <c r="C400">
        <v>9310</v>
      </c>
      <c r="D400" t="s">
        <v>6359</v>
      </c>
      <c r="E400" t="s">
        <v>6371</v>
      </c>
      <c r="F400" t="s">
        <v>6361</v>
      </c>
      <c r="G400" s="43">
        <v>0</v>
      </c>
      <c r="H400" s="63">
        <v>0.9</v>
      </c>
    </row>
    <row r="401" spans="1:8" x14ac:dyDescent="0.55000000000000004">
      <c r="A401" s="61" t="s">
        <v>6503</v>
      </c>
      <c r="B401" t="s">
        <v>1046</v>
      </c>
      <c r="C401">
        <v>9310</v>
      </c>
      <c r="D401" t="s">
        <v>6363</v>
      </c>
      <c r="E401" t="s">
        <v>6364</v>
      </c>
      <c r="F401" t="s">
        <v>6361</v>
      </c>
      <c r="G401" s="43">
        <v>0</v>
      </c>
      <c r="H401" s="63">
        <v>0.1</v>
      </c>
    </row>
    <row r="402" spans="1:8" x14ac:dyDescent="0.55000000000000004">
      <c r="A402" s="61" t="s">
        <v>6503</v>
      </c>
      <c r="B402" t="s">
        <v>1046</v>
      </c>
      <c r="C402">
        <v>9310</v>
      </c>
      <c r="D402" t="s">
        <v>6362</v>
      </c>
      <c r="E402" t="s">
        <v>6358</v>
      </c>
      <c r="F402" t="s">
        <v>6358</v>
      </c>
      <c r="G402" s="43">
        <v>6.9099999999999995E-2</v>
      </c>
      <c r="H402" s="63">
        <v>1</v>
      </c>
    </row>
    <row r="403" spans="1:8" x14ac:dyDescent="0.55000000000000004">
      <c r="A403" s="61" t="s">
        <v>6503</v>
      </c>
      <c r="B403" t="s">
        <v>1046</v>
      </c>
      <c r="C403">
        <v>9310</v>
      </c>
      <c r="D403" t="s">
        <v>6365</v>
      </c>
      <c r="E403" t="s">
        <v>6366</v>
      </c>
      <c r="F403" t="s">
        <v>6361</v>
      </c>
      <c r="G403" s="43">
        <v>0</v>
      </c>
      <c r="H403" s="63">
        <v>-0.1</v>
      </c>
    </row>
    <row r="404" spans="1:8" x14ac:dyDescent="0.55000000000000004">
      <c r="A404" s="61" t="s">
        <v>6504</v>
      </c>
      <c r="B404" t="s">
        <v>3688</v>
      </c>
      <c r="C404">
        <v>8701</v>
      </c>
      <c r="D404" t="s">
        <v>6359</v>
      </c>
      <c r="E404" t="s">
        <v>6374</v>
      </c>
      <c r="F404" t="s">
        <v>6361</v>
      </c>
      <c r="G404" s="43">
        <v>0</v>
      </c>
      <c r="H404" s="63">
        <v>1</v>
      </c>
    </row>
    <row r="405" spans="1:8" x14ac:dyDescent="0.55000000000000004">
      <c r="A405" s="61" t="s">
        <v>6504</v>
      </c>
      <c r="B405" t="s">
        <v>3688</v>
      </c>
      <c r="C405">
        <v>8701</v>
      </c>
      <c r="D405" t="s">
        <v>6362</v>
      </c>
      <c r="E405" t="s">
        <v>6358</v>
      </c>
      <c r="F405" t="s">
        <v>6358</v>
      </c>
      <c r="G405" s="43">
        <v>8.6900000000000005E-2</v>
      </c>
      <c r="H405" s="63">
        <v>1</v>
      </c>
    </row>
    <row r="406" spans="1:8" x14ac:dyDescent="0.55000000000000004">
      <c r="A406" s="61" t="s">
        <v>6505</v>
      </c>
      <c r="B406" t="s">
        <v>3688</v>
      </c>
      <c r="C406">
        <v>8710</v>
      </c>
      <c r="D406" t="s">
        <v>6359</v>
      </c>
      <c r="E406" t="s">
        <v>6374</v>
      </c>
      <c r="F406" t="s">
        <v>6361</v>
      </c>
      <c r="G406" s="43">
        <v>0</v>
      </c>
      <c r="H406" s="63">
        <v>0.9</v>
      </c>
    </row>
    <row r="407" spans="1:8" x14ac:dyDescent="0.55000000000000004">
      <c r="A407" s="61" t="s">
        <v>6505</v>
      </c>
      <c r="B407" t="s">
        <v>3688</v>
      </c>
      <c r="C407">
        <v>8710</v>
      </c>
      <c r="D407" t="s">
        <v>6363</v>
      </c>
      <c r="E407" t="s">
        <v>6364</v>
      </c>
      <c r="F407" t="s">
        <v>6361</v>
      </c>
      <c r="G407" s="43">
        <v>0</v>
      </c>
      <c r="H407" s="63">
        <v>0.1</v>
      </c>
    </row>
    <row r="408" spans="1:8" x14ac:dyDescent="0.55000000000000004">
      <c r="A408" s="61" t="s">
        <v>6505</v>
      </c>
      <c r="B408" t="s">
        <v>3688</v>
      </c>
      <c r="C408">
        <v>8710</v>
      </c>
      <c r="D408" t="s">
        <v>6362</v>
      </c>
      <c r="E408" t="s">
        <v>6358</v>
      </c>
      <c r="F408" t="s">
        <v>6358</v>
      </c>
      <c r="G408" s="43">
        <v>0.1012</v>
      </c>
      <c r="H408" s="63">
        <v>1</v>
      </c>
    </row>
    <row r="409" spans="1:8" x14ac:dyDescent="0.55000000000000004">
      <c r="A409" s="61" t="s">
        <v>6505</v>
      </c>
      <c r="B409" t="s">
        <v>3688</v>
      </c>
      <c r="C409">
        <v>8710</v>
      </c>
      <c r="D409" t="s">
        <v>6365</v>
      </c>
      <c r="E409" t="s">
        <v>6366</v>
      </c>
      <c r="F409" t="s">
        <v>6361</v>
      </c>
      <c r="G409" s="43">
        <v>0</v>
      </c>
      <c r="H409" s="63">
        <v>-0.1</v>
      </c>
    </row>
    <row r="410" spans="1:8" x14ac:dyDescent="0.55000000000000004">
      <c r="A410" s="61" t="s">
        <v>6506</v>
      </c>
      <c r="B410" t="s">
        <v>3688</v>
      </c>
      <c r="C410">
        <v>9110</v>
      </c>
      <c r="D410" t="s">
        <v>6359</v>
      </c>
      <c r="E410" t="s">
        <v>6375</v>
      </c>
      <c r="F410" t="s">
        <v>6361</v>
      </c>
      <c r="G410" s="43">
        <v>0</v>
      </c>
      <c r="H410" s="63">
        <v>0.9</v>
      </c>
    </row>
    <row r="411" spans="1:8" x14ac:dyDescent="0.55000000000000004">
      <c r="A411" s="61" t="s">
        <v>6506</v>
      </c>
      <c r="B411" t="s">
        <v>3688</v>
      </c>
      <c r="C411">
        <v>9110</v>
      </c>
      <c r="D411" t="s">
        <v>6363</v>
      </c>
      <c r="E411" t="s">
        <v>6364</v>
      </c>
      <c r="F411" t="s">
        <v>6361</v>
      </c>
      <c r="G411" s="43">
        <v>0</v>
      </c>
      <c r="H411" s="63">
        <v>0.1</v>
      </c>
    </row>
    <row r="412" spans="1:8" x14ac:dyDescent="0.55000000000000004">
      <c r="A412" s="61" t="s">
        <v>6506</v>
      </c>
      <c r="B412" t="s">
        <v>3688</v>
      </c>
      <c r="C412">
        <v>9110</v>
      </c>
      <c r="D412" t="s">
        <v>6362</v>
      </c>
      <c r="E412" t="s">
        <v>6358</v>
      </c>
      <c r="F412" t="s">
        <v>6358</v>
      </c>
      <c r="G412" s="43">
        <v>0.1012</v>
      </c>
      <c r="H412" s="63">
        <v>1</v>
      </c>
    </row>
    <row r="413" spans="1:8" x14ac:dyDescent="0.55000000000000004">
      <c r="A413" s="61" t="s">
        <v>6506</v>
      </c>
      <c r="B413" t="s">
        <v>3688</v>
      </c>
      <c r="C413">
        <v>9110</v>
      </c>
      <c r="D413" t="s">
        <v>6365</v>
      </c>
      <c r="E413" t="s">
        <v>6366</v>
      </c>
      <c r="F413" t="s">
        <v>6361</v>
      </c>
      <c r="G413" s="43">
        <v>0</v>
      </c>
      <c r="H413" s="63">
        <v>-0.1</v>
      </c>
    </row>
    <row r="414" spans="1:8" x14ac:dyDescent="0.55000000000000004">
      <c r="A414" s="61" t="s">
        <v>6507</v>
      </c>
      <c r="B414" t="s">
        <v>3688</v>
      </c>
      <c r="C414">
        <v>9310</v>
      </c>
      <c r="D414" t="s">
        <v>6359</v>
      </c>
      <c r="E414" t="s">
        <v>6375</v>
      </c>
      <c r="F414" t="s">
        <v>6361</v>
      </c>
      <c r="G414" s="43">
        <v>0</v>
      </c>
      <c r="H414" s="63">
        <v>0.9</v>
      </c>
    </row>
    <row r="415" spans="1:8" x14ac:dyDescent="0.55000000000000004">
      <c r="A415" s="61" t="s">
        <v>6507</v>
      </c>
      <c r="B415" t="s">
        <v>3688</v>
      </c>
      <c r="C415">
        <v>9310</v>
      </c>
      <c r="D415" t="s">
        <v>6363</v>
      </c>
      <c r="E415" t="s">
        <v>6364</v>
      </c>
      <c r="F415" t="s">
        <v>6361</v>
      </c>
      <c r="G415" s="43">
        <v>0</v>
      </c>
      <c r="H415" s="63">
        <v>0.1</v>
      </c>
    </row>
    <row r="416" spans="1:8" x14ac:dyDescent="0.55000000000000004">
      <c r="A416" s="61" t="s">
        <v>6507</v>
      </c>
      <c r="B416" t="s">
        <v>3688</v>
      </c>
      <c r="C416">
        <v>9310</v>
      </c>
      <c r="D416" t="s">
        <v>6362</v>
      </c>
      <c r="E416" t="s">
        <v>6358</v>
      </c>
      <c r="F416" t="s">
        <v>6358</v>
      </c>
      <c r="G416" s="43">
        <v>0.1012</v>
      </c>
      <c r="H416" s="63">
        <v>1</v>
      </c>
    </row>
    <row r="417" spans="1:8" x14ac:dyDescent="0.55000000000000004">
      <c r="A417" s="61" t="s">
        <v>6507</v>
      </c>
      <c r="B417" t="s">
        <v>3688</v>
      </c>
      <c r="C417">
        <v>9310</v>
      </c>
      <c r="D417" t="s">
        <v>6365</v>
      </c>
      <c r="E417" t="s">
        <v>6366</v>
      </c>
      <c r="F417" t="s">
        <v>6361</v>
      </c>
      <c r="G417" s="43">
        <v>0</v>
      </c>
      <c r="H417" s="63">
        <v>-0.1</v>
      </c>
    </row>
    <row r="418" spans="1:8" x14ac:dyDescent="0.55000000000000004">
      <c r="A418" s="61" t="s">
        <v>6508</v>
      </c>
      <c r="B418" t="s">
        <v>3704</v>
      </c>
      <c r="C418">
        <v>8701</v>
      </c>
      <c r="D418" t="s">
        <v>6359</v>
      </c>
      <c r="E418" t="s">
        <v>6374</v>
      </c>
      <c r="F418" t="s">
        <v>6361</v>
      </c>
      <c r="G418" s="43">
        <v>0</v>
      </c>
      <c r="H418" s="63">
        <v>1</v>
      </c>
    </row>
    <row r="419" spans="1:8" x14ac:dyDescent="0.55000000000000004">
      <c r="A419" s="61" t="s">
        <v>6508</v>
      </c>
      <c r="B419" t="s">
        <v>3704</v>
      </c>
      <c r="C419">
        <v>8701</v>
      </c>
      <c r="D419" t="s">
        <v>6362</v>
      </c>
      <c r="E419" t="s">
        <v>6358</v>
      </c>
      <c r="F419" t="s">
        <v>6358</v>
      </c>
      <c r="G419" s="43">
        <v>8.6599999999999996E-2</v>
      </c>
      <c r="H419" s="63">
        <v>1</v>
      </c>
    </row>
    <row r="420" spans="1:8" x14ac:dyDescent="0.55000000000000004">
      <c r="A420" s="61" t="s">
        <v>6509</v>
      </c>
      <c r="B420" t="s">
        <v>3704</v>
      </c>
      <c r="C420">
        <v>8710</v>
      </c>
      <c r="D420" t="s">
        <v>6359</v>
      </c>
      <c r="E420" t="s">
        <v>6374</v>
      </c>
      <c r="F420" t="s">
        <v>6361</v>
      </c>
      <c r="G420" s="43">
        <v>0</v>
      </c>
      <c r="H420" s="63">
        <v>0.9</v>
      </c>
    </row>
    <row r="421" spans="1:8" x14ac:dyDescent="0.55000000000000004">
      <c r="A421" s="61" t="s">
        <v>6509</v>
      </c>
      <c r="B421" t="s">
        <v>3704</v>
      </c>
      <c r="C421">
        <v>8710</v>
      </c>
      <c r="D421" t="s">
        <v>6363</v>
      </c>
      <c r="E421" t="s">
        <v>6364</v>
      </c>
      <c r="F421" t="s">
        <v>6361</v>
      </c>
      <c r="G421" s="43">
        <v>0</v>
      </c>
      <c r="H421" s="63">
        <v>0.1</v>
      </c>
    </row>
    <row r="422" spans="1:8" x14ac:dyDescent="0.55000000000000004">
      <c r="A422" s="61" t="s">
        <v>6509</v>
      </c>
      <c r="B422" t="s">
        <v>3704</v>
      </c>
      <c r="C422">
        <v>8710</v>
      </c>
      <c r="D422" t="s">
        <v>6362</v>
      </c>
      <c r="E422" t="s">
        <v>6358</v>
      </c>
      <c r="F422" t="s">
        <v>6358</v>
      </c>
      <c r="G422" s="43">
        <v>9.7500000000000003E-2</v>
      </c>
      <c r="H422" s="63">
        <v>1</v>
      </c>
    </row>
    <row r="423" spans="1:8" x14ac:dyDescent="0.55000000000000004">
      <c r="A423" s="61" t="s">
        <v>6509</v>
      </c>
      <c r="B423" t="s">
        <v>3704</v>
      </c>
      <c r="C423">
        <v>8710</v>
      </c>
      <c r="D423" t="s">
        <v>6365</v>
      </c>
      <c r="E423" t="s">
        <v>6366</v>
      </c>
      <c r="F423" t="s">
        <v>6361</v>
      </c>
      <c r="G423" s="43">
        <v>0</v>
      </c>
      <c r="H423" s="63">
        <v>-0.1</v>
      </c>
    </row>
    <row r="424" spans="1:8" x14ac:dyDescent="0.55000000000000004">
      <c r="A424" s="61" t="s">
        <v>6510</v>
      </c>
      <c r="B424" t="s">
        <v>3704</v>
      </c>
      <c r="C424">
        <v>9310</v>
      </c>
      <c r="D424" t="s">
        <v>6359</v>
      </c>
      <c r="E424" t="s">
        <v>6375</v>
      </c>
      <c r="F424" t="s">
        <v>6361</v>
      </c>
      <c r="G424" s="43">
        <v>0</v>
      </c>
      <c r="H424" s="63">
        <v>0.9</v>
      </c>
    </row>
    <row r="425" spans="1:8" x14ac:dyDescent="0.55000000000000004">
      <c r="A425" s="61" t="s">
        <v>6510</v>
      </c>
      <c r="B425" t="s">
        <v>3704</v>
      </c>
      <c r="C425">
        <v>9310</v>
      </c>
      <c r="D425" t="s">
        <v>6363</v>
      </c>
      <c r="E425" t="s">
        <v>6364</v>
      </c>
      <c r="F425" t="s">
        <v>6361</v>
      </c>
      <c r="G425" s="43">
        <v>0</v>
      </c>
      <c r="H425" s="63">
        <v>0.1</v>
      </c>
    </row>
    <row r="426" spans="1:8" x14ac:dyDescent="0.55000000000000004">
      <c r="A426" s="61" t="s">
        <v>6510</v>
      </c>
      <c r="B426" t="s">
        <v>3704</v>
      </c>
      <c r="C426">
        <v>9310</v>
      </c>
      <c r="D426" t="s">
        <v>6362</v>
      </c>
      <c r="E426" t="s">
        <v>6358</v>
      </c>
      <c r="F426" t="s">
        <v>6358</v>
      </c>
      <c r="G426" s="43">
        <v>9.7500000000000003E-2</v>
      </c>
      <c r="H426" s="63">
        <v>1</v>
      </c>
    </row>
    <row r="427" spans="1:8" x14ac:dyDescent="0.55000000000000004">
      <c r="A427" s="61" t="s">
        <v>6510</v>
      </c>
      <c r="B427" t="s">
        <v>3704</v>
      </c>
      <c r="C427">
        <v>9310</v>
      </c>
      <c r="D427" t="s">
        <v>6365</v>
      </c>
      <c r="E427" t="s">
        <v>6366</v>
      </c>
      <c r="F427" t="s">
        <v>6361</v>
      </c>
      <c r="G427" s="43">
        <v>0</v>
      </c>
      <c r="H427" s="63">
        <v>-0.1</v>
      </c>
    </row>
    <row r="428" spans="1:8" x14ac:dyDescent="0.55000000000000004">
      <c r="A428" s="61" t="s">
        <v>6511</v>
      </c>
      <c r="B428" t="s">
        <v>1495</v>
      </c>
      <c r="C428">
        <v>8510</v>
      </c>
      <c r="D428" t="s">
        <v>6359</v>
      </c>
      <c r="E428" t="s">
        <v>6360</v>
      </c>
      <c r="F428" t="s">
        <v>6361</v>
      </c>
      <c r="G428" s="43">
        <v>0</v>
      </c>
      <c r="H428" s="63">
        <v>0.9</v>
      </c>
    </row>
    <row r="429" spans="1:8" x14ac:dyDescent="0.55000000000000004">
      <c r="A429" s="61" t="s">
        <v>6511</v>
      </c>
      <c r="B429" t="s">
        <v>1495</v>
      </c>
      <c r="C429">
        <v>8510</v>
      </c>
      <c r="D429" t="s">
        <v>6363</v>
      </c>
      <c r="E429" t="s">
        <v>6364</v>
      </c>
      <c r="F429" t="s">
        <v>6361</v>
      </c>
      <c r="G429" s="43">
        <v>0</v>
      </c>
      <c r="H429" s="63">
        <v>0.1</v>
      </c>
    </row>
    <row r="430" spans="1:8" x14ac:dyDescent="0.55000000000000004">
      <c r="A430" s="61" t="s">
        <v>6511</v>
      </c>
      <c r="B430" t="s">
        <v>1495</v>
      </c>
      <c r="C430">
        <v>8510</v>
      </c>
      <c r="D430" t="s">
        <v>6362</v>
      </c>
      <c r="E430" t="s">
        <v>6358</v>
      </c>
      <c r="F430" t="s">
        <v>6358</v>
      </c>
      <c r="G430" s="43">
        <v>6.7000000000000004E-2</v>
      </c>
      <c r="H430" s="63">
        <v>1</v>
      </c>
    </row>
    <row r="431" spans="1:8" x14ac:dyDescent="0.55000000000000004">
      <c r="A431" s="61" t="s">
        <v>6511</v>
      </c>
      <c r="B431" t="s">
        <v>1495</v>
      </c>
      <c r="C431">
        <v>8510</v>
      </c>
      <c r="D431" t="s">
        <v>6365</v>
      </c>
      <c r="E431" t="s">
        <v>6366</v>
      </c>
      <c r="F431" t="s">
        <v>6361</v>
      </c>
      <c r="G431" s="43">
        <v>0</v>
      </c>
      <c r="H431" s="63">
        <v>-0.1</v>
      </c>
    </row>
    <row r="432" spans="1:8" x14ac:dyDescent="0.55000000000000004">
      <c r="A432" s="61" t="s">
        <v>6512</v>
      </c>
      <c r="B432" t="s">
        <v>1495</v>
      </c>
      <c r="C432">
        <v>9110</v>
      </c>
      <c r="D432" t="s">
        <v>6359</v>
      </c>
      <c r="E432" t="s">
        <v>6367</v>
      </c>
      <c r="F432" t="s">
        <v>6361</v>
      </c>
      <c r="G432" s="43">
        <v>0</v>
      </c>
      <c r="H432" s="63">
        <v>0.9</v>
      </c>
    </row>
    <row r="433" spans="1:8" x14ac:dyDescent="0.55000000000000004">
      <c r="A433" s="61" t="s">
        <v>6512</v>
      </c>
      <c r="B433" t="s">
        <v>1495</v>
      </c>
      <c r="C433">
        <v>9110</v>
      </c>
      <c r="D433" t="s">
        <v>6363</v>
      </c>
      <c r="E433" t="s">
        <v>6364</v>
      </c>
      <c r="F433" t="s">
        <v>6361</v>
      </c>
      <c r="G433" s="43">
        <v>0</v>
      </c>
      <c r="H433" s="63">
        <v>0.1</v>
      </c>
    </row>
    <row r="434" spans="1:8" x14ac:dyDescent="0.55000000000000004">
      <c r="A434" s="61" t="s">
        <v>6512</v>
      </c>
      <c r="B434" t="s">
        <v>1495</v>
      </c>
      <c r="C434">
        <v>9110</v>
      </c>
      <c r="D434" t="s">
        <v>6362</v>
      </c>
      <c r="E434" t="s">
        <v>6358</v>
      </c>
      <c r="F434" t="s">
        <v>6358</v>
      </c>
      <c r="G434" s="43">
        <v>6.7000000000000004E-2</v>
      </c>
      <c r="H434" s="63">
        <v>1</v>
      </c>
    </row>
    <row r="435" spans="1:8" x14ac:dyDescent="0.55000000000000004">
      <c r="A435" s="61" t="s">
        <v>6512</v>
      </c>
      <c r="B435" t="s">
        <v>1495</v>
      </c>
      <c r="C435">
        <v>9110</v>
      </c>
      <c r="D435" t="s">
        <v>6365</v>
      </c>
      <c r="E435" t="s">
        <v>6366</v>
      </c>
      <c r="F435" t="s">
        <v>6361</v>
      </c>
      <c r="G435" s="43">
        <v>0</v>
      </c>
      <c r="H435" s="63">
        <v>-0.1</v>
      </c>
    </row>
    <row r="436" spans="1:8" x14ac:dyDescent="0.55000000000000004">
      <c r="A436" s="61" t="s">
        <v>6513</v>
      </c>
      <c r="B436" t="s">
        <v>4941</v>
      </c>
      <c r="C436">
        <v>8708</v>
      </c>
      <c r="D436" t="s">
        <v>6359</v>
      </c>
      <c r="E436" t="s">
        <v>6370</v>
      </c>
      <c r="F436" t="s">
        <v>6361</v>
      </c>
      <c r="G436" s="43">
        <v>0</v>
      </c>
      <c r="H436" s="63">
        <v>0.9</v>
      </c>
    </row>
    <row r="437" spans="1:8" x14ac:dyDescent="0.55000000000000004">
      <c r="A437" s="61" t="s">
        <v>6513</v>
      </c>
      <c r="B437" t="s">
        <v>4941</v>
      </c>
      <c r="C437">
        <v>8708</v>
      </c>
      <c r="D437" t="s">
        <v>6363</v>
      </c>
      <c r="E437" t="s">
        <v>6364</v>
      </c>
      <c r="F437" t="s">
        <v>6361</v>
      </c>
      <c r="G437" s="43">
        <v>0</v>
      </c>
      <c r="H437" s="63">
        <v>0.1</v>
      </c>
    </row>
    <row r="438" spans="1:8" x14ac:dyDescent="0.55000000000000004">
      <c r="A438" s="61" t="s">
        <v>6513</v>
      </c>
      <c r="B438" t="s">
        <v>4941</v>
      </c>
      <c r="C438">
        <v>8708</v>
      </c>
      <c r="D438" t="s">
        <v>6362</v>
      </c>
      <c r="E438" t="s">
        <v>6358</v>
      </c>
      <c r="F438" t="s">
        <v>6358</v>
      </c>
      <c r="G438" s="43">
        <v>7.6899999999999996E-2</v>
      </c>
      <c r="H438" s="63">
        <v>1</v>
      </c>
    </row>
    <row r="439" spans="1:8" x14ac:dyDescent="0.55000000000000004">
      <c r="A439" s="61" t="s">
        <v>6513</v>
      </c>
      <c r="B439" t="s">
        <v>4941</v>
      </c>
      <c r="C439">
        <v>8708</v>
      </c>
      <c r="D439" t="s">
        <v>6365</v>
      </c>
      <c r="E439" t="s">
        <v>6366</v>
      </c>
      <c r="F439" t="s">
        <v>6361</v>
      </c>
      <c r="G439" s="43">
        <v>0</v>
      </c>
      <c r="H439" s="63">
        <v>-0.1</v>
      </c>
    </row>
    <row r="440" spans="1:8" x14ac:dyDescent="0.55000000000000004">
      <c r="A440" s="61" t="s">
        <v>6514</v>
      </c>
      <c r="B440" t="s">
        <v>4941</v>
      </c>
      <c r="C440">
        <v>8710</v>
      </c>
      <c r="D440" t="s">
        <v>6359</v>
      </c>
      <c r="E440" t="s">
        <v>6370</v>
      </c>
      <c r="F440" t="s">
        <v>6361</v>
      </c>
      <c r="G440" s="43">
        <v>0</v>
      </c>
      <c r="H440" s="63">
        <v>0.9</v>
      </c>
    </row>
    <row r="441" spans="1:8" x14ac:dyDescent="0.55000000000000004">
      <c r="A441" s="61" t="s">
        <v>6514</v>
      </c>
      <c r="B441" t="s">
        <v>4941</v>
      </c>
      <c r="C441">
        <v>8710</v>
      </c>
      <c r="D441" t="s">
        <v>6363</v>
      </c>
      <c r="E441" t="s">
        <v>6364</v>
      </c>
      <c r="F441" t="s">
        <v>6361</v>
      </c>
      <c r="G441" s="43">
        <v>0</v>
      </c>
      <c r="H441" s="63">
        <v>0.1</v>
      </c>
    </row>
    <row r="442" spans="1:8" x14ac:dyDescent="0.55000000000000004">
      <c r="A442" s="61" t="s">
        <v>6514</v>
      </c>
      <c r="B442" t="s">
        <v>4941</v>
      </c>
      <c r="C442">
        <v>8710</v>
      </c>
      <c r="D442" t="s">
        <v>6362</v>
      </c>
      <c r="E442" t="s">
        <v>6358</v>
      </c>
      <c r="F442" t="s">
        <v>6358</v>
      </c>
      <c r="G442" s="43">
        <v>7.6899999999999996E-2</v>
      </c>
      <c r="H442" s="63">
        <v>1</v>
      </c>
    </row>
    <row r="443" spans="1:8" x14ac:dyDescent="0.55000000000000004">
      <c r="A443" s="61" t="s">
        <v>6514</v>
      </c>
      <c r="B443" t="s">
        <v>4941</v>
      </c>
      <c r="C443">
        <v>8710</v>
      </c>
      <c r="D443" t="s">
        <v>6365</v>
      </c>
      <c r="E443" t="s">
        <v>6366</v>
      </c>
      <c r="F443" t="s">
        <v>6361</v>
      </c>
      <c r="G443" s="43">
        <v>0</v>
      </c>
      <c r="H443" s="63">
        <v>-0.1</v>
      </c>
    </row>
    <row r="444" spans="1:8" x14ac:dyDescent="0.55000000000000004">
      <c r="A444" s="61" t="s">
        <v>6515</v>
      </c>
      <c r="B444" t="s">
        <v>4941</v>
      </c>
      <c r="C444">
        <v>8711</v>
      </c>
      <c r="D444" t="s">
        <v>6359</v>
      </c>
      <c r="E444" t="s">
        <v>6372</v>
      </c>
      <c r="F444" t="s">
        <v>6361</v>
      </c>
      <c r="G444" s="43">
        <v>0</v>
      </c>
      <c r="H444" s="63">
        <v>0.9</v>
      </c>
    </row>
    <row r="445" spans="1:8" x14ac:dyDescent="0.55000000000000004">
      <c r="A445" s="61" t="s">
        <v>6515</v>
      </c>
      <c r="B445" t="s">
        <v>4941</v>
      </c>
      <c r="C445">
        <v>8711</v>
      </c>
      <c r="D445" t="s">
        <v>6363</v>
      </c>
      <c r="E445" t="s">
        <v>6364</v>
      </c>
      <c r="F445" t="s">
        <v>6361</v>
      </c>
      <c r="G445" s="43">
        <v>0</v>
      </c>
      <c r="H445" s="63">
        <v>0.1</v>
      </c>
    </row>
    <row r="446" spans="1:8" x14ac:dyDescent="0.55000000000000004">
      <c r="A446" s="61" t="s">
        <v>6515</v>
      </c>
      <c r="B446" t="s">
        <v>4941</v>
      </c>
      <c r="C446">
        <v>8711</v>
      </c>
      <c r="D446" t="s">
        <v>6362</v>
      </c>
      <c r="E446" t="s">
        <v>6358</v>
      </c>
      <c r="F446" t="s">
        <v>6358</v>
      </c>
      <c r="G446" s="43">
        <v>7.6899999999999996E-2</v>
      </c>
      <c r="H446" s="63">
        <v>1</v>
      </c>
    </row>
    <row r="447" spans="1:8" x14ac:dyDescent="0.55000000000000004">
      <c r="A447" s="61" t="s">
        <v>6515</v>
      </c>
      <c r="B447" t="s">
        <v>4941</v>
      </c>
      <c r="C447">
        <v>8711</v>
      </c>
      <c r="D447" t="s">
        <v>6365</v>
      </c>
      <c r="E447" t="s">
        <v>6366</v>
      </c>
      <c r="F447" t="s">
        <v>6361</v>
      </c>
      <c r="G447" s="43">
        <v>0</v>
      </c>
      <c r="H447" s="63">
        <v>-0.1</v>
      </c>
    </row>
    <row r="448" spans="1:8" x14ac:dyDescent="0.55000000000000004">
      <c r="A448" s="61" t="s">
        <v>6516</v>
      </c>
      <c r="B448" t="s">
        <v>4941</v>
      </c>
      <c r="C448">
        <v>8713</v>
      </c>
      <c r="D448" t="s">
        <v>6359</v>
      </c>
      <c r="E448" t="s">
        <v>6372</v>
      </c>
      <c r="F448" t="s">
        <v>6361</v>
      </c>
      <c r="G448" s="43">
        <v>0</v>
      </c>
      <c r="H448" s="63">
        <v>0.9</v>
      </c>
    </row>
    <row r="449" spans="1:8" x14ac:dyDescent="0.55000000000000004">
      <c r="A449" s="61" t="s">
        <v>6516</v>
      </c>
      <c r="B449" t="s">
        <v>4941</v>
      </c>
      <c r="C449">
        <v>8713</v>
      </c>
      <c r="D449" t="s">
        <v>6363</v>
      </c>
      <c r="E449" t="s">
        <v>6364</v>
      </c>
      <c r="F449" t="s">
        <v>6361</v>
      </c>
      <c r="G449" s="43">
        <v>0</v>
      </c>
      <c r="H449" s="63">
        <v>0.1</v>
      </c>
    </row>
    <row r="450" spans="1:8" x14ac:dyDescent="0.55000000000000004">
      <c r="A450" s="61" t="s">
        <v>6516</v>
      </c>
      <c r="B450" t="s">
        <v>4941</v>
      </c>
      <c r="C450">
        <v>8713</v>
      </c>
      <c r="D450" t="s">
        <v>6362</v>
      </c>
      <c r="E450" t="s">
        <v>6358</v>
      </c>
      <c r="F450" t="s">
        <v>6358</v>
      </c>
      <c r="G450" s="43">
        <v>7.6899999999999996E-2</v>
      </c>
      <c r="H450" s="63">
        <v>1</v>
      </c>
    </row>
    <row r="451" spans="1:8" x14ac:dyDescent="0.55000000000000004">
      <c r="A451" s="61" t="s">
        <v>6516</v>
      </c>
      <c r="B451" t="s">
        <v>4941</v>
      </c>
      <c r="C451">
        <v>8713</v>
      </c>
      <c r="D451" t="s">
        <v>6365</v>
      </c>
      <c r="E451" t="s">
        <v>6366</v>
      </c>
      <c r="F451" t="s">
        <v>6361</v>
      </c>
      <c r="G451" s="43">
        <v>0</v>
      </c>
      <c r="H451" s="63">
        <v>-0.1</v>
      </c>
    </row>
    <row r="452" spans="1:8" x14ac:dyDescent="0.55000000000000004">
      <c r="A452" s="61" t="s">
        <v>6517</v>
      </c>
      <c r="B452" t="s">
        <v>4941</v>
      </c>
      <c r="C452">
        <v>9305</v>
      </c>
      <c r="D452" t="s">
        <v>6359</v>
      </c>
      <c r="E452" t="s">
        <v>6371</v>
      </c>
      <c r="F452" t="s">
        <v>6361</v>
      </c>
      <c r="G452" s="43">
        <v>0</v>
      </c>
      <c r="H452" s="63">
        <v>0.9</v>
      </c>
    </row>
    <row r="453" spans="1:8" x14ac:dyDescent="0.55000000000000004">
      <c r="A453" s="61" t="s">
        <v>6517</v>
      </c>
      <c r="B453" t="s">
        <v>4941</v>
      </c>
      <c r="C453">
        <v>9305</v>
      </c>
      <c r="D453" t="s">
        <v>6363</v>
      </c>
      <c r="E453" t="s">
        <v>6364</v>
      </c>
      <c r="F453" t="s">
        <v>6361</v>
      </c>
      <c r="G453" s="43">
        <v>0</v>
      </c>
      <c r="H453" s="63">
        <v>0.1</v>
      </c>
    </row>
    <row r="454" spans="1:8" x14ac:dyDescent="0.55000000000000004">
      <c r="A454" s="61" t="s">
        <v>6517</v>
      </c>
      <c r="B454" t="s">
        <v>4941</v>
      </c>
      <c r="C454">
        <v>9305</v>
      </c>
      <c r="D454" t="s">
        <v>6362</v>
      </c>
      <c r="E454" t="s">
        <v>6358</v>
      </c>
      <c r="F454" t="s">
        <v>6358</v>
      </c>
      <c r="G454" s="43">
        <v>7.6899999999999996E-2</v>
      </c>
      <c r="H454" s="63">
        <v>1</v>
      </c>
    </row>
    <row r="455" spans="1:8" x14ac:dyDescent="0.55000000000000004">
      <c r="A455" s="61" t="s">
        <v>6517</v>
      </c>
      <c r="B455" t="s">
        <v>4941</v>
      </c>
      <c r="C455">
        <v>9305</v>
      </c>
      <c r="D455" t="s">
        <v>6365</v>
      </c>
      <c r="E455" t="s">
        <v>6366</v>
      </c>
      <c r="F455" t="s">
        <v>6361</v>
      </c>
      <c r="G455" s="43">
        <v>0</v>
      </c>
      <c r="H455" s="63">
        <v>-0.1</v>
      </c>
    </row>
    <row r="456" spans="1:8" x14ac:dyDescent="0.55000000000000004">
      <c r="A456" s="61" t="s">
        <v>6518</v>
      </c>
      <c r="B456" t="s">
        <v>4941</v>
      </c>
      <c r="C456">
        <v>9307</v>
      </c>
      <c r="D456" t="s">
        <v>6359</v>
      </c>
      <c r="E456" t="s">
        <v>6373</v>
      </c>
      <c r="F456" t="s">
        <v>6361</v>
      </c>
      <c r="G456" s="43">
        <v>0</v>
      </c>
      <c r="H456" s="63">
        <v>0.9</v>
      </c>
    </row>
    <row r="457" spans="1:8" x14ac:dyDescent="0.55000000000000004">
      <c r="A457" s="61" t="s">
        <v>6518</v>
      </c>
      <c r="B457" t="s">
        <v>4941</v>
      </c>
      <c r="C457">
        <v>9307</v>
      </c>
      <c r="D457" t="s">
        <v>6363</v>
      </c>
      <c r="E457" t="s">
        <v>6364</v>
      </c>
      <c r="F457" t="s">
        <v>6361</v>
      </c>
      <c r="G457" s="43">
        <v>0</v>
      </c>
      <c r="H457" s="63">
        <v>0.1</v>
      </c>
    </row>
    <row r="458" spans="1:8" x14ac:dyDescent="0.55000000000000004">
      <c r="A458" s="61" t="s">
        <v>6518</v>
      </c>
      <c r="B458" t="s">
        <v>4941</v>
      </c>
      <c r="C458">
        <v>9307</v>
      </c>
      <c r="D458" t="s">
        <v>6362</v>
      </c>
      <c r="E458" t="s">
        <v>6358</v>
      </c>
      <c r="F458" t="s">
        <v>6358</v>
      </c>
      <c r="G458" s="43">
        <v>7.6899999999999996E-2</v>
      </c>
      <c r="H458" s="63">
        <v>1</v>
      </c>
    </row>
    <row r="459" spans="1:8" x14ac:dyDescent="0.55000000000000004">
      <c r="A459" s="61" t="s">
        <v>6518</v>
      </c>
      <c r="B459" t="s">
        <v>4941</v>
      </c>
      <c r="C459">
        <v>9307</v>
      </c>
      <c r="D459" t="s">
        <v>6365</v>
      </c>
      <c r="E459" t="s">
        <v>6366</v>
      </c>
      <c r="F459" t="s">
        <v>6361</v>
      </c>
      <c r="G459" s="43">
        <v>0</v>
      </c>
      <c r="H459" s="63">
        <v>-0.1</v>
      </c>
    </row>
    <row r="460" spans="1:8" x14ac:dyDescent="0.55000000000000004">
      <c r="A460" s="61" t="s">
        <v>6519</v>
      </c>
      <c r="B460" t="s">
        <v>4941</v>
      </c>
      <c r="C460">
        <v>9309</v>
      </c>
      <c r="D460" t="s">
        <v>6359</v>
      </c>
      <c r="E460" t="s">
        <v>6373</v>
      </c>
      <c r="F460" t="s">
        <v>6361</v>
      </c>
      <c r="G460" s="43">
        <v>0</v>
      </c>
      <c r="H460" s="63">
        <v>0.9</v>
      </c>
    </row>
    <row r="461" spans="1:8" x14ac:dyDescent="0.55000000000000004">
      <c r="A461" s="61" t="s">
        <v>6519</v>
      </c>
      <c r="B461" t="s">
        <v>4941</v>
      </c>
      <c r="C461">
        <v>9309</v>
      </c>
      <c r="D461" t="s">
        <v>6363</v>
      </c>
      <c r="E461" t="s">
        <v>6364</v>
      </c>
      <c r="F461" t="s">
        <v>6361</v>
      </c>
      <c r="G461" s="43">
        <v>0</v>
      </c>
      <c r="H461" s="63">
        <v>0.1</v>
      </c>
    </row>
    <row r="462" spans="1:8" x14ac:dyDescent="0.55000000000000004">
      <c r="A462" s="61" t="s">
        <v>6519</v>
      </c>
      <c r="B462" t="s">
        <v>4941</v>
      </c>
      <c r="C462">
        <v>9309</v>
      </c>
      <c r="D462" t="s">
        <v>6362</v>
      </c>
      <c r="E462" t="s">
        <v>6358</v>
      </c>
      <c r="F462" t="s">
        <v>6358</v>
      </c>
      <c r="G462" s="43">
        <v>7.6899999999999996E-2</v>
      </c>
      <c r="H462" s="63">
        <v>1</v>
      </c>
    </row>
    <row r="463" spans="1:8" x14ac:dyDescent="0.55000000000000004">
      <c r="A463" s="61" t="s">
        <v>6519</v>
      </c>
      <c r="B463" t="s">
        <v>4941</v>
      </c>
      <c r="C463">
        <v>9309</v>
      </c>
      <c r="D463" t="s">
        <v>6365</v>
      </c>
      <c r="E463" t="s">
        <v>6366</v>
      </c>
      <c r="F463" t="s">
        <v>6361</v>
      </c>
      <c r="G463" s="43">
        <v>0</v>
      </c>
      <c r="H463" s="63">
        <v>-0.1</v>
      </c>
    </row>
    <row r="464" spans="1:8" x14ac:dyDescent="0.55000000000000004">
      <c r="A464" s="61" t="s">
        <v>6520</v>
      </c>
      <c r="B464" t="s">
        <v>1604</v>
      </c>
      <c r="C464">
        <v>8710</v>
      </c>
      <c r="D464" t="s">
        <v>6359</v>
      </c>
      <c r="E464" t="s">
        <v>6360</v>
      </c>
      <c r="F464" t="s">
        <v>6361</v>
      </c>
      <c r="G464" s="43">
        <v>0</v>
      </c>
      <c r="H464" s="63">
        <v>0.9</v>
      </c>
    </row>
    <row r="465" spans="1:8" x14ac:dyDescent="0.55000000000000004">
      <c r="A465" s="61" t="s">
        <v>6520</v>
      </c>
      <c r="B465" t="s">
        <v>1604</v>
      </c>
      <c r="C465">
        <v>8710</v>
      </c>
      <c r="D465" t="s">
        <v>6363</v>
      </c>
      <c r="E465" t="s">
        <v>6364</v>
      </c>
      <c r="F465" t="s">
        <v>6361</v>
      </c>
      <c r="G465" s="43">
        <v>0</v>
      </c>
      <c r="H465" s="63">
        <v>0.1</v>
      </c>
    </row>
    <row r="466" spans="1:8" x14ac:dyDescent="0.55000000000000004">
      <c r="A466" s="61" t="s">
        <v>6520</v>
      </c>
      <c r="B466" t="s">
        <v>1604</v>
      </c>
      <c r="C466">
        <v>8710</v>
      </c>
      <c r="D466" t="s">
        <v>6362</v>
      </c>
      <c r="E466" t="s">
        <v>6358</v>
      </c>
      <c r="F466" t="s">
        <v>6358</v>
      </c>
      <c r="G466" s="43">
        <v>7.6300000000000007E-2</v>
      </c>
      <c r="H466" s="63">
        <v>1</v>
      </c>
    </row>
    <row r="467" spans="1:8" x14ac:dyDescent="0.55000000000000004">
      <c r="A467" s="61" t="s">
        <v>6520</v>
      </c>
      <c r="B467" t="s">
        <v>1604</v>
      </c>
      <c r="C467">
        <v>8710</v>
      </c>
      <c r="D467" t="s">
        <v>6365</v>
      </c>
      <c r="E467" t="s">
        <v>6366</v>
      </c>
      <c r="F467" t="s">
        <v>6361</v>
      </c>
      <c r="G467" s="43">
        <v>0</v>
      </c>
      <c r="H467" s="63">
        <v>-0.1</v>
      </c>
    </row>
    <row r="468" spans="1:8" x14ac:dyDescent="0.55000000000000004">
      <c r="A468" s="61" t="s">
        <v>6521</v>
      </c>
      <c r="B468" t="s">
        <v>1604</v>
      </c>
      <c r="C468">
        <v>8711</v>
      </c>
      <c r="D468" t="s">
        <v>6359</v>
      </c>
      <c r="E468" t="s">
        <v>6360</v>
      </c>
      <c r="F468" t="s">
        <v>6361</v>
      </c>
      <c r="G468" s="43">
        <v>0</v>
      </c>
      <c r="H468" s="63">
        <v>0.9</v>
      </c>
    </row>
    <row r="469" spans="1:8" x14ac:dyDescent="0.55000000000000004">
      <c r="A469" s="61" t="s">
        <v>6521</v>
      </c>
      <c r="B469" t="s">
        <v>1604</v>
      </c>
      <c r="C469">
        <v>8711</v>
      </c>
      <c r="D469" t="s">
        <v>6363</v>
      </c>
      <c r="E469" t="s">
        <v>6364</v>
      </c>
      <c r="F469" t="s">
        <v>6361</v>
      </c>
      <c r="G469" s="43">
        <v>0</v>
      </c>
      <c r="H469" s="63">
        <v>0.1</v>
      </c>
    </row>
    <row r="470" spans="1:8" x14ac:dyDescent="0.55000000000000004">
      <c r="A470" s="61" t="s">
        <v>6521</v>
      </c>
      <c r="B470" t="s">
        <v>1604</v>
      </c>
      <c r="C470">
        <v>8711</v>
      </c>
      <c r="D470" t="s">
        <v>6362</v>
      </c>
      <c r="E470" t="s">
        <v>6358</v>
      </c>
      <c r="F470" t="s">
        <v>6358</v>
      </c>
      <c r="G470" s="43">
        <v>7.6300000000000007E-2</v>
      </c>
      <c r="H470" s="63">
        <v>1</v>
      </c>
    </row>
    <row r="471" spans="1:8" x14ac:dyDescent="0.55000000000000004">
      <c r="A471" s="61" t="s">
        <v>6521</v>
      </c>
      <c r="B471" t="s">
        <v>1604</v>
      </c>
      <c r="C471">
        <v>8711</v>
      </c>
      <c r="D471" t="s">
        <v>6365</v>
      </c>
      <c r="E471" t="s">
        <v>6366</v>
      </c>
      <c r="F471" t="s">
        <v>6361</v>
      </c>
      <c r="G471" s="43">
        <v>0</v>
      </c>
      <c r="H471" s="63">
        <v>-0.1</v>
      </c>
    </row>
    <row r="472" spans="1:8" x14ac:dyDescent="0.55000000000000004">
      <c r="A472" s="61" t="s">
        <v>6522</v>
      </c>
      <c r="B472" t="s">
        <v>1604</v>
      </c>
      <c r="C472">
        <v>8713</v>
      </c>
      <c r="D472" t="s">
        <v>6359</v>
      </c>
      <c r="E472" t="s">
        <v>6360</v>
      </c>
      <c r="F472" t="s">
        <v>6361</v>
      </c>
      <c r="G472" s="43">
        <v>0</v>
      </c>
      <c r="H472" s="63">
        <v>0.9</v>
      </c>
    </row>
    <row r="473" spans="1:8" x14ac:dyDescent="0.55000000000000004">
      <c r="A473" s="61" t="s">
        <v>6522</v>
      </c>
      <c r="B473" t="s">
        <v>1604</v>
      </c>
      <c r="C473">
        <v>8713</v>
      </c>
      <c r="D473" t="s">
        <v>6363</v>
      </c>
      <c r="E473" t="s">
        <v>6364</v>
      </c>
      <c r="F473" t="s">
        <v>6361</v>
      </c>
      <c r="G473" s="43">
        <v>0</v>
      </c>
      <c r="H473" s="63">
        <v>0.1</v>
      </c>
    </row>
    <row r="474" spans="1:8" x14ac:dyDescent="0.55000000000000004">
      <c r="A474" s="61" t="s">
        <v>6522</v>
      </c>
      <c r="B474" t="s">
        <v>1604</v>
      </c>
      <c r="C474">
        <v>8713</v>
      </c>
      <c r="D474" t="s">
        <v>6362</v>
      </c>
      <c r="E474" t="s">
        <v>6358</v>
      </c>
      <c r="F474" t="s">
        <v>6358</v>
      </c>
      <c r="G474" s="43">
        <v>7.6300000000000007E-2</v>
      </c>
      <c r="H474" s="63">
        <v>1</v>
      </c>
    </row>
    <row r="475" spans="1:8" x14ac:dyDescent="0.55000000000000004">
      <c r="A475" s="61" t="s">
        <v>6522</v>
      </c>
      <c r="B475" t="s">
        <v>1604</v>
      </c>
      <c r="C475">
        <v>8713</v>
      </c>
      <c r="D475" t="s">
        <v>6365</v>
      </c>
      <c r="E475" t="s">
        <v>6366</v>
      </c>
      <c r="F475" t="s">
        <v>6361</v>
      </c>
      <c r="G475" s="43">
        <v>0</v>
      </c>
      <c r="H475" s="63">
        <v>-0.1</v>
      </c>
    </row>
    <row r="476" spans="1:8" x14ac:dyDescent="0.55000000000000004">
      <c r="A476" s="61" t="s">
        <v>6523</v>
      </c>
      <c r="B476" t="s">
        <v>1604</v>
      </c>
      <c r="C476">
        <v>9101</v>
      </c>
      <c r="D476" t="s">
        <v>6359</v>
      </c>
      <c r="E476" t="s">
        <v>6367</v>
      </c>
      <c r="F476" t="s">
        <v>6361</v>
      </c>
      <c r="G476" s="43">
        <v>0</v>
      </c>
      <c r="H476" s="63">
        <v>1</v>
      </c>
    </row>
    <row r="477" spans="1:8" x14ac:dyDescent="0.55000000000000004">
      <c r="A477" s="61" t="s">
        <v>6523</v>
      </c>
      <c r="B477" t="s">
        <v>1604</v>
      </c>
      <c r="C477">
        <v>9101</v>
      </c>
      <c r="D477" t="s">
        <v>6362</v>
      </c>
      <c r="E477" t="s">
        <v>6358</v>
      </c>
      <c r="F477" t="s">
        <v>6358</v>
      </c>
      <c r="G477" s="43">
        <v>7.0400000000000004E-2</v>
      </c>
      <c r="H477" s="63">
        <v>1</v>
      </c>
    </row>
    <row r="478" spans="1:8" x14ac:dyDescent="0.55000000000000004">
      <c r="A478" s="61" t="s">
        <v>6524</v>
      </c>
      <c r="B478" t="s">
        <v>1604</v>
      </c>
      <c r="C478">
        <v>9110</v>
      </c>
      <c r="D478" t="s">
        <v>6359</v>
      </c>
      <c r="E478" t="s">
        <v>6367</v>
      </c>
      <c r="F478" t="s">
        <v>6361</v>
      </c>
      <c r="G478" s="43">
        <v>0</v>
      </c>
      <c r="H478" s="63">
        <v>0.9</v>
      </c>
    </row>
    <row r="479" spans="1:8" x14ac:dyDescent="0.55000000000000004">
      <c r="A479" s="61" t="s">
        <v>6524</v>
      </c>
      <c r="B479" t="s">
        <v>1604</v>
      </c>
      <c r="C479">
        <v>9110</v>
      </c>
      <c r="D479" t="s">
        <v>6363</v>
      </c>
      <c r="E479" t="s">
        <v>6364</v>
      </c>
      <c r="F479" t="s">
        <v>6361</v>
      </c>
      <c r="G479" s="43">
        <v>0</v>
      </c>
      <c r="H479" s="63">
        <v>0.1</v>
      </c>
    </row>
    <row r="480" spans="1:8" x14ac:dyDescent="0.55000000000000004">
      <c r="A480" s="61" t="s">
        <v>6524</v>
      </c>
      <c r="B480" t="s">
        <v>1604</v>
      </c>
      <c r="C480">
        <v>9110</v>
      </c>
      <c r="D480" t="s">
        <v>6362</v>
      </c>
      <c r="E480" t="s">
        <v>6358</v>
      </c>
      <c r="F480" t="s">
        <v>6358</v>
      </c>
      <c r="G480" s="43">
        <v>7.6300000000000007E-2</v>
      </c>
      <c r="H480" s="63">
        <v>1</v>
      </c>
    </row>
    <row r="481" spans="1:8" x14ac:dyDescent="0.55000000000000004">
      <c r="A481" s="61" t="s">
        <v>6524</v>
      </c>
      <c r="B481" t="s">
        <v>1604</v>
      </c>
      <c r="C481">
        <v>9110</v>
      </c>
      <c r="D481" t="s">
        <v>6365</v>
      </c>
      <c r="E481" t="s">
        <v>6366</v>
      </c>
      <c r="F481" t="s">
        <v>6361</v>
      </c>
      <c r="G481" s="43">
        <v>0</v>
      </c>
      <c r="H481" s="63">
        <v>-0.1</v>
      </c>
    </row>
    <row r="482" spans="1:8" x14ac:dyDescent="0.55000000000000004">
      <c r="A482" s="61" t="s">
        <v>6525</v>
      </c>
      <c r="B482" t="s">
        <v>1604</v>
      </c>
      <c r="C482">
        <v>9307</v>
      </c>
      <c r="D482" t="s">
        <v>6359</v>
      </c>
      <c r="E482" t="s">
        <v>6367</v>
      </c>
      <c r="F482" t="s">
        <v>6361</v>
      </c>
      <c r="G482" s="43">
        <v>0</v>
      </c>
      <c r="H482" s="63">
        <v>0.9</v>
      </c>
    </row>
    <row r="483" spans="1:8" x14ac:dyDescent="0.55000000000000004">
      <c r="A483" s="61" t="s">
        <v>6525</v>
      </c>
      <c r="B483" t="s">
        <v>1604</v>
      </c>
      <c r="C483">
        <v>9307</v>
      </c>
      <c r="D483" t="s">
        <v>6363</v>
      </c>
      <c r="E483" t="s">
        <v>6364</v>
      </c>
      <c r="F483" t="s">
        <v>6361</v>
      </c>
      <c r="G483" s="43">
        <v>0</v>
      </c>
      <c r="H483" s="63">
        <v>0.1</v>
      </c>
    </row>
    <row r="484" spans="1:8" x14ac:dyDescent="0.55000000000000004">
      <c r="A484" s="61" t="s">
        <v>6525</v>
      </c>
      <c r="B484" t="s">
        <v>1604</v>
      </c>
      <c r="C484">
        <v>9307</v>
      </c>
      <c r="D484" t="s">
        <v>6362</v>
      </c>
      <c r="E484" t="s">
        <v>6358</v>
      </c>
      <c r="F484" t="s">
        <v>6358</v>
      </c>
      <c r="G484" s="43">
        <v>7.6300000000000007E-2</v>
      </c>
      <c r="H484" s="63">
        <v>1</v>
      </c>
    </row>
    <row r="485" spans="1:8" x14ac:dyDescent="0.55000000000000004">
      <c r="A485" s="61" t="s">
        <v>6525</v>
      </c>
      <c r="B485" t="s">
        <v>1604</v>
      </c>
      <c r="C485">
        <v>9307</v>
      </c>
      <c r="D485" t="s">
        <v>6365</v>
      </c>
      <c r="E485" t="s">
        <v>6366</v>
      </c>
      <c r="F485" t="s">
        <v>6361</v>
      </c>
      <c r="G485" s="43">
        <v>0</v>
      </c>
      <c r="H485" s="63">
        <v>-0.1</v>
      </c>
    </row>
    <row r="486" spans="1:8" x14ac:dyDescent="0.55000000000000004">
      <c r="A486" s="61" t="s">
        <v>6526</v>
      </c>
      <c r="B486" t="s">
        <v>1604</v>
      </c>
      <c r="C486">
        <v>9309</v>
      </c>
      <c r="D486" t="s">
        <v>6359</v>
      </c>
      <c r="E486" t="s">
        <v>6367</v>
      </c>
      <c r="F486" t="s">
        <v>6361</v>
      </c>
      <c r="G486" s="43">
        <v>0</v>
      </c>
      <c r="H486" s="63">
        <v>0.9</v>
      </c>
    </row>
    <row r="487" spans="1:8" x14ac:dyDescent="0.55000000000000004">
      <c r="A487" s="61" t="s">
        <v>6526</v>
      </c>
      <c r="B487" t="s">
        <v>1604</v>
      </c>
      <c r="C487">
        <v>9309</v>
      </c>
      <c r="D487" t="s">
        <v>6363</v>
      </c>
      <c r="E487" t="s">
        <v>6364</v>
      </c>
      <c r="F487" t="s">
        <v>6361</v>
      </c>
      <c r="G487" s="43">
        <v>0</v>
      </c>
      <c r="H487" s="63">
        <v>0.1</v>
      </c>
    </row>
    <row r="488" spans="1:8" x14ac:dyDescent="0.55000000000000004">
      <c r="A488" s="61" t="s">
        <v>6526</v>
      </c>
      <c r="B488" t="s">
        <v>1604</v>
      </c>
      <c r="C488">
        <v>9309</v>
      </c>
      <c r="D488" t="s">
        <v>6362</v>
      </c>
      <c r="E488" t="s">
        <v>6358</v>
      </c>
      <c r="F488" t="s">
        <v>6358</v>
      </c>
      <c r="G488" s="43">
        <v>7.6300000000000007E-2</v>
      </c>
      <c r="H488" s="63">
        <v>1</v>
      </c>
    </row>
    <row r="489" spans="1:8" x14ac:dyDescent="0.55000000000000004">
      <c r="A489" s="61" t="s">
        <v>6526</v>
      </c>
      <c r="B489" t="s">
        <v>1604</v>
      </c>
      <c r="C489">
        <v>9309</v>
      </c>
      <c r="D489" t="s">
        <v>6365</v>
      </c>
      <c r="E489" t="s">
        <v>6366</v>
      </c>
      <c r="F489" t="s">
        <v>6361</v>
      </c>
      <c r="G489" s="43">
        <v>0</v>
      </c>
      <c r="H489" s="63">
        <v>-0.1</v>
      </c>
    </row>
    <row r="490" spans="1:8" x14ac:dyDescent="0.55000000000000004">
      <c r="A490" s="61" t="s">
        <v>6527</v>
      </c>
      <c r="B490" t="s">
        <v>1604</v>
      </c>
      <c r="C490">
        <v>9310</v>
      </c>
      <c r="D490" t="s">
        <v>6359</v>
      </c>
      <c r="E490" t="s">
        <v>6367</v>
      </c>
      <c r="F490" t="s">
        <v>6361</v>
      </c>
      <c r="G490" s="43">
        <v>0</v>
      </c>
      <c r="H490" s="63">
        <v>0.9</v>
      </c>
    </row>
    <row r="491" spans="1:8" x14ac:dyDescent="0.55000000000000004">
      <c r="A491" s="61" t="s">
        <v>6527</v>
      </c>
      <c r="B491" t="s">
        <v>1604</v>
      </c>
      <c r="C491">
        <v>9310</v>
      </c>
      <c r="D491" t="s">
        <v>6363</v>
      </c>
      <c r="E491" t="s">
        <v>6364</v>
      </c>
      <c r="F491" t="s">
        <v>6361</v>
      </c>
      <c r="G491" s="43">
        <v>0</v>
      </c>
      <c r="H491" s="63">
        <v>0.1</v>
      </c>
    </row>
    <row r="492" spans="1:8" x14ac:dyDescent="0.55000000000000004">
      <c r="A492" s="61" t="s">
        <v>6527</v>
      </c>
      <c r="B492" t="s">
        <v>1604</v>
      </c>
      <c r="C492">
        <v>9310</v>
      </c>
      <c r="D492" t="s">
        <v>6362</v>
      </c>
      <c r="E492" t="s">
        <v>6358</v>
      </c>
      <c r="F492" t="s">
        <v>6358</v>
      </c>
      <c r="G492" s="43">
        <v>7.6300000000000007E-2</v>
      </c>
      <c r="H492" s="63">
        <v>1</v>
      </c>
    </row>
    <row r="493" spans="1:8" x14ac:dyDescent="0.55000000000000004">
      <c r="A493" s="61" t="s">
        <v>6527</v>
      </c>
      <c r="B493" t="s">
        <v>1604</v>
      </c>
      <c r="C493">
        <v>9310</v>
      </c>
      <c r="D493" t="s">
        <v>6365</v>
      </c>
      <c r="E493" t="s">
        <v>6366</v>
      </c>
      <c r="F493" t="s">
        <v>6361</v>
      </c>
      <c r="G493" s="43">
        <v>0</v>
      </c>
      <c r="H493" s="63">
        <v>-0.1</v>
      </c>
    </row>
    <row r="494" spans="1:8" x14ac:dyDescent="0.55000000000000004">
      <c r="A494" s="61" t="s">
        <v>6528</v>
      </c>
      <c r="B494" t="s">
        <v>2843</v>
      </c>
      <c r="C494">
        <v>8710</v>
      </c>
      <c r="D494" t="s">
        <v>6359</v>
      </c>
      <c r="E494" t="s">
        <v>6370</v>
      </c>
      <c r="F494" t="s">
        <v>6361</v>
      </c>
      <c r="G494" s="43">
        <v>0</v>
      </c>
      <c r="H494" s="63">
        <v>0.9</v>
      </c>
    </row>
    <row r="495" spans="1:8" x14ac:dyDescent="0.55000000000000004">
      <c r="A495" s="61" t="s">
        <v>6528</v>
      </c>
      <c r="B495" t="s">
        <v>2843</v>
      </c>
      <c r="C495">
        <v>8710</v>
      </c>
      <c r="D495" t="s">
        <v>6363</v>
      </c>
      <c r="E495" t="s">
        <v>6364</v>
      </c>
      <c r="F495" t="s">
        <v>6361</v>
      </c>
      <c r="G495" s="43">
        <v>0</v>
      </c>
      <c r="H495" s="63">
        <v>0.1</v>
      </c>
    </row>
    <row r="496" spans="1:8" x14ac:dyDescent="0.55000000000000004">
      <c r="A496" s="61" t="s">
        <v>6528</v>
      </c>
      <c r="B496" t="s">
        <v>2843</v>
      </c>
      <c r="C496">
        <v>8710</v>
      </c>
      <c r="D496" t="s">
        <v>6362</v>
      </c>
      <c r="E496" t="s">
        <v>6358</v>
      </c>
      <c r="F496" t="s">
        <v>6358</v>
      </c>
      <c r="G496" s="62">
        <v>0.1125</v>
      </c>
      <c r="H496" s="63">
        <v>1</v>
      </c>
    </row>
    <row r="497" spans="1:8" x14ac:dyDescent="0.55000000000000004">
      <c r="A497" s="61" t="s">
        <v>6528</v>
      </c>
      <c r="B497" t="s">
        <v>2843</v>
      </c>
      <c r="C497">
        <v>8710</v>
      </c>
      <c r="D497" t="s">
        <v>6365</v>
      </c>
      <c r="E497" t="s">
        <v>6366</v>
      </c>
      <c r="F497" t="s">
        <v>6361</v>
      </c>
      <c r="G497" s="43">
        <v>0</v>
      </c>
      <c r="H497" s="63">
        <v>-0.1</v>
      </c>
    </row>
    <row r="498" spans="1:8" x14ac:dyDescent="0.55000000000000004">
      <c r="A498" s="61" t="s">
        <v>6529</v>
      </c>
      <c r="B498" t="s">
        <v>2843</v>
      </c>
      <c r="C498">
        <v>9300</v>
      </c>
      <c r="D498" t="s">
        <v>6359</v>
      </c>
      <c r="E498" t="s">
        <v>6371</v>
      </c>
      <c r="F498" t="s">
        <v>6361</v>
      </c>
      <c r="G498" s="43">
        <v>0</v>
      </c>
      <c r="H498" s="63">
        <v>1</v>
      </c>
    </row>
    <row r="499" spans="1:8" x14ac:dyDescent="0.55000000000000004">
      <c r="A499" s="61" t="s">
        <v>6529</v>
      </c>
      <c r="B499" t="s">
        <v>2843</v>
      </c>
      <c r="C499">
        <v>9300</v>
      </c>
      <c r="D499" t="s">
        <v>6362</v>
      </c>
      <c r="E499" t="s">
        <v>6358</v>
      </c>
      <c r="F499" t="s">
        <v>6358</v>
      </c>
      <c r="G499" s="43">
        <v>0.1111</v>
      </c>
      <c r="H499" s="63">
        <v>1</v>
      </c>
    </row>
    <row r="500" spans="1:8" x14ac:dyDescent="0.55000000000000004">
      <c r="A500" s="61" t="s">
        <v>6530</v>
      </c>
      <c r="B500" t="s">
        <v>2843</v>
      </c>
      <c r="C500">
        <v>9310</v>
      </c>
      <c r="D500" t="s">
        <v>6359</v>
      </c>
      <c r="E500" t="s">
        <v>6371</v>
      </c>
      <c r="F500" t="s">
        <v>6361</v>
      </c>
      <c r="G500" s="43">
        <v>0</v>
      </c>
      <c r="H500" s="63">
        <v>0.9</v>
      </c>
    </row>
    <row r="501" spans="1:8" x14ac:dyDescent="0.55000000000000004">
      <c r="A501" s="61" t="s">
        <v>6530</v>
      </c>
      <c r="B501" t="s">
        <v>2843</v>
      </c>
      <c r="C501">
        <v>9310</v>
      </c>
      <c r="D501" t="s">
        <v>6363</v>
      </c>
      <c r="E501" t="s">
        <v>6364</v>
      </c>
      <c r="F501" t="s">
        <v>6361</v>
      </c>
      <c r="G501" s="43">
        <v>0</v>
      </c>
      <c r="H501" s="63">
        <v>0.1</v>
      </c>
    </row>
    <row r="502" spans="1:8" x14ac:dyDescent="0.55000000000000004">
      <c r="A502" s="61" t="s">
        <v>6530</v>
      </c>
      <c r="B502" t="s">
        <v>2843</v>
      </c>
      <c r="C502">
        <v>9310</v>
      </c>
      <c r="D502" t="s">
        <v>6362</v>
      </c>
      <c r="E502" t="s">
        <v>6358</v>
      </c>
      <c r="F502" t="s">
        <v>6358</v>
      </c>
      <c r="G502" s="62">
        <v>0.1125</v>
      </c>
      <c r="H502" s="63">
        <v>1</v>
      </c>
    </row>
    <row r="503" spans="1:8" x14ac:dyDescent="0.55000000000000004">
      <c r="A503" s="61" t="s">
        <v>6530</v>
      </c>
      <c r="B503" t="s">
        <v>2843</v>
      </c>
      <c r="C503">
        <v>9310</v>
      </c>
      <c r="D503" t="s">
        <v>6365</v>
      </c>
      <c r="E503" t="s">
        <v>6366</v>
      </c>
      <c r="F503" t="s">
        <v>6361</v>
      </c>
      <c r="G503" s="43">
        <v>0</v>
      </c>
      <c r="H503" s="63">
        <v>-0.1</v>
      </c>
    </row>
    <row r="504" spans="1:8" x14ac:dyDescent="0.55000000000000004">
      <c r="A504" s="61" t="s">
        <v>6531</v>
      </c>
      <c r="B504" t="s">
        <v>2856</v>
      </c>
      <c r="C504">
        <v>8701</v>
      </c>
      <c r="D504" t="s">
        <v>6359</v>
      </c>
      <c r="E504" t="s">
        <v>6370</v>
      </c>
      <c r="F504" t="s">
        <v>6361</v>
      </c>
      <c r="G504" s="43">
        <v>0</v>
      </c>
      <c r="H504" s="63">
        <v>1</v>
      </c>
    </row>
    <row r="505" spans="1:8" x14ac:dyDescent="0.55000000000000004">
      <c r="A505" s="61" t="s">
        <v>6531</v>
      </c>
      <c r="B505" t="s">
        <v>2856</v>
      </c>
      <c r="C505">
        <v>8701</v>
      </c>
      <c r="D505" t="s">
        <v>6362</v>
      </c>
      <c r="E505" t="s">
        <v>6358</v>
      </c>
      <c r="F505" t="s">
        <v>6358</v>
      </c>
      <c r="G505" s="43">
        <v>0.22700000000000001</v>
      </c>
      <c r="H505" s="63">
        <v>1</v>
      </c>
    </row>
    <row r="506" spans="1:8" x14ac:dyDescent="0.55000000000000004">
      <c r="A506" s="61" t="s">
        <v>6532</v>
      </c>
      <c r="B506" t="s">
        <v>2856</v>
      </c>
      <c r="C506">
        <v>8710</v>
      </c>
      <c r="D506" t="s">
        <v>6359</v>
      </c>
      <c r="E506" t="s">
        <v>6370</v>
      </c>
      <c r="F506" t="s">
        <v>6361</v>
      </c>
      <c r="G506" s="43">
        <v>0</v>
      </c>
      <c r="H506" s="63">
        <v>0.9</v>
      </c>
    </row>
    <row r="507" spans="1:8" x14ac:dyDescent="0.55000000000000004">
      <c r="A507" s="61" t="s">
        <v>6532</v>
      </c>
      <c r="B507" t="s">
        <v>2856</v>
      </c>
      <c r="C507">
        <v>8710</v>
      </c>
      <c r="D507" t="s">
        <v>6363</v>
      </c>
      <c r="E507" t="s">
        <v>6364</v>
      </c>
      <c r="F507" t="s">
        <v>6361</v>
      </c>
      <c r="G507" s="43">
        <v>0</v>
      </c>
      <c r="H507" s="63">
        <v>0.1</v>
      </c>
    </row>
    <row r="508" spans="1:8" x14ac:dyDescent="0.55000000000000004">
      <c r="A508" s="61" t="s">
        <v>6532</v>
      </c>
      <c r="B508" t="s">
        <v>2856</v>
      </c>
      <c r="C508">
        <v>8710</v>
      </c>
      <c r="D508" t="s">
        <v>6362</v>
      </c>
      <c r="E508" t="s">
        <v>6358</v>
      </c>
      <c r="F508" t="s">
        <v>6358</v>
      </c>
      <c r="G508" s="62">
        <v>0.21659999999999999</v>
      </c>
      <c r="H508" s="63">
        <v>1</v>
      </c>
    </row>
    <row r="509" spans="1:8" x14ac:dyDescent="0.55000000000000004">
      <c r="A509" s="61" t="s">
        <v>6532</v>
      </c>
      <c r="B509" t="s">
        <v>2856</v>
      </c>
      <c r="C509">
        <v>8710</v>
      </c>
      <c r="D509" t="s">
        <v>6365</v>
      </c>
      <c r="E509" t="s">
        <v>6366</v>
      </c>
      <c r="F509" t="s">
        <v>6361</v>
      </c>
      <c r="G509" s="43">
        <v>0</v>
      </c>
      <c r="H509" s="63">
        <v>-0.1</v>
      </c>
    </row>
    <row r="510" spans="1:8" x14ac:dyDescent="0.55000000000000004">
      <c r="A510" s="61" t="s">
        <v>6533</v>
      </c>
      <c r="B510" t="s">
        <v>2856</v>
      </c>
      <c r="C510">
        <v>9101</v>
      </c>
      <c r="D510" t="s">
        <v>6359</v>
      </c>
      <c r="E510" t="s">
        <v>6371</v>
      </c>
      <c r="F510" t="s">
        <v>6361</v>
      </c>
      <c r="G510" s="43">
        <v>0</v>
      </c>
      <c r="H510" s="63">
        <v>1</v>
      </c>
    </row>
    <row r="511" spans="1:8" x14ac:dyDescent="0.55000000000000004">
      <c r="A511" s="61" t="s">
        <v>6533</v>
      </c>
      <c r="B511" t="s">
        <v>2856</v>
      </c>
      <c r="C511">
        <v>9101</v>
      </c>
      <c r="D511" t="s">
        <v>6362</v>
      </c>
      <c r="E511" t="s">
        <v>6358</v>
      </c>
      <c r="F511" t="s">
        <v>6358</v>
      </c>
      <c r="G511" s="43">
        <v>0.22700000000000001</v>
      </c>
      <c r="H511" s="63">
        <v>1</v>
      </c>
    </row>
    <row r="512" spans="1:8" x14ac:dyDescent="0.55000000000000004">
      <c r="A512" s="61" t="s">
        <v>6534</v>
      </c>
      <c r="B512" t="s">
        <v>2856</v>
      </c>
      <c r="C512">
        <v>9110</v>
      </c>
      <c r="D512" t="s">
        <v>6359</v>
      </c>
      <c r="E512" t="s">
        <v>6371</v>
      </c>
      <c r="F512" t="s">
        <v>6361</v>
      </c>
      <c r="G512" s="43">
        <v>0</v>
      </c>
      <c r="H512" s="63">
        <v>0.9</v>
      </c>
    </row>
    <row r="513" spans="1:8" x14ac:dyDescent="0.55000000000000004">
      <c r="A513" s="61" t="s">
        <v>6534</v>
      </c>
      <c r="B513" t="s">
        <v>2856</v>
      </c>
      <c r="C513">
        <v>9110</v>
      </c>
      <c r="D513" t="s">
        <v>6363</v>
      </c>
      <c r="E513" t="s">
        <v>6364</v>
      </c>
      <c r="F513" t="s">
        <v>6361</v>
      </c>
      <c r="G513" s="43">
        <v>0</v>
      </c>
      <c r="H513" s="63">
        <v>0.1</v>
      </c>
    </row>
    <row r="514" spans="1:8" x14ac:dyDescent="0.55000000000000004">
      <c r="A514" s="61" t="s">
        <v>6534</v>
      </c>
      <c r="B514" t="s">
        <v>2856</v>
      </c>
      <c r="C514">
        <v>9110</v>
      </c>
      <c r="D514" t="s">
        <v>6362</v>
      </c>
      <c r="E514" t="s">
        <v>6358</v>
      </c>
      <c r="F514" t="s">
        <v>6358</v>
      </c>
      <c r="G514" s="62">
        <v>0.21659999999999999</v>
      </c>
      <c r="H514" s="63">
        <v>1</v>
      </c>
    </row>
    <row r="515" spans="1:8" x14ac:dyDescent="0.55000000000000004">
      <c r="A515" s="61" t="s">
        <v>6534</v>
      </c>
      <c r="B515" t="s">
        <v>2856</v>
      </c>
      <c r="C515">
        <v>9110</v>
      </c>
      <c r="D515" t="s">
        <v>6365</v>
      </c>
      <c r="E515" t="s">
        <v>6366</v>
      </c>
      <c r="F515" t="s">
        <v>6361</v>
      </c>
      <c r="G515" s="43">
        <v>0</v>
      </c>
      <c r="H515" s="63">
        <v>-0.1</v>
      </c>
    </row>
    <row r="516" spans="1:8" x14ac:dyDescent="0.55000000000000004">
      <c r="A516" s="61" t="s">
        <v>6535</v>
      </c>
      <c r="B516" t="s">
        <v>2856</v>
      </c>
      <c r="C516">
        <v>9310</v>
      </c>
      <c r="D516" t="s">
        <v>6359</v>
      </c>
      <c r="E516" t="s">
        <v>6371</v>
      </c>
      <c r="F516" t="s">
        <v>6361</v>
      </c>
      <c r="G516" s="43">
        <v>0</v>
      </c>
      <c r="H516" s="63">
        <v>0.9</v>
      </c>
    </row>
    <row r="517" spans="1:8" x14ac:dyDescent="0.55000000000000004">
      <c r="A517" s="61" t="s">
        <v>6535</v>
      </c>
      <c r="B517" t="s">
        <v>2856</v>
      </c>
      <c r="C517">
        <v>9310</v>
      </c>
      <c r="D517" t="s">
        <v>6363</v>
      </c>
      <c r="E517" t="s">
        <v>6364</v>
      </c>
      <c r="F517" t="s">
        <v>6361</v>
      </c>
      <c r="G517" s="43">
        <v>0</v>
      </c>
      <c r="H517" s="63">
        <v>0.1</v>
      </c>
    </row>
    <row r="518" spans="1:8" x14ac:dyDescent="0.55000000000000004">
      <c r="A518" s="61" t="s">
        <v>6535</v>
      </c>
      <c r="B518" t="s">
        <v>2856</v>
      </c>
      <c r="C518">
        <v>9310</v>
      </c>
      <c r="D518" t="s">
        <v>6362</v>
      </c>
      <c r="E518" t="s">
        <v>6358</v>
      </c>
      <c r="F518" t="s">
        <v>6358</v>
      </c>
      <c r="G518" s="62">
        <v>0.21659999999999999</v>
      </c>
      <c r="H518" s="63">
        <v>1</v>
      </c>
    </row>
    <row r="519" spans="1:8" x14ac:dyDescent="0.55000000000000004">
      <c r="A519" s="61" t="s">
        <v>6535</v>
      </c>
      <c r="B519" t="s">
        <v>2856</v>
      </c>
      <c r="C519">
        <v>9310</v>
      </c>
      <c r="D519" t="s">
        <v>6365</v>
      </c>
      <c r="E519" t="s">
        <v>6366</v>
      </c>
      <c r="F519" t="s">
        <v>6361</v>
      </c>
      <c r="G519" s="43">
        <v>0</v>
      </c>
      <c r="H519" s="63">
        <v>-0.1</v>
      </c>
    </row>
    <row r="520" spans="1:8" x14ac:dyDescent="0.55000000000000004">
      <c r="A520" s="61" t="s">
        <v>6536</v>
      </c>
      <c r="B520" t="s">
        <v>3118</v>
      </c>
      <c r="C520">
        <v>8701</v>
      </c>
      <c r="D520" t="s">
        <v>6359</v>
      </c>
      <c r="E520" t="s">
        <v>6370</v>
      </c>
      <c r="F520" t="s">
        <v>6361</v>
      </c>
      <c r="G520" s="43">
        <v>0</v>
      </c>
      <c r="H520" s="63">
        <v>1</v>
      </c>
    </row>
    <row r="521" spans="1:8" x14ac:dyDescent="0.55000000000000004">
      <c r="A521" s="61" t="s">
        <v>6536</v>
      </c>
      <c r="B521" t="s">
        <v>3118</v>
      </c>
      <c r="C521">
        <v>8701</v>
      </c>
      <c r="D521" t="s">
        <v>6362</v>
      </c>
      <c r="E521" t="s">
        <v>6358</v>
      </c>
      <c r="F521" t="s">
        <v>6358</v>
      </c>
      <c r="G521" s="43">
        <v>6.0299999999999999E-2</v>
      </c>
      <c r="H521" s="63">
        <v>1</v>
      </c>
    </row>
    <row r="522" spans="1:8" x14ac:dyDescent="0.55000000000000004">
      <c r="A522" s="61" t="s">
        <v>6537</v>
      </c>
      <c r="B522" t="s">
        <v>3118</v>
      </c>
      <c r="C522">
        <v>8710</v>
      </c>
      <c r="D522" t="s">
        <v>6359</v>
      </c>
      <c r="E522" t="s">
        <v>6370</v>
      </c>
      <c r="F522" t="s">
        <v>6361</v>
      </c>
      <c r="G522" s="43">
        <v>0</v>
      </c>
      <c r="H522" s="63">
        <v>0.9</v>
      </c>
    </row>
    <row r="523" spans="1:8" x14ac:dyDescent="0.55000000000000004">
      <c r="A523" s="61" t="s">
        <v>6537</v>
      </c>
      <c r="B523" t="s">
        <v>3118</v>
      </c>
      <c r="C523">
        <v>8710</v>
      </c>
      <c r="D523" t="s">
        <v>6363</v>
      </c>
      <c r="E523" t="s">
        <v>6364</v>
      </c>
      <c r="F523" t="s">
        <v>6361</v>
      </c>
      <c r="G523" s="43">
        <v>0</v>
      </c>
      <c r="H523" s="63">
        <v>0.1</v>
      </c>
    </row>
    <row r="524" spans="1:8" x14ac:dyDescent="0.55000000000000004">
      <c r="A524" s="61" t="s">
        <v>6537</v>
      </c>
      <c r="B524" t="s">
        <v>3118</v>
      </c>
      <c r="C524">
        <v>8710</v>
      </c>
      <c r="D524" t="s">
        <v>6362</v>
      </c>
      <c r="E524" t="s">
        <v>6358</v>
      </c>
      <c r="F524" t="s">
        <v>6358</v>
      </c>
      <c r="G524" s="43">
        <v>7.7200000000000005E-2</v>
      </c>
      <c r="H524" s="63">
        <v>1</v>
      </c>
    </row>
    <row r="525" spans="1:8" x14ac:dyDescent="0.55000000000000004">
      <c r="A525" s="61" t="s">
        <v>6537</v>
      </c>
      <c r="B525" t="s">
        <v>3118</v>
      </c>
      <c r="C525">
        <v>8710</v>
      </c>
      <c r="D525" t="s">
        <v>6365</v>
      </c>
      <c r="E525" t="s">
        <v>6366</v>
      </c>
      <c r="F525" t="s">
        <v>6361</v>
      </c>
      <c r="G525" s="43">
        <v>0</v>
      </c>
      <c r="H525" s="63">
        <v>-0.1</v>
      </c>
    </row>
    <row r="526" spans="1:8" x14ac:dyDescent="0.55000000000000004">
      <c r="A526" s="61" t="s">
        <v>6538</v>
      </c>
      <c r="B526" t="s">
        <v>3118</v>
      </c>
      <c r="C526">
        <v>9101</v>
      </c>
      <c r="D526" t="s">
        <v>6359</v>
      </c>
      <c r="E526" t="s">
        <v>6371</v>
      </c>
      <c r="F526" t="s">
        <v>6361</v>
      </c>
      <c r="G526" s="43">
        <v>0</v>
      </c>
      <c r="H526" s="63">
        <v>1</v>
      </c>
    </row>
    <row r="527" spans="1:8" x14ac:dyDescent="0.55000000000000004">
      <c r="A527" s="61" t="s">
        <v>6538</v>
      </c>
      <c r="B527" t="s">
        <v>3118</v>
      </c>
      <c r="C527">
        <v>9101</v>
      </c>
      <c r="D527" t="s">
        <v>6362</v>
      </c>
      <c r="E527" t="s">
        <v>6358</v>
      </c>
      <c r="F527" t="s">
        <v>6358</v>
      </c>
      <c r="G527" s="43">
        <v>6.0299999999999999E-2</v>
      </c>
      <c r="H527" s="63">
        <v>1</v>
      </c>
    </row>
    <row r="528" spans="1:8" x14ac:dyDescent="0.55000000000000004">
      <c r="A528" s="61" t="s">
        <v>6539</v>
      </c>
      <c r="B528" t="s">
        <v>3118</v>
      </c>
      <c r="C528">
        <v>9204</v>
      </c>
      <c r="D528" t="s">
        <v>6359</v>
      </c>
      <c r="E528" t="s">
        <v>6371</v>
      </c>
      <c r="F528" t="s">
        <v>6361</v>
      </c>
      <c r="G528" s="43">
        <v>0</v>
      </c>
      <c r="H528" s="63">
        <v>0.9</v>
      </c>
    </row>
    <row r="529" spans="1:8" x14ac:dyDescent="0.55000000000000004">
      <c r="A529" s="61" t="s">
        <v>6539</v>
      </c>
      <c r="B529" t="s">
        <v>3118</v>
      </c>
      <c r="C529">
        <v>9204</v>
      </c>
      <c r="D529" t="s">
        <v>6363</v>
      </c>
      <c r="E529" t="s">
        <v>6364</v>
      </c>
      <c r="F529" t="s">
        <v>6361</v>
      </c>
      <c r="G529" s="43">
        <v>0</v>
      </c>
      <c r="H529" s="63">
        <v>0.1</v>
      </c>
    </row>
    <row r="530" spans="1:8" x14ac:dyDescent="0.55000000000000004">
      <c r="A530" s="61" t="s">
        <v>6539</v>
      </c>
      <c r="B530" t="s">
        <v>3118</v>
      </c>
      <c r="C530">
        <v>9204</v>
      </c>
      <c r="D530" t="s">
        <v>6362</v>
      </c>
      <c r="E530" t="s">
        <v>6358</v>
      </c>
      <c r="F530" t="s">
        <v>6358</v>
      </c>
      <c r="G530" s="43">
        <v>7.7200000000000005E-2</v>
      </c>
      <c r="H530" s="63">
        <v>1</v>
      </c>
    </row>
    <row r="531" spans="1:8" x14ac:dyDescent="0.55000000000000004">
      <c r="A531" s="61" t="s">
        <v>6539</v>
      </c>
      <c r="B531" t="s">
        <v>3118</v>
      </c>
      <c r="C531">
        <v>9204</v>
      </c>
      <c r="D531" t="s">
        <v>6365</v>
      </c>
      <c r="E531" t="s">
        <v>6366</v>
      </c>
      <c r="F531" t="s">
        <v>6361</v>
      </c>
      <c r="G531" s="43">
        <v>0</v>
      </c>
      <c r="H531" s="63">
        <v>-0.1</v>
      </c>
    </row>
    <row r="532" spans="1:8" x14ac:dyDescent="0.55000000000000004">
      <c r="A532" s="61" t="s">
        <v>6540</v>
      </c>
      <c r="B532" t="s">
        <v>3118</v>
      </c>
      <c r="C532">
        <v>9310</v>
      </c>
      <c r="D532" t="s">
        <v>6359</v>
      </c>
      <c r="E532" t="s">
        <v>6371</v>
      </c>
      <c r="F532" t="s">
        <v>6361</v>
      </c>
      <c r="G532" s="43">
        <v>0</v>
      </c>
      <c r="H532" s="63">
        <v>0.9</v>
      </c>
    </row>
    <row r="533" spans="1:8" x14ac:dyDescent="0.55000000000000004">
      <c r="A533" s="61" t="s">
        <v>6540</v>
      </c>
      <c r="B533" t="s">
        <v>3118</v>
      </c>
      <c r="C533">
        <v>9310</v>
      </c>
      <c r="D533" t="s">
        <v>6363</v>
      </c>
      <c r="E533" t="s">
        <v>6364</v>
      </c>
      <c r="F533" t="s">
        <v>6361</v>
      </c>
      <c r="G533" s="43">
        <v>0</v>
      </c>
      <c r="H533" s="63">
        <v>0.1</v>
      </c>
    </row>
    <row r="534" spans="1:8" x14ac:dyDescent="0.55000000000000004">
      <c r="A534" s="61" t="s">
        <v>6540</v>
      </c>
      <c r="B534" t="s">
        <v>3118</v>
      </c>
      <c r="C534">
        <v>9310</v>
      </c>
      <c r="D534" t="s">
        <v>6362</v>
      </c>
      <c r="E534" t="s">
        <v>6358</v>
      </c>
      <c r="F534" t="s">
        <v>6358</v>
      </c>
      <c r="G534" s="43">
        <v>7.7200000000000005E-2</v>
      </c>
      <c r="H534" s="63">
        <v>1</v>
      </c>
    </row>
    <row r="535" spans="1:8" x14ac:dyDescent="0.55000000000000004">
      <c r="A535" s="61" t="s">
        <v>6540</v>
      </c>
      <c r="B535" t="s">
        <v>3118</v>
      </c>
      <c r="C535">
        <v>9310</v>
      </c>
      <c r="D535" t="s">
        <v>6365</v>
      </c>
      <c r="E535" t="s">
        <v>6366</v>
      </c>
      <c r="F535" t="s">
        <v>6361</v>
      </c>
      <c r="G535" s="43">
        <v>0</v>
      </c>
      <c r="H535" s="63">
        <v>-0.1</v>
      </c>
    </row>
    <row r="536" spans="1:8" x14ac:dyDescent="0.55000000000000004">
      <c r="A536" s="61" t="s">
        <v>6541</v>
      </c>
      <c r="B536" t="s">
        <v>1076</v>
      </c>
      <c r="C536">
        <v>8710</v>
      </c>
      <c r="D536" t="s">
        <v>6359</v>
      </c>
      <c r="E536" t="s">
        <v>6370</v>
      </c>
      <c r="F536" t="s">
        <v>6361</v>
      </c>
      <c r="G536" s="43">
        <v>0</v>
      </c>
      <c r="H536" s="63">
        <v>0.9</v>
      </c>
    </row>
    <row r="537" spans="1:8" x14ac:dyDescent="0.55000000000000004">
      <c r="A537" s="61" t="s">
        <v>6541</v>
      </c>
      <c r="B537" t="s">
        <v>1076</v>
      </c>
      <c r="C537">
        <v>8710</v>
      </c>
      <c r="D537" t="s">
        <v>6363</v>
      </c>
      <c r="E537" t="s">
        <v>6364</v>
      </c>
      <c r="F537" t="s">
        <v>6361</v>
      </c>
      <c r="G537" s="43">
        <v>0</v>
      </c>
      <c r="H537" s="63">
        <v>0.1</v>
      </c>
    </row>
    <row r="538" spans="1:8" x14ac:dyDescent="0.55000000000000004">
      <c r="A538" s="61" t="s">
        <v>6541</v>
      </c>
      <c r="B538" t="s">
        <v>1076</v>
      </c>
      <c r="C538">
        <v>8710</v>
      </c>
      <c r="D538" t="s">
        <v>6362</v>
      </c>
      <c r="E538" t="s">
        <v>6358</v>
      </c>
      <c r="F538" t="s">
        <v>6358</v>
      </c>
      <c r="G538" s="43">
        <v>7.3800000000000004E-2</v>
      </c>
      <c r="H538" s="63">
        <v>1</v>
      </c>
    </row>
    <row r="539" spans="1:8" x14ac:dyDescent="0.55000000000000004">
      <c r="A539" s="61" t="s">
        <v>6541</v>
      </c>
      <c r="B539" t="s">
        <v>1076</v>
      </c>
      <c r="C539">
        <v>8710</v>
      </c>
      <c r="D539" t="s">
        <v>6365</v>
      </c>
      <c r="E539" t="s">
        <v>6366</v>
      </c>
      <c r="F539" t="s">
        <v>6361</v>
      </c>
      <c r="G539" s="43">
        <v>0</v>
      </c>
      <c r="H539" s="63">
        <v>-0.1</v>
      </c>
    </row>
    <row r="540" spans="1:8" x14ac:dyDescent="0.55000000000000004">
      <c r="A540" s="61" t="s">
        <v>6542</v>
      </c>
      <c r="B540" t="s">
        <v>1076</v>
      </c>
      <c r="C540">
        <v>9310</v>
      </c>
      <c r="D540" t="s">
        <v>6359</v>
      </c>
      <c r="E540" t="s">
        <v>6371</v>
      </c>
      <c r="F540" t="s">
        <v>6361</v>
      </c>
      <c r="G540" s="43">
        <v>0</v>
      </c>
      <c r="H540" s="63">
        <v>0.9</v>
      </c>
    </row>
    <row r="541" spans="1:8" x14ac:dyDescent="0.55000000000000004">
      <c r="A541" s="61" t="s">
        <v>6542</v>
      </c>
      <c r="B541" t="s">
        <v>1076</v>
      </c>
      <c r="C541">
        <v>9310</v>
      </c>
      <c r="D541" t="s">
        <v>6363</v>
      </c>
      <c r="E541" t="s">
        <v>6364</v>
      </c>
      <c r="F541" t="s">
        <v>6361</v>
      </c>
      <c r="G541" s="43">
        <v>0</v>
      </c>
      <c r="H541" s="63">
        <v>0.1</v>
      </c>
    </row>
    <row r="542" spans="1:8" x14ac:dyDescent="0.55000000000000004">
      <c r="A542" s="61" t="s">
        <v>6542</v>
      </c>
      <c r="B542" t="s">
        <v>1076</v>
      </c>
      <c r="C542">
        <v>9310</v>
      </c>
      <c r="D542" t="s">
        <v>6362</v>
      </c>
      <c r="E542" t="s">
        <v>6358</v>
      </c>
      <c r="F542" t="s">
        <v>6358</v>
      </c>
      <c r="G542" s="43">
        <v>7.3800000000000004E-2</v>
      </c>
      <c r="H542" s="63">
        <v>1</v>
      </c>
    </row>
    <row r="543" spans="1:8" x14ac:dyDescent="0.55000000000000004">
      <c r="A543" s="61" t="s">
        <v>6542</v>
      </c>
      <c r="B543" t="s">
        <v>1076</v>
      </c>
      <c r="C543">
        <v>9310</v>
      </c>
      <c r="D543" t="s">
        <v>6365</v>
      </c>
      <c r="E543" t="s">
        <v>6366</v>
      </c>
      <c r="F543" t="s">
        <v>6361</v>
      </c>
      <c r="G543" s="43">
        <v>0</v>
      </c>
      <c r="H543" s="63">
        <v>-0.1</v>
      </c>
    </row>
    <row r="544" spans="1:8" x14ac:dyDescent="0.55000000000000004">
      <c r="A544" s="61" t="s">
        <v>6543</v>
      </c>
      <c r="B544" t="s">
        <v>4743</v>
      </c>
      <c r="C544">
        <v>8701</v>
      </c>
      <c r="D544" t="s">
        <v>6359</v>
      </c>
      <c r="E544" t="s">
        <v>6370</v>
      </c>
      <c r="F544" t="s">
        <v>6361</v>
      </c>
      <c r="G544" s="43">
        <v>0</v>
      </c>
      <c r="H544" s="63">
        <v>1</v>
      </c>
    </row>
    <row r="545" spans="1:8" x14ac:dyDescent="0.55000000000000004">
      <c r="A545" s="61" t="s">
        <v>6543</v>
      </c>
      <c r="B545" t="s">
        <v>4743</v>
      </c>
      <c r="C545">
        <v>8701</v>
      </c>
      <c r="D545" t="s">
        <v>6362</v>
      </c>
      <c r="E545" t="s">
        <v>6358</v>
      </c>
      <c r="F545" t="s">
        <v>6358</v>
      </c>
      <c r="G545" s="43">
        <v>5.8000000000000003E-2</v>
      </c>
      <c r="H545" s="63">
        <v>1</v>
      </c>
    </row>
    <row r="546" spans="1:8" x14ac:dyDescent="0.55000000000000004">
      <c r="A546" s="61" t="s">
        <v>6544</v>
      </c>
      <c r="B546" t="s">
        <v>4743</v>
      </c>
      <c r="C546">
        <v>8710</v>
      </c>
      <c r="D546" t="s">
        <v>6359</v>
      </c>
      <c r="E546" t="s">
        <v>6370</v>
      </c>
      <c r="F546" t="s">
        <v>6361</v>
      </c>
      <c r="G546" s="43">
        <v>0</v>
      </c>
      <c r="H546" s="63">
        <v>0.9</v>
      </c>
    </row>
    <row r="547" spans="1:8" x14ac:dyDescent="0.55000000000000004">
      <c r="A547" s="61" t="s">
        <v>6544</v>
      </c>
      <c r="B547" t="s">
        <v>4743</v>
      </c>
      <c r="C547">
        <v>8710</v>
      </c>
      <c r="D547" t="s">
        <v>6363</v>
      </c>
      <c r="E547" t="s">
        <v>6364</v>
      </c>
      <c r="F547" t="s">
        <v>6361</v>
      </c>
      <c r="G547" s="43">
        <v>0</v>
      </c>
      <c r="H547" s="63">
        <v>0.1</v>
      </c>
    </row>
    <row r="548" spans="1:8" x14ac:dyDescent="0.55000000000000004">
      <c r="A548" s="61" t="s">
        <v>6544</v>
      </c>
      <c r="B548" t="s">
        <v>4743</v>
      </c>
      <c r="C548">
        <v>8710</v>
      </c>
      <c r="D548" t="s">
        <v>6362</v>
      </c>
      <c r="E548" t="s">
        <v>6358</v>
      </c>
      <c r="F548" t="s">
        <v>6358</v>
      </c>
      <c r="G548" s="43">
        <v>7.3499999999999996E-2</v>
      </c>
      <c r="H548" s="63">
        <v>1</v>
      </c>
    </row>
    <row r="549" spans="1:8" x14ac:dyDescent="0.55000000000000004">
      <c r="A549" s="61" t="s">
        <v>6544</v>
      </c>
      <c r="B549" t="s">
        <v>4743</v>
      </c>
      <c r="C549">
        <v>8710</v>
      </c>
      <c r="D549" t="s">
        <v>6365</v>
      </c>
      <c r="E549" t="s">
        <v>6366</v>
      </c>
      <c r="F549" t="s">
        <v>6361</v>
      </c>
      <c r="G549" s="43">
        <v>0</v>
      </c>
      <c r="H549" s="63">
        <v>-0.1</v>
      </c>
    </row>
    <row r="550" spans="1:8" x14ac:dyDescent="0.55000000000000004">
      <c r="A550" s="61" t="s">
        <v>6545</v>
      </c>
      <c r="B550" t="s">
        <v>4743</v>
      </c>
      <c r="C550">
        <v>9101</v>
      </c>
      <c r="D550" t="s">
        <v>6359</v>
      </c>
      <c r="E550" t="s">
        <v>6371</v>
      </c>
      <c r="F550" t="s">
        <v>6361</v>
      </c>
      <c r="G550" s="43">
        <v>0</v>
      </c>
      <c r="H550" s="63">
        <v>1</v>
      </c>
    </row>
    <row r="551" spans="1:8" x14ac:dyDescent="0.55000000000000004">
      <c r="A551" s="61" t="s">
        <v>6545</v>
      </c>
      <c r="B551" t="s">
        <v>4743</v>
      </c>
      <c r="C551">
        <v>9101</v>
      </c>
      <c r="D551" t="s">
        <v>6362</v>
      </c>
      <c r="E551" t="s">
        <v>6358</v>
      </c>
      <c r="F551" t="s">
        <v>6358</v>
      </c>
      <c r="G551" s="43">
        <v>5.8000000000000003E-2</v>
      </c>
      <c r="H551" s="63">
        <v>1</v>
      </c>
    </row>
    <row r="552" spans="1:8" x14ac:dyDescent="0.55000000000000004">
      <c r="A552" s="61" t="s">
        <v>6546</v>
      </c>
      <c r="B552" t="s">
        <v>4743</v>
      </c>
      <c r="C552">
        <v>9310</v>
      </c>
      <c r="D552" t="s">
        <v>6359</v>
      </c>
      <c r="E552" t="s">
        <v>6371</v>
      </c>
      <c r="F552" t="s">
        <v>6361</v>
      </c>
      <c r="G552" s="43">
        <v>0</v>
      </c>
      <c r="H552" s="63">
        <v>0.9</v>
      </c>
    </row>
    <row r="553" spans="1:8" x14ac:dyDescent="0.55000000000000004">
      <c r="A553" s="61" t="s">
        <v>6546</v>
      </c>
      <c r="B553" t="s">
        <v>4743</v>
      </c>
      <c r="C553">
        <v>9310</v>
      </c>
      <c r="D553" t="s">
        <v>6363</v>
      </c>
      <c r="E553" t="s">
        <v>6364</v>
      </c>
      <c r="F553" t="s">
        <v>6361</v>
      </c>
      <c r="G553" s="43">
        <v>0</v>
      </c>
      <c r="H553" s="63">
        <v>0.1</v>
      </c>
    </row>
    <row r="554" spans="1:8" x14ac:dyDescent="0.55000000000000004">
      <c r="A554" s="61" t="s">
        <v>6546</v>
      </c>
      <c r="B554" t="s">
        <v>4743</v>
      </c>
      <c r="C554">
        <v>9310</v>
      </c>
      <c r="D554" t="s">
        <v>6362</v>
      </c>
      <c r="E554" t="s">
        <v>6358</v>
      </c>
      <c r="F554" t="s">
        <v>6358</v>
      </c>
      <c r="G554" s="43">
        <v>7.3499999999999996E-2</v>
      </c>
      <c r="H554" s="63">
        <v>1</v>
      </c>
    </row>
    <row r="555" spans="1:8" x14ac:dyDescent="0.55000000000000004">
      <c r="A555" s="61" t="s">
        <v>6546</v>
      </c>
      <c r="B555" t="s">
        <v>4743</v>
      </c>
      <c r="C555">
        <v>9310</v>
      </c>
      <c r="D555" t="s">
        <v>6365</v>
      </c>
      <c r="E555" t="s">
        <v>6366</v>
      </c>
      <c r="F555" t="s">
        <v>6361</v>
      </c>
      <c r="G555" s="43">
        <v>0</v>
      </c>
      <c r="H555" s="63">
        <v>-0.1</v>
      </c>
    </row>
    <row r="556" spans="1:8" x14ac:dyDescent="0.55000000000000004">
      <c r="A556" s="61" t="s">
        <v>6547</v>
      </c>
      <c r="B556" t="s">
        <v>5777</v>
      </c>
      <c r="C556">
        <v>8510</v>
      </c>
      <c r="D556" t="s">
        <v>6359</v>
      </c>
      <c r="E556" t="s">
        <v>6360</v>
      </c>
      <c r="F556" t="s">
        <v>6361</v>
      </c>
      <c r="G556" s="43">
        <v>0</v>
      </c>
      <c r="H556" s="63">
        <v>0.9</v>
      </c>
    </row>
    <row r="557" spans="1:8" x14ac:dyDescent="0.55000000000000004">
      <c r="A557" s="61" t="s">
        <v>6547</v>
      </c>
      <c r="B557" t="s">
        <v>5777</v>
      </c>
      <c r="C557">
        <v>8510</v>
      </c>
      <c r="D557" t="s">
        <v>6363</v>
      </c>
      <c r="E557" t="s">
        <v>6364</v>
      </c>
      <c r="F557" t="s">
        <v>6361</v>
      </c>
      <c r="G557" s="43">
        <v>0</v>
      </c>
      <c r="H557" s="63">
        <v>0.1</v>
      </c>
    </row>
    <row r="558" spans="1:8" x14ac:dyDescent="0.55000000000000004">
      <c r="A558" s="61" t="s">
        <v>6547</v>
      </c>
      <c r="B558" t="s">
        <v>5777</v>
      </c>
      <c r="C558">
        <v>8510</v>
      </c>
      <c r="D558" t="s">
        <v>6362</v>
      </c>
      <c r="E558" t="s">
        <v>6358</v>
      </c>
      <c r="F558" t="s">
        <v>6358</v>
      </c>
      <c r="G558" s="43">
        <v>5.7099999999999998E-2</v>
      </c>
      <c r="H558" s="63">
        <v>1</v>
      </c>
    </row>
    <row r="559" spans="1:8" x14ac:dyDescent="0.55000000000000004">
      <c r="A559" s="61" t="s">
        <v>6547</v>
      </c>
      <c r="B559" t="s">
        <v>5777</v>
      </c>
      <c r="C559">
        <v>8510</v>
      </c>
      <c r="D559" t="s">
        <v>6365</v>
      </c>
      <c r="E559" t="s">
        <v>6366</v>
      </c>
      <c r="F559" t="s">
        <v>6361</v>
      </c>
      <c r="G559" s="43">
        <v>0</v>
      </c>
      <c r="H559" s="63">
        <v>-0.1</v>
      </c>
    </row>
    <row r="560" spans="1:8" x14ac:dyDescent="0.55000000000000004">
      <c r="A560" s="61" t="s">
        <v>6548</v>
      </c>
      <c r="B560" t="s">
        <v>5777</v>
      </c>
      <c r="C560">
        <v>9110</v>
      </c>
      <c r="D560" t="s">
        <v>6359</v>
      </c>
      <c r="E560" t="s">
        <v>6367</v>
      </c>
      <c r="F560" t="s">
        <v>6361</v>
      </c>
      <c r="G560" s="43">
        <v>0</v>
      </c>
      <c r="H560" s="63">
        <v>0.9</v>
      </c>
    </row>
    <row r="561" spans="1:8" x14ac:dyDescent="0.55000000000000004">
      <c r="A561" s="61" t="s">
        <v>6548</v>
      </c>
      <c r="B561" t="s">
        <v>5777</v>
      </c>
      <c r="C561">
        <v>9110</v>
      </c>
      <c r="D561" t="s">
        <v>6363</v>
      </c>
      <c r="E561" t="s">
        <v>6364</v>
      </c>
      <c r="F561" t="s">
        <v>6361</v>
      </c>
      <c r="G561" s="43">
        <v>0</v>
      </c>
      <c r="H561" s="63">
        <v>0.1</v>
      </c>
    </row>
    <row r="562" spans="1:8" x14ac:dyDescent="0.55000000000000004">
      <c r="A562" s="61" t="s">
        <v>6548</v>
      </c>
      <c r="B562" t="s">
        <v>5777</v>
      </c>
      <c r="C562">
        <v>9110</v>
      </c>
      <c r="D562" t="s">
        <v>6362</v>
      </c>
      <c r="E562" t="s">
        <v>6358</v>
      </c>
      <c r="F562" t="s">
        <v>6358</v>
      </c>
      <c r="G562" s="43">
        <v>5.7099999999999998E-2</v>
      </c>
      <c r="H562" s="63">
        <v>1</v>
      </c>
    </row>
    <row r="563" spans="1:8" x14ac:dyDescent="0.55000000000000004">
      <c r="A563" s="61" t="s">
        <v>6548</v>
      </c>
      <c r="B563" t="s">
        <v>5777</v>
      </c>
      <c r="C563">
        <v>9110</v>
      </c>
      <c r="D563" t="s">
        <v>6365</v>
      </c>
      <c r="E563" t="s">
        <v>6366</v>
      </c>
      <c r="F563" t="s">
        <v>6361</v>
      </c>
      <c r="G563" s="43">
        <v>0</v>
      </c>
      <c r="H563" s="63">
        <v>-0.1</v>
      </c>
    </row>
    <row r="564" spans="1:8" x14ac:dyDescent="0.55000000000000004">
      <c r="A564" s="61" t="s">
        <v>6549</v>
      </c>
      <c r="B564" t="s">
        <v>3896</v>
      </c>
      <c r="C564">
        <v>8710</v>
      </c>
      <c r="D564" t="s">
        <v>6359</v>
      </c>
      <c r="E564" t="s">
        <v>6368</v>
      </c>
      <c r="F564" t="s">
        <v>6361</v>
      </c>
      <c r="G564" s="43">
        <v>0</v>
      </c>
      <c r="H564" s="63">
        <v>0.9</v>
      </c>
    </row>
    <row r="565" spans="1:8" x14ac:dyDescent="0.55000000000000004">
      <c r="A565" s="61" t="s">
        <v>6549</v>
      </c>
      <c r="B565" t="s">
        <v>3896</v>
      </c>
      <c r="C565">
        <v>8710</v>
      </c>
      <c r="D565" t="s">
        <v>6363</v>
      </c>
      <c r="E565" t="s">
        <v>6364</v>
      </c>
      <c r="F565" t="s">
        <v>6361</v>
      </c>
      <c r="G565" s="43">
        <v>0</v>
      </c>
      <c r="H565" s="63">
        <v>0.1</v>
      </c>
    </row>
    <row r="566" spans="1:8" x14ac:dyDescent="0.55000000000000004">
      <c r="A566" s="61" t="s">
        <v>6549</v>
      </c>
      <c r="B566" t="s">
        <v>3896</v>
      </c>
      <c r="C566">
        <v>8710</v>
      </c>
      <c r="D566" t="s">
        <v>6362</v>
      </c>
      <c r="E566" t="s">
        <v>6358</v>
      </c>
      <c r="F566" t="s">
        <v>6358</v>
      </c>
      <c r="G566" s="43">
        <v>0.10059999999999999</v>
      </c>
      <c r="H566" s="63">
        <v>1</v>
      </c>
    </row>
    <row r="567" spans="1:8" x14ac:dyDescent="0.55000000000000004">
      <c r="A567" s="61" t="s">
        <v>6549</v>
      </c>
      <c r="B567" t="s">
        <v>3896</v>
      </c>
      <c r="C567">
        <v>8710</v>
      </c>
      <c r="D567" t="s">
        <v>6365</v>
      </c>
      <c r="E567" t="s">
        <v>6366</v>
      </c>
      <c r="F567" t="s">
        <v>6361</v>
      </c>
      <c r="G567" s="43">
        <v>0</v>
      </c>
      <c r="H567" s="63">
        <v>-0.1</v>
      </c>
    </row>
    <row r="568" spans="1:8" x14ac:dyDescent="0.55000000000000004">
      <c r="A568" s="61" t="s">
        <v>6550</v>
      </c>
      <c r="B568" t="s">
        <v>3896</v>
      </c>
      <c r="C568">
        <v>9204</v>
      </c>
      <c r="D568" t="s">
        <v>6359</v>
      </c>
      <c r="E568" t="s">
        <v>6369</v>
      </c>
      <c r="F568" t="s">
        <v>6361</v>
      </c>
      <c r="G568" s="43">
        <v>0</v>
      </c>
      <c r="H568" s="63">
        <v>0.9</v>
      </c>
    </row>
    <row r="569" spans="1:8" x14ac:dyDescent="0.55000000000000004">
      <c r="A569" s="61" t="s">
        <v>6550</v>
      </c>
      <c r="B569" t="s">
        <v>3896</v>
      </c>
      <c r="C569">
        <v>9204</v>
      </c>
      <c r="D569" t="s">
        <v>6363</v>
      </c>
      <c r="E569" t="s">
        <v>6364</v>
      </c>
      <c r="F569" t="s">
        <v>6361</v>
      </c>
      <c r="G569" s="43">
        <v>0</v>
      </c>
      <c r="H569" s="63">
        <v>0.1</v>
      </c>
    </row>
    <row r="570" spans="1:8" x14ac:dyDescent="0.55000000000000004">
      <c r="A570" s="61" t="s">
        <v>6550</v>
      </c>
      <c r="B570" t="s">
        <v>3896</v>
      </c>
      <c r="C570">
        <v>9204</v>
      </c>
      <c r="D570" t="s">
        <v>6362</v>
      </c>
      <c r="E570" t="s">
        <v>6358</v>
      </c>
      <c r="F570" t="s">
        <v>6358</v>
      </c>
      <c r="G570" s="43">
        <v>0.10059999999999999</v>
      </c>
      <c r="H570" s="63">
        <v>1</v>
      </c>
    </row>
    <row r="571" spans="1:8" x14ac:dyDescent="0.55000000000000004">
      <c r="A571" s="61" t="s">
        <v>6550</v>
      </c>
      <c r="B571" t="s">
        <v>3896</v>
      </c>
      <c r="C571">
        <v>9204</v>
      </c>
      <c r="D571" t="s">
        <v>6365</v>
      </c>
      <c r="E571" t="s">
        <v>6366</v>
      </c>
      <c r="F571" t="s">
        <v>6361</v>
      </c>
      <c r="G571" s="43">
        <v>0</v>
      </c>
      <c r="H571" s="63">
        <v>-0.1</v>
      </c>
    </row>
    <row r="572" spans="1:8" x14ac:dyDescent="0.55000000000000004">
      <c r="A572" s="61" t="s">
        <v>6551</v>
      </c>
      <c r="B572" t="s">
        <v>3896</v>
      </c>
      <c r="C572">
        <v>9310</v>
      </c>
      <c r="D572" t="s">
        <v>6359</v>
      </c>
      <c r="E572" t="s">
        <v>6369</v>
      </c>
      <c r="F572" t="s">
        <v>6361</v>
      </c>
      <c r="G572" s="43">
        <v>0</v>
      </c>
      <c r="H572" s="63">
        <v>0.9</v>
      </c>
    </row>
    <row r="573" spans="1:8" x14ac:dyDescent="0.55000000000000004">
      <c r="A573" s="61" t="s">
        <v>6551</v>
      </c>
      <c r="B573" t="s">
        <v>3896</v>
      </c>
      <c r="C573">
        <v>9310</v>
      </c>
      <c r="D573" t="s">
        <v>6363</v>
      </c>
      <c r="E573" t="s">
        <v>6364</v>
      </c>
      <c r="F573" t="s">
        <v>6361</v>
      </c>
      <c r="G573" s="43">
        <v>0</v>
      </c>
      <c r="H573" s="63">
        <v>0.1</v>
      </c>
    </row>
    <row r="574" spans="1:8" x14ac:dyDescent="0.55000000000000004">
      <c r="A574" s="61" t="s">
        <v>6551</v>
      </c>
      <c r="B574" t="s">
        <v>3896</v>
      </c>
      <c r="C574">
        <v>9310</v>
      </c>
      <c r="D574" t="s">
        <v>6362</v>
      </c>
      <c r="E574" t="s">
        <v>6358</v>
      </c>
      <c r="F574" t="s">
        <v>6358</v>
      </c>
      <c r="G574" s="43">
        <v>0.10059999999999999</v>
      </c>
      <c r="H574" s="63">
        <v>1</v>
      </c>
    </row>
    <row r="575" spans="1:8" x14ac:dyDescent="0.55000000000000004">
      <c r="A575" s="61" t="s">
        <v>6551</v>
      </c>
      <c r="B575" t="s">
        <v>3896</v>
      </c>
      <c r="C575">
        <v>9310</v>
      </c>
      <c r="D575" t="s">
        <v>6365</v>
      </c>
      <c r="E575" t="s">
        <v>6366</v>
      </c>
      <c r="F575" t="s">
        <v>6361</v>
      </c>
      <c r="G575" s="43">
        <v>0</v>
      </c>
      <c r="H575" s="63">
        <v>-0.1</v>
      </c>
    </row>
    <row r="576" spans="1:8" x14ac:dyDescent="0.55000000000000004">
      <c r="A576" s="61" t="s">
        <v>6552</v>
      </c>
      <c r="B576" t="s">
        <v>1239</v>
      </c>
      <c r="C576">
        <v>8701</v>
      </c>
      <c r="D576" t="s">
        <v>6359</v>
      </c>
      <c r="E576" t="s">
        <v>6360</v>
      </c>
      <c r="F576" t="s">
        <v>6361</v>
      </c>
      <c r="G576" s="43">
        <v>0</v>
      </c>
      <c r="H576" s="63">
        <v>1</v>
      </c>
    </row>
    <row r="577" spans="1:8" x14ac:dyDescent="0.55000000000000004">
      <c r="A577" s="61" t="s">
        <v>6552</v>
      </c>
      <c r="B577" t="s">
        <v>1239</v>
      </c>
      <c r="C577">
        <v>8701</v>
      </c>
      <c r="D577" t="s">
        <v>6362</v>
      </c>
      <c r="E577" t="s">
        <v>6358</v>
      </c>
      <c r="F577" t="s">
        <v>6358</v>
      </c>
      <c r="G577" s="43">
        <v>0.1026</v>
      </c>
      <c r="H577" s="63">
        <v>1</v>
      </c>
    </row>
    <row r="578" spans="1:8" x14ac:dyDescent="0.55000000000000004">
      <c r="A578" s="61" t="s">
        <v>6553</v>
      </c>
      <c r="B578" t="s">
        <v>1239</v>
      </c>
      <c r="C578">
        <v>8710</v>
      </c>
      <c r="D578" t="s">
        <v>6359</v>
      </c>
      <c r="E578" t="s">
        <v>6360</v>
      </c>
      <c r="F578" t="s">
        <v>6361</v>
      </c>
      <c r="G578" s="43">
        <v>0</v>
      </c>
      <c r="H578" s="63">
        <v>0.9</v>
      </c>
    </row>
    <row r="579" spans="1:8" x14ac:dyDescent="0.55000000000000004">
      <c r="A579" s="61" t="s">
        <v>6553</v>
      </c>
      <c r="B579" t="s">
        <v>1239</v>
      </c>
      <c r="C579">
        <v>8710</v>
      </c>
      <c r="D579" t="s">
        <v>6363</v>
      </c>
      <c r="E579" t="s">
        <v>6364</v>
      </c>
      <c r="F579" t="s">
        <v>6361</v>
      </c>
      <c r="G579" s="43">
        <v>0</v>
      </c>
      <c r="H579" s="63">
        <v>0.1</v>
      </c>
    </row>
    <row r="580" spans="1:8" x14ac:dyDescent="0.55000000000000004">
      <c r="A580" s="61" t="s">
        <v>6553</v>
      </c>
      <c r="B580" t="s">
        <v>1239</v>
      </c>
      <c r="C580">
        <v>8710</v>
      </c>
      <c r="D580" t="s">
        <v>6362</v>
      </c>
      <c r="E580" t="s">
        <v>6358</v>
      </c>
      <c r="F580" t="s">
        <v>6358</v>
      </c>
      <c r="G580" s="43">
        <v>8.4500000000000006E-2</v>
      </c>
      <c r="H580" s="63">
        <v>1</v>
      </c>
    </row>
    <row r="581" spans="1:8" x14ac:dyDescent="0.55000000000000004">
      <c r="A581" s="61" t="s">
        <v>6553</v>
      </c>
      <c r="B581" t="s">
        <v>1239</v>
      </c>
      <c r="C581">
        <v>8710</v>
      </c>
      <c r="D581" t="s">
        <v>6365</v>
      </c>
      <c r="E581" t="s">
        <v>6366</v>
      </c>
      <c r="F581" t="s">
        <v>6361</v>
      </c>
      <c r="G581" s="43">
        <v>0</v>
      </c>
      <c r="H581" s="63">
        <v>-0.1</v>
      </c>
    </row>
    <row r="582" spans="1:8" x14ac:dyDescent="0.55000000000000004">
      <c r="A582" s="61" t="s">
        <v>6554</v>
      </c>
      <c r="B582" t="s">
        <v>1239</v>
      </c>
      <c r="C582">
        <v>9101</v>
      </c>
      <c r="D582" t="s">
        <v>6359</v>
      </c>
      <c r="E582" t="s">
        <v>6367</v>
      </c>
      <c r="F582" t="s">
        <v>6361</v>
      </c>
      <c r="G582" s="43">
        <v>0</v>
      </c>
      <c r="H582" s="63">
        <v>1</v>
      </c>
    </row>
    <row r="583" spans="1:8" x14ac:dyDescent="0.55000000000000004">
      <c r="A583" s="61" t="s">
        <v>6554</v>
      </c>
      <c r="B583" t="s">
        <v>1239</v>
      </c>
      <c r="C583">
        <v>9101</v>
      </c>
      <c r="D583" t="s">
        <v>6362</v>
      </c>
      <c r="E583" t="s">
        <v>6358</v>
      </c>
      <c r="F583" t="s">
        <v>6358</v>
      </c>
      <c r="G583" s="43">
        <v>0.1026</v>
      </c>
      <c r="H583" s="63">
        <v>1</v>
      </c>
    </row>
    <row r="584" spans="1:8" x14ac:dyDescent="0.55000000000000004">
      <c r="A584" s="61" t="s">
        <v>6555</v>
      </c>
      <c r="B584" t="s">
        <v>1239</v>
      </c>
      <c r="C584">
        <v>9110</v>
      </c>
      <c r="D584" t="s">
        <v>6359</v>
      </c>
      <c r="E584" t="s">
        <v>6367</v>
      </c>
      <c r="F584" t="s">
        <v>6361</v>
      </c>
      <c r="G584" s="43">
        <v>0</v>
      </c>
      <c r="H584" s="63">
        <v>0.9</v>
      </c>
    </row>
    <row r="585" spans="1:8" x14ac:dyDescent="0.55000000000000004">
      <c r="A585" s="61" t="s">
        <v>6555</v>
      </c>
      <c r="B585" t="s">
        <v>1239</v>
      </c>
      <c r="C585">
        <v>9110</v>
      </c>
      <c r="D585" t="s">
        <v>6363</v>
      </c>
      <c r="E585" t="s">
        <v>6364</v>
      </c>
      <c r="F585" t="s">
        <v>6361</v>
      </c>
      <c r="G585" s="43">
        <v>0</v>
      </c>
      <c r="H585" s="63">
        <v>0.1</v>
      </c>
    </row>
    <row r="586" spans="1:8" x14ac:dyDescent="0.55000000000000004">
      <c r="A586" s="61" t="s">
        <v>6555</v>
      </c>
      <c r="B586" t="s">
        <v>1239</v>
      </c>
      <c r="C586">
        <v>9110</v>
      </c>
      <c r="D586" t="s">
        <v>6362</v>
      </c>
      <c r="E586" t="s">
        <v>6358</v>
      </c>
      <c r="F586" t="s">
        <v>6358</v>
      </c>
      <c r="G586" s="43">
        <v>8.4500000000000006E-2</v>
      </c>
      <c r="H586" s="63">
        <v>1</v>
      </c>
    </row>
    <row r="587" spans="1:8" x14ac:dyDescent="0.55000000000000004">
      <c r="A587" s="61" t="s">
        <v>6555</v>
      </c>
      <c r="B587" t="s">
        <v>1239</v>
      </c>
      <c r="C587">
        <v>9110</v>
      </c>
      <c r="D587" t="s">
        <v>6365</v>
      </c>
      <c r="E587" t="s">
        <v>6366</v>
      </c>
      <c r="F587" t="s">
        <v>6361</v>
      </c>
      <c r="G587" s="43">
        <v>0</v>
      </c>
      <c r="H587" s="63">
        <v>-0.1</v>
      </c>
    </row>
    <row r="588" spans="1:8" x14ac:dyDescent="0.55000000000000004">
      <c r="A588" s="61" t="s">
        <v>6556</v>
      </c>
      <c r="B588" t="s">
        <v>1239</v>
      </c>
      <c r="C588">
        <v>9310</v>
      </c>
      <c r="D588" t="s">
        <v>6359</v>
      </c>
      <c r="E588" t="s">
        <v>6367</v>
      </c>
      <c r="F588" t="s">
        <v>6361</v>
      </c>
      <c r="G588" s="43">
        <v>0</v>
      </c>
      <c r="H588" s="63">
        <v>0.9</v>
      </c>
    </row>
    <row r="589" spans="1:8" x14ac:dyDescent="0.55000000000000004">
      <c r="A589" s="61" t="s">
        <v>6556</v>
      </c>
      <c r="B589" t="s">
        <v>1239</v>
      </c>
      <c r="C589">
        <v>9310</v>
      </c>
      <c r="D589" t="s">
        <v>6363</v>
      </c>
      <c r="E589" t="s">
        <v>6364</v>
      </c>
      <c r="F589" t="s">
        <v>6361</v>
      </c>
      <c r="G589" s="43">
        <v>0</v>
      </c>
      <c r="H589" s="63">
        <v>0.1</v>
      </c>
    </row>
    <row r="590" spans="1:8" x14ac:dyDescent="0.55000000000000004">
      <c r="A590" s="61" t="s">
        <v>6556</v>
      </c>
      <c r="B590" t="s">
        <v>1239</v>
      </c>
      <c r="C590">
        <v>9310</v>
      </c>
      <c r="D590" t="s">
        <v>6362</v>
      </c>
      <c r="E590" t="s">
        <v>6358</v>
      </c>
      <c r="F590" t="s">
        <v>6358</v>
      </c>
      <c r="G590" s="43">
        <v>8.4500000000000006E-2</v>
      </c>
      <c r="H590" s="63">
        <v>1</v>
      </c>
    </row>
    <row r="591" spans="1:8" x14ac:dyDescent="0.55000000000000004">
      <c r="A591" s="61" t="s">
        <v>6556</v>
      </c>
      <c r="B591" t="s">
        <v>1239</v>
      </c>
      <c r="C591">
        <v>9310</v>
      </c>
      <c r="D591" t="s">
        <v>6365</v>
      </c>
      <c r="E591" t="s">
        <v>6366</v>
      </c>
      <c r="F591" t="s">
        <v>6361</v>
      </c>
      <c r="G591" s="43">
        <v>0</v>
      </c>
      <c r="H591" s="63">
        <v>-0.1</v>
      </c>
    </row>
    <row r="592" spans="1:8" x14ac:dyDescent="0.55000000000000004">
      <c r="A592" s="61" t="s">
        <v>6557</v>
      </c>
      <c r="B592" t="s">
        <v>1764</v>
      </c>
      <c r="C592">
        <v>8710</v>
      </c>
      <c r="D592" t="s">
        <v>6359</v>
      </c>
      <c r="E592" t="s">
        <v>6368</v>
      </c>
      <c r="F592" t="s">
        <v>6361</v>
      </c>
      <c r="G592" s="43">
        <v>0</v>
      </c>
      <c r="H592" s="63">
        <v>0.9</v>
      </c>
    </row>
    <row r="593" spans="1:8" x14ac:dyDescent="0.55000000000000004">
      <c r="A593" s="61" t="s">
        <v>6557</v>
      </c>
      <c r="B593" t="s">
        <v>1764</v>
      </c>
      <c r="C593">
        <v>8710</v>
      </c>
      <c r="D593" t="s">
        <v>6363</v>
      </c>
      <c r="E593" t="s">
        <v>6364</v>
      </c>
      <c r="F593" t="s">
        <v>6361</v>
      </c>
      <c r="G593" s="43">
        <v>0</v>
      </c>
      <c r="H593" s="63">
        <v>0.1</v>
      </c>
    </row>
    <row r="594" spans="1:8" x14ac:dyDescent="0.55000000000000004">
      <c r="A594" s="61" t="s">
        <v>6557</v>
      </c>
      <c r="B594" t="s">
        <v>1764</v>
      </c>
      <c r="C594">
        <v>8710</v>
      </c>
      <c r="D594" t="s">
        <v>6362</v>
      </c>
      <c r="E594" t="s">
        <v>6358</v>
      </c>
      <c r="F594" t="s">
        <v>6358</v>
      </c>
      <c r="G594" s="43">
        <v>5.3800000000000001E-2</v>
      </c>
      <c r="H594" s="63">
        <v>1</v>
      </c>
    </row>
    <row r="595" spans="1:8" x14ac:dyDescent="0.55000000000000004">
      <c r="A595" s="61" t="s">
        <v>6557</v>
      </c>
      <c r="B595" t="s">
        <v>1764</v>
      </c>
      <c r="C595">
        <v>8710</v>
      </c>
      <c r="D595" t="s">
        <v>6365</v>
      </c>
      <c r="E595" t="s">
        <v>6366</v>
      </c>
      <c r="F595" t="s">
        <v>6361</v>
      </c>
      <c r="G595" s="43">
        <v>0</v>
      </c>
      <c r="H595" s="63">
        <v>-0.1</v>
      </c>
    </row>
    <row r="596" spans="1:8" x14ac:dyDescent="0.55000000000000004">
      <c r="A596" s="61" t="s">
        <v>6558</v>
      </c>
      <c r="B596" t="s">
        <v>1764</v>
      </c>
      <c r="C596">
        <v>9310</v>
      </c>
      <c r="D596" t="s">
        <v>6359</v>
      </c>
      <c r="E596" t="s">
        <v>6369</v>
      </c>
      <c r="F596" t="s">
        <v>6361</v>
      </c>
      <c r="G596" s="43">
        <v>0</v>
      </c>
      <c r="H596" s="63">
        <v>0.9</v>
      </c>
    </row>
    <row r="597" spans="1:8" x14ac:dyDescent="0.55000000000000004">
      <c r="A597" s="61" t="s">
        <v>6558</v>
      </c>
      <c r="B597" t="s">
        <v>1764</v>
      </c>
      <c r="C597">
        <v>9310</v>
      </c>
      <c r="D597" t="s">
        <v>6363</v>
      </c>
      <c r="E597" t="s">
        <v>6364</v>
      </c>
      <c r="F597" t="s">
        <v>6361</v>
      </c>
      <c r="G597" s="43">
        <v>0</v>
      </c>
      <c r="H597" s="63">
        <v>0.1</v>
      </c>
    </row>
    <row r="598" spans="1:8" x14ac:dyDescent="0.55000000000000004">
      <c r="A598" s="61" t="s">
        <v>6558</v>
      </c>
      <c r="B598" t="s">
        <v>1764</v>
      </c>
      <c r="C598">
        <v>9310</v>
      </c>
      <c r="D598" t="s">
        <v>6362</v>
      </c>
      <c r="E598" t="s">
        <v>6358</v>
      </c>
      <c r="F598" t="s">
        <v>6358</v>
      </c>
      <c r="G598" s="43">
        <v>5.3800000000000001E-2</v>
      </c>
      <c r="H598" s="63">
        <v>1</v>
      </c>
    </row>
    <row r="599" spans="1:8" x14ac:dyDescent="0.55000000000000004">
      <c r="A599" s="61" t="s">
        <v>6558</v>
      </c>
      <c r="B599" t="s">
        <v>1764</v>
      </c>
      <c r="C599">
        <v>9310</v>
      </c>
      <c r="D599" t="s">
        <v>6365</v>
      </c>
      <c r="E599" t="s">
        <v>6366</v>
      </c>
      <c r="F599" t="s">
        <v>6361</v>
      </c>
      <c r="G599" s="43">
        <v>0</v>
      </c>
      <c r="H599" s="63">
        <v>-0.1</v>
      </c>
    </row>
    <row r="600" spans="1:8" x14ac:dyDescent="0.55000000000000004">
      <c r="A600" s="61" t="s">
        <v>6559</v>
      </c>
      <c r="B600" t="s">
        <v>3909</v>
      </c>
      <c r="C600">
        <v>8701</v>
      </c>
      <c r="D600" t="s">
        <v>6359</v>
      </c>
      <c r="E600" t="s">
        <v>6368</v>
      </c>
      <c r="F600" t="s">
        <v>6361</v>
      </c>
      <c r="G600" s="43">
        <v>0</v>
      </c>
      <c r="H600" s="63">
        <v>1</v>
      </c>
    </row>
    <row r="601" spans="1:8" x14ac:dyDescent="0.55000000000000004">
      <c r="A601" s="61" t="s">
        <v>6559</v>
      </c>
      <c r="B601" t="s">
        <v>3909</v>
      </c>
      <c r="C601">
        <v>8701</v>
      </c>
      <c r="D601" t="s">
        <v>6362</v>
      </c>
      <c r="E601" t="s">
        <v>6358</v>
      </c>
      <c r="F601" t="s">
        <v>6358</v>
      </c>
      <c r="G601" s="43">
        <v>4.9200000000000001E-2</v>
      </c>
      <c r="H601" s="63">
        <v>1</v>
      </c>
    </row>
    <row r="602" spans="1:8" x14ac:dyDescent="0.55000000000000004">
      <c r="A602" s="61" t="s">
        <v>6560</v>
      </c>
      <c r="B602" t="s">
        <v>3909</v>
      </c>
      <c r="C602">
        <v>8710</v>
      </c>
      <c r="D602" t="s">
        <v>6359</v>
      </c>
      <c r="E602" t="s">
        <v>6368</v>
      </c>
      <c r="F602" t="s">
        <v>6361</v>
      </c>
      <c r="G602" s="43">
        <v>0</v>
      </c>
      <c r="H602" s="63">
        <v>0.9</v>
      </c>
    </row>
    <row r="603" spans="1:8" x14ac:dyDescent="0.55000000000000004">
      <c r="A603" s="61" t="s">
        <v>6560</v>
      </c>
      <c r="B603" t="s">
        <v>3909</v>
      </c>
      <c r="C603">
        <v>8710</v>
      </c>
      <c r="D603" t="s">
        <v>6363</v>
      </c>
      <c r="E603" t="s">
        <v>6364</v>
      </c>
      <c r="F603" t="s">
        <v>6361</v>
      </c>
      <c r="G603" s="43">
        <v>0</v>
      </c>
      <c r="H603" s="63">
        <v>0.1</v>
      </c>
    </row>
    <row r="604" spans="1:8" x14ac:dyDescent="0.55000000000000004">
      <c r="A604" s="61" t="s">
        <v>6560</v>
      </c>
      <c r="B604" t="s">
        <v>3909</v>
      </c>
      <c r="C604">
        <v>8710</v>
      </c>
      <c r="D604" t="s">
        <v>6362</v>
      </c>
      <c r="E604" t="s">
        <v>6358</v>
      </c>
      <c r="F604" t="s">
        <v>6358</v>
      </c>
      <c r="G604" s="43">
        <v>6.3600000000000004E-2</v>
      </c>
      <c r="H604" s="63">
        <v>1</v>
      </c>
    </row>
    <row r="605" spans="1:8" x14ac:dyDescent="0.55000000000000004">
      <c r="A605" s="61" t="s">
        <v>6560</v>
      </c>
      <c r="B605" t="s">
        <v>3909</v>
      </c>
      <c r="C605">
        <v>8710</v>
      </c>
      <c r="D605" t="s">
        <v>6365</v>
      </c>
      <c r="E605" t="s">
        <v>6366</v>
      </c>
      <c r="F605" t="s">
        <v>6361</v>
      </c>
      <c r="G605" s="43">
        <v>0</v>
      </c>
      <c r="H605" s="63">
        <v>-0.1</v>
      </c>
    </row>
    <row r="606" spans="1:8" x14ac:dyDescent="0.55000000000000004">
      <c r="A606" s="61" t="s">
        <v>6561</v>
      </c>
      <c r="B606" t="s">
        <v>3909</v>
      </c>
      <c r="C606">
        <v>9300</v>
      </c>
      <c r="D606" t="s">
        <v>6359</v>
      </c>
      <c r="E606" t="s">
        <v>6369</v>
      </c>
      <c r="F606" t="s">
        <v>6361</v>
      </c>
      <c r="G606" s="43">
        <v>0</v>
      </c>
      <c r="H606" s="63">
        <v>1</v>
      </c>
    </row>
    <row r="607" spans="1:8" x14ac:dyDescent="0.55000000000000004">
      <c r="A607" s="61" t="s">
        <v>6561</v>
      </c>
      <c r="B607" t="s">
        <v>3909</v>
      </c>
      <c r="C607">
        <v>9300</v>
      </c>
      <c r="D607" t="s">
        <v>6362</v>
      </c>
      <c r="E607" t="s">
        <v>6358</v>
      </c>
      <c r="F607" t="s">
        <v>6358</v>
      </c>
      <c r="G607" s="43">
        <v>4.9200000000000001E-2</v>
      </c>
      <c r="H607" s="63">
        <v>1</v>
      </c>
    </row>
    <row r="608" spans="1:8" x14ac:dyDescent="0.55000000000000004">
      <c r="A608" s="61" t="s">
        <v>6562</v>
      </c>
      <c r="B608" t="s">
        <v>3909</v>
      </c>
      <c r="C608">
        <v>9310</v>
      </c>
      <c r="D608" t="s">
        <v>6359</v>
      </c>
      <c r="E608" t="s">
        <v>6369</v>
      </c>
      <c r="F608" t="s">
        <v>6361</v>
      </c>
      <c r="G608" s="43">
        <v>0</v>
      </c>
      <c r="H608" s="63">
        <v>0.9</v>
      </c>
    </row>
    <row r="609" spans="1:8" x14ac:dyDescent="0.55000000000000004">
      <c r="A609" s="61" t="s">
        <v>6562</v>
      </c>
      <c r="B609" t="s">
        <v>3909</v>
      </c>
      <c r="C609">
        <v>9310</v>
      </c>
      <c r="D609" t="s">
        <v>6363</v>
      </c>
      <c r="E609" t="s">
        <v>6364</v>
      </c>
      <c r="F609" t="s">
        <v>6361</v>
      </c>
      <c r="G609" s="43">
        <v>0</v>
      </c>
      <c r="H609" s="63">
        <v>0.1</v>
      </c>
    </row>
    <row r="610" spans="1:8" x14ac:dyDescent="0.55000000000000004">
      <c r="A610" s="61" t="s">
        <v>6562</v>
      </c>
      <c r="B610" t="s">
        <v>3909</v>
      </c>
      <c r="C610">
        <v>9310</v>
      </c>
      <c r="D610" t="s">
        <v>6362</v>
      </c>
      <c r="E610" t="s">
        <v>6358</v>
      </c>
      <c r="F610" t="s">
        <v>6358</v>
      </c>
      <c r="G610" s="43">
        <v>6.3600000000000004E-2</v>
      </c>
      <c r="H610" s="63">
        <v>1</v>
      </c>
    </row>
    <row r="611" spans="1:8" x14ac:dyDescent="0.55000000000000004">
      <c r="A611" s="61" t="s">
        <v>6562</v>
      </c>
      <c r="B611" t="s">
        <v>3909</v>
      </c>
      <c r="C611">
        <v>9310</v>
      </c>
      <c r="D611" t="s">
        <v>6365</v>
      </c>
      <c r="E611" t="s">
        <v>6366</v>
      </c>
      <c r="F611" t="s">
        <v>6361</v>
      </c>
      <c r="G611" s="43">
        <v>0</v>
      </c>
      <c r="H611" s="63">
        <v>-0.1</v>
      </c>
    </row>
    <row r="612" spans="1:8" x14ac:dyDescent="0.55000000000000004">
      <c r="A612" s="61" t="s">
        <v>6563</v>
      </c>
      <c r="B612" t="s">
        <v>2984</v>
      </c>
      <c r="C612">
        <v>8701</v>
      </c>
      <c r="D612" t="s">
        <v>6359</v>
      </c>
      <c r="E612" t="s">
        <v>6370</v>
      </c>
      <c r="F612" t="s">
        <v>6361</v>
      </c>
      <c r="G612" s="43">
        <v>0</v>
      </c>
      <c r="H612" s="63">
        <v>1</v>
      </c>
    </row>
    <row r="613" spans="1:8" x14ac:dyDescent="0.55000000000000004">
      <c r="A613" s="61" t="s">
        <v>6563</v>
      </c>
      <c r="B613" t="s">
        <v>2984</v>
      </c>
      <c r="C613">
        <v>8701</v>
      </c>
      <c r="D613" t="s">
        <v>6362</v>
      </c>
      <c r="E613" t="s">
        <v>6358</v>
      </c>
      <c r="F613" t="s">
        <v>6358</v>
      </c>
      <c r="G613" s="43">
        <v>4.5900000000000003E-2</v>
      </c>
      <c r="H613" s="63">
        <v>1</v>
      </c>
    </row>
    <row r="614" spans="1:8" x14ac:dyDescent="0.55000000000000004">
      <c r="A614" s="61" t="s">
        <v>6564</v>
      </c>
      <c r="B614" t="s">
        <v>2984</v>
      </c>
      <c r="C614">
        <v>8710</v>
      </c>
      <c r="D614" t="s">
        <v>6359</v>
      </c>
      <c r="E614" t="s">
        <v>6370</v>
      </c>
      <c r="F614" t="s">
        <v>6361</v>
      </c>
      <c r="G614" s="43">
        <v>0</v>
      </c>
      <c r="H614" s="63">
        <v>0.9</v>
      </c>
    </row>
    <row r="615" spans="1:8" x14ac:dyDescent="0.55000000000000004">
      <c r="A615" s="61" t="s">
        <v>6564</v>
      </c>
      <c r="B615" t="s">
        <v>2984</v>
      </c>
      <c r="C615">
        <v>8710</v>
      </c>
      <c r="D615" t="s">
        <v>6363</v>
      </c>
      <c r="E615" t="s">
        <v>6364</v>
      </c>
      <c r="F615" t="s">
        <v>6361</v>
      </c>
      <c r="G615" s="43">
        <v>0</v>
      </c>
      <c r="H615" s="63">
        <v>0.1</v>
      </c>
    </row>
    <row r="616" spans="1:8" x14ac:dyDescent="0.55000000000000004">
      <c r="A616" s="61" t="s">
        <v>6564</v>
      </c>
      <c r="B616" t="s">
        <v>2984</v>
      </c>
      <c r="C616">
        <v>8710</v>
      </c>
      <c r="D616" t="s">
        <v>6362</v>
      </c>
      <c r="E616" t="s">
        <v>6358</v>
      </c>
      <c r="F616" t="s">
        <v>6358</v>
      </c>
      <c r="G616" s="43">
        <v>6.1400000000000003E-2</v>
      </c>
      <c r="H616" s="63">
        <v>1</v>
      </c>
    </row>
    <row r="617" spans="1:8" x14ac:dyDescent="0.55000000000000004">
      <c r="A617" s="61" t="s">
        <v>6564</v>
      </c>
      <c r="B617" t="s">
        <v>2984</v>
      </c>
      <c r="C617">
        <v>8710</v>
      </c>
      <c r="D617" t="s">
        <v>6365</v>
      </c>
      <c r="E617" t="s">
        <v>6366</v>
      </c>
      <c r="F617" t="s">
        <v>6361</v>
      </c>
      <c r="G617" s="43">
        <v>0</v>
      </c>
      <c r="H617" s="63">
        <v>-0.1</v>
      </c>
    </row>
    <row r="618" spans="1:8" x14ac:dyDescent="0.55000000000000004">
      <c r="A618" s="61" t="s">
        <v>6565</v>
      </c>
      <c r="B618" t="s">
        <v>2984</v>
      </c>
      <c r="C618">
        <v>9310</v>
      </c>
      <c r="D618" t="s">
        <v>6359</v>
      </c>
      <c r="E618" t="s">
        <v>6371</v>
      </c>
      <c r="F618" t="s">
        <v>6361</v>
      </c>
      <c r="G618" s="43">
        <v>0</v>
      </c>
      <c r="H618" s="63">
        <v>0.9</v>
      </c>
    </row>
    <row r="619" spans="1:8" x14ac:dyDescent="0.55000000000000004">
      <c r="A619" s="61" t="s">
        <v>6565</v>
      </c>
      <c r="B619" t="s">
        <v>2984</v>
      </c>
      <c r="C619">
        <v>9310</v>
      </c>
      <c r="D619" t="s">
        <v>6363</v>
      </c>
      <c r="E619" t="s">
        <v>6364</v>
      </c>
      <c r="F619" t="s">
        <v>6361</v>
      </c>
      <c r="G619" s="43">
        <v>0</v>
      </c>
      <c r="H619" s="63">
        <v>0.1</v>
      </c>
    </row>
    <row r="620" spans="1:8" x14ac:dyDescent="0.55000000000000004">
      <c r="A620" s="61" t="s">
        <v>6565</v>
      </c>
      <c r="B620" t="s">
        <v>2984</v>
      </c>
      <c r="C620">
        <v>9310</v>
      </c>
      <c r="D620" t="s">
        <v>6362</v>
      </c>
      <c r="E620" t="s">
        <v>6358</v>
      </c>
      <c r="F620" t="s">
        <v>6358</v>
      </c>
      <c r="G620" s="43">
        <v>6.1400000000000003E-2</v>
      </c>
      <c r="H620" s="63">
        <v>1</v>
      </c>
    </row>
    <row r="621" spans="1:8" x14ac:dyDescent="0.55000000000000004">
      <c r="A621" s="61" t="s">
        <v>6565</v>
      </c>
      <c r="B621" t="s">
        <v>2984</v>
      </c>
      <c r="C621">
        <v>9310</v>
      </c>
      <c r="D621" t="s">
        <v>6365</v>
      </c>
      <c r="E621" t="s">
        <v>6366</v>
      </c>
      <c r="F621" t="s">
        <v>6361</v>
      </c>
      <c r="G621" s="43">
        <v>0</v>
      </c>
      <c r="H621" s="63">
        <v>-0.1</v>
      </c>
    </row>
    <row r="622" spans="1:8" x14ac:dyDescent="0.55000000000000004">
      <c r="A622" s="61" t="s">
        <v>6566</v>
      </c>
      <c r="B622" t="s">
        <v>446</v>
      </c>
      <c r="C622">
        <v>8705</v>
      </c>
      <c r="D622" t="s">
        <v>6359</v>
      </c>
      <c r="E622" t="s">
        <v>6383</v>
      </c>
      <c r="F622" t="s">
        <v>6361</v>
      </c>
      <c r="G622" s="43">
        <v>0</v>
      </c>
      <c r="H622" s="63">
        <v>0.9</v>
      </c>
    </row>
    <row r="623" spans="1:8" x14ac:dyDescent="0.55000000000000004">
      <c r="A623" s="61" t="s">
        <v>6566</v>
      </c>
      <c r="B623" t="s">
        <v>446</v>
      </c>
      <c r="C623">
        <v>8705</v>
      </c>
      <c r="D623" t="s">
        <v>6363</v>
      </c>
      <c r="E623" t="s">
        <v>6364</v>
      </c>
      <c r="F623" t="s">
        <v>6361</v>
      </c>
      <c r="G623" s="43">
        <v>0</v>
      </c>
      <c r="H623" s="63">
        <v>0.1</v>
      </c>
    </row>
    <row r="624" spans="1:8" x14ac:dyDescent="0.55000000000000004">
      <c r="A624" s="61" t="s">
        <v>6566</v>
      </c>
      <c r="B624" t="s">
        <v>446</v>
      </c>
      <c r="C624">
        <v>8705</v>
      </c>
      <c r="D624" t="s">
        <v>6362</v>
      </c>
      <c r="E624" t="s">
        <v>6358</v>
      </c>
      <c r="F624" t="s">
        <v>6358</v>
      </c>
      <c r="G624" s="43">
        <v>4.87E-2</v>
      </c>
      <c r="H624" s="63">
        <v>1</v>
      </c>
    </row>
    <row r="625" spans="1:8" x14ac:dyDescent="0.55000000000000004">
      <c r="A625" s="61" t="s">
        <v>6566</v>
      </c>
      <c r="B625" t="s">
        <v>446</v>
      </c>
      <c r="C625">
        <v>8705</v>
      </c>
      <c r="D625" t="s">
        <v>6365</v>
      </c>
      <c r="E625" t="s">
        <v>6366</v>
      </c>
      <c r="F625" t="s">
        <v>6361</v>
      </c>
      <c r="G625" s="43">
        <v>0</v>
      </c>
      <c r="H625" s="63">
        <v>-0.1</v>
      </c>
    </row>
    <row r="626" spans="1:8" x14ac:dyDescent="0.55000000000000004">
      <c r="A626" s="61" t="s">
        <v>6566</v>
      </c>
      <c r="B626" t="s">
        <v>446</v>
      </c>
      <c r="C626">
        <v>8705</v>
      </c>
      <c r="D626" t="s">
        <v>6384</v>
      </c>
      <c r="E626" t="s">
        <v>6385</v>
      </c>
      <c r="F626" t="s">
        <v>6361</v>
      </c>
      <c r="G626" s="43">
        <v>0</v>
      </c>
      <c r="H626" s="63">
        <v>1</v>
      </c>
    </row>
    <row r="627" spans="1:8" x14ac:dyDescent="0.55000000000000004">
      <c r="A627" s="61" t="s">
        <v>6566</v>
      </c>
      <c r="B627" t="s">
        <v>446</v>
      </c>
      <c r="C627">
        <v>8705</v>
      </c>
      <c r="D627" t="s">
        <v>6386</v>
      </c>
      <c r="E627" t="s">
        <v>6387</v>
      </c>
      <c r="F627" t="s">
        <v>6361</v>
      </c>
      <c r="G627" s="43">
        <v>0</v>
      </c>
      <c r="H627" s="63">
        <v>1</v>
      </c>
    </row>
    <row r="628" spans="1:8" x14ac:dyDescent="0.55000000000000004">
      <c r="A628" s="61" t="s">
        <v>6567</v>
      </c>
      <c r="B628" t="s">
        <v>446</v>
      </c>
      <c r="C628">
        <v>9105</v>
      </c>
      <c r="D628" t="s">
        <v>6359</v>
      </c>
      <c r="E628" t="s">
        <v>6388</v>
      </c>
      <c r="F628" t="s">
        <v>6361</v>
      </c>
      <c r="G628" s="43">
        <v>0</v>
      </c>
      <c r="H628" s="63">
        <v>0.9</v>
      </c>
    </row>
    <row r="629" spans="1:8" x14ac:dyDescent="0.55000000000000004">
      <c r="A629" s="61" t="s">
        <v>6567</v>
      </c>
      <c r="B629" t="s">
        <v>446</v>
      </c>
      <c r="C629">
        <v>9105</v>
      </c>
      <c r="D629" t="s">
        <v>6363</v>
      </c>
      <c r="E629" t="s">
        <v>6364</v>
      </c>
      <c r="F629" t="s">
        <v>6361</v>
      </c>
      <c r="G629" s="43">
        <v>0</v>
      </c>
      <c r="H629" s="63">
        <v>0.1</v>
      </c>
    </row>
    <row r="630" spans="1:8" x14ac:dyDescent="0.55000000000000004">
      <c r="A630" s="61" t="s">
        <v>6567</v>
      </c>
      <c r="B630" t="s">
        <v>446</v>
      </c>
      <c r="C630">
        <v>9105</v>
      </c>
      <c r="D630" t="s">
        <v>6362</v>
      </c>
      <c r="E630" t="s">
        <v>6358</v>
      </c>
      <c r="F630" t="s">
        <v>6358</v>
      </c>
      <c r="G630" s="43">
        <v>4.87E-2</v>
      </c>
      <c r="H630" s="63">
        <v>1</v>
      </c>
    </row>
    <row r="631" spans="1:8" x14ac:dyDescent="0.55000000000000004">
      <c r="A631" s="61" t="s">
        <v>6567</v>
      </c>
      <c r="B631" t="s">
        <v>446</v>
      </c>
      <c r="C631">
        <v>9105</v>
      </c>
      <c r="D631" t="s">
        <v>6365</v>
      </c>
      <c r="E631" t="s">
        <v>6366</v>
      </c>
      <c r="F631" t="s">
        <v>6361</v>
      </c>
      <c r="G631" s="43">
        <v>0</v>
      </c>
      <c r="H631" s="63">
        <v>-0.1</v>
      </c>
    </row>
    <row r="632" spans="1:8" x14ac:dyDescent="0.55000000000000004">
      <c r="A632" s="61" t="s">
        <v>6567</v>
      </c>
      <c r="B632" t="s">
        <v>446</v>
      </c>
      <c r="C632">
        <v>9105</v>
      </c>
      <c r="D632" t="s">
        <v>6384</v>
      </c>
      <c r="E632" t="s">
        <v>6385</v>
      </c>
      <c r="F632" t="s">
        <v>6361</v>
      </c>
      <c r="G632" s="43">
        <v>0</v>
      </c>
      <c r="H632" s="63">
        <v>1</v>
      </c>
    </row>
    <row r="633" spans="1:8" x14ac:dyDescent="0.55000000000000004">
      <c r="A633" s="61" t="s">
        <v>6567</v>
      </c>
      <c r="B633" t="s">
        <v>446</v>
      </c>
      <c r="C633">
        <v>9105</v>
      </c>
      <c r="D633" t="s">
        <v>6386</v>
      </c>
      <c r="E633" t="s">
        <v>6387</v>
      </c>
      <c r="F633" t="s">
        <v>6361</v>
      </c>
      <c r="G633" s="43">
        <v>0</v>
      </c>
      <c r="H633" s="63">
        <v>1</v>
      </c>
    </row>
    <row r="634" spans="1:8" x14ac:dyDescent="0.55000000000000004">
      <c r="A634" s="61" t="s">
        <v>6568</v>
      </c>
      <c r="B634" t="s">
        <v>2865</v>
      </c>
      <c r="C634">
        <v>8701</v>
      </c>
      <c r="D634" t="s">
        <v>6359</v>
      </c>
      <c r="E634" t="s">
        <v>6370</v>
      </c>
      <c r="F634" t="s">
        <v>6361</v>
      </c>
      <c r="G634" s="43">
        <v>0</v>
      </c>
      <c r="H634" s="63">
        <v>1</v>
      </c>
    </row>
    <row r="635" spans="1:8" x14ac:dyDescent="0.55000000000000004">
      <c r="A635" s="61" t="s">
        <v>6568</v>
      </c>
      <c r="B635" t="s">
        <v>2865</v>
      </c>
      <c r="C635">
        <v>8701</v>
      </c>
      <c r="D635" t="s">
        <v>6362</v>
      </c>
      <c r="E635" t="s">
        <v>6358</v>
      </c>
      <c r="F635" t="s">
        <v>6358</v>
      </c>
      <c r="G635" s="43">
        <v>0.1968</v>
      </c>
      <c r="H635" s="63">
        <v>1</v>
      </c>
    </row>
    <row r="636" spans="1:8" x14ac:dyDescent="0.55000000000000004">
      <c r="A636" s="61" t="s">
        <v>6569</v>
      </c>
      <c r="B636" t="s">
        <v>2865</v>
      </c>
      <c r="C636">
        <v>8710</v>
      </c>
      <c r="D636" t="s">
        <v>6359</v>
      </c>
      <c r="E636" t="s">
        <v>6370</v>
      </c>
      <c r="F636" t="s">
        <v>6361</v>
      </c>
      <c r="G636" s="43">
        <v>0</v>
      </c>
      <c r="H636" s="63">
        <v>0.9</v>
      </c>
    </row>
    <row r="637" spans="1:8" x14ac:dyDescent="0.55000000000000004">
      <c r="A637" s="61" t="s">
        <v>6569</v>
      </c>
      <c r="B637" t="s">
        <v>2865</v>
      </c>
      <c r="C637">
        <v>8710</v>
      </c>
      <c r="D637" t="s">
        <v>6363</v>
      </c>
      <c r="E637" t="s">
        <v>6364</v>
      </c>
      <c r="F637" t="s">
        <v>6361</v>
      </c>
      <c r="G637" s="43">
        <v>0</v>
      </c>
      <c r="H637" s="63">
        <v>0.1</v>
      </c>
    </row>
    <row r="638" spans="1:8" x14ac:dyDescent="0.55000000000000004">
      <c r="A638" s="61" t="s">
        <v>6569</v>
      </c>
      <c r="B638" t="s">
        <v>2865</v>
      </c>
      <c r="C638">
        <v>8710</v>
      </c>
      <c r="D638" t="s">
        <v>6362</v>
      </c>
      <c r="E638" t="s">
        <v>6358</v>
      </c>
      <c r="F638" t="s">
        <v>6358</v>
      </c>
      <c r="G638" s="43">
        <v>0.19470000000000001</v>
      </c>
      <c r="H638" s="63">
        <v>1</v>
      </c>
    </row>
    <row r="639" spans="1:8" x14ac:dyDescent="0.55000000000000004">
      <c r="A639" s="61" t="s">
        <v>6569</v>
      </c>
      <c r="B639" t="s">
        <v>2865</v>
      </c>
      <c r="C639">
        <v>8710</v>
      </c>
      <c r="D639" t="s">
        <v>6365</v>
      </c>
      <c r="E639" t="s">
        <v>6366</v>
      </c>
      <c r="F639" t="s">
        <v>6361</v>
      </c>
      <c r="G639" s="43">
        <v>0</v>
      </c>
      <c r="H639" s="63">
        <v>-0.1</v>
      </c>
    </row>
    <row r="640" spans="1:8" x14ac:dyDescent="0.55000000000000004">
      <c r="A640" s="61" t="s">
        <v>6570</v>
      </c>
      <c r="B640" t="s">
        <v>2865</v>
      </c>
      <c r="C640">
        <v>9101</v>
      </c>
      <c r="D640" t="s">
        <v>6359</v>
      </c>
      <c r="E640" t="s">
        <v>6371</v>
      </c>
      <c r="F640" t="s">
        <v>6361</v>
      </c>
      <c r="G640" s="43">
        <v>0</v>
      </c>
      <c r="H640" s="63">
        <v>1</v>
      </c>
    </row>
    <row r="641" spans="1:8" x14ac:dyDescent="0.55000000000000004">
      <c r="A641" s="61" t="s">
        <v>6570</v>
      </c>
      <c r="B641" t="s">
        <v>2865</v>
      </c>
      <c r="C641">
        <v>9101</v>
      </c>
      <c r="D641" t="s">
        <v>6362</v>
      </c>
      <c r="E641" t="s">
        <v>6358</v>
      </c>
      <c r="F641" t="s">
        <v>6358</v>
      </c>
      <c r="G641" s="43">
        <v>0.1968</v>
      </c>
      <c r="H641" s="63">
        <v>1</v>
      </c>
    </row>
    <row r="642" spans="1:8" x14ac:dyDescent="0.55000000000000004">
      <c r="A642" s="61" t="s">
        <v>6571</v>
      </c>
      <c r="B642" t="s">
        <v>2865</v>
      </c>
      <c r="C642">
        <v>9110</v>
      </c>
      <c r="D642" t="s">
        <v>6359</v>
      </c>
      <c r="E642" t="s">
        <v>6371</v>
      </c>
      <c r="F642" t="s">
        <v>6361</v>
      </c>
      <c r="G642" s="43">
        <v>0</v>
      </c>
      <c r="H642" s="63">
        <v>0.9</v>
      </c>
    </row>
    <row r="643" spans="1:8" x14ac:dyDescent="0.55000000000000004">
      <c r="A643" s="61" t="s">
        <v>6571</v>
      </c>
      <c r="B643" t="s">
        <v>2865</v>
      </c>
      <c r="C643">
        <v>9110</v>
      </c>
      <c r="D643" t="s">
        <v>6363</v>
      </c>
      <c r="E643" t="s">
        <v>6364</v>
      </c>
      <c r="F643" t="s">
        <v>6361</v>
      </c>
      <c r="G643" s="43">
        <v>0</v>
      </c>
      <c r="H643" s="63">
        <v>0.1</v>
      </c>
    </row>
    <row r="644" spans="1:8" x14ac:dyDescent="0.55000000000000004">
      <c r="A644" s="61" t="s">
        <v>6571</v>
      </c>
      <c r="B644" t="s">
        <v>2865</v>
      </c>
      <c r="C644">
        <v>9110</v>
      </c>
      <c r="D644" t="s">
        <v>6362</v>
      </c>
      <c r="E644" t="s">
        <v>6358</v>
      </c>
      <c r="F644" t="s">
        <v>6358</v>
      </c>
      <c r="G644" s="43">
        <v>0.19470000000000001</v>
      </c>
      <c r="H644" s="63">
        <v>1</v>
      </c>
    </row>
    <row r="645" spans="1:8" x14ac:dyDescent="0.55000000000000004">
      <c r="A645" s="61" t="s">
        <v>6571</v>
      </c>
      <c r="B645" t="s">
        <v>2865</v>
      </c>
      <c r="C645">
        <v>9110</v>
      </c>
      <c r="D645" t="s">
        <v>6365</v>
      </c>
      <c r="E645" t="s">
        <v>6366</v>
      </c>
      <c r="F645" t="s">
        <v>6361</v>
      </c>
      <c r="G645" s="43">
        <v>0</v>
      </c>
      <c r="H645" s="63">
        <v>-0.1</v>
      </c>
    </row>
    <row r="646" spans="1:8" x14ac:dyDescent="0.55000000000000004">
      <c r="A646" s="61" t="s">
        <v>6572</v>
      </c>
      <c r="B646" t="s">
        <v>1079</v>
      </c>
      <c r="C646">
        <v>8701</v>
      </c>
      <c r="D646" t="s">
        <v>6359</v>
      </c>
      <c r="E646" t="s">
        <v>6370</v>
      </c>
      <c r="F646" t="s">
        <v>6361</v>
      </c>
      <c r="G646" s="43">
        <v>0</v>
      </c>
      <c r="H646" s="63">
        <v>1</v>
      </c>
    </row>
    <row r="647" spans="1:8" x14ac:dyDescent="0.55000000000000004">
      <c r="A647" s="61" t="s">
        <v>6572</v>
      </c>
      <c r="B647" t="s">
        <v>1079</v>
      </c>
      <c r="C647">
        <v>8701</v>
      </c>
      <c r="D647" t="s">
        <v>6362</v>
      </c>
      <c r="E647" t="s">
        <v>6358</v>
      </c>
      <c r="F647" t="s">
        <v>6358</v>
      </c>
      <c r="G647" s="43">
        <v>5.2299999999999999E-2</v>
      </c>
      <c r="H647" s="63">
        <v>1</v>
      </c>
    </row>
    <row r="648" spans="1:8" x14ac:dyDescent="0.55000000000000004">
      <c r="A648" s="61" t="s">
        <v>6573</v>
      </c>
      <c r="B648" t="s">
        <v>1079</v>
      </c>
      <c r="C648">
        <v>8710</v>
      </c>
      <c r="D648" t="s">
        <v>6359</v>
      </c>
      <c r="E648" t="s">
        <v>6370</v>
      </c>
      <c r="F648" t="s">
        <v>6361</v>
      </c>
      <c r="G648" s="43">
        <v>0</v>
      </c>
      <c r="H648" s="63">
        <v>0.9</v>
      </c>
    </row>
    <row r="649" spans="1:8" x14ac:dyDescent="0.55000000000000004">
      <c r="A649" s="61" t="s">
        <v>6573</v>
      </c>
      <c r="B649" t="s">
        <v>1079</v>
      </c>
      <c r="C649">
        <v>8710</v>
      </c>
      <c r="D649" t="s">
        <v>6363</v>
      </c>
      <c r="E649" t="s">
        <v>6364</v>
      </c>
      <c r="F649" t="s">
        <v>6361</v>
      </c>
      <c r="G649" s="43">
        <v>0</v>
      </c>
      <c r="H649" s="63">
        <v>0.1</v>
      </c>
    </row>
    <row r="650" spans="1:8" x14ac:dyDescent="0.55000000000000004">
      <c r="A650" s="61" t="s">
        <v>6573</v>
      </c>
      <c r="B650" t="s">
        <v>1079</v>
      </c>
      <c r="C650">
        <v>8710</v>
      </c>
      <c r="D650" t="s">
        <v>6362</v>
      </c>
      <c r="E650" t="s">
        <v>6358</v>
      </c>
      <c r="F650" t="s">
        <v>6358</v>
      </c>
      <c r="G650" s="43">
        <v>7.1499999999999994E-2</v>
      </c>
      <c r="H650" s="63">
        <v>1</v>
      </c>
    </row>
    <row r="651" spans="1:8" x14ac:dyDescent="0.55000000000000004">
      <c r="A651" s="61" t="s">
        <v>6573</v>
      </c>
      <c r="B651" t="s">
        <v>1079</v>
      </c>
      <c r="C651">
        <v>8710</v>
      </c>
      <c r="D651" t="s">
        <v>6365</v>
      </c>
      <c r="E651" t="s">
        <v>6366</v>
      </c>
      <c r="F651" t="s">
        <v>6361</v>
      </c>
      <c r="G651" s="43">
        <v>0</v>
      </c>
      <c r="H651" s="63">
        <v>-0.1</v>
      </c>
    </row>
    <row r="652" spans="1:8" x14ac:dyDescent="0.55000000000000004">
      <c r="A652" s="61" t="s">
        <v>6574</v>
      </c>
      <c r="B652" t="s">
        <v>1079</v>
      </c>
      <c r="C652">
        <v>9204</v>
      </c>
      <c r="D652" t="s">
        <v>6359</v>
      </c>
      <c r="E652" t="s">
        <v>6371</v>
      </c>
      <c r="F652" t="s">
        <v>6361</v>
      </c>
      <c r="G652" s="43">
        <v>0</v>
      </c>
      <c r="H652" s="63">
        <v>0.9</v>
      </c>
    </row>
    <row r="653" spans="1:8" x14ac:dyDescent="0.55000000000000004">
      <c r="A653" s="61" t="s">
        <v>6574</v>
      </c>
      <c r="B653" t="s">
        <v>1079</v>
      </c>
      <c r="C653">
        <v>9204</v>
      </c>
      <c r="D653" t="s">
        <v>6363</v>
      </c>
      <c r="E653" t="s">
        <v>6364</v>
      </c>
      <c r="F653" t="s">
        <v>6361</v>
      </c>
      <c r="G653" s="43">
        <v>0</v>
      </c>
      <c r="H653" s="63">
        <v>0.1</v>
      </c>
    </row>
    <row r="654" spans="1:8" x14ac:dyDescent="0.55000000000000004">
      <c r="A654" s="61" t="s">
        <v>6574</v>
      </c>
      <c r="B654" t="s">
        <v>1079</v>
      </c>
      <c r="C654">
        <v>9204</v>
      </c>
      <c r="D654" t="s">
        <v>6362</v>
      </c>
      <c r="E654" t="s">
        <v>6358</v>
      </c>
      <c r="F654" t="s">
        <v>6358</v>
      </c>
      <c r="G654" s="43">
        <v>7.1499999999999994E-2</v>
      </c>
      <c r="H654" s="63">
        <v>1</v>
      </c>
    </row>
    <row r="655" spans="1:8" x14ac:dyDescent="0.55000000000000004">
      <c r="A655" s="61" t="s">
        <v>6574</v>
      </c>
      <c r="B655" t="s">
        <v>1079</v>
      </c>
      <c r="C655">
        <v>9204</v>
      </c>
      <c r="D655" t="s">
        <v>6365</v>
      </c>
      <c r="E655" t="s">
        <v>6366</v>
      </c>
      <c r="F655" t="s">
        <v>6361</v>
      </c>
      <c r="G655" s="43">
        <v>0</v>
      </c>
      <c r="H655" s="63">
        <v>-0.1</v>
      </c>
    </row>
    <row r="656" spans="1:8" x14ac:dyDescent="0.55000000000000004">
      <c r="A656" s="61" t="s">
        <v>6575</v>
      </c>
      <c r="B656" t="s">
        <v>1079</v>
      </c>
      <c r="C656">
        <v>9310</v>
      </c>
      <c r="D656" t="s">
        <v>6359</v>
      </c>
      <c r="E656" t="s">
        <v>6371</v>
      </c>
      <c r="F656" t="s">
        <v>6361</v>
      </c>
      <c r="G656" s="43">
        <v>0</v>
      </c>
      <c r="H656" s="63">
        <v>0.9</v>
      </c>
    </row>
    <row r="657" spans="1:8" x14ac:dyDescent="0.55000000000000004">
      <c r="A657" s="61" t="s">
        <v>6575</v>
      </c>
      <c r="B657" t="s">
        <v>1079</v>
      </c>
      <c r="C657">
        <v>9310</v>
      </c>
      <c r="D657" t="s">
        <v>6363</v>
      </c>
      <c r="E657" t="s">
        <v>6364</v>
      </c>
      <c r="F657" t="s">
        <v>6361</v>
      </c>
      <c r="G657" s="43">
        <v>0</v>
      </c>
      <c r="H657" s="63">
        <v>0.1</v>
      </c>
    </row>
    <row r="658" spans="1:8" x14ac:dyDescent="0.55000000000000004">
      <c r="A658" s="61" t="s">
        <v>6575</v>
      </c>
      <c r="B658" t="s">
        <v>1079</v>
      </c>
      <c r="C658">
        <v>9310</v>
      </c>
      <c r="D658" t="s">
        <v>6362</v>
      </c>
      <c r="E658" t="s">
        <v>6358</v>
      </c>
      <c r="F658" t="s">
        <v>6358</v>
      </c>
      <c r="G658" s="43">
        <v>7.1499999999999994E-2</v>
      </c>
      <c r="H658" s="63">
        <v>1</v>
      </c>
    </row>
    <row r="659" spans="1:8" x14ac:dyDescent="0.55000000000000004">
      <c r="A659" s="61" t="s">
        <v>6575</v>
      </c>
      <c r="B659" t="s">
        <v>1079</v>
      </c>
      <c r="C659">
        <v>9310</v>
      </c>
      <c r="D659" t="s">
        <v>6365</v>
      </c>
      <c r="E659" t="s">
        <v>6366</v>
      </c>
      <c r="F659" t="s">
        <v>6361</v>
      </c>
      <c r="G659" s="43">
        <v>0</v>
      </c>
      <c r="H659" s="63">
        <v>-0.1</v>
      </c>
    </row>
    <row r="660" spans="1:8" x14ac:dyDescent="0.55000000000000004">
      <c r="A660" s="61" t="s">
        <v>6576</v>
      </c>
      <c r="B660" t="s">
        <v>3279</v>
      </c>
      <c r="C660">
        <v>8701</v>
      </c>
      <c r="D660" t="s">
        <v>6359</v>
      </c>
      <c r="E660" t="s">
        <v>6360</v>
      </c>
      <c r="F660" t="s">
        <v>6361</v>
      </c>
      <c r="G660" s="43">
        <v>0</v>
      </c>
      <c r="H660" s="63">
        <v>1</v>
      </c>
    </row>
    <row r="661" spans="1:8" x14ac:dyDescent="0.55000000000000004">
      <c r="A661" s="61" t="s">
        <v>6576</v>
      </c>
      <c r="B661" t="s">
        <v>3279</v>
      </c>
      <c r="C661">
        <v>8701</v>
      </c>
      <c r="D661" t="s">
        <v>6362</v>
      </c>
      <c r="E661" t="s">
        <v>6358</v>
      </c>
      <c r="F661" t="s">
        <v>6358</v>
      </c>
      <c r="G661" s="43">
        <v>7.5200000000000003E-2</v>
      </c>
      <c r="H661" s="63">
        <v>1</v>
      </c>
    </row>
    <row r="662" spans="1:8" x14ac:dyDescent="0.55000000000000004">
      <c r="A662" s="61" t="s">
        <v>6577</v>
      </c>
      <c r="B662" t="s">
        <v>3279</v>
      </c>
      <c r="C662">
        <v>8710</v>
      </c>
      <c r="D662" t="s">
        <v>6359</v>
      </c>
      <c r="E662" t="s">
        <v>6360</v>
      </c>
      <c r="F662" t="s">
        <v>6361</v>
      </c>
      <c r="G662" s="43">
        <v>0</v>
      </c>
      <c r="H662" s="63">
        <v>0.9</v>
      </c>
    </row>
    <row r="663" spans="1:8" x14ac:dyDescent="0.55000000000000004">
      <c r="A663" s="61" t="s">
        <v>6577</v>
      </c>
      <c r="B663" t="s">
        <v>3279</v>
      </c>
      <c r="C663">
        <v>8710</v>
      </c>
      <c r="D663" t="s">
        <v>6363</v>
      </c>
      <c r="E663" t="s">
        <v>6364</v>
      </c>
      <c r="F663" t="s">
        <v>6361</v>
      </c>
      <c r="G663" s="43">
        <v>0</v>
      </c>
      <c r="H663" s="63">
        <v>0.1</v>
      </c>
    </row>
    <row r="664" spans="1:8" x14ac:dyDescent="0.55000000000000004">
      <c r="A664" s="61" t="s">
        <v>6577</v>
      </c>
      <c r="B664" t="s">
        <v>3279</v>
      </c>
      <c r="C664">
        <v>8710</v>
      </c>
      <c r="D664" t="s">
        <v>6362</v>
      </c>
      <c r="E664" t="s">
        <v>6358</v>
      </c>
      <c r="F664" t="s">
        <v>6358</v>
      </c>
      <c r="G664" s="62">
        <v>5.9799999999999999E-2</v>
      </c>
      <c r="H664" s="63">
        <v>1</v>
      </c>
    </row>
    <row r="665" spans="1:8" x14ac:dyDescent="0.55000000000000004">
      <c r="A665" s="61" t="s">
        <v>6577</v>
      </c>
      <c r="B665" t="s">
        <v>3279</v>
      </c>
      <c r="C665">
        <v>8710</v>
      </c>
      <c r="D665" t="s">
        <v>6365</v>
      </c>
      <c r="E665" t="s">
        <v>6366</v>
      </c>
      <c r="F665" t="s">
        <v>6361</v>
      </c>
      <c r="G665" s="43">
        <v>0</v>
      </c>
      <c r="H665" s="63">
        <v>-0.1</v>
      </c>
    </row>
    <row r="666" spans="1:8" x14ac:dyDescent="0.55000000000000004">
      <c r="A666" s="61" t="s">
        <v>6578</v>
      </c>
      <c r="B666" t="s">
        <v>3279</v>
      </c>
      <c r="C666">
        <v>9101</v>
      </c>
      <c r="D666" t="s">
        <v>6359</v>
      </c>
      <c r="E666" t="s">
        <v>6367</v>
      </c>
      <c r="F666" t="s">
        <v>6361</v>
      </c>
      <c r="G666" s="43">
        <v>0</v>
      </c>
      <c r="H666" s="63">
        <v>1</v>
      </c>
    </row>
    <row r="667" spans="1:8" x14ac:dyDescent="0.55000000000000004">
      <c r="A667" s="61" t="s">
        <v>6578</v>
      </c>
      <c r="B667" t="s">
        <v>3279</v>
      </c>
      <c r="C667">
        <v>9101</v>
      </c>
      <c r="D667" t="s">
        <v>6362</v>
      </c>
      <c r="E667" t="s">
        <v>6358</v>
      </c>
      <c r="F667" t="s">
        <v>6358</v>
      </c>
      <c r="G667" s="43">
        <v>7.5200000000000003E-2</v>
      </c>
      <c r="H667" s="63">
        <v>1</v>
      </c>
    </row>
    <row r="668" spans="1:8" x14ac:dyDescent="0.55000000000000004">
      <c r="A668" s="61" t="s">
        <v>6579</v>
      </c>
      <c r="B668" t="s">
        <v>3279</v>
      </c>
      <c r="C668">
        <v>9110</v>
      </c>
      <c r="D668" t="s">
        <v>6359</v>
      </c>
      <c r="E668" t="s">
        <v>6367</v>
      </c>
      <c r="F668" t="s">
        <v>6361</v>
      </c>
      <c r="G668" s="43">
        <v>0</v>
      </c>
      <c r="H668" s="63">
        <v>0.9</v>
      </c>
    </row>
    <row r="669" spans="1:8" x14ac:dyDescent="0.55000000000000004">
      <c r="A669" s="61" t="s">
        <v>6579</v>
      </c>
      <c r="B669" t="s">
        <v>3279</v>
      </c>
      <c r="C669">
        <v>9110</v>
      </c>
      <c r="D669" t="s">
        <v>6363</v>
      </c>
      <c r="E669" t="s">
        <v>6364</v>
      </c>
      <c r="F669" t="s">
        <v>6361</v>
      </c>
      <c r="G669" s="43">
        <v>0</v>
      </c>
      <c r="H669" s="63">
        <v>0.1</v>
      </c>
    </row>
    <row r="670" spans="1:8" x14ac:dyDescent="0.55000000000000004">
      <c r="A670" s="61" t="s">
        <v>6579</v>
      </c>
      <c r="B670" t="s">
        <v>3279</v>
      </c>
      <c r="C670">
        <v>9110</v>
      </c>
      <c r="D670" t="s">
        <v>6362</v>
      </c>
      <c r="E670" t="s">
        <v>6358</v>
      </c>
      <c r="F670" t="s">
        <v>6358</v>
      </c>
      <c r="G670" s="62">
        <v>5.9799999999999999E-2</v>
      </c>
      <c r="H670" s="63">
        <v>1</v>
      </c>
    </row>
    <row r="671" spans="1:8" x14ac:dyDescent="0.55000000000000004">
      <c r="A671" s="61" t="s">
        <v>6579</v>
      </c>
      <c r="B671" t="s">
        <v>3279</v>
      </c>
      <c r="C671">
        <v>9110</v>
      </c>
      <c r="D671" t="s">
        <v>6365</v>
      </c>
      <c r="E671" t="s">
        <v>6366</v>
      </c>
      <c r="F671" t="s">
        <v>6361</v>
      </c>
      <c r="G671" s="43">
        <v>0</v>
      </c>
      <c r="H671" s="63">
        <v>-0.1</v>
      </c>
    </row>
    <row r="672" spans="1:8" x14ac:dyDescent="0.55000000000000004">
      <c r="A672" s="61" t="s">
        <v>6580</v>
      </c>
      <c r="B672" t="s">
        <v>3939</v>
      </c>
      <c r="C672">
        <v>8710</v>
      </c>
      <c r="D672" t="s">
        <v>6359</v>
      </c>
      <c r="E672" t="s">
        <v>6368</v>
      </c>
      <c r="F672" t="s">
        <v>6361</v>
      </c>
      <c r="G672" s="43">
        <v>0</v>
      </c>
      <c r="H672" s="63">
        <v>0.9</v>
      </c>
    </row>
    <row r="673" spans="1:8" x14ac:dyDescent="0.55000000000000004">
      <c r="A673" s="61" t="s">
        <v>6580</v>
      </c>
      <c r="B673" t="s">
        <v>3939</v>
      </c>
      <c r="C673">
        <v>8710</v>
      </c>
      <c r="D673" t="s">
        <v>6363</v>
      </c>
      <c r="E673" t="s">
        <v>6364</v>
      </c>
      <c r="F673" t="s">
        <v>6361</v>
      </c>
      <c r="G673" s="43">
        <v>0</v>
      </c>
      <c r="H673" s="63">
        <v>0.1</v>
      </c>
    </row>
    <row r="674" spans="1:8" x14ac:dyDescent="0.55000000000000004">
      <c r="A674" s="61" t="s">
        <v>6580</v>
      </c>
      <c r="B674" t="s">
        <v>3939</v>
      </c>
      <c r="C674">
        <v>8710</v>
      </c>
      <c r="D674" t="s">
        <v>6362</v>
      </c>
      <c r="E674" t="s">
        <v>6358</v>
      </c>
      <c r="F674" t="s">
        <v>6358</v>
      </c>
      <c r="G674" s="43">
        <v>5.1999999999999998E-2</v>
      </c>
      <c r="H674" s="63">
        <v>1</v>
      </c>
    </row>
    <row r="675" spans="1:8" x14ac:dyDescent="0.55000000000000004">
      <c r="A675" s="61" t="s">
        <v>6580</v>
      </c>
      <c r="B675" t="s">
        <v>3939</v>
      </c>
      <c r="C675">
        <v>8710</v>
      </c>
      <c r="D675" t="s">
        <v>6365</v>
      </c>
      <c r="E675" t="s">
        <v>6366</v>
      </c>
      <c r="F675" t="s">
        <v>6361</v>
      </c>
      <c r="G675" s="43">
        <v>0</v>
      </c>
      <c r="H675" s="63">
        <v>-0.1</v>
      </c>
    </row>
    <row r="676" spans="1:8" x14ac:dyDescent="0.55000000000000004">
      <c r="A676" s="61" t="s">
        <v>6581</v>
      </c>
      <c r="B676" t="s">
        <v>3939</v>
      </c>
      <c r="C676">
        <v>9110</v>
      </c>
      <c r="D676" t="s">
        <v>6359</v>
      </c>
      <c r="E676" t="s">
        <v>6369</v>
      </c>
      <c r="F676" t="s">
        <v>6361</v>
      </c>
      <c r="G676" s="43">
        <v>0</v>
      </c>
      <c r="H676" s="63">
        <v>0.9</v>
      </c>
    </row>
    <row r="677" spans="1:8" x14ac:dyDescent="0.55000000000000004">
      <c r="A677" s="61" t="s">
        <v>6581</v>
      </c>
      <c r="B677" t="s">
        <v>3939</v>
      </c>
      <c r="C677">
        <v>9110</v>
      </c>
      <c r="D677" t="s">
        <v>6363</v>
      </c>
      <c r="E677" t="s">
        <v>6364</v>
      </c>
      <c r="F677" t="s">
        <v>6361</v>
      </c>
      <c r="G677" s="43">
        <v>0</v>
      </c>
      <c r="H677" s="63">
        <v>0.1</v>
      </c>
    </row>
    <row r="678" spans="1:8" x14ac:dyDescent="0.55000000000000004">
      <c r="A678" s="61" t="s">
        <v>6581</v>
      </c>
      <c r="B678" t="s">
        <v>3939</v>
      </c>
      <c r="C678">
        <v>9110</v>
      </c>
      <c r="D678" t="s">
        <v>6362</v>
      </c>
      <c r="E678" t="s">
        <v>6358</v>
      </c>
      <c r="F678" t="s">
        <v>6358</v>
      </c>
      <c r="G678" s="43">
        <v>5.1999999999999998E-2</v>
      </c>
      <c r="H678" s="63">
        <v>1</v>
      </c>
    </row>
    <row r="679" spans="1:8" x14ac:dyDescent="0.55000000000000004">
      <c r="A679" s="61" t="s">
        <v>6581</v>
      </c>
      <c r="B679" t="s">
        <v>3939</v>
      </c>
      <c r="C679">
        <v>9110</v>
      </c>
      <c r="D679" t="s">
        <v>6365</v>
      </c>
      <c r="E679" t="s">
        <v>6366</v>
      </c>
      <c r="F679" t="s">
        <v>6361</v>
      </c>
      <c r="G679" s="43">
        <v>0</v>
      </c>
      <c r="H679" s="63">
        <v>-0.1</v>
      </c>
    </row>
    <row r="680" spans="1:8" x14ac:dyDescent="0.55000000000000004">
      <c r="A680" s="61" t="s">
        <v>6582</v>
      </c>
      <c r="B680" t="s">
        <v>3939</v>
      </c>
      <c r="C680">
        <v>9204</v>
      </c>
      <c r="D680" t="s">
        <v>6359</v>
      </c>
      <c r="E680" t="s">
        <v>6369</v>
      </c>
      <c r="F680" t="s">
        <v>6361</v>
      </c>
      <c r="G680" s="43">
        <v>0</v>
      </c>
      <c r="H680" s="63">
        <v>0.9</v>
      </c>
    </row>
    <row r="681" spans="1:8" x14ac:dyDescent="0.55000000000000004">
      <c r="A681" s="61" t="s">
        <v>6582</v>
      </c>
      <c r="B681" t="s">
        <v>3939</v>
      </c>
      <c r="C681">
        <v>9204</v>
      </c>
      <c r="D681" t="s">
        <v>6363</v>
      </c>
      <c r="E681" t="s">
        <v>6364</v>
      </c>
      <c r="F681" t="s">
        <v>6361</v>
      </c>
      <c r="G681" s="43">
        <v>0</v>
      </c>
      <c r="H681" s="63">
        <v>0.1</v>
      </c>
    </row>
    <row r="682" spans="1:8" x14ac:dyDescent="0.55000000000000004">
      <c r="A682" s="61" t="s">
        <v>6582</v>
      </c>
      <c r="B682" t="s">
        <v>3939</v>
      </c>
      <c r="C682">
        <v>9204</v>
      </c>
      <c r="D682" t="s">
        <v>6362</v>
      </c>
      <c r="E682" t="s">
        <v>6358</v>
      </c>
      <c r="F682" t="s">
        <v>6358</v>
      </c>
      <c r="G682" s="43">
        <v>5.1999999999999998E-2</v>
      </c>
      <c r="H682" s="63">
        <v>1</v>
      </c>
    </row>
    <row r="683" spans="1:8" x14ac:dyDescent="0.55000000000000004">
      <c r="A683" s="61" t="s">
        <v>6582</v>
      </c>
      <c r="B683" t="s">
        <v>3939</v>
      </c>
      <c r="C683">
        <v>9204</v>
      </c>
      <c r="D683" t="s">
        <v>6365</v>
      </c>
      <c r="E683" t="s">
        <v>6366</v>
      </c>
      <c r="F683" t="s">
        <v>6361</v>
      </c>
      <c r="G683" s="43">
        <v>0</v>
      </c>
      <c r="H683" s="63">
        <v>-0.1</v>
      </c>
    </row>
    <row r="684" spans="1:8" x14ac:dyDescent="0.55000000000000004">
      <c r="A684" s="61" t="s">
        <v>6583</v>
      </c>
      <c r="B684" t="s">
        <v>3939</v>
      </c>
      <c r="C684">
        <v>9310</v>
      </c>
      <c r="D684" t="s">
        <v>6359</v>
      </c>
      <c r="E684" t="s">
        <v>6369</v>
      </c>
      <c r="F684" t="s">
        <v>6361</v>
      </c>
      <c r="G684" s="43">
        <v>0</v>
      </c>
      <c r="H684" s="63">
        <v>0.9</v>
      </c>
    </row>
    <row r="685" spans="1:8" x14ac:dyDescent="0.55000000000000004">
      <c r="A685" s="61" t="s">
        <v>6583</v>
      </c>
      <c r="B685" t="s">
        <v>3939</v>
      </c>
      <c r="C685">
        <v>9310</v>
      </c>
      <c r="D685" t="s">
        <v>6363</v>
      </c>
      <c r="E685" t="s">
        <v>6364</v>
      </c>
      <c r="F685" t="s">
        <v>6361</v>
      </c>
      <c r="G685" s="43">
        <v>0</v>
      </c>
      <c r="H685" s="63">
        <v>0.1</v>
      </c>
    </row>
    <row r="686" spans="1:8" x14ac:dyDescent="0.55000000000000004">
      <c r="A686" s="61" t="s">
        <v>6583</v>
      </c>
      <c r="B686" t="s">
        <v>3939</v>
      </c>
      <c r="C686">
        <v>9310</v>
      </c>
      <c r="D686" t="s">
        <v>6362</v>
      </c>
      <c r="E686" t="s">
        <v>6358</v>
      </c>
      <c r="F686" t="s">
        <v>6358</v>
      </c>
      <c r="G686" s="43">
        <v>5.1999999999999998E-2</v>
      </c>
      <c r="H686" s="63">
        <v>1</v>
      </c>
    </row>
    <row r="687" spans="1:8" x14ac:dyDescent="0.55000000000000004">
      <c r="A687" s="61" t="s">
        <v>6583</v>
      </c>
      <c r="B687" t="s">
        <v>3939</v>
      </c>
      <c r="C687">
        <v>9310</v>
      </c>
      <c r="D687" t="s">
        <v>6365</v>
      </c>
      <c r="E687" t="s">
        <v>6366</v>
      </c>
      <c r="F687" t="s">
        <v>6361</v>
      </c>
      <c r="G687" s="43">
        <v>0</v>
      </c>
      <c r="H687" s="63">
        <v>-0.1</v>
      </c>
    </row>
    <row r="688" spans="1:8" x14ac:dyDescent="0.55000000000000004">
      <c r="A688" s="61" t="s">
        <v>6584</v>
      </c>
      <c r="B688" t="s">
        <v>1945</v>
      </c>
      <c r="C688">
        <v>8701</v>
      </c>
      <c r="D688" t="s">
        <v>6359</v>
      </c>
      <c r="E688" t="s">
        <v>6360</v>
      </c>
      <c r="F688" t="s">
        <v>6361</v>
      </c>
      <c r="G688" s="43">
        <v>0</v>
      </c>
      <c r="H688" s="63">
        <v>1</v>
      </c>
    </row>
    <row r="689" spans="1:8" x14ac:dyDescent="0.55000000000000004">
      <c r="A689" s="61" t="s">
        <v>6584</v>
      </c>
      <c r="B689" t="s">
        <v>1945</v>
      </c>
      <c r="C689">
        <v>8701</v>
      </c>
      <c r="D689" t="s">
        <v>6362</v>
      </c>
      <c r="E689" t="s">
        <v>6358</v>
      </c>
      <c r="F689" t="s">
        <v>6358</v>
      </c>
      <c r="G689" s="43">
        <v>4.5400000000000003E-2</v>
      </c>
      <c r="H689" s="63">
        <v>1</v>
      </c>
    </row>
    <row r="690" spans="1:8" x14ac:dyDescent="0.55000000000000004">
      <c r="A690" s="61" t="s">
        <v>6585</v>
      </c>
      <c r="B690" t="s">
        <v>1945</v>
      </c>
      <c r="C690">
        <v>8710</v>
      </c>
      <c r="D690" t="s">
        <v>6359</v>
      </c>
      <c r="E690" t="s">
        <v>6360</v>
      </c>
      <c r="F690" t="s">
        <v>6361</v>
      </c>
      <c r="G690" s="43">
        <v>0</v>
      </c>
      <c r="H690" s="63">
        <v>0.9</v>
      </c>
    </row>
    <row r="691" spans="1:8" x14ac:dyDescent="0.55000000000000004">
      <c r="A691" s="61" t="s">
        <v>6585</v>
      </c>
      <c r="B691" t="s">
        <v>1945</v>
      </c>
      <c r="C691">
        <v>8710</v>
      </c>
      <c r="D691" t="s">
        <v>6363</v>
      </c>
      <c r="E691" t="s">
        <v>6364</v>
      </c>
      <c r="F691" t="s">
        <v>6361</v>
      </c>
      <c r="G691" s="43">
        <v>0</v>
      </c>
      <c r="H691" s="63">
        <v>0.1</v>
      </c>
    </row>
    <row r="692" spans="1:8" x14ac:dyDescent="0.55000000000000004">
      <c r="A692" s="61" t="s">
        <v>6585</v>
      </c>
      <c r="B692" t="s">
        <v>1945</v>
      </c>
      <c r="C692">
        <v>8710</v>
      </c>
      <c r="D692" t="s">
        <v>6362</v>
      </c>
      <c r="E692" t="s">
        <v>6358</v>
      </c>
      <c r="F692" t="s">
        <v>6358</v>
      </c>
      <c r="G692" s="43">
        <v>5.2999999999999999E-2</v>
      </c>
      <c r="H692" s="63">
        <v>1</v>
      </c>
    </row>
    <row r="693" spans="1:8" x14ac:dyDescent="0.55000000000000004">
      <c r="A693" s="61" t="s">
        <v>6585</v>
      </c>
      <c r="B693" t="s">
        <v>1945</v>
      </c>
      <c r="C693">
        <v>8710</v>
      </c>
      <c r="D693" t="s">
        <v>6365</v>
      </c>
      <c r="E693" t="s">
        <v>6366</v>
      </c>
      <c r="F693" t="s">
        <v>6361</v>
      </c>
      <c r="G693" s="43">
        <v>0</v>
      </c>
      <c r="H693" s="63">
        <v>-0.1</v>
      </c>
    </row>
    <row r="694" spans="1:8" x14ac:dyDescent="0.55000000000000004">
      <c r="A694" s="61" t="s">
        <v>6586</v>
      </c>
      <c r="B694" t="s">
        <v>1945</v>
      </c>
      <c r="C694">
        <v>9101</v>
      </c>
      <c r="D694" t="s">
        <v>6359</v>
      </c>
      <c r="E694" t="s">
        <v>6367</v>
      </c>
      <c r="F694" t="s">
        <v>6361</v>
      </c>
      <c r="G694" s="43">
        <v>0</v>
      </c>
      <c r="H694" s="63">
        <v>1</v>
      </c>
    </row>
    <row r="695" spans="1:8" x14ac:dyDescent="0.55000000000000004">
      <c r="A695" s="61" t="s">
        <v>6586</v>
      </c>
      <c r="B695" t="s">
        <v>1945</v>
      </c>
      <c r="C695">
        <v>9101</v>
      </c>
      <c r="D695" t="s">
        <v>6362</v>
      </c>
      <c r="E695" t="s">
        <v>6358</v>
      </c>
      <c r="F695" t="s">
        <v>6358</v>
      </c>
      <c r="G695" s="43">
        <v>4.5400000000000003E-2</v>
      </c>
      <c r="H695" s="63">
        <v>1</v>
      </c>
    </row>
    <row r="696" spans="1:8" x14ac:dyDescent="0.55000000000000004">
      <c r="A696" s="61" t="s">
        <v>6587</v>
      </c>
      <c r="B696" t="s">
        <v>1945</v>
      </c>
      <c r="C696">
        <v>9110</v>
      </c>
      <c r="D696" t="s">
        <v>6359</v>
      </c>
      <c r="E696" t="s">
        <v>6367</v>
      </c>
      <c r="F696" t="s">
        <v>6361</v>
      </c>
      <c r="G696" s="43">
        <v>0</v>
      </c>
      <c r="H696" s="63">
        <v>0.9</v>
      </c>
    </row>
    <row r="697" spans="1:8" x14ac:dyDescent="0.55000000000000004">
      <c r="A697" s="61" t="s">
        <v>6587</v>
      </c>
      <c r="B697" t="s">
        <v>1945</v>
      </c>
      <c r="C697">
        <v>9110</v>
      </c>
      <c r="D697" t="s">
        <v>6363</v>
      </c>
      <c r="E697" t="s">
        <v>6364</v>
      </c>
      <c r="F697" t="s">
        <v>6361</v>
      </c>
      <c r="G697" s="43">
        <v>0</v>
      </c>
      <c r="H697" s="63">
        <v>0.1</v>
      </c>
    </row>
    <row r="698" spans="1:8" x14ac:dyDescent="0.55000000000000004">
      <c r="A698" s="61" t="s">
        <v>6587</v>
      </c>
      <c r="B698" t="s">
        <v>1945</v>
      </c>
      <c r="C698">
        <v>9110</v>
      </c>
      <c r="D698" t="s">
        <v>6362</v>
      </c>
      <c r="E698" t="s">
        <v>6358</v>
      </c>
      <c r="F698" t="s">
        <v>6358</v>
      </c>
      <c r="G698" s="43">
        <v>5.2999999999999999E-2</v>
      </c>
      <c r="H698" s="63">
        <v>1</v>
      </c>
    </row>
    <row r="699" spans="1:8" x14ac:dyDescent="0.55000000000000004">
      <c r="A699" s="61" t="s">
        <v>6587</v>
      </c>
      <c r="B699" t="s">
        <v>1945</v>
      </c>
      <c r="C699">
        <v>9110</v>
      </c>
      <c r="D699" t="s">
        <v>6365</v>
      </c>
      <c r="E699" t="s">
        <v>6366</v>
      </c>
      <c r="F699" t="s">
        <v>6361</v>
      </c>
      <c r="G699" s="43">
        <v>0</v>
      </c>
      <c r="H699" s="63">
        <v>-0.1</v>
      </c>
    </row>
    <row r="700" spans="1:8" x14ac:dyDescent="0.55000000000000004">
      <c r="A700" s="61" t="s">
        <v>6588</v>
      </c>
      <c r="B700" t="s">
        <v>1256</v>
      </c>
      <c r="C700">
        <v>8701</v>
      </c>
      <c r="D700" t="s">
        <v>6359</v>
      </c>
      <c r="E700" t="s">
        <v>6360</v>
      </c>
      <c r="F700" t="s">
        <v>6361</v>
      </c>
      <c r="G700" s="43">
        <v>0</v>
      </c>
      <c r="H700" s="63">
        <v>1</v>
      </c>
    </row>
    <row r="701" spans="1:8" x14ac:dyDescent="0.55000000000000004">
      <c r="A701" s="61" t="s">
        <v>6588</v>
      </c>
      <c r="B701" t="s">
        <v>1256</v>
      </c>
      <c r="C701">
        <v>8701</v>
      </c>
      <c r="D701" t="s">
        <v>6362</v>
      </c>
      <c r="E701" t="s">
        <v>6358</v>
      </c>
      <c r="F701" t="s">
        <v>6358</v>
      </c>
      <c r="G701" s="43">
        <v>9.8599999999999993E-2</v>
      </c>
      <c r="H701" s="63">
        <v>1</v>
      </c>
    </row>
    <row r="702" spans="1:8" x14ac:dyDescent="0.55000000000000004">
      <c r="A702" s="61" t="s">
        <v>6589</v>
      </c>
      <c r="B702" t="s">
        <v>1256</v>
      </c>
      <c r="C702">
        <v>8710</v>
      </c>
      <c r="D702" t="s">
        <v>6359</v>
      </c>
      <c r="E702" t="s">
        <v>6360</v>
      </c>
      <c r="F702" t="s">
        <v>6361</v>
      </c>
      <c r="G702" s="43">
        <v>0</v>
      </c>
      <c r="H702" s="63">
        <v>0.9</v>
      </c>
    </row>
    <row r="703" spans="1:8" x14ac:dyDescent="0.55000000000000004">
      <c r="A703" s="61" t="s">
        <v>6589</v>
      </c>
      <c r="B703" t="s">
        <v>1256</v>
      </c>
      <c r="C703">
        <v>8710</v>
      </c>
      <c r="D703" t="s">
        <v>6363</v>
      </c>
      <c r="E703" t="s">
        <v>6364</v>
      </c>
      <c r="F703" t="s">
        <v>6361</v>
      </c>
      <c r="G703" s="43">
        <v>0</v>
      </c>
      <c r="H703" s="63">
        <v>0.1</v>
      </c>
    </row>
    <row r="704" spans="1:8" x14ac:dyDescent="0.55000000000000004">
      <c r="A704" s="61" t="s">
        <v>6589</v>
      </c>
      <c r="B704" t="s">
        <v>1256</v>
      </c>
      <c r="C704">
        <v>8710</v>
      </c>
      <c r="D704" t="s">
        <v>6362</v>
      </c>
      <c r="E704" t="s">
        <v>6358</v>
      </c>
      <c r="F704" t="s">
        <v>6358</v>
      </c>
      <c r="G704" s="43">
        <v>8.09E-2</v>
      </c>
      <c r="H704" s="63">
        <v>1</v>
      </c>
    </row>
    <row r="705" spans="1:8" x14ac:dyDescent="0.55000000000000004">
      <c r="A705" s="61" t="s">
        <v>6589</v>
      </c>
      <c r="B705" t="s">
        <v>1256</v>
      </c>
      <c r="C705">
        <v>8710</v>
      </c>
      <c r="D705" t="s">
        <v>6365</v>
      </c>
      <c r="E705" t="s">
        <v>6366</v>
      </c>
      <c r="F705" t="s">
        <v>6361</v>
      </c>
      <c r="G705" s="43">
        <v>0</v>
      </c>
      <c r="H705" s="63">
        <v>-0.1</v>
      </c>
    </row>
    <row r="706" spans="1:8" x14ac:dyDescent="0.55000000000000004">
      <c r="A706" s="61" t="s">
        <v>6590</v>
      </c>
      <c r="B706" t="s">
        <v>1256</v>
      </c>
      <c r="C706">
        <v>9101</v>
      </c>
      <c r="D706" t="s">
        <v>6359</v>
      </c>
      <c r="E706" t="s">
        <v>6367</v>
      </c>
      <c r="F706" t="s">
        <v>6361</v>
      </c>
      <c r="G706" s="43">
        <v>0</v>
      </c>
      <c r="H706" s="63">
        <v>1</v>
      </c>
    </row>
    <row r="707" spans="1:8" x14ac:dyDescent="0.55000000000000004">
      <c r="A707" s="61" t="s">
        <v>6590</v>
      </c>
      <c r="B707" t="s">
        <v>1256</v>
      </c>
      <c r="C707">
        <v>9101</v>
      </c>
      <c r="D707" t="s">
        <v>6362</v>
      </c>
      <c r="E707" t="s">
        <v>6358</v>
      </c>
      <c r="F707" t="s">
        <v>6358</v>
      </c>
      <c r="G707" s="43">
        <v>9.8599999999999993E-2</v>
      </c>
      <c r="H707" s="63">
        <v>1</v>
      </c>
    </row>
    <row r="708" spans="1:8" x14ac:dyDescent="0.55000000000000004">
      <c r="A708" s="61" t="s">
        <v>6591</v>
      </c>
      <c r="B708" t="s">
        <v>1256</v>
      </c>
      <c r="C708">
        <v>9110</v>
      </c>
      <c r="D708" t="s">
        <v>6359</v>
      </c>
      <c r="E708" t="s">
        <v>6367</v>
      </c>
      <c r="F708" t="s">
        <v>6361</v>
      </c>
      <c r="G708" s="43">
        <v>0</v>
      </c>
      <c r="H708" s="63">
        <v>0.9</v>
      </c>
    </row>
    <row r="709" spans="1:8" x14ac:dyDescent="0.55000000000000004">
      <c r="A709" s="61" t="s">
        <v>6591</v>
      </c>
      <c r="B709" t="s">
        <v>1256</v>
      </c>
      <c r="C709">
        <v>9110</v>
      </c>
      <c r="D709" t="s">
        <v>6363</v>
      </c>
      <c r="E709" t="s">
        <v>6364</v>
      </c>
      <c r="F709" t="s">
        <v>6361</v>
      </c>
      <c r="G709" s="43">
        <v>0</v>
      </c>
      <c r="H709" s="63">
        <v>0.1</v>
      </c>
    </row>
    <row r="710" spans="1:8" x14ac:dyDescent="0.55000000000000004">
      <c r="A710" s="61" t="s">
        <v>6591</v>
      </c>
      <c r="B710" t="s">
        <v>1256</v>
      </c>
      <c r="C710">
        <v>9110</v>
      </c>
      <c r="D710" t="s">
        <v>6362</v>
      </c>
      <c r="E710" t="s">
        <v>6358</v>
      </c>
      <c r="F710" t="s">
        <v>6358</v>
      </c>
      <c r="G710" s="43">
        <v>8.09E-2</v>
      </c>
      <c r="H710" s="63">
        <v>1</v>
      </c>
    </row>
    <row r="711" spans="1:8" x14ac:dyDescent="0.55000000000000004">
      <c r="A711" s="61" t="s">
        <v>6591</v>
      </c>
      <c r="B711" t="s">
        <v>1256</v>
      </c>
      <c r="C711">
        <v>9110</v>
      </c>
      <c r="D711" t="s">
        <v>6365</v>
      </c>
      <c r="E711" t="s">
        <v>6366</v>
      </c>
      <c r="F711" t="s">
        <v>6361</v>
      </c>
      <c r="G711" s="43">
        <v>0</v>
      </c>
      <c r="H711" s="63">
        <v>-0.1</v>
      </c>
    </row>
    <row r="712" spans="1:8" x14ac:dyDescent="0.55000000000000004">
      <c r="A712" s="61" t="s">
        <v>6592</v>
      </c>
      <c r="B712" t="s">
        <v>1256</v>
      </c>
      <c r="C712">
        <v>9204</v>
      </c>
      <c r="D712" t="s">
        <v>6359</v>
      </c>
      <c r="E712" t="s">
        <v>6367</v>
      </c>
      <c r="F712" t="s">
        <v>6361</v>
      </c>
      <c r="G712" s="43">
        <v>0</v>
      </c>
      <c r="H712" s="63">
        <v>0.9</v>
      </c>
    </row>
    <row r="713" spans="1:8" x14ac:dyDescent="0.55000000000000004">
      <c r="A713" s="61" t="s">
        <v>6592</v>
      </c>
      <c r="B713" t="s">
        <v>1256</v>
      </c>
      <c r="C713">
        <v>9204</v>
      </c>
      <c r="D713" t="s">
        <v>6363</v>
      </c>
      <c r="E713" t="s">
        <v>6364</v>
      </c>
      <c r="F713" t="s">
        <v>6361</v>
      </c>
      <c r="G713" s="43">
        <v>0</v>
      </c>
      <c r="H713" s="63">
        <v>0.1</v>
      </c>
    </row>
    <row r="714" spans="1:8" x14ac:dyDescent="0.55000000000000004">
      <c r="A714" s="61" t="s">
        <v>6592</v>
      </c>
      <c r="B714" t="s">
        <v>1256</v>
      </c>
      <c r="C714">
        <v>9204</v>
      </c>
      <c r="D714" t="s">
        <v>6362</v>
      </c>
      <c r="E714" t="s">
        <v>6358</v>
      </c>
      <c r="F714" t="s">
        <v>6358</v>
      </c>
      <c r="G714" s="43">
        <v>8.09E-2</v>
      </c>
      <c r="H714" s="63">
        <v>1</v>
      </c>
    </row>
    <row r="715" spans="1:8" x14ac:dyDescent="0.55000000000000004">
      <c r="A715" s="61" t="s">
        <v>6592</v>
      </c>
      <c r="B715" t="s">
        <v>1256</v>
      </c>
      <c r="C715">
        <v>9204</v>
      </c>
      <c r="D715" t="s">
        <v>6365</v>
      </c>
      <c r="E715" t="s">
        <v>6366</v>
      </c>
      <c r="F715" t="s">
        <v>6361</v>
      </c>
      <c r="G715" s="43">
        <v>0</v>
      </c>
      <c r="H715" s="63">
        <v>-0.1</v>
      </c>
    </row>
    <row r="716" spans="1:8" x14ac:dyDescent="0.55000000000000004">
      <c r="A716" s="61" t="s">
        <v>6593</v>
      </c>
      <c r="B716" t="s">
        <v>1256</v>
      </c>
      <c r="C716">
        <v>9310</v>
      </c>
      <c r="D716" t="s">
        <v>6359</v>
      </c>
      <c r="E716" t="s">
        <v>6367</v>
      </c>
      <c r="F716" t="s">
        <v>6361</v>
      </c>
      <c r="G716" s="43">
        <v>0</v>
      </c>
      <c r="H716" s="63">
        <v>0.9</v>
      </c>
    </row>
    <row r="717" spans="1:8" x14ac:dyDescent="0.55000000000000004">
      <c r="A717" s="61" t="s">
        <v>6593</v>
      </c>
      <c r="B717" t="s">
        <v>1256</v>
      </c>
      <c r="C717">
        <v>9310</v>
      </c>
      <c r="D717" t="s">
        <v>6363</v>
      </c>
      <c r="E717" t="s">
        <v>6364</v>
      </c>
      <c r="F717" t="s">
        <v>6361</v>
      </c>
      <c r="G717" s="43">
        <v>0</v>
      </c>
      <c r="H717" s="63">
        <v>0.1</v>
      </c>
    </row>
    <row r="718" spans="1:8" x14ac:dyDescent="0.55000000000000004">
      <c r="A718" s="61" t="s">
        <v>6593</v>
      </c>
      <c r="B718" t="s">
        <v>1256</v>
      </c>
      <c r="C718">
        <v>9310</v>
      </c>
      <c r="D718" t="s">
        <v>6362</v>
      </c>
      <c r="E718" t="s">
        <v>6358</v>
      </c>
      <c r="F718" t="s">
        <v>6358</v>
      </c>
      <c r="G718" s="43">
        <v>8.09E-2</v>
      </c>
      <c r="H718" s="63">
        <v>1</v>
      </c>
    </row>
    <row r="719" spans="1:8" x14ac:dyDescent="0.55000000000000004">
      <c r="A719" s="61" t="s">
        <v>6593</v>
      </c>
      <c r="B719" t="s">
        <v>1256</v>
      </c>
      <c r="C719">
        <v>9310</v>
      </c>
      <c r="D719" t="s">
        <v>6365</v>
      </c>
      <c r="E719" t="s">
        <v>6366</v>
      </c>
      <c r="F719" t="s">
        <v>6361</v>
      </c>
      <c r="G719" s="43">
        <v>0</v>
      </c>
      <c r="H719" s="63">
        <v>-0.1</v>
      </c>
    </row>
    <row r="720" spans="1:8" x14ac:dyDescent="0.55000000000000004">
      <c r="A720" s="61" t="s">
        <v>6594</v>
      </c>
      <c r="B720" t="s">
        <v>4293</v>
      </c>
      <c r="C720">
        <v>8701</v>
      </c>
      <c r="D720" t="s">
        <v>6359</v>
      </c>
      <c r="E720" t="s">
        <v>6376</v>
      </c>
      <c r="F720" t="s">
        <v>6361</v>
      </c>
      <c r="G720" s="43">
        <v>0</v>
      </c>
      <c r="H720" s="63">
        <v>1</v>
      </c>
    </row>
    <row r="721" spans="1:8" x14ac:dyDescent="0.55000000000000004">
      <c r="A721" s="61" t="s">
        <v>6594</v>
      </c>
      <c r="B721" t="s">
        <v>4293</v>
      </c>
      <c r="C721">
        <v>8701</v>
      </c>
      <c r="D721" t="s">
        <v>6362</v>
      </c>
      <c r="E721" t="s">
        <v>6358</v>
      </c>
      <c r="F721" t="s">
        <v>6358</v>
      </c>
      <c r="G721" s="43">
        <v>5.4699999999999999E-2</v>
      </c>
      <c r="H721" s="63">
        <v>1</v>
      </c>
    </row>
    <row r="722" spans="1:8" x14ac:dyDescent="0.55000000000000004">
      <c r="A722" s="61" t="s">
        <v>6595</v>
      </c>
      <c r="B722" t="s">
        <v>4293</v>
      </c>
      <c r="C722">
        <v>8703</v>
      </c>
      <c r="D722" t="s">
        <v>6359</v>
      </c>
      <c r="E722" t="s">
        <v>6376</v>
      </c>
      <c r="F722" t="s">
        <v>6361</v>
      </c>
      <c r="G722" s="43">
        <v>0</v>
      </c>
      <c r="H722" s="63">
        <v>1</v>
      </c>
    </row>
    <row r="723" spans="1:8" x14ac:dyDescent="0.55000000000000004">
      <c r="A723" s="61" t="s">
        <v>6595</v>
      </c>
      <c r="B723" t="s">
        <v>4293</v>
      </c>
      <c r="C723">
        <v>8703</v>
      </c>
      <c r="D723" t="s">
        <v>6362</v>
      </c>
      <c r="E723" t="s">
        <v>6358</v>
      </c>
      <c r="F723" t="s">
        <v>6358</v>
      </c>
      <c r="G723" s="43">
        <v>5.4699999999999999E-2</v>
      </c>
      <c r="H723" s="63">
        <v>1</v>
      </c>
    </row>
    <row r="724" spans="1:8" x14ac:dyDescent="0.55000000000000004">
      <c r="A724" s="61" t="s">
        <v>6596</v>
      </c>
      <c r="B724" t="s">
        <v>4293</v>
      </c>
      <c r="C724">
        <v>8708</v>
      </c>
      <c r="D724" t="s">
        <v>6359</v>
      </c>
      <c r="E724" t="s">
        <v>6376</v>
      </c>
      <c r="F724" t="s">
        <v>6361</v>
      </c>
      <c r="G724" s="43">
        <v>0</v>
      </c>
      <c r="H724" s="63">
        <v>0.9</v>
      </c>
    </row>
    <row r="725" spans="1:8" x14ac:dyDescent="0.55000000000000004">
      <c r="A725" s="61" t="s">
        <v>6596</v>
      </c>
      <c r="B725" t="s">
        <v>4293</v>
      </c>
      <c r="C725">
        <v>8708</v>
      </c>
      <c r="D725" t="s">
        <v>6363</v>
      </c>
      <c r="E725" t="s">
        <v>6364</v>
      </c>
      <c r="F725" t="s">
        <v>6361</v>
      </c>
      <c r="G725" s="43">
        <v>0</v>
      </c>
      <c r="H725" s="63">
        <v>0.1</v>
      </c>
    </row>
    <row r="726" spans="1:8" x14ac:dyDescent="0.55000000000000004">
      <c r="A726" s="61" t="s">
        <v>6596</v>
      </c>
      <c r="B726" t="s">
        <v>4293</v>
      </c>
      <c r="C726">
        <v>8708</v>
      </c>
      <c r="D726" t="s">
        <v>6362</v>
      </c>
      <c r="E726" t="s">
        <v>6358</v>
      </c>
      <c r="F726" t="s">
        <v>6358</v>
      </c>
      <c r="G726" s="43">
        <v>6.5600000000000006E-2</v>
      </c>
      <c r="H726" s="63">
        <v>1</v>
      </c>
    </row>
    <row r="727" spans="1:8" x14ac:dyDescent="0.55000000000000004">
      <c r="A727" s="61" t="s">
        <v>6596</v>
      </c>
      <c r="B727" t="s">
        <v>4293</v>
      </c>
      <c r="C727">
        <v>8708</v>
      </c>
      <c r="D727" t="s">
        <v>6365</v>
      </c>
      <c r="E727" t="s">
        <v>6366</v>
      </c>
      <c r="F727" t="s">
        <v>6361</v>
      </c>
      <c r="G727" s="43">
        <v>0</v>
      </c>
      <c r="H727" s="63">
        <v>-0.1</v>
      </c>
    </row>
    <row r="728" spans="1:8" x14ac:dyDescent="0.55000000000000004">
      <c r="A728" s="61" t="s">
        <v>6597</v>
      </c>
      <c r="B728" t="s">
        <v>4293</v>
      </c>
      <c r="C728">
        <v>8710</v>
      </c>
      <c r="D728" t="s">
        <v>6359</v>
      </c>
      <c r="E728" t="s">
        <v>6376</v>
      </c>
      <c r="F728" t="s">
        <v>6361</v>
      </c>
      <c r="G728" s="43">
        <v>0</v>
      </c>
      <c r="H728" s="63">
        <v>0.9</v>
      </c>
    </row>
    <row r="729" spans="1:8" x14ac:dyDescent="0.55000000000000004">
      <c r="A729" s="61" t="s">
        <v>6597</v>
      </c>
      <c r="B729" t="s">
        <v>4293</v>
      </c>
      <c r="C729">
        <v>8710</v>
      </c>
      <c r="D729" t="s">
        <v>6363</v>
      </c>
      <c r="E729" t="s">
        <v>6364</v>
      </c>
      <c r="F729" t="s">
        <v>6361</v>
      </c>
      <c r="G729" s="43">
        <v>0</v>
      </c>
      <c r="H729" s="63">
        <v>0.1</v>
      </c>
    </row>
    <row r="730" spans="1:8" x14ac:dyDescent="0.55000000000000004">
      <c r="A730" s="61" t="s">
        <v>6597</v>
      </c>
      <c r="B730" t="s">
        <v>4293</v>
      </c>
      <c r="C730">
        <v>8710</v>
      </c>
      <c r="D730" t="s">
        <v>6362</v>
      </c>
      <c r="E730" t="s">
        <v>6358</v>
      </c>
      <c r="F730" t="s">
        <v>6358</v>
      </c>
      <c r="G730" s="43">
        <v>6.5600000000000006E-2</v>
      </c>
      <c r="H730" s="63">
        <v>1</v>
      </c>
    </row>
    <row r="731" spans="1:8" x14ac:dyDescent="0.55000000000000004">
      <c r="A731" s="61" t="s">
        <v>6597</v>
      </c>
      <c r="B731" t="s">
        <v>4293</v>
      </c>
      <c r="C731">
        <v>8710</v>
      </c>
      <c r="D731" t="s">
        <v>6365</v>
      </c>
      <c r="E731" t="s">
        <v>6366</v>
      </c>
      <c r="F731" t="s">
        <v>6361</v>
      </c>
      <c r="G731" s="43">
        <v>0</v>
      </c>
      <c r="H731" s="63">
        <v>-0.1</v>
      </c>
    </row>
    <row r="732" spans="1:8" x14ac:dyDescent="0.55000000000000004">
      <c r="A732" s="61" t="s">
        <v>6598</v>
      </c>
      <c r="B732" t="s">
        <v>4293</v>
      </c>
      <c r="C732">
        <v>9305</v>
      </c>
      <c r="D732" t="s">
        <v>6359</v>
      </c>
      <c r="E732" t="s">
        <v>6377</v>
      </c>
      <c r="F732" t="s">
        <v>6361</v>
      </c>
      <c r="G732" s="43">
        <v>0</v>
      </c>
      <c r="H732" s="63">
        <v>0.9</v>
      </c>
    </row>
    <row r="733" spans="1:8" x14ac:dyDescent="0.55000000000000004">
      <c r="A733" s="61" t="s">
        <v>6598</v>
      </c>
      <c r="B733" t="s">
        <v>4293</v>
      </c>
      <c r="C733">
        <v>9305</v>
      </c>
      <c r="D733" t="s">
        <v>6363</v>
      </c>
      <c r="E733" t="s">
        <v>6364</v>
      </c>
      <c r="F733" t="s">
        <v>6361</v>
      </c>
      <c r="G733" s="43">
        <v>0</v>
      </c>
      <c r="H733" s="63">
        <v>0.1</v>
      </c>
    </row>
    <row r="734" spans="1:8" x14ac:dyDescent="0.55000000000000004">
      <c r="A734" s="61" t="s">
        <v>6598</v>
      </c>
      <c r="B734" t="s">
        <v>4293</v>
      </c>
      <c r="C734">
        <v>9305</v>
      </c>
      <c r="D734" t="s">
        <v>6362</v>
      </c>
      <c r="E734" t="s">
        <v>6358</v>
      </c>
      <c r="F734" t="s">
        <v>6358</v>
      </c>
      <c r="G734" s="43">
        <v>6.5600000000000006E-2</v>
      </c>
      <c r="H734" s="63">
        <v>1</v>
      </c>
    </row>
    <row r="735" spans="1:8" x14ac:dyDescent="0.55000000000000004">
      <c r="A735" s="61" t="s">
        <v>6598</v>
      </c>
      <c r="B735" t="s">
        <v>4293</v>
      </c>
      <c r="C735">
        <v>9305</v>
      </c>
      <c r="D735" t="s">
        <v>6365</v>
      </c>
      <c r="E735" t="s">
        <v>6366</v>
      </c>
      <c r="F735" t="s">
        <v>6361</v>
      </c>
      <c r="G735" s="43">
        <v>0</v>
      </c>
      <c r="H735" s="63">
        <v>-0.1</v>
      </c>
    </row>
    <row r="736" spans="1:8" x14ac:dyDescent="0.55000000000000004">
      <c r="A736" s="61" t="s">
        <v>6599</v>
      </c>
      <c r="B736" t="s">
        <v>4293</v>
      </c>
      <c r="C736">
        <v>9310</v>
      </c>
      <c r="D736" t="s">
        <v>6359</v>
      </c>
      <c r="E736" t="s">
        <v>6377</v>
      </c>
      <c r="F736" t="s">
        <v>6361</v>
      </c>
      <c r="G736" s="43">
        <v>0</v>
      </c>
      <c r="H736" s="63">
        <v>0.9</v>
      </c>
    </row>
    <row r="737" spans="1:8" x14ac:dyDescent="0.55000000000000004">
      <c r="A737" s="61" t="s">
        <v>6599</v>
      </c>
      <c r="B737" t="s">
        <v>4293</v>
      </c>
      <c r="C737">
        <v>9310</v>
      </c>
      <c r="D737" t="s">
        <v>6363</v>
      </c>
      <c r="E737" t="s">
        <v>6364</v>
      </c>
      <c r="F737" t="s">
        <v>6361</v>
      </c>
      <c r="G737" s="43">
        <v>0</v>
      </c>
      <c r="H737" s="63">
        <v>0.1</v>
      </c>
    </row>
    <row r="738" spans="1:8" x14ac:dyDescent="0.55000000000000004">
      <c r="A738" s="61" t="s">
        <v>6599</v>
      </c>
      <c r="B738" t="s">
        <v>4293</v>
      </c>
      <c r="C738">
        <v>9310</v>
      </c>
      <c r="D738" t="s">
        <v>6362</v>
      </c>
      <c r="E738" t="s">
        <v>6358</v>
      </c>
      <c r="F738" t="s">
        <v>6358</v>
      </c>
      <c r="G738" s="43">
        <v>6.5600000000000006E-2</v>
      </c>
      <c r="H738" s="63">
        <v>1</v>
      </c>
    </row>
    <row r="739" spans="1:8" x14ac:dyDescent="0.55000000000000004">
      <c r="A739" s="61" t="s">
        <v>6599</v>
      </c>
      <c r="B739" t="s">
        <v>4293</v>
      </c>
      <c r="C739">
        <v>9310</v>
      </c>
      <c r="D739" t="s">
        <v>6365</v>
      </c>
      <c r="E739" t="s">
        <v>6366</v>
      </c>
      <c r="F739" t="s">
        <v>6361</v>
      </c>
      <c r="G739" s="43">
        <v>0</v>
      </c>
      <c r="H739" s="63">
        <v>-0.1</v>
      </c>
    </row>
    <row r="740" spans="1:8" x14ac:dyDescent="0.55000000000000004">
      <c r="A740" s="61" t="s">
        <v>6600</v>
      </c>
      <c r="B740" t="s">
        <v>1273</v>
      </c>
      <c r="C740">
        <v>8701</v>
      </c>
      <c r="D740" t="s">
        <v>6359</v>
      </c>
      <c r="E740" t="s">
        <v>6368</v>
      </c>
      <c r="F740" t="s">
        <v>6361</v>
      </c>
      <c r="G740" s="43">
        <v>0</v>
      </c>
      <c r="H740" s="63">
        <v>1</v>
      </c>
    </row>
    <row r="741" spans="1:8" x14ac:dyDescent="0.55000000000000004">
      <c r="A741" s="61" t="s">
        <v>6600</v>
      </c>
      <c r="B741" t="s">
        <v>1273</v>
      </c>
      <c r="C741">
        <v>8701</v>
      </c>
      <c r="D741" t="s">
        <v>6362</v>
      </c>
      <c r="E741" t="s">
        <v>6358</v>
      </c>
      <c r="F741" t="s">
        <v>6358</v>
      </c>
      <c r="G741" s="43">
        <v>0.10680000000000001</v>
      </c>
      <c r="H741" s="63">
        <v>1</v>
      </c>
    </row>
    <row r="742" spans="1:8" x14ac:dyDescent="0.55000000000000004">
      <c r="A742" s="61" t="s">
        <v>6601</v>
      </c>
      <c r="B742" t="s">
        <v>1273</v>
      </c>
      <c r="C742">
        <v>8710</v>
      </c>
      <c r="D742" t="s">
        <v>6359</v>
      </c>
      <c r="E742" t="s">
        <v>6368</v>
      </c>
      <c r="F742" t="s">
        <v>6361</v>
      </c>
      <c r="G742" s="43">
        <v>0</v>
      </c>
      <c r="H742" s="63">
        <v>0.9</v>
      </c>
    </row>
    <row r="743" spans="1:8" x14ac:dyDescent="0.55000000000000004">
      <c r="A743" s="61" t="s">
        <v>6601</v>
      </c>
      <c r="B743" t="s">
        <v>1273</v>
      </c>
      <c r="C743">
        <v>8710</v>
      </c>
      <c r="D743" t="s">
        <v>6363</v>
      </c>
      <c r="E743" t="s">
        <v>6364</v>
      </c>
      <c r="F743" t="s">
        <v>6361</v>
      </c>
      <c r="G743" s="43">
        <v>0</v>
      </c>
      <c r="H743" s="63">
        <v>0.1</v>
      </c>
    </row>
    <row r="744" spans="1:8" x14ac:dyDescent="0.55000000000000004">
      <c r="A744" s="61" t="s">
        <v>6601</v>
      </c>
      <c r="B744" t="s">
        <v>1273</v>
      </c>
      <c r="C744">
        <v>8710</v>
      </c>
      <c r="D744" t="s">
        <v>6362</v>
      </c>
      <c r="E744" t="s">
        <v>6358</v>
      </c>
      <c r="F744" t="s">
        <v>6358</v>
      </c>
      <c r="G744" s="43">
        <v>8.8300000000000003E-2</v>
      </c>
      <c r="H744" s="63">
        <v>1</v>
      </c>
    </row>
    <row r="745" spans="1:8" x14ac:dyDescent="0.55000000000000004">
      <c r="A745" s="61" t="s">
        <v>6601</v>
      </c>
      <c r="B745" t="s">
        <v>1273</v>
      </c>
      <c r="C745">
        <v>8710</v>
      </c>
      <c r="D745" t="s">
        <v>6365</v>
      </c>
      <c r="E745" t="s">
        <v>6366</v>
      </c>
      <c r="F745" t="s">
        <v>6361</v>
      </c>
      <c r="G745" s="43">
        <v>0</v>
      </c>
      <c r="H745" s="63">
        <v>-0.1</v>
      </c>
    </row>
    <row r="746" spans="1:8" x14ac:dyDescent="0.55000000000000004">
      <c r="A746" s="61" t="s">
        <v>6602</v>
      </c>
      <c r="B746" t="s">
        <v>1273</v>
      </c>
      <c r="C746">
        <v>9101</v>
      </c>
      <c r="D746" t="s">
        <v>6359</v>
      </c>
      <c r="E746" t="s">
        <v>6369</v>
      </c>
      <c r="F746" t="s">
        <v>6361</v>
      </c>
      <c r="G746" s="43">
        <v>0</v>
      </c>
      <c r="H746" s="63">
        <v>1</v>
      </c>
    </row>
    <row r="747" spans="1:8" x14ac:dyDescent="0.55000000000000004">
      <c r="A747" s="61" t="s">
        <v>6602</v>
      </c>
      <c r="B747" t="s">
        <v>1273</v>
      </c>
      <c r="C747">
        <v>9101</v>
      </c>
      <c r="D747" t="s">
        <v>6362</v>
      </c>
      <c r="E747" t="s">
        <v>6358</v>
      </c>
      <c r="F747" t="s">
        <v>6358</v>
      </c>
      <c r="G747" s="43">
        <v>0.10680000000000001</v>
      </c>
      <c r="H747" s="63">
        <v>1</v>
      </c>
    </row>
    <row r="748" spans="1:8" x14ac:dyDescent="0.55000000000000004">
      <c r="A748" s="61" t="s">
        <v>6603</v>
      </c>
      <c r="B748" t="s">
        <v>1273</v>
      </c>
      <c r="C748">
        <v>9110</v>
      </c>
      <c r="D748" t="s">
        <v>6359</v>
      </c>
      <c r="E748" t="s">
        <v>6369</v>
      </c>
      <c r="F748" t="s">
        <v>6361</v>
      </c>
      <c r="G748" s="43">
        <v>0</v>
      </c>
      <c r="H748" s="63">
        <v>0.9</v>
      </c>
    </row>
    <row r="749" spans="1:8" x14ac:dyDescent="0.55000000000000004">
      <c r="A749" s="61" t="s">
        <v>6603</v>
      </c>
      <c r="B749" t="s">
        <v>1273</v>
      </c>
      <c r="C749">
        <v>9110</v>
      </c>
      <c r="D749" t="s">
        <v>6363</v>
      </c>
      <c r="E749" t="s">
        <v>6364</v>
      </c>
      <c r="F749" t="s">
        <v>6361</v>
      </c>
      <c r="G749" s="43">
        <v>0</v>
      </c>
      <c r="H749" s="63">
        <v>0.1</v>
      </c>
    </row>
    <row r="750" spans="1:8" x14ac:dyDescent="0.55000000000000004">
      <c r="A750" s="61" t="s">
        <v>6603</v>
      </c>
      <c r="B750" t="s">
        <v>1273</v>
      </c>
      <c r="C750">
        <v>9110</v>
      </c>
      <c r="D750" t="s">
        <v>6362</v>
      </c>
      <c r="E750" t="s">
        <v>6358</v>
      </c>
      <c r="F750" t="s">
        <v>6358</v>
      </c>
      <c r="G750" s="43">
        <v>8.8300000000000003E-2</v>
      </c>
      <c r="H750" s="63">
        <v>1</v>
      </c>
    </row>
    <row r="751" spans="1:8" x14ac:dyDescent="0.55000000000000004">
      <c r="A751" s="61" t="s">
        <v>6603</v>
      </c>
      <c r="B751" t="s">
        <v>1273</v>
      </c>
      <c r="C751">
        <v>9110</v>
      </c>
      <c r="D751" t="s">
        <v>6365</v>
      </c>
      <c r="E751" t="s">
        <v>6366</v>
      </c>
      <c r="F751" t="s">
        <v>6361</v>
      </c>
      <c r="G751" s="43">
        <v>0</v>
      </c>
      <c r="H751" s="63">
        <v>-0.1</v>
      </c>
    </row>
    <row r="752" spans="1:8" x14ac:dyDescent="0.55000000000000004">
      <c r="A752" s="61" t="s">
        <v>6604</v>
      </c>
      <c r="B752" t="s">
        <v>1273</v>
      </c>
      <c r="C752">
        <v>9310</v>
      </c>
      <c r="D752" t="s">
        <v>6359</v>
      </c>
      <c r="E752" t="s">
        <v>6369</v>
      </c>
      <c r="F752" t="s">
        <v>6361</v>
      </c>
      <c r="G752" s="43">
        <v>0</v>
      </c>
      <c r="H752" s="63">
        <v>0.9</v>
      </c>
    </row>
    <row r="753" spans="1:8" x14ac:dyDescent="0.55000000000000004">
      <c r="A753" s="61" t="s">
        <v>6604</v>
      </c>
      <c r="B753" t="s">
        <v>1273</v>
      </c>
      <c r="C753">
        <v>9310</v>
      </c>
      <c r="D753" t="s">
        <v>6363</v>
      </c>
      <c r="E753" t="s">
        <v>6364</v>
      </c>
      <c r="F753" t="s">
        <v>6361</v>
      </c>
      <c r="G753" s="43">
        <v>0</v>
      </c>
      <c r="H753" s="63">
        <v>0.1</v>
      </c>
    </row>
    <row r="754" spans="1:8" x14ac:dyDescent="0.55000000000000004">
      <c r="A754" s="61" t="s">
        <v>6604</v>
      </c>
      <c r="B754" t="s">
        <v>1273</v>
      </c>
      <c r="C754">
        <v>9310</v>
      </c>
      <c r="D754" t="s">
        <v>6362</v>
      </c>
      <c r="E754" t="s">
        <v>6358</v>
      </c>
      <c r="F754" t="s">
        <v>6358</v>
      </c>
      <c r="G754" s="43">
        <v>8.8300000000000003E-2</v>
      </c>
      <c r="H754" s="63">
        <v>1</v>
      </c>
    </row>
    <row r="755" spans="1:8" x14ac:dyDescent="0.55000000000000004">
      <c r="A755" s="61" t="s">
        <v>6604</v>
      </c>
      <c r="B755" t="s">
        <v>1273</v>
      </c>
      <c r="C755">
        <v>9310</v>
      </c>
      <c r="D755" t="s">
        <v>6365</v>
      </c>
      <c r="E755" t="s">
        <v>6366</v>
      </c>
      <c r="F755" t="s">
        <v>6361</v>
      </c>
      <c r="G755" s="43">
        <v>0</v>
      </c>
      <c r="H755" s="63">
        <v>-0.1</v>
      </c>
    </row>
    <row r="756" spans="1:8" x14ac:dyDescent="0.55000000000000004">
      <c r="A756" s="61" t="s">
        <v>6605</v>
      </c>
      <c r="B756" t="s">
        <v>3958</v>
      </c>
      <c r="C756">
        <v>8710</v>
      </c>
      <c r="D756" t="s">
        <v>6359</v>
      </c>
      <c r="E756" t="s">
        <v>6368</v>
      </c>
      <c r="F756" t="s">
        <v>6361</v>
      </c>
      <c r="G756" s="43">
        <v>0</v>
      </c>
      <c r="H756" s="63">
        <v>0.9</v>
      </c>
    </row>
    <row r="757" spans="1:8" x14ac:dyDescent="0.55000000000000004">
      <c r="A757" s="61" t="s">
        <v>6605</v>
      </c>
      <c r="B757" t="s">
        <v>3958</v>
      </c>
      <c r="C757">
        <v>8710</v>
      </c>
      <c r="D757" t="s">
        <v>6363</v>
      </c>
      <c r="E757" t="s">
        <v>6364</v>
      </c>
      <c r="F757" t="s">
        <v>6361</v>
      </c>
      <c r="G757" s="43">
        <v>0</v>
      </c>
      <c r="H757" s="63">
        <v>0.1</v>
      </c>
    </row>
    <row r="758" spans="1:8" x14ac:dyDescent="0.55000000000000004">
      <c r="A758" s="61" t="s">
        <v>6605</v>
      </c>
      <c r="B758" t="s">
        <v>3958</v>
      </c>
      <c r="C758">
        <v>8710</v>
      </c>
      <c r="D758" t="s">
        <v>6362</v>
      </c>
      <c r="E758" t="s">
        <v>6358</v>
      </c>
      <c r="F758" t="s">
        <v>6358</v>
      </c>
      <c r="G758" s="43">
        <v>7.8799999999999995E-2</v>
      </c>
      <c r="H758" s="63">
        <v>1</v>
      </c>
    </row>
    <row r="759" spans="1:8" x14ac:dyDescent="0.55000000000000004">
      <c r="A759" s="61" t="s">
        <v>6605</v>
      </c>
      <c r="B759" t="s">
        <v>3958</v>
      </c>
      <c r="C759">
        <v>8710</v>
      </c>
      <c r="D759" t="s">
        <v>6365</v>
      </c>
      <c r="E759" t="s">
        <v>6366</v>
      </c>
      <c r="F759" t="s">
        <v>6361</v>
      </c>
      <c r="G759" s="43">
        <v>0</v>
      </c>
      <c r="H759" s="63">
        <v>-0.1</v>
      </c>
    </row>
    <row r="760" spans="1:8" x14ac:dyDescent="0.55000000000000004">
      <c r="A760" s="61" t="s">
        <v>6606</v>
      </c>
      <c r="B760" t="s">
        <v>3958</v>
      </c>
      <c r="C760">
        <v>9310</v>
      </c>
      <c r="D760" t="s">
        <v>6359</v>
      </c>
      <c r="E760" t="s">
        <v>6369</v>
      </c>
      <c r="F760" t="s">
        <v>6361</v>
      </c>
      <c r="G760" s="43">
        <v>0</v>
      </c>
      <c r="H760" s="63">
        <v>0.9</v>
      </c>
    </row>
    <row r="761" spans="1:8" x14ac:dyDescent="0.55000000000000004">
      <c r="A761" s="61" t="s">
        <v>6606</v>
      </c>
      <c r="B761" t="s">
        <v>3958</v>
      </c>
      <c r="C761">
        <v>9310</v>
      </c>
      <c r="D761" t="s">
        <v>6363</v>
      </c>
      <c r="E761" t="s">
        <v>6364</v>
      </c>
      <c r="F761" t="s">
        <v>6361</v>
      </c>
      <c r="G761" s="43">
        <v>0</v>
      </c>
      <c r="H761" s="63">
        <v>0.1</v>
      </c>
    </row>
    <row r="762" spans="1:8" x14ac:dyDescent="0.55000000000000004">
      <c r="A762" s="61" t="s">
        <v>6606</v>
      </c>
      <c r="B762" t="s">
        <v>3958</v>
      </c>
      <c r="C762">
        <v>9310</v>
      </c>
      <c r="D762" t="s">
        <v>6362</v>
      </c>
      <c r="E762" t="s">
        <v>6358</v>
      </c>
      <c r="F762" t="s">
        <v>6358</v>
      </c>
      <c r="G762" s="43">
        <v>7.8799999999999995E-2</v>
      </c>
      <c r="H762" s="63">
        <v>1</v>
      </c>
    </row>
    <row r="763" spans="1:8" x14ac:dyDescent="0.55000000000000004">
      <c r="A763" s="61" t="s">
        <v>6606</v>
      </c>
      <c r="B763" t="s">
        <v>3958</v>
      </c>
      <c r="C763">
        <v>9310</v>
      </c>
      <c r="D763" t="s">
        <v>6365</v>
      </c>
      <c r="E763" t="s">
        <v>6366</v>
      </c>
      <c r="F763" t="s">
        <v>6361</v>
      </c>
      <c r="G763" s="43">
        <v>0</v>
      </c>
      <c r="H763" s="63">
        <v>-0.1</v>
      </c>
    </row>
    <row r="764" spans="1:8" x14ac:dyDescent="0.55000000000000004">
      <c r="A764" s="61" t="s">
        <v>6607</v>
      </c>
      <c r="B764" t="s">
        <v>3978</v>
      </c>
      <c r="C764">
        <v>8701</v>
      </c>
      <c r="D764" t="s">
        <v>6359</v>
      </c>
      <c r="E764" t="s">
        <v>6368</v>
      </c>
      <c r="F764" t="s">
        <v>6361</v>
      </c>
      <c r="G764" s="43">
        <v>0</v>
      </c>
      <c r="H764" s="63">
        <v>1</v>
      </c>
    </row>
    <row r="765" spans="1:8" x14ac:dyDescent="0.55000000000000004">
      <c r="A765" s="61" t="s">
        <v>6607</v>
      </c>
      <c r="B765" t="s">
        <v>3978</v>
      </c>
      <c r="C765">
        <v>8701</v>
      </c>
      <c r="D765" t="s">
        <v>6362</v>
      </c>
      <c r="E765" t="s">
        <v>6358</v>
      </c>
      <c r="F765" t="s">
        <v>6358</v>
      </c>
      <c r="G765" s="43">
        <v>0.12640000000000001</v>
      </c>
      <c r="H765" s="63">
        <v>1</v>
      </c>
    </row>
    <row r="766" spans="1:8" x14ac:dyDescent="0.55000000000000004">
      <c r="A766" s="61" t="s">
        <v>6608</v>
      </c>
      <c r="B766" t="s">
        <v>3978</v>
      </c>
      <c r="C766">
        <v>8710</v>
      </c>
      <c r="D766" t="s">
        <v>6359</v>
      </c>
      <c r="E766" t="s">
        <v>6368</v>
      </c>
      <c r="F766" t="s">
        <v>6361</v>
      </c>
      <c r="G766" s="43">
        <v>0</v>
      </c>
      <c r="H766" s="63">
        <v>0.9</v>
      </c>
    </row>
    <row r="767" spans="1:8" x14ac:dyDescent="0.55000000000000004">
      <c r="A767" s="61" t="s">
        <v>6608</v>
      </c>
      <c r="B767" t="s">
        <v>3978</v>
      </c>
      <c r="C767">
        <v>8710</v>
      </c>
      <c r="D767" t="s">
        <v>6363</v>
      </c>
      <c r="E767" t="s">
        <v>6364</v>
      </c>
      <c r="F767" t="s">
        <v>6361</v>
      </c>
      <c r="G767" s="43">
        <v>0</v>
      </c>
      <c r="H767" s="63">
        <v>0.1</v>
      </c>
    </row>
    <row r="768" spans="1:8" x14ac:dyDescent="0.55000000000000004">
      <c r="A768" s="61" t="s">
        <v>6608</v>
      </c>
      <c r="B768" t="s">
        <v>3978</v>
      </c>
      <c r="C768">
        <v>8710</v>
      </c>
      <c r="D768" t="s">
        <v>6362</v>
      </c>
      <c r="E768" t="s">
        <v>6358</v>
      </c>
      <c r="F768" t="s">
        <v>6358</v>
      </c>
      <c r="G768" s="43">
        <v>0.11840000000000001</v>
      </c>
      <c r="H768" s="63">
        <v>1</v>
      </c>
    </row>
    <row r="769" spans="1:8" x14ac:dyDescent="0.55000000000000004">
      <c r="A769" s="61" t="s">
        <v>6608</v>
      </c>
      <c r="B769" t="s">
        <v>3978</v>
      </c>
      <c r="C769">
        <v>8710</v>
      </c>
      <c r="D769" t="s">
        <v>6365</v>
      </c>
      <c r="E769" t="s">
        <v>6366</v>
      </c>
      <c r="F769" t="s">
        <v>6361</v>
      </c>
      <c r="G769" s="43">
        <v>0</v>
      </c>
      <c r="H769" s="63">
        <v>-0.1</v>
      </c>
    </row>
    <row r="770" spans="1:8" x14ac:dyDescent="0.55000000000000004">
      <c r="A770" s="61" t="s">
        <v>6609</v>
      </c>
      <c r="B770" t="s">
        <v>3978</v>
      </c>
      <c r="C770">
        <v>9204</v>
      </c>
      <c r="D770" t="s">
        <v>6359</v>
      </c>
      <c r="E770" t="s">
        <v>6369</v>
      </c>
      <c r="F770" t="s">
        <v>6361</v>
      </c>
      <c r="G770" s="43">
        <v>0</v>
      </c>
      <c r="H770" s="63">
        <v>0.9</v>
      </c>
    </row>
    <row r="771" spans="1:8" x14ac:dyDescent="0.55000000000000004">
      <c r="A771" s="61" t="s">
        <v>6609</v>
      </c>
      <c r="B771" t="s">
        <v>3978</v>
      </c>
      <c r="C771">
        <v>9204</v>
      </c>
      <c r="D771" t="s">
        <v>6363</v>
      </c>
      <c r="E771" t="s">
        <v>6364</v>
      </c>
      <c r="F771" t="s">
        <v>6361</v>
      </c>
      <c r="G771" s="43">
        <v>0</v>
      </c>
      <c r="H771" s="63">
        <v>0.1</v>
      </c>
    </row>
    <row r="772" spans="1:8" x14ac:dyDescent="0.55000000000000004">
      <c r="A772" s="61" t="s">
        <v>6609</v>
      </c>
      <c r="B772" t="s">
        <v>3978</v>
      </c>
      <c r="C772">
        <v>9204</v>
      </c>
      <c r="D772" t="s">
        <v>6362</v>
      </c>
      <c r="E772" t="s">
        <v>6358</v>
      </c>
      <c r="F772" t="s">
        <v>6358</v>
      </c>
      <c r="G772" s="43">
        <v>0.11840000000000001</v>
      </c>
      <c r="H772" s="63">
        <v>1</v>
      </c>
    </row>
    <row r="773" spans="1:8" x14ac:dyDescent="0.55000000000000004">
      <c r="A773" s="61" t="s">
        <v>6609</v>
      </c>
      <c r="B773" t="s">
        <v>3978</v>
      </c>
      <c r="C773">
        <v>9204</v>
      </c>
      <c r="D773" t="s">
        <v>6365</v>
      </c>
      <c r="E773" t="s">
        <v>6366</v>
      </c>
      <c r="F773" t="s">
        <v>6361</v>
      </c>
      <c r="G773" s="43">
        <v>0</v>
      </c>
      <c r="H773" s="63">
        <v>-0.1</v>
      </c>
    </row>
    <row r="774" spans="1:8" x14ac:dyDescent="0.55000000000000004">
      <c r="A774" s="61" t="s">
        <v>6610</v>
      </c>
      <c r="B774" t="s">
        <v>3978</v>
      </c>
      <c r="C774">
        <v>9310</v>
      </c>
      <c r="D774" t="s">
        <v>6359</v>
      </c>
      <c r="E774" t="s">
        <v>6369</v>
      </c>
      <c r="F774" t="s">
        <v>6361</v>
      </c>
      <c r="G774" s="43">
        <v>0</v>
      </c>
      <c r="H774" s="63">
        <v>0.9</v>
      </c>
    </row>
    <row r="775" spans="1:8" x14ac:dyDescent="0.55000000000000004">
      <c r="A775" s="61" t="s">
        <v>6610</v>
      </c>
      <c r="B775" t="s">
        <v>3978</v>
      </c>
      <c r="C775">
        <v>9310</v>
      </c>
      <c r="D775" t="s">
        <v>6363</v>
      </c>
      <c r="E775" t="s">
        <v>6364</v>
      </c>
      <c r="F775" t="s">
        <v>6361</v>
      </c>
      <c r="G775" s="43">
        <v>0</v>
      </c>
      <c r="H775" s="63">
        <v>0.1</v>
      </c>
    </row>
    <row r="776" spans="1:8" x14ac:dyDescent="0.55000000000000004">
      <c r="A776" s="61" t="s">
        <v>6610</v>
      </c>
      <c r="B776" t="s">
        <v>3978</v>
      </c>
      <c r="C776">
        <v>9310</v>
      </c>
      <c r="D776" t="s">
        <v>6362</v>
      </c>
      <c r="E776" t="s">
        <v>6358</v>
      </c>
      <c r="F776" t="s">
        <v>6358</v>
      </c>
      <c r="G776" s="43">
        <v>0.11840000000000001</v>
      </c>
      <c r="H776" s="63">
        <v>1</v>
      </c>
    </row>
    <row r="777" spans="1:8" x14ac:dyDescent="0.55000000000000004">
      <c r="A777" s="61" t="s">
        <v>6610</v>
      </c>
      <c r="B777" t="s">
        <v>3978</v>
      </c>
      <c r="C777">
        <v>9310</v>
      </c>
      <c r="D777" t="s">
        <v>6365</v>
      </c>
      <c r="E777" t="s">
        <v>6366</v>
      </c>
      <c r="F777" t="s">
        <v>6361</v>
      </c>
      <c r="G777" s="43">
        <v>0</v>
      </c>
      <c r="H777" s="63">
        <v>-0.1</v>
      </c>
    </row>
    <row r="778" spans="1:8" x14ac:dyDescent="0.55000000000000004">
      <c r="A778" s="61" t="s">
        <v>6611</v>
      </c>
      <c r="B778" t="s">
        <v>1634</v>
      </c>
      <c r="C778">
        <v>8710</v>
      </c>
      <c r="D778" t="s">
        <v>6359</v>
      </c>
      <c r="E778" t="s">
        <v>6368</v>
      </c>
      <c r="F778" t="s">
        <v>6361</v>
      </c>
      <c r="G778" s="43">
        <v>0</v>
      </c>
      <c r="H778" s="63">
        <v>0.9</v>
      </c>
    </row>
    <row r="779" spans="1:8" x14ac:dyDescent="0.55000000000000004">
      <c r="A779" s="61" t="s">
        <v>6611</v>
      </c>
      <c r="B779" t="s">
        <v>1634</v>
      </c>
      <c r="C779">
        <v>8710</v>
      </c>
      <c r="D779" t="s">
        <v>6363</v>
      </c>
      <c r="E779" t="s">
        <v>6364</v>
      </c>
      <c r="F779" t="s">
        <v>6361</v>
      </c>
      <c r="G779" s="43">
        <v>0</v>
      </c>
      <c r="H779" s="63">
        <v>0.1</v>
      </c>
    </row>
    <row r="780" spans="1:8" x14ac:dyDescent="0.55000000000000004">
      <c r="A780" s="61" t="s">
        <v>6611</v>
      </c>
      <c r="B780" t="s">
        <v>1634</v>
      </c>
      <c r="C780">
        <v>8710</v>
      </c>
      <c r="D780" t="s">
        <v>6362</v>
      </c>
      <c r="E780" t="s">
        <v>6358</v>
      </c>
      <c r="F780" t="s">
        <v>6358</v>
      </c>
      <c r="G780" s="62">
        <v>2.87E-2</v>
      </c>
      <c r="H780" s="63">
        <v>1</v>
      </c>
    </row>
    <row r="781" spans="1:8" x14ac:dyDescent="0.55000000000000004">
      <c r="A781" s="61" t="s">
        <v>6611</v>
      </c>
      <c r="B781" t="s">
        <v>1634</v>
      </c>
      <c r="C781">
        <v>8710</v>
      </c>
      <c r="D781" t="s">
        <v>6365</v>
      </c>
      <c r="E781" t="s">
        <v>6366</v>
      </c>
      <c r="F781" t="s">
        <v>6361</v>
      </c>
      <c r="G781" s="43">
        <v>0</v>
      </c>
      <c r="H781" s="63">
        <v>-0.1</v>
      </c>
    </row>
    <row r="782" spans="1:8" x14ac:dyDescent="0.55000000000000004">
      <c r="A782" s="61" t="s">
        <v>6612</v>
      </c>
      <c r="B782" t="s">
        <v>1634</v>
      </c>
      <c r="C782">
        <v>9310</v>
      </c>
      <c r="D782" t="s">
        <v>6359</v>
      </c>
      <c r="E782" t="s">
        <v>6369</v>
      </c>
      <c r="F782" t="s">
        <v>6361</v>
      </c>
      <c r="G782" s="43">
        <v>0</v>
      </c>
      <c r="H782" s="63">
        <v>0.9</v>
      </c>
    </row>
    <row r="783" spans="1:8" x14ac:dyDescent="0.55000000000000004">
      <c r="A783" s="61" t="s">
        <v>6612</v>
      </c>
      <c r="B783" t="s">
        <v>1634</v>
      </c>
      <c r="C783">
        <v>9310</v>
      </c>
      <c r="D783" t="s">
        <v>6363</v>
      </c>
      <c r="E783" t="s">
        <v>6364</v>
      </c>
      <c r="F783" t="s">
        <v>6361</v>
      </c>
      <c r="G783" s="43">
        <v>0</v>
      </c>
      <c r="H783" s="63">
        <v>0.1</v>
      </c>
    </row>
    <row r="784" spans="1:8" x14ac:dyDescent="0.55000000000000004">
      <c r="A784" s="61" t="s">
        <v>6612</v>
      </c>
      <c r="B784" t="s">
        <v>1634</v>
      </c>
      <c r="C784">
        <v>9310</v>
      </c>
      <c r="D784" t="s">
        <v>6362</v>
      </c>
      <c r="E784" t="s">
        <v>6358</v>
      </c>
      <c r="F784" t="s">
        <v>6358</v>
      </c>
      <c r="G784" s="62">
        <v>2.87E-2</v>
      </c>
      <c r="H784" s="63">
        <v>1</v>
      </c>
    </row>
    <row r="785" spans="1:8" x14ac:dyDescent="0.55000000000000004">
      <c r="A785" s="61" t="s">
        <v>6612</v>
      </c>
      <c r="B785" t="s">
        <v>1634</v>
      </c>
      <c r="C785">
        <v>9310</v>
      </c>
      <c r="D785" t="s">
        <v>6365</v>
      </c>
      <c r="E785" t="s">
        <v>6366</v>
      </c>
      <c r="F785" t="s">
        <v>6361</v>
      </c>
      <c r="G785" s="43">
        <v>0</v>
      </c>
      <c r="H785" s="63">
        <v>-0.1</v>
      </c>
    </row>
    <row r="786" spans="1:8" x14ac:dyDescent="0.55000000000000004">
      <c r="A786" s="61" t="s">
        <v>6613</v>
      </c>
      <c r="B786" t="s">
        <v>4310</v>
      </c>
      <c r="C786">
        <v>8701</v>
      </c>
      <c r="D786" t="s">
        <v>6359</v>
      </c>
      <c r="E786" t="s">
        <v>6376</v>
      </c>
      <c r="F786" t="s">
        <v>6361</v>
      </c>
      <c r="G786" s="43">
        <v>0</v>
      </c>
      <c r="H786" s="63">
        <v>1</v>
      </c>
    </row>
    <row r="787" spans="1:8" x14ac:dyDescent="0.55000000000000004">
      <c r="A787" s="61" t="s">
        <v>6613</v>
      </c>
      <c r="B787" t="s">
        <v>4310</v>
      </c>
      <c r="C787">
        <v>8701</v>
      </c>
      <c r="D787" t="s">
        <v>6362</v>
      </c>
      <c r="E787" t="s">
        <v>6358</v>
      </c>
      <c r="F787" t="s">
        <v>6358</v>
      </c>
      <c r="G787" s="43">
        <v>5.1700000000000003E-2</v>
      </c>
      <c r="H787" s="63">
        <v>1</v>
      </c>
    </row>
    <row r="788" spans="1:8" x14ac:dyDescent="0.55000000000000004">
      <c r="A788" s="61" t="s">
        <v>6614</v>
      </c>
      <c r="B788" t="s">
        <v>4310</v>
      </c>
      <c r="C788">
        <v>8703</v>
      </c>
      <c r="D788" t="s">
        <v>6359</v>
      </c>
      <c r="E788" t="s">
        <v>6376</v>
      </c>
      <c r="F788" t="s">
        <v>6361</v>
      </c>
      <c r="G788" s="43">
        <v>0</v>
      </c>
      <c r="H788" s="63">
        <v>1</v>
      </c>
    </row>
    <row r="789" spans="1:8" x14ac:dyDescent="0.55000000000000004">
      <c r="A789" s="61" t="s">
        <v>6614</v>
      </c>
      <c r="B789" t="s">
        <v>4310</v>
      </c>
      <c r="C789">
        <v>8703</v>
      </c>
      <c r="D789" t="s">
        <v>6362</v>
      </c>
      <c r="E789" t="s">
        <v>6358</v>
      </c>
      <c r="F789" t="s">
        <v>6358</v>
      </c>
      <c r="G789" s="43">
        <v>5.1700000000000003E-2</v>
      </c>
      <c r="H789" s="63">
        <v>1</v>
      </c>
    </row>
    <row r="790" spans="1:8" x14ac:dyDescent="0.55000000000000004">
      <c r="A790" s="61" t="s">
        <v>6615</v>
      </c>
      <c r="B790" t="s">
        <v>4310</v>
      </c>
      <c r="C790">
        <v>8708</v>
      </c>
      <c r="D790" t="s">
        <v>6359</v>
      </c>
      <c r="E790" t="s">
        <v>6376</v>
      </c>
      <c r="F790" t="s">
        <v>6361</v>
      </c>
      <c r="G790" s="43">
        <v>0</v>
      </c>
      <c r="H790" s="63">
        <v>0.9</v>
      </c>
    </row>
    <row r="791" spans="1:8" x14ac:dyDescent="0.55000000000000004">
      <c r="A791" s="61" t="s">
        <v>6615</v>
      </c>
      <c r="B791" t="s">
        <v>4310</v>
      </c>
      <c r="C791">
        <v>8708</v>
      </c>
      <c r="D791" t="s">
        <v>6363</v>
      </c>
      <c r="E791" t="s">
        <v>6364</v>
      </c>
      <c r="F791" t="s">
        <v>6361</v>
      </c>
      <c r="G791" s="43">
        <v>0</v>
      </c>
      <c r="H791" s="63">
        <v>0.1</v>
      </c>
    </row>
    <row r="792" spans="1:8" x14ac:dyDescent="0.55000000000000004">
      <c r="A792" s="61" t="s">
        <v>6615</v>
      </c>
      <c r="B792" t="s">
        <v>4310</v>
      </c>
      <c r="C792">
        <v>8708</v>
      </c>
      <c r="D792" t="s">
        <v>6362</v>
      </c>
      <c r="E792" t="s">
        <v>6358</v>
      </c>
      <c r="F792" t="s">
        <v>6358</v>
      </c>
      <c r="G792" s="43">
        <v>6.2899999999999998E-2</v>
      </c>
      <c r="H792" s="63">
        <v>1</v>
      </c>
    </row>
    <row r="793" spans="1:8" x14ac:dyDescent="0.55000000000000004">
      <c r="A793" s="61" t="s">
        <v>6615</v>
      </c>
      <c r="B793" t="s">
        <v>4310</v>
      </c>
      <c r="C793">
        <v>8708</v>
      </c>
      <c r="D793" t="s">
        <v>6365</v>
      </c>
      <c r="E793" t="s">
        <v>6366</v>
      </c>
      <c r="F793" t="s">
        <v>6361</v>
      </c>
      <c r="G793" s="43">
        <v>0</v>
      </c>
      <c r="H793" s="63">
        <v>-0.1</v>
      </c>
    </row>
    <row r="794" spans="1:8" x14ac:dyDescent="0.55000000000000004">
      <c r="A794" s="61" t="s">
        <v>6616</v>
      </c>
      <c r="B794" t="s">
        <v>4310</v>
      </c>
      <c r="C794">
        <v>8710</v>
      </c>
      <c r="D794" t="s">
        <v>6359</v>
      </c>
      <c r="E794" t="s">
        <v>6376</v>
      </c>
      <c r="F794" t="s">
        <v>6361</v>
      </c>
      <c r="G794" s="43">
        <v>0</v>
      </c>
      <c r="H794" s="63">
        <v>0.9</v>
      </c>
    </row>
    <row r="795" spans="1:8" x14ac:dyDescent="0.55000000000000004">
      <c r="A795" s="61" t="s">
        <v>6616</v>
      </c>
      <c r="B795" t="s">
        <v>4310</v>
      </c>
      <c r="C795">
        <v>8710</v>
      </c>
      <c r="D795" t="s">
        <v>6363</v>
      </c>
      <c r="E795" t="s">
        <v>6364</v>
      </c>
      <c r="F795" t="s">
        <v>6361</v>
      </c>
      <c r="G795" s="43">
        <v>0</v>
      </c>
      <c r="H795" s="63">
        <v>0.1</v>
      </c>
    </row>
    <row r="796" spans="1:8" x14ac:dyDescent="0.55000000000000004">
      <c r="A796" s="61" t="s">
        <v>6616</v>
      </c>
      <c r="B796" t="s">
        <v>4310</v>
      </c>
      <c r="C796">
        <v>8710</v>
      </c>
      <c r="D796" t="s">
        <v>6362</v>
      </c>
      <c r="E796" t="s">
        <v>6358</v>
      </c>
      <c r="F796" t="s">
        <v>6358</v>
      </c>
      <c r="G796" s="43">
        <v>6.2899999999999998E-2</v>
      </c>
      <c r="H796" s="63">
        <v>1</v>
      </c>
    </row>
    <row r="797" spans="1:8" x14ac:dyDescent="0.55000000000000004">
      <c r="A797" s="61" t="s">
        <v>6616</v>
      </c>
      <c r="B797" t="s">
        <v>4310</v>
      </c>
      <c r="C797">
        <v>8710</v>
      </c>
      <c r="D797" t="s">
        <v>6365</v>
      </c>
      <c r="E797" t="s">
        <v>6366</v>
      </c>
      <c r="F797" t="s">
        <v>6361</v>
      </c>
      <c r="G797" s="43">
        <v>0</v>
      </c>
      <c r="H797" s="63">
        <v>-0.1</v>
      </c>
    </row>
    <row r="798" spans="1:8" x14ac:dyDescent="0.55000000000000004">
      <c r="A798" s="61" t="s">
        <v>6617</v>
      </c>
      <c r="B798" t="s">
        <v>4310</v>
      </c>
      <c r="C798">
        <v>9305</v>
      </c>
      <c r="D798" t="s">
        <v>6359</v>
      </c>
      <c r="E798" t="s">
        <v>6377</v>
      </c>
      <c r="F798" t="s">
        <v>6361</v>
      </c>
      <c r="G798" s="43">
        <v>0</v>
      </c>
      <c r="H798" s="63">
        <v>0.9</v>
      </c>
    </row>
    <row r="799" spans="1:8" x14ac:dyDescent="0.55000000000000004">
      <c r="A799" s="61" t="s">
        <v>6617</v>
      </c>
      <c r="B799" t="s">
        <v>4310</v>
      </c>
      <c r="C799">
        <v>9305</v>
      </c>
      <c r="D799" t="s">
        <v>6363</v>
      </c>
      <c r="E799" t="s">
        <v>6364</v>
      </c>
      <c r="F799" t="s">
        <v>6361</v>
      </c>
      <c r="G799" s="43">
        <v>0</v>
      </c>
      <c r="H799" s="63">
        <v>0.1</v>
      </c>
    </row>
    <row r="800" spans="1:8" x14ac:dyDescent="0.55000000000000004">
      <c r="A800" s="61" t="s">
        <v>6617</v>
      </c>
      <c r="B800" t="s">
        <v>4310</v>
      </c>
      <c r="C800">
        <v>9305</v>
      </c>
      <c r="D800" t="s">
        <v>6362</v>
      </c>
      <c r="E800" t="s">
        <v>6358</v>
      </c>
      <c r="F800" t="s">
        <v>6358</v>
      </c>
      <c r="G800" s="43">
        <v>6.2899999999999998E-2</v>
      </c>
      <c r="H800" s="63">
        <v>1</v>
      </c>
    </row>
    <row r="801" spans="1:8" x14ac:dyDescent="0.55000000000000004">
      <c r="A801" s="61" t="s">
        <v>6617</v>
      </c>
      <c r="B801" t="s">
        <v>4310</v>
      </c>
      <c r="C801">
        <v>9305</v>
      </c>
      <c r="D801" t="s">
        <v>6365</v>
      </c>
      <c r="E801" t="s">
        <v>6366</v>
      </c>
      <c r="F801" t="s">
        <v>6361</v>
      </c>
      <c r="G801" s="43">
        <v>0</v>
      </c>
      <c r="H801" s="63">
        <v>-0.1</v>
      </c>
    </row>
    <row r="802" spans="1:8" x14ac:dyDescent="0.55000000000000004">
      <c r="A802" s="61" t="s">
        <v>6618</v>
      </c>
      <c r="B802" t="s">
        <v>4310</v>
      </c>
      <c r="C802">
        <v>9310</v>
      </c>
      <c r="D802" t="s">
        <v>6359</v>
      </c>
      <c r="E802" t="s">
        <v>6377</v>
      </c>
      <c r="F802" t="s">
        <v>6361</v>
      </c>
      <c r="G802" s="43">
        <v>0</v>
      </c>
      <c r="H802" s="63">
        <v>0.9</v>
      </c>
    </row>
    <row r="803" spans="1:8" x14ac:dyDescent="0.55000000000000004">
      <c r="A803" s="61" t="s">
        <v>6618</v>
      </c>
      <c r="B803" t="s">
        <v>4310</v>
      </c>
      <c r="C803">
        <v>9310</v>
      </c>
      <c r="D803" t="s">
        <v>6363</v>
      </c>
      <c r="E803" t="s">
        <v>6364</v>
      </c>
      <c r="F803" t="s">
        <v>6361</v>
      </c>
      <c r="G803" s="43">
        <v>0</v>
      </c>
      <c r="H803" s="63">
        <v>0.1</v>
      </c>
    </row>
    <row r="804" spans="1:8" x14ac:dyDescent="0.55000000000000004">
      <c r="A804" s="61" t="s">
        <v>6618</v>
      </c>
      <c r="B804" t="s">
        <v>4310</v>
      </c>
      <c r="C804">
        <v>9310</v>
      </c>
      <c r="D804" t="s">
        <v>6362</v>
      </c>
      <c r="E804" t="s">
        <v>6358</v>
      </c>
      <c r="F804" t="s">
        <v>6358</v>
      </c>
      <c r="G804" s="43">
        <v>6.2899999999999998E-2</v>
      </c>
      <c r="H804" s="63">
        <v>1</v>
      </c>
    </row>
    <row r="805" spans="1:8" x14ac:dyDescent="0.55000000000000004">
      <c r="A805" s="61" t="s">
        <v>6618</v>
      </c>
      <c r="B805" t="s">
        <v>4310</v>
      </c>
      <c r="C805">
        <v>9310</v>
      </c>
      <c r="D805" t="s">
        <v>6365</v>
      </c>
      <c r="E805" t="s">
        <v>6366</v>
      </c>
      <c r="F805" t="s">
        <v>6361</v>
      </c>
      <c r="G805" s="43">
        <v>0</v>
      </c>
      <c r="H805" s="63">
        <v>-0.1</v>
      </c>
    </row>
    <row r="806" spans="1:8" x14ac:dyDescent="0.55000000000000004">
      <c r="A806" s="61" t="s">
        <v>6619</v>
      </c>
      <c r="B806" t="s">
        <v>1296</v>
      </c>
      <c r="C806">
        <v>8701</v>
      </c>
      <c r="D806" t="s">
        <v>6359</v>
      </c>
      <c r="E806" t="s">
        <v>6368</v>
      </c>
      <c r="F806" t="s">
        <v>6361</v>
      </c>
      <c r="G806" s="43">
        <v>0</v>
      </c>
      <c r="H806" s="63">
        <v>1</v>
      </c>
    </row>
    <row r="807" spans="1:8" x14ac:dyDescent="0.55000000000000004">
      <c r="A807" s="61" t="s">
        <v>6619</v>
      </c>
      <c r="B807" t="s">
        <v>1296</v>
      </c>
      <c r="C807">
        <v>8701</v>
      </c>
      <c r="D807" t="s">
        <v>6362</v>
      </c>
      <c r="E807" t="s">
        <v>6358</v>
      </c>
      <c r="F807" t="s">
        <v>6358</v>
      </c>
      <c r="G807" s="43">
        <v>0.1095</v>
      </c>
      <c r="H807" s="63">
        <v>1</v>
      </c>
    </row>
    <row r="808" spans="1:8" x14ac:dyDescent="0.55000000000000004">
      <c r="A808" s="61" t="s">
        <v>6620</v>
      </c>
      <c r="B808" t="s">
        <v>1296</v>
      </c>
      <c r="C808">
        <v>8710</v>
      </c>
      <c r="D808" t="s">
        <v>6359</v>
      </c>
      <c r="E808" t="s">
        <v>6368</v>
      </c>
      <c r="F808" t="s">
        <v>6361</v>
      </c>
      <c r="G808" s="43">
        <v>0</v>
      </c>
      <c r="H808" s="63">
        <v>0.9</v>
      </c>
    </row>
    <row r="809" spans="1:8" x14ac:dyDescent="0.55000000000000004">
      <c r="A809" s="61" t="s">
        <v>6620</v>
      </c>
      <c r="B809" t="s">
        <v>1296</v>
      </c>
      <c r="C809">
        <v>8710</v>
      </c>
      <c r="D809" t="s">
        <v>6363</v>
      </c>
      <c r="E809" t="s">
        <v>6364</v>
      </c>
      <c r="F809" t="s">
        <v>6361</v>
      </c>
      <c r="G809" s="43">
        <v>0</v>
      </c>
      <c r="H809" s="63">
        <v>0.1</v>
      </c>
    </row>
    <row r="810" spans="1:8" x14ac:dyDescent="0.55000000000000004">
      <c r="A810" s="61" t="s">
        <v>6620</v>
      </c>
      <c r="B810" t="s">
        <v>1296</v>
      </c>
      <c r="C810">
        <v>8710</v>
      </c>
      <c r="D810" t="s">
        <v>6362</v>
      </c>
      <c r="E810" t="s">
        <v>6358</v>
      </c>
      <c r="F810" t="s">
        <v>6358</v>
      </c>
      <c r="G810" s="43">
        <v>9.0700000000000003E-2</v>
      </c>
      <c r="H810" s="63">
        <v>1</v>
      </c>
    </row>
    <row r="811" spans="1:8" x14ac:dyDescent="0.55000000000000004">
      <c r="A811" s="61" t="s">
        <v>6620</v>
      </c>
      <c r="B811" t="s">
        <v>1296</v>
      </c>
      <c r="C811">
        <v>8710</v>
      </c>
      <c r="D811" t="s">
        <v>6365</v>
      </c>
      <c r="E811" t="s">
        <v>6366</v>
      </c>
      <c r="F811" t="s">
        <v>6361</v>
      </c>
      <c r="G811" s="43">
        <v>0</v>
      </c>
      <c r="H811" s="63">
        <v>-0.1</v>
      </c>
    </row>
    <row r="812" spans="1:8" x14ac:dyDescent="0.55000000000000004">
      <c r="A812" s="61" t="s">
        <v>6621</v>
      </c>
      <c r="B812" t="s">
        <v>1296</v>
      </c>
      <c r="C812">
        <v>9101</v>
      </c>
      <c r="D812" t="s">
        <v>6359</v>
      </c>
      <c r="E812" t="s">
        <v>6369</v>
      </c>
      <c r="F812" t="s">
        <v>6361</v>
      </c>
      <c r="G812" s="43">
        <v>0</v>
      </c>
      <c r="H812" s="63">
        <v>1</v>
      </c>
    </row>
    <row r="813" spans="1:8" x14ac:dyDescent="0.55000000000000004">
      <c r="A813" s="61" t="s">
        <v>6621</v>
      </c>
      <c r="B813" t="s">
        <v>1296</v>
      </c>
      <c r="C813">
        <v>9101</v>
      </c>
      <c r="D813" t="s">
        <v>6362</v>
      </c>
      <c r="E813" t="s">
        <v>6358</v>
      </c>
      <c r="F813" t="s">
        <v>6358</v>
      </c>
      <c r="G813" s="43">
        <v>0.1095</v>
      </c>
      <c r="H813" s="63">
        <v>1</v>
      </c>
    </row>
    <row r="814" spans="1:8" x14ac:dyDescent="0.55000000000000004">
      <c r="A814" s="61" t="s">
        <v>6622</v>
      </c>
      <c r="B814" t="s">
        <v>1296</v>
      </c>
      <c r="C814">
        <v>9110</v>
      </c>
      <c r="D814" t="s">
        <v>6359</v>
      </c>
      <c r="E814" t="s">
        <v>6369</v>
      </c>
      <c r="F814" t="s">
        <v>6361</v>
      </c>
      <c r="G814" s="43">
        <v>0</v>
      </c>
      <c r="H814" s="63">
        <v>0.9</v>
      </c>
    </row>
    <row r="815" spans="1:8" x14ac:dyDescent="0.55000000000000004">
      <c r="A815" s="61" t="s">
        <v>6622</v>
      </c>
      <c r="B815" t="s">
        <v>1296</v>
      </c>
      <c r="C815">
        <v>9110</v>
      </c>
      <c r="D815" t="s">
        <v>6363</v>
      </c>
      <c r="E815" t="s">
        <v>6364</v>
      </c>
      <c r="F815" t="s">
        <v>6361</v>
      </c>
      <c r="G815" s="43">
        <v>0</v>
      </c>
      <c r="H815" s="63">
        <v>0.1</v>
      </c>
    </row>
    <row r="816" spans="1:8" x14ac:dyDescent="0.55000000000000004">
      <c r="A816" s="61" t="s">
        <v>6622</v>
      </c>
      <c r="B816" t="s">
        <v>1296</v>
      </c>
      <c r="C816">
        <v>9110</v>
      </c>
      <c r="D816" t="s">
        <v>6362</v>
      </c>
      <c r="E816" t="s">
        <v>6358</v>
      </c>
      <c r="F816" t="s">
        <v>6358</v>
      </c>
      <c r="G816" s="43">
        <v>9.0700000000000003E-2</v>
      </c>
      <c r="H816" s="63">
        <v>1</v>
      </c>
    </row>
    <row r="817" spans="1:8" x14ac:dyDescent="0.55000000000000004">
      <c r="A817" s="61" t="s">
        <v>6622</v>
      </c>
      <c r="B817" t="s">
        <v>1296</v>
      </c>
      <c r="C817">
        <v>9110</v>
      </c>
      <c r="D817" t="s">
        <v>6365</v>
      </c>
      <c r="E817" t="s">
        <v>6366</v>
      </c>
      <c r="F817" t="s">
        <v>6361</v>
      </c>
      <c r="G817" s="43">
        <v>0</v>
      </c>
      <c r="H817" s="63">
        <v>-0.1</v>
      </c>
    </row>
    <row r="818" spans="1:8" x14ac:dyDescent="0.55000000000000004">
      <c r="A818" s="61" t="s">
        <v>6623</v>
      </c>
      <c r="B818" t="s">
        <v>3292</v>
      </c>
      <c r="C818">
        <v>8701</v>
      </c>
      <c r="D818" t="s">
        <v>6359</v>
      </c>
      <c r="E818" t="s">
        <v>6360</v>
      </c>
      <c r="F818" t="s">
        <v>6361</v>
      </c>
      <c r="G818" s="43">
        <v>0</v>
      </c>
      <c r="H818" s="63">
        <v>1</v>
      </c>
    </row>
    <row r="819" spans="1:8" x14ac:dyDescent="0.55000000000000004">
      <c r="A819" s="61" t="s">
        <v>6623</v>
      </c>
      <c r="B819" t="s">
        <v>3292</v>
      </c>
      <c r="C819">
        <v>8701</v>
      </c>
      <c r="D819" t="s">
        <v>6362</v>
      </c>
      <c r="E819" t="s">
        <v>6358</v>
      </c>
      <c r="F819" t="s">
        <v>6358</v>
      </c>
      <c r="G819" s="43">
        <v>7.3400000000000007E-2</v>
      </c>
      <c r="H819" s="63">
        <v>1</v>
      </c>
    </row>
    <row r="820" spans="1:8" x14ac:dyDescent="0.55000000000000004">
      <c r="A820" s="61" t="s">
        <v>6624</v>
      </c>
      <c r="B820" t="s">
        <v>3292</v>
      </c>
      <c r="C820">
        <v>8710</v>
      </c>
      <c r="D820" t="s">
        <v>6359</v>
      </c>
      <c r="E820" t="s">
        <v>6360</v>
      </c>
      <c r="F820" t="s">
        <v>6361</v>
      </c>
      <c r="G820" s="43">
        <v>0</v>
      </c>
      <c r="H820" s="63">
        <v>0.9</v>
      </c>
    </row>
    <row r="821" spans="1:8" x14ac:dyDescent="0.55000000000000004">
      <c r="A821" s="61" t="s">
        <v>6624</v>
      </c>
      <c r="B821" t="s">
        <v>3292</v>
      </c>
      <c r="C821">
        <v>8710</v>
      </c>
      <c r="D821" t="s">
        <v>6363</v>
      </c>
      <c r="E821" t="s">
        <v>6364</v>
      </c>
      <c r="F821" t="s">
        <v>6361</v>
      </c>
      <c r="G821" s="43">
        <v>0</v>
      </c>
      <c r="H821" s="63">
        <v>0.1</v>
      </c>
    </row>
    <row r="822" spans="1:8" x14ac:dyDescent="0.55000000000000004">
      <c r="A822" s="61" t="s">
        <v>6624</v>
      </c>
      <c r="B822" t="s">
        <v>3292</v>
      </c>
      <c r="C822">
        <v>8710</v>
      </c>
      <c r="D822" t="s">
        <v>6362</v>
      </c>
      <c r="E822" t="s">
        <v>6358</v>
      </c>
      <c r="F822" t="s">
        <v>6358</v>
      </c>
      <c r="G822" s="62">
        <v>5.8200000000000002E-2</v>
      </c>
      <c r="H822" s="63">
        <v>1</v>
      </c>
    </row>
    <row r="823" spans="1:8" x14ac:dyDescent="0.55000000000000004">
      <c r="A823" s="61" t="s">
        <v>6624</v>
      </c>
      <c r="B823" t="s">
        <v>3292</v>
      </c>
      <c r="C823">
        <v>8710</v>
      </c>
      <c r="D823" t="s">
        <v>6365</v>
      </c>
      <c r="E823" t="s">
        <v>6366</v>
      </c>
      <c r="F823" t="s">
        <v>6361</v>
      </c>
      <c r="G823" s="43">
        <v>0</v>
      </c>
      <c r="H823" s="63">
        <v>-0.1</v>
      </c>
    </row>
    <row r="824" spans="1:8" x14ac:dyDescent="0.55000000000000004">
      <c r="A824" s="61" t="s">
        <v>6625</v>
      </c>
      <c r="B824" t="s">
        <v>3292</v>
      </c>
      <c r="C824">
        <v>9101</v>
      </c>
      <c r="D824" t="s">
        <v>6359</v>
      </c>
      <c r="E824" t="s">
        <v>6367</v>
      </c>
      <c r="F824" t="s">
        <v>6361</v>
      </c>
      <c r="G824" s="43">
        <v>0</v>
      </c>
      <c r="H824" s="63">
        <v>1</v>
      </c>
    </row>
    <row r="825" spans="1:8" x14ac:dyDescent="0.55000000000000004">
      <c r="A825" s="61" t="s">
        <v>6625</v>
      </c>
      <c r="B825" t="s">
        <v>3292</v>
      </c>
      <c r="C825">
        <v>9101</v>
      </c>
      <c r="D825" t="s">
        <v>6362</v>
      </c>
      <c r="E825" t="s">
        <v>6358</v>
      </c>
      <c r="F825" t="s">
        <v>6358</v>
      </c>
      <c r="G825" s="43">
        <v>7.3400000000000007E-2</v>
      </c>
      <c r="H825" s="63">
        <v>1</v>
      </c>
    </row>
    <row r="826" spans="1:8" x14ac:dyDescent="0.55000000000000004">
      <c r="A826" s="61" t="s">
        <v>6626</v>
      </c>
      <c r="B826" t="s">
        <v>3292</v>
      </c>
      <c r="C826">
        <v>9110</v>
      </c>
      <c r="D826" t="s">
        <v>6359</v>
      </c>
      <c r="E826" t="s">
        <v>6367</v>
      </c>
      <c r="F826" t="s">
        <v>6361</v>
      </c>
      <c r="G826" s="43">
        <v>0</v>
      </c>
      <c r="H826" s="63">
        <v>0.9</v>
      </c>
    </row>
    <row r="827" spans="1:8" x14ac:dyDescent="0.55000000000000004">
      <c r="A827" s="61" t="s">
        <v>6626</v>
      </c>
      <c r="B827" t="s">
        <v>3292</v>
      </c>
      <c r="C827">
        <v>9110</v>
      </c>
      <c r="D827" t="s">
        <v>6363</v>
      </c>
      <c r="E827" t="s">
        <v>6364</v>
      </c>
      <c r="F827" t="s">
        <v>6361</v>
      </c>
      <c r="G827" s="43">
        <v>0</v>
      </c>
      <c r="H827" s="63">
        <v>0.1</v>
      </c>
    </row>
    <row r="828" spans="1:8" x14ac:dyDescent="0.55000000000000004">
      <c r="A828" s="61" t="s">
        <v>6626</v>
      </c>
      <c r="B828" t="s">
        <v>3292</v>
      </c>
      <c r="C828">
        <v>9110</v>
      </c>
      <c r="D828" t="s">
        <v>6362</v>
      </c>
      <c r="E828" t="s">
        <v>6358</v>
      </c>
      <c r="F828" t="s">
        <v>6358</v>
      </c>
      <c r="G828" s="62">
        <v>5.8200000000000002E-2</v>
      </c>
      <c r="H828" s="63">
        <v>1</v>
      </c>
    </row>
    <row r="829" spans="1:8" x14ac:dyDescent="0.55000000000000004">
      <c r="A829" s="61" t="s">
        <v>6626</v>
      </c>
      <c r="B829" t="s">
        <v>3292</v>
      </c>
      <c r="C829">
        <v>9110</v>
      </c>
      <c r="D829" t="s">
        <v>6365</v>
      </c>
      <c r="E829" t="s">
        <v>6366</v>
      </c>
      <c r="F829" t="s">
        <v>6361</v>
      </c>
      <c r="G829" s="43">
        <v>0</v>
      </c>
      <c r="H829" s="63">
        <v>-0.1</v>
      </c>
    </row>
    <row r="830" spans="1:8" x14ac:dyDescent="0.55000000000000004">
      <c r="A830" s="61" t="s">
        <v>6627</v>
      </c>
      <c r="B830" t="s">
        <v>3292</v>
      </c>
      <c r="C830">
        <v>9204</v>
      </c>
      <c r="D830" t="s">
        <v>6359</v>
      </c>
      <c r="E830" t="s">
        <v>6367</v>
      </c>
      <c r="F830" t="s">
        <v>6361</v>
      </c>
      <c r="G830" s="43">
        <v>0</v>
      </c>
      <c r="H830" s="63">
        <v>0.9</v>
      </c>
    </row>
    <row r="831" spans="1:8" x14ac:dyDescent="0.55000000000000004">
      <c r="A831" s="61" t="s">
        <v>6627</v>
      </c>
      <c r="B831" t="s">
        <v>3292</v>
      </c>
      <c r="C831">
        <v>9204</v>
      </c>
      <c r="D831" t="s">
        <v>6363</v>
      </c>
      <c r="E831" t="s">
        <v>6364</v>
      </c>
      <c r="F831" t="s">
        <v>6361</v>
      </c>
      <c r="G831" s="43">
        <v>0</v>
      </c>
      <c r="H831" s="63">
        <v>0.1</v>
      </c>
    </row>
    <row r="832" spans="1:8" x14ac:dyDescent="0.55000000000000004">
      <c r="A832" s="61" t="s">
        <v>6627</v>
      </c>
      <c r="B832" t="s">
        <v>3292</v>
      </c>
      <c r="C832">
        <v>9204</v>
      </c>
      <c r="D832" t="s">
        <v>6362</v>
      </c>
      <c r="E832" t="s">
        <v>6358</v>
      </c>
      <c r="F832" t="s">
        <v>6358</v>
      </c>
      <c r="G832" s="62">
        <v>5.8200000000000002E-2</v>
      </c>
      <c r="H832" s="63">
        <v>1</v>
      </c>
    </row>
    <row r="833" spans="1:8" x14ac:dyDescent="0.55000000000000004">
      <c r="A833" s="61" t="s">
        <v>6627</v>
      </c>
      <c r="B833" t="s">
        <v>3292</v>
      </c>
      <c r="C833">
        <v>9204</v>
      </c>
      <c r="D833" t="s">
        <v>6365</v>
      </c>
      <c r="E833" t="s">
        <v>6366</v>
      </c>
      <c r="F833" t="s">
        <v>6361</v>
      </c>
      <c r="G833" s="43">
        <v>0</v>
      </c>
      <c r="H833" s="63">
        <v>-0.1</v>
      </c>
    </row>
    <row r="834" spans="1:8" x14ac:dyDescent="0.55000000000000004">
      <c r="A834" s="61" t="s">
        <v>6628</v>
      </c>
      <c r="B834" t="s">
        <v>3292</v>
      </c>
      <c r="C834">
        <v>9310</v>
      </c>
      <c r="D834" t="s">
        <v>6359</v>
      </c>
      <c r="E834" t="s">
        <v>6367</v>
      </c>
      <c r="F834" t="s">
        <v>6361</v>
      </c>
      <c r="G834" s="43">
        <v>0</v>
      </c>
      <c r="H834" s="63">
        <v>0.9</v>
      </c>
    </row>
    <row r="835" spans="1:8" x14ac:dyDescent="0.55000000000000004">
      <c r="A835" s="61" t="s">
        <v>6628</v>
      </c>
      <c r="B835" t="s">
        <v>3292</v>
      </c>
      <c r="C835">
        <v>9310</v>
      </c>
      <c r="D835" t="s">
        <v>6363</v>
      </c>
      <c r="E835" t="s">
        <v>6364</v>
      </c>
      <c r="F835" t="s">
        <v>6361</v>
      </c>
      <c r="G835" s="43">
        <v>0</v>
      </c>
      <c r="H835" s="63">
        <v>0.1</v>
      </c>
    </row>
    <row r="836" spans="1:8" x14ac:dyDescent="0.55000000000000004">
      <c r="A836" s="61" t="s">
        <v>6628</v>
      </c>
      <c r="B836" t="s">
        <v>3292</v>
      </c>
      <c r="C836">
        <v>9310</v>
      </c>
      <c r="D836" t="s">
        <v>6362</v>
      </c>
      <c r="E836" t="s">
        <v>6358</v>
      </c>
      <c r="F836" t="s">
        <v>6358</v>
      </c>
      <c r="G836" s="62">
        <v>5.8200000000000002E-2</v>
      </c>
      <c r="H836" s="63">
        <v>1</v>
      </c>
    </row>
    <row r="837" spans="1:8" x14ac:dyDescent="0.55000000000000004">
      <c r="A837" s="61" t="s">
        <v>6628</v>
      </c>
      <c r="B837" t="s">
        <v>3292</v>
      </c>
      <c r="C837">
        <v>9310</v>
      </c>
      <c r="D837" t="s">
        <v>6365</v>
      </c>
      <c r="E837" t="s">
        <v>6366</v>
      </c>
      <c r="F837" t="s">
        <v>6361</v>
      </c>
      <c r="G837" s="43">
        <v>0</v>
      </c>
      <c r="H837" s="63">
        <v>-0.1</v>
      </c>
    </row>
    <row r="838" spans="1:8" x14ac:dyDescent="0.55000000000000004">
      <c r="A838" s="61" t="s">
        <v>6629</v>
      </c>
      <c r="B838" t="s">
        <v>1119</v>
      </c>
      <c r="C838">
        <v>8701</v>
      </c>
      <c r="D838" t="s">
        <v>6359</v>
      </c>
      <c r="E838" t="s">
        <v>6370</v>
      </c>
      <c r="F838" t="s">
        <v>6361</v>
      </c>
      <c r="G838" s="43">
        <v>0</v>
      </c>
      <c r="H838" s="63">
        <v>1</v>
      </c>
    </row>
    <row r="839" spans="1:8" x14ac:dyDescent="0.55000000000000004">
      <c r="A839" s="61" t="s">
        <v>6629</v>
      </c>
      <c r="B839" t="s">
        <v>1119</v>
      </c>
      <c r="C839">
        <v>8701</v>
      </c>
      <c r="D839" t="s">
        <v>6362</v>
      </c>
      <c r="E839" t="s">
        <v>6358</v>
      </c>
      <c r="F839" t="s">
        <v>6358</v>
      </c>
      <c r="G839" s="43">
        <v>5.5599999999999997E-2</v>
      </c>
      <c r="H839" s="63">
        <v>1</v>
      </c>
    </row>
    <row r="840" spans="1:8" x14ac:dyDescent="0.55000000000000004">
      <c r="A840" s="61" t="s">
        <v>6630</v>
      </c>
      <c r="B840" t="s">
        <v>1119</v>
      </c>
      <c r="C840">
        <v>8710</v>
      </c>
      <c r="D840" t="s">
        <v>6359</v>
      </c>
      <c r="E840" t="s">
        <v>6370</v>
      </c>
      <c r="F840" t="s">
        <v>6361</v>
      </c>
      <c r="G840" s="43">
        <v>0</v>
      </c>
      <c r="H840" s="63">
        <v>0.9</v>
      </c>
    </row>
    <row r="841" spans="1:8" x14ac:dyDescent="0.55000000000000004">
      <c r="A841" s="61" t="s">
        <v>6630</v>
      </c>
      <c r="B841" t="s">
        <v>1119</v>
      </c>
      <c r="C841">
        <v>8710</v>
      </c>
      <c r="D841" t="s">
        <v>6363</v>
      </c>
      <c r="E841" t="s">
        <v>6364</v>
      </c>
      <c r="F841" t="s">
        <v>6361</v>
      </c>
      <c r="G841" s="43">
        <v>0</v>
      </c>
      <c r="H841" s="63">
        <v>0.1</v>
      </c>
    </row>
    <row r="842" spans="1:8" x14ac:dyDescent="0.55000000000000004">
      <c r="A842" s="61" t="s">
        <v>6630</v>
      </c>
      <c r="B842" t="s">
        <v>1119</v>
      </c>
      <c r="C842">
        <v>8710</v>
      </c>
      <c r="D842" t="s">
        <v>6362</v>
      </c>
      <c r="E842" t="s">
        <v>6358</v>
      </c>
      <c r="F842" t="s">
        <v>6358</v>
      </c>
      <c r="G842" s="43">
        <v>7.3800000000000004E-2</v>
      </c>
      <c r="H842" s="63">
        <v>1</v>
      </c>
    </row>
    <row r="843" spans="1:8" x14ac:dyDescent="0.55000000000000004">
      <c r="A843" s="61" t="s">
        <v>6630</v>
      </c>
      <c r="B843" t="s">
        <v>1119</v>
      </c>
      <c r="C843">
        <v>8710</v>
      </c>
      <c r="D843" t="s">
        <v>6365</v>
      </c>
      <c r="E843" t="s">
        <v>6366</v>
      </c>
      <c r="F843" t="s">
        <v>6361</v>
      </c>
      <c r="G843" s="43">
        <v>0</v>
      </c>
      <c r="H843" s="63">
        <v>-0.1</v>
      </c>
    </row>
    <row r="844" spans="1:8" x14ac:dyDescent="0.55000000000000004">
      <c r="A844" s="61" t="s">
        <v>6631</v>
      </c>
      <c r="B844" t="s">
        <v>1119</v>
      </c>
      <c r="C844">
        <v>9101</v>
      </c>
      <c r="D844" t="s">
        <v>6359</v>
      </c>
      <c r="E844" t="s">
        <v>6371</v>
      </c>
      <c r="F844" t="s">
        <v>6361</v>
      </c>
      <c r="G844" s="43">
        <v>0</v>
      </c>
      <c r="H844" s="63">
        <v>1</v>
      </c>
    </row>
    <row r="845" spans="1:8" x14ac:dyDescent="0.55000000000000004">
      <c r="A845" s="61" t="s">
        <v>6631</v>
      </c>
      <c r="B845" t="s">
        <v>1119</v>
      </c>
      <c r="C845">
        <v>9101</v>
      </c>
      <c r="D845" t="s">
        <v>6362</v>
      </c>
      <c r="E845" t="s">
        <v>6358</v>
      </c>
      <c r="F845" t="s">
        <v>6358</v>
      </c>
      <c r="G845" s="43">
        <v>5.5599999999999997E-2</v>
      </c>
      <c r="H845" s="63">
        <v>1</v>
      </c>
    </row>
    <row r="846" spans="1:8" x14ac:dyDescent="0.55000000000000004">
      <c r="A846" s="61" t="s">
        <v>6632</v>
      </c>
      <c r="B846" t="s">
        <v>1119</v>
      </c>
      <c r="C846">
        <v>9204</v>
      </c>
      <c r="D846" t="s">
        <v>6359</v>
      </c>
      <c r="E846" t="s">
        <v>6371</v>
      </c>
      <c r="F846" t="s">
        <v>6361</v>
      </c>
      <c r="G846" s="43">
        <v>0</v>
      </c>
      <c r="H846" s="63">
        <v>0.9</v>
      </c>
    </row>
    <row r="847" spans="1:8" x14ac:dyDescent="0.55000000000000004">
      <c r="A847" s="61" t="s">
        <v>6632</v>
      </c>
      <c r="B847" t="s">
        <v>1119</v>
      </c>
      <c r="C847">
        <v>9204</v>
      </c>
      <c r="D847" t="s">
        <v>6363</v>
      </c>
      <c r="E847" t="s">
        <v>6364</v>
      </c>
      <c r="F847" t="s">
        <v>6361</v>
      </c>
      <c r="G847" s="43">
        <v>0</v>
      </c>
      <c r="H847" s="63">
        <v>0.1</v>
      </c>
    </row>
    <row r="848" spans="1:8" x14ac:dyDescent="0.55000000000000004">
      <c r="A848" s="61" t="s">
        <v>6632</v>
      </c>
      <c r="B848" t="s">
        <v>1119</v>
      </c>
      <c r="C848">
        <v>9204</v>
      </c>
      <c r="D848" t="s">
        <v>6362</v>
      </c>
      <c r="E848" t="s">
        <v>6358</v>
      </c>
      <c r="F848" t="s">
        <v>6358</v>
      </c>
      <c r="G848" s="43">
        <v>7.3800000000000004E-2</v>
      </c>
      <c r="H848" s="63">
        <v>1</v>
      </c>
    </row>
    <row r="849" spans="1:8" x14ac:dyDescent="0.55000000000000004">
      <c r="A849" s="61" t="s">
        <v>6632</v>
      </c>
      <c r="B849" t="s">
        <v>1119</v>
      </c>
      <c r="C849">
        <v>9204</v>
      </c>
      <c r="D849" t="s">
        <v>6365</v>
      </c>
      <c r="E849" t="s">
        <v>6366</v>
      </c>
      <c r="F849" t="s">
        <v>6361</v>
      </c>
      <c r="G849" s="43">
        <v>0</v>
      </c>
      <c r="H849" s="63">
        <v>-0.1</v>
      </c>
    </row>
    <row r="850" spans="1:8" x14ac:dyDescent="0.55000000000000004">
      <c r="A850" s="61" t="s">
        <v>6633</v>
      </c>
      <c r="B850" t="s">
        <v>1119</v>
      </c>
      <c r="C850">
        <v>9310</v>
      </c>
      <c r="D850" t="s">
        <v>6359</v>
      </c>
      <c r="E850" t="s">
        <v>6371</v>
      </c>
      <c r="F850" t="s">
        <v>6361</v>
      </c>
      <c r="G850" s="43">
        <v>0</v>
      </c>
      <c r="H850" s="63">
        <v>0.9</v>
      </c>
    </row>
    <row r="851" spans="1:8" x14ac:dyDescent="0.55000000000000004">
      <c r="A851" s="61" t="s">
        <v>6633</v>
      </c>
      <c r="B851" t="s">
        <v>1119</v>
      </c>
      <c r="C851">
        <v>9310</v>
      </c>
      <c r="D851" t="s">
        <v>6363</v>
      </c>
      <c r="E851" t="s">
        <v>6364</v>
      </c>
      <c r="F851" t="s">
        <v>6361</v>
      </c>
      <c r="G851" s="43">
        <v>0</v>
      </c>
      <c r="H851" s="63">
        <v>0.1</v>
      </c>
    </row>
    <row r="852" spans="1:8" x14ac:dyDescent="0.55000000000000004">
      <c r="A852" s="61" t="s">
        <v>6633</v>
      </c>
      <c r="B852" t="s">
        <v>1119</v>
      </c>
      <c r="C852">
        <v>9310</v>
      </c>
      <c r="D852" t="s">
        <v>6362</v>
      </c>
      <c r="E852" t="s">
        <v>6358</v>
      </c>
      <c r="F852" t="s">
        <v>6358</v>
      </c>
      <c r="G852" s="43">
        <v>7.3800000000000004E-2</v>
      </c>
      <c r="H852" s="63">
        <v>1</v>
      </c>
    </row>
    <row r="853" spans="1:8" x14ac:dyDescent="0.55000000000000004">
      <c r="A853" s="61" t="s">
        <v>6633</v>
      </c>
      <c r="B853" t="s">
        <v>1119</v>
      </c>
      <c r="C853">
        <v>9310</v>
      </c>
      <c r="D853" t="s">
        <v>6365</v>
      </c>
      <c r="E853" t="s">
        <v>6366</v>
      </c>
      <c r="F853" t="s">
        <v>6361</v>
      </c>
      <c r="G853" s="43">
        <v>0</v>
      </c>
      <c r="H853" s="63">
        <v>-0.1</v>
      </c>
    </row>
    <row r="854" spans="1:8" x14ac:dyDescent="0.55000000000000004">
      <c r="A854" s="61" t="s">
        <v>6634</v>
      </c>
      <c r="B854" t="s">
        <v>1308</v>
      </c>
      <c r="C854">
        <v>8701</v>
      </c>
      <c r="D854" t="s">
        <v>6359</v>
      </c>
      <c r="E854" t="s">
        <v>6360</v>
      </c>
      <c r="F854" t="s">
        <v>6361</v>
      </c>
      <c r="G854" s="43">
        <v>0</v>
      </c>
      <c r="H854" s="63">
        <v>1</v>
      </c>
    </row>
    <row r="855" spans="1:8" x14ac:dyDescent="0.55000000000000004">
      <c r="A855" s="61" t="s">
        <v>6634</v>
      </c>
      <c r="B855" t="s">
        <v>1308</v>
      </c>
      <c r="C855">
        <v>8701</v>
      </c>
      <c r="D855" t="s">
        <v>6362</v>
      </c>
      <c r="E855" t="s">
        <v>6358</v>
      </c>
      <c r="F855" t="s">
        <v>6358</v>
      </c>
      <c r="G855" s="43">
        <v>0.12790000000000001</v>
      </c>
      <c r="H855" s="63">
        <v>1</v>
      </c>
    </row>
    <row r="856" spans="1:8" x14ac:dyDescent="0.55000000000000004">
      <c r="A856" s="61" t="s">
        <v>6635</v>
      </c>
      <c r="B856" t="s">
        <v>1308</v>
      </c>
      <c r="C856">
        <v>8710</v>
      </c>
      <c r="D856" t="s">
        <v>6359</v>
      </c>
      <c r="E856" t="s">
        <v>6360</v>
      </c>
      <c r="F856" t="s">
        <v>6361</v>
      </c>
      <c r="G856" s="43">
        <v>0</v>
      </c>
      <c r="H856" s="63">
        <v>0.9</v>
      </c>
    </row>
    <row r="857" spans="1:8" x14ac:dyDescent="0.55000000000000004">
      <c r="A857" s="61" t="s">
        <v>6635</v>
      </c>
      <c r="B857" t="s">
        <v>1308</v>
      </c>
      <c r="C857">
        <v>8710</v>
      </c>
      <c r="D857" t="s">
        <v>6363</v>
      </c>
      <c r="E857" t="s">
        <v>6364</v>
      </c>
      <c r="F857" t="s">
        <v>6361</v>
      </c>
      <c r="G857" s="43">
        <v>0</v>
      </c>
      <c r="H857" s="63">
        <v>0.1</v>
      </c>
    </row>
    <row r="858" spans="1:8" x14ac:dyDescent="0.55000000000000004">
      <c r="A858" s="61" t="s">
        <v>6635</v>
      </c>
      <c r="B858" t="s">
        <v>1308</v>
      </c>
      <c r="C858">
        <v>8710</v>
      </c>
      <c r="D858" t="s">
        <v>6362</v>
      </c>
      <c r="E858" t="s">
        <v>6358</v>
      </c>
      <c r="F858" t="s">
        <v>6358</v>
      </c>
      <c r="G858" s="62">
        <v>0.10730000000000001</v>
      </c>
      <c r="H858" s="63">
        <v>1</v>
      </c>
    </row>
    <row r="859" spans="1:8" x14ac:dyDescent="0.55000000000000004">
      <c r="A859" s="61" t="s">
        <v>6635</v>
      </c>
      <c r="B859" t="s">
        <v>1308</v>
      </c>
      <c r="C859">
        <v>8710</v>
      </c>
      <c r="D859" t="s">
        <v>6365</v>
      </c>
      <c r="E859" t="s">
        <v>6366</v>
      </c>
      <c r="F859" t="s">
        <v>6361</v>
      </c>
      <c r="G859" s="43">
        <v>0</v>
      </c>
      <c r="H859" s="63">
        <v>-0.1</v>
      </c>
    </row>
    <row r="860" spans="1:8" x14ac:dyDescent="0.55000000000000004">
      <c r="A860" s="61" t="s">
        <v>6636</v>
      </c>
      <c r="B860" t="s">
        <v>1308</v>
      </c>
      <c r="C860">
        <v>9101</v>
      </c>
      <c r="D860" t="s">
        <v>6359</v>
      </c>
      <c r="E860" t="s">
        <v>6367</v>
      </c>
      <c r="F860" t="s">
        <v>6361</v>
      </c>
      <c r="G860" s="43">
        <v>0</v>
      </c>
      <c r="H860" s="63">
        <v>1</v>
      </c>
    </row>
    <row r="861" spans="1:8" x14ac:dyDescent="0.55000000000000004">
      <c r="A861" s="61" t="s">
        <v>6636</v>
      </c>
      <c r="B861" t="s">
        <v>1308</v>
      </c>
      <c r="C861">
        <v>9101</v>
      </c>
      <c r="D861" t="s">
        <v>6362</v>
      </c>
      <c r="E861" t="s">
        <v>6358</v>
      </c>
      <c r="F861" t="s">
        <v>6358</v>
      </c>
      <c r="G861" s="43">
        <v>0.12790000000000001</v>
      </c>
      <c r="H861" s="63">
        <v>1</v>
      </c>
    </row>
    <row r="862" spans="1:8" x14ac:dyDescent="0.55000000000000004">
      <c r="A862" s="61" t="s">
        <v>6637</v>
      </c>
      <c r="B862" t="s">
        <v>1308</v>
      </c>
      <c r="C862">
        <v>9110</v>
      </c>
      <c r="D862" t="s">
        <v>6359</v>
      </c>
      <c r="E862" t="s">
        <v>6367</v>
      </c>
      <c r="F862" t="s">
        <v>6361</v>
      </c>
      <c r="G862" s="43">
        <v>0</v>
      </c>
      <c r="H862" s="63">
        <v>0.9</v>
      </c>
    </row>
    <row r="863" spans="1:8" x14ac:dyDescent="0.55000000000000004">
      <c r="A863" s="61" t="s">
        <v>6637</v>
      </c>
      <c r="B863" t="s">
        <v>1308</v>
      </c>
      <c r="C863">
        <v>9110</v>
      </c>
      <c r="D863" t="s">
        <v>6363</v>
      </c>
      <c r="E863" t="s">
        <v>6364</v>
      </c>
      <c r="F863" t="s">
        <v>6361</v>
      </c>
      <c r="G863" s="43">
        <v>0</v>
      </c>
      <c r="H863" s="63">
        <v>0.1</v>
      </c>
    </row>
    <row r="864" spans="1:8" x14ac:dyDescent="0.55000000000000004">
      <c r="A864" s="61" t="s">
        <v>6637</v>
      </c>
      <c r="B864" t="s">
        <v>1308</v>
      </c>
      <c r="C864">
        <v>9110</v>
      </c>
      <c r="D864" t="s">
        <v>6362</v>
      </c>
      <c r="E864" t="s">
        <v>6358</v>
      </c>
      <c r="F864" t="s">
        <v>6358</v>
      </c>
      <c r="G864" s="62">
        <v>0.10730000000000001</v>
      </c>
      <c r="H864" s="63">
        <v>1</v>
      </c>
    </row>
    <row r="865" spans="1:8" x14ac:dyDescent="0.55000000000000004">
      <c r="A865" s="61" t="s">
        <v>6637</v>
      </c>
      <c r="B865" t="s">
        <v>1308</v>
      </c>
      <c r="C865">
        <v>9110</v>
      </c>
      <c r="D865" t="s">
        <v>6365</v>
      </c>
      <c r="E865" t="s">
        <v>6366</v>
      </c>
      <c r="F865" t="s">
        <v>6361</v>
      </c>
      <c r="G865" s="43">
        <v>0</v>
      </c>
      <c r="H865" s="63">
        <v>-0.1</v>
      </c>
    </row>
    <row r="866" spans="1:8" x14ac:dyDescent="0.55000000000000004">
      <c r="A866" s="61" t="s">
        <v>6638</v>
      </c>
      <c r="B866" t="s">
        <v>1308</v>
      </c>
      <c r="C866">
        <v>9310</v>
      </c>
      <c r="D866" t="s">
        <v>6359</v>
      </c>
      <c r="E866" t="s">
        <v>6367</v>
      </c>
      <c r="F866" t="s">
        <v>6361</v>
      </c>
      <c r="G866" s="43">
        <v>0</v>
      </c>
      <c r="H866" s="63">
        <v>0.9</v>
      </c>
    </row>
    <row r="867" spans="1:8" x14ac:dyDescent="0.55000000000000004">
      <c r="A867" s="61" t="s">
        <v>6638</v>
      </c>
      <c r="B867" t="s">
        <v>1308</v>
      </c>
      <c r="C867">
        <v>9310</v>
      </c>
      <c r="D867" t="s">
        <v>6363</v>
      </c>
      <c r="E867" t="s">
        <v>6364</v>
      </c>
      <c r="F867" t="s">
        <v>6361</v>
      </c>
      <c r="G867" s="43">
        <v>0</v>
      </c>
      <c r="H867" s="63">
        <v>0.1</v>
      </c>
    </row>
    <row r="868" spans="1:8" x14ac:dyDescent="0.55000000000000004">
      <c r="A868" s="61" t="s">
        <v>6638</v>
      </c>
      <c r="B868" t="s">
        <v>1308</v>
      </c>
      <c r="C868">
        <v>9310</v>
      </c>
      <c r="D868" t="s">
        <v>6362</v>
      </c>
      <c r="E868" t="s">
        <v>6358</v>
      </c>
      <c r="F868" t="s">
        <v>6358</v>
      </c>
      <c r="G868" s="62">
        <v>0.10730000000000001</v>
      </c>
      <c r="H868" s="63">
        <v>1</v>
      </c>
    </row>
    <row r="869" spans="1:8" x14ac:dyDescent="0.55000000000000004">
      <c r="A869" s="61" t="s">
        <v>6638</v>
      </c>
      <c r="B869" t="s">
        <v>1308</v>
      </c>
      <c r="C869">
        <v>9310</v>
      </c>
      <c r="D869" t="s">
        <v>6365</v>
      </c>
      <c r="E869" t="s">
        <v>6366</v>
      </c>
      <c r="F869" t="s">
        <v>6361</v>
      </c>
      <c r="G869" s="43">
        <v>0</v>
      </c>
      <c r="H869" s="63">
        <v>-0.1</v>
      </c>
    </row>
    <row r="870" spans="1:8" x14ac:dyDescent="0.55000000000000004">
      <c r="A870" s="61" t="s">
        <v>6639</v>
      </c>
      <c r="B870" t="s">
        <v>2663</v>
      </c>
      <c r="C870">
        <v>8701</v>
      </c>
      <c r="D870" t="s">
        <v>6359</v>
      </c>
      <c r="E870" t="s">
        <v>6360</v>
      </c>
      <c r="F870" t="s">
        <v>6361</v>
      </c>
      <c r="G870" s="43">
        <v>0</v>
      </c>
      <c r="H870" s="63">
        <v>1</v>
      </c>
    </row>
    <row r="871" spans="1:8" x14ac:dyDescent="0.55000000000000004">
      <c r="A871" s="61" t="s">
        <v>6639</v>
      </c>
      <c r="B871" t="s">
        <v>2663</v>
      </c>
      <c r="C871">
        <v>8701</v>
      </c>
      <c r="D871" t="s">
        <v>6362</v>
      </c>
      <c r="E871" t="s">
        <v>6358</v>
      </c>
      <c r="F871" t="s">
        <v>6358</v>
      </c>
      <c r="G871" s="43">
        <v>6.6199999999999995E-2</v>
      </c>
      <c r="H871" s="63">
        <v>1</v>
      </c>
    </row>
    <row r="872" spans="1:8" x14ac:dyDescent="0.55000000000000004">
      <c r="A872" s="61" t="s">
        <v>6640</v>
      </c>
      <c r="B872" t="s">
        <v>2663</v>
      </c>
      <c r="C872">
        <v>8710</v>
      </c>
      <c r="D872" t="s">
        <v>6359</v>
      </c>
      <c r="E872" t="s">
        <v>6360</v>
      </c>
      <c r="F872" t="s">
        <v>6361</v>
      </c>
      <c r="G872" s="43">
        <v>0</v>
      </c>
      <c r="H872" s="63">
        <v>0.9</v>
      </c>
    </row>
    <row r="873" spans="1:8" x14ac:dyDescent="0.55000000000000004">
      <c r="A873" s="61" t="s">
        <v>6640</v>
      </c>
      <c r="B873" t="s">
        <v>2663</v>
      </c>
      <c r="C873">
        <v>8710</v>
      </c>
      <c r="D873" t="s">
        <v>6363</v>
      </c>
      <c r="E873" t="s">
        <v>6364</v>
      </c>
      <c r="F873" t="s">
        <v>6361</v>
      </c>
      <c r="G873" s="43">
        <v>0</v>
      </c>
      <c r="H873" s="63">
        <v>0.1</v>
      </c>
    </row>
    <row r="874" spans="1:8" x14ac:dyDescent="0.55000000000000004">
      <c r="A874" s="61" t="s">
        <v>6640</v>
      </c>
      <c r="B874" t="s">
        <v>2663</v>
      </c>
      <c r="C874">
        <v>8710</v>
      </c>
      <c r="D874" t="s">
        <v>6362</v>
      </c>
      <c r="E874" t="s">
        <v>6358</v>
      </c>
      <c r="F874" t="s">
        <v>6358</v>
      </c>
      <c r="G874" s="43">
        <v>7.2099999999999997E-2</v>
      </c>
      <c r="H874" s="63">
        <v>1</v>
      </c>
    </row>
    <row r="875" spans="1:8" x14ac:dyDescent="0.55000000000000004">
      <c r="A875" s="61" t="s">
        <v>6640</v>
      </c>
      <c r="B875" t="s">
        <v>2663</v>
      </c>
      <c r="C875">
        <v>8710</v>
      </c>
      <c r="D875" t="s">
        <v>6365</v>
      </c>
      <c r="E875" t="s">
        <v>6366</v>
      </c>
      <c r="F875" t="s">
        <v>6361</v>
      </c>
      <c r="G875" s="43">
        <v>0</v>
      </c>
      <c r="H875" s="63">
        <v>-0.1</v>
      </c>
    </row>
    <row r="876" spans="1:8" x14ac:dyDescent="0.55000000000000004">
      <c r="A876" s="61" t="s">
        <v>6641</v>
      </c>
      <c r="B876" t="s">
        <v>2663</v>
      </c>
      <c r="C876">
        <v>9101</v>
      </c>
      <c r="D876" t="s">
        <v>6359</v>
      </c>
      <c r="E876" t="s">
        <v>6367</v>
      </c>
      <c r="F876" t="s">
        <v>6361</v>
      </c>
      <c r="G876" s="43">
        <v>0</v>
      </c>
      <c r="H876" s="63">
        <v>1</v>
      </c>
    </row>
    <row r="877" spans="1:8" x14ac:dyDescent="0.55000000000000004">
      <c r="A877" s="61" t="s">
        <v>6641</v>
      </c>
      <c r="B877" t="s">
        <v>2663</v>
      </c>
      <c r="C877">
        <v>9101</v>
      </c>
      <c r="D877" t="s">
        <v>6362</v>
      </c>
      <c r="E877" t="s">
        <v>6367</v>
      </c>
      <c r="F877" t="s">
        <v>6358</v>
      </c>
      <c r="G877" s="43">
        <v>6.6199999999999995E-2</v>
      </c>
      <c r="H877" s="63">
        <v>1</v>
      </c>
    </row>
    <row r="878" spans="1:8" x14ac:dyDescent="0.55000000000000004">
      <c r="A878" s="61" t="s">
        <v>6642</v>
      </c>
      <c r="B878" t="s">
        <v>2663</v>
      </c>
      <c r="C878">
        <v>9110</v>
      </c>
      <c r="D878" t="s">
        <v>6359</v>
      </c>
      <c r="E878" t="s">
        <v>6367</v>
      </c>
      <c r="F878" t="s">
        <v>6361</v>
      </c>
      <c r="G878" s="43">
        <v>0</v>
      </c>
      <c r="H878" s="63">
        <v>0.9</v>
      </c>
    </row>
    <row r="879" spans="1:8" x14ac:dyDescent="0.55000000000000004">
      <c r="A879" s="61" t="s">
        <v>6642</v>
      </c>
      <c r="B879" t="s">
        <v>2663</v>
      </c>
      <c r="C879">
        <v>9110</v>
      </c>
      <c r="D879" t="s">
        <v>6363</v>
      </c>
      <c r="E879" t="s">
        <v>6364</v>
      </c>
      <c r="F879" t="s">
        <v>6361</v>
      </c>
      <c r="G879" s="43">
        <v>0</v>
      </c>
      <c r="H879" s="63">
        <v>0.1</v>
      </c>
    </row>
    <row r="880" spans="1:8" x14ac:dyDescent="0.55000000000000004">
      <c r="A880" s="61" t="s">
        <v>6642</v>
      </c>
      <c r="B880" t="s">
        <v>2663</v>
      </c>
      <c r="C880">
        <v>9110</v>
      </c>
      <c r="D880" t="s">
        <v>6362</v>
      </c>
      <c r="E880" t="s">
        <v>6358</v>
      </c>
      <c r="F880" t="s">
        <v>6358</v>
      </c>
      <c r="G880" s="43">
        <v>7.2099999999999997E-2</v>
      </c>
      <c r="H880" s="63">
        <v>1</v>
      </c>
    </row>
    <row r="881" spans="1:8" x14ac:dyDescent="0.55000000000000004">
      <c r="A881" s="61" t="s">
        <v>6642</v>
      </c>
      <c r="B881" t="s">
        <v>2663</v>
      </c>
      <c r="C881">
        <v>9110</v>
      </c>
      <c r="D881" t="s">
        <v>6365</v>
      </c>
      <c r="E881" t="s">
        <v>6366</v>
      </c>
      <c r="F881" t="s">
        <v>6361</v>
      </c>
      <c r="G881" s="43">
        <v>0</v>
      </c>
      <c r="H881" s="63">
        <v>-0.1</v>
      </c>
    </row>
    <row r="882" spans="1:8" x14ac:dyDescent="0.55000000000000004">
      <c r="A882" s="61" t="s">
        <v>6643</v>
      </c>
      <c r="B882" t="s">
        <v>2663</v>
      </c>
      <c r="C882">
        <v>9204</v>
      </c>
      <c r="D882" t="s">
        <v>6359</v>
      </c>
      <c r="E882" t="s">
        <v>6367</v>
      </c>
      <c r="F882" t="s">
        <v>6361</v>
      </c>
      <c r="G882" s="43">
        <v>0</v>
      </c>
      <c r="H882" s="63">
        <v>0.9</v>
      </c>
    </row>
    <row r="883" spans="1:8" x14ac:dyDescent="0.55000000000000004">
      <c r="A883" s="61" t="s">
        <v>6643</v>
      </c>
      <c r="B883" t="s">
        <v>2663</v>
      </c>
      <c r="C883">
        <v>9204</v>
      </c>
      <c r="D883" t="s">
        <v>6363</v>
      </c>
      <c r="E883" t="s">
        <v>6364</v>
      </c>
      <c r="F883" t="s">
        <v>6361</v>
      </c>
      <c r="G883" s="43">
        <v>0</v>
      </c>
      <c r="H883" s="63">
        <v>0.1</v>
      </c>
    </row>
    <row r="884" spans="1:8" x14ac:dyDescent="0.55000000000000004">
      <c r="A884" s="61" t="s">
        <v>6643</v>
      </c>
      <c r="B884" t="s">
        <v>2663</v>
      </c>
      <c r="C884">
        <v>9204</v>
      </c>
      <c r="D884" t="s">
        <v>6362</v>
      </c>
      <c r="E884" t="s">
        <v>6358</v>
      </c>
      <c r="F884" t="s">
        <v>6358</v>
      </c>
      <c r="G884" s="43">
        <v>7.2099999999999997E-2</v>
      </c>
      <c r="H884" s="63">
        <v>1</v>
      </c>
    </row>
    <row r="885" spans="1:8" x14ac:dyDescent="0.55000000000000004">
      <c r="A885" s="61" t="s">
        <v>6643</v>
      </c>
      <c r="B885" t="s">
        <v>2663</v>
      </c>
      <c r="C885">
        <v>9204</v>
      </c>
      <c r="D885" t="s">
        <v>6365</v>
      </c>
      <c r="E885" t="s">
        <v>6366</v>
      </c>
      <c r="F885" t="s">
        <v>6361</v>
      </c>
      <c r="G885" s="43">
        <v>0</v>
      </c>
      <c r="H885" s="63">
        <v>-0.1</v>
      </c>
    </row>
    <row r="886" spans="1:8" x14ac:dyDescent="0.55000000000000004">
      <c r="A886" s="61" t="s">
        <v>6644</v>
      </c>
      <c r="B886" t="s">
        <v>2663</v>
      </c>
      <c r="C886">
        <v>9310</v>
      </c>
      <c r="D886" t="s">
        <v>6359</v>
      </c>
      <c r="E886" t="s">
        <v>6367</v>
      </c>
      <c r="F886" t="s">
        <v>6361</v>
      </c>
      <c r="G886" s="43">
        <v>0</v>
      </c>
      <c r="H886" s="63">
        <v>0.9</v>
      </c>
    </row>
    <row r="887" spans="1:8" x14ac:dyDescent="0.55000000000000004">
      <c r="A887" s="61" t="s">
        <v>6644</v>
      </c>
      <c r="B887" t="s">
        <v>2663</v>
      </c>
      <c r="C887">
        <v>9310</v>
      </c>
      <c r="D887" t="s">
        <v>6363</v>
      </c>
      <c r="E887" t="s">
        <v>6364</v>
      </c>
      <c r="F887" t="s">
        <v>6361</v>
      </c>
      <c r="G887" s="43">
        <v>0</v>
      </c>
      <c r="H887" s="63">
        <v>0.1</v>
      </c>
    </row>
    <row r="888" spans="1:8" x14ac:dyDescent="0.55000000000000004">
      <c r="A888" s="61" t="s">
        <v>6644</v>
      </c>
      <c r="B888" t="s">
        <v>2663</v>
      </c>
      <c r="C888">
        <v>9310</v>
      </c>
      <c r="D888" t="s">
        <v>6362</v>
      </c>
      <c r="E888" t="s">
        <v>6358</v>
      </c>
      <c r="F888" t="s">
        <v>6358</v>
      </c>
      <c r="G888" s="43">
        <v>7.2099999999999997E-2</v>
      </c>
      <c r="H888" s="63">
        <v>1</v>
      </c>
    </row>
    <row r="889" spans="1:8" x14ac:dyDescent="0.55000000000000004">
      <c r="A889" s="61" t="s">
        <v>6644</v>
      </c>
      <c r="B889" t="s">
        <v>2663</v>
      </c>
      <c r="C889">
        <v>9310</v>
      </c>
      <c r="D889" t="s">
        <v>6365</v>
      </c>
      <c r="E889" t="s">
        <v>6366</v>
      </c>
      <c r="F889" t="s">
        <v>6361</v>
      </c>
      <c r="G889" s="43">
        <v>0</v>
      </c>
      <c r="H889" s="63">
        <v>-0.1</v>
      </c>
    </row>
    <row r="890" spans="1:8" x14ac:dyDescent="0.55000000000000004">
      <c r="A890" s="61" t="s">
        <v>6645</v>
      </c>
      <c r="B890" t="s">
        <v>735</v>
      </c>
      <c r="C890">
        <v>8502</v>
      </c>
      <c r="D890" t="s">
        <v>6359</v>
      </c>
      <c r="E890" t="s">
        <v>6360</v>
      </c>
      <c r="F890" t="s">
        <v>6361</v>
      </c>
      <c r="G890" s="43">
        <v>0</v>
      </c>
      <c r="H890" s="63">
        <v>0.9</v>
      </c>
    </row>
    <row r="891" spans="1:8" x14ac:dyDescent="0.55000000000000004">
      <c r="A891" s="61" t="s">
        <v>6645</v>
      </c>
      <c r="B891" t="s">
        <v>735</v>
      </c>
      <c r="C891">
        <v>8502</v>
      </c>
      <c r="D891" t="s">
        <v>6363</v>
      </c>
      <c r="E891" t="s">
        <v>6364</v>
      </c>
      <c r="F891" t="s">
        <v>6361</v>
      </c>
      <c r="G891" s="43">
        <v>0</v>
      </c>
      <c r="H891" s="63">
        <v>0.1</v>
      </c>
    </row>
    <row r="892" spans="1:8" x14ac:dyDescent="0.55000000000000004">
      <c r="A892" s="61" t="s">
        <v>6645</v>
      </c>
      <c r="B892" t="s">
        <v>735</v>
      </c>
      <c r="C892">
        <v>8502</v>
      </c>
      <c r="D892" t="s">
        <v>6362</v>
      </c>
      <c r="E892" t="s">
        <v>6358</v>
      </c>
      <c r="F892" t="s">
        <v>6358</v>
      </c>
      <c r="G892" s="43">
        <v>8.3599999999999994E-2</v>
      </c>
      <c r="H892" s="63">
        <v>1</v>
      </c>
    </row>
    <row r="893" spans="1:8" x14ac:dyDescent="0.55000000000000004">
      <c r="A893" s="61" t="s">
        <v>6645</v>
      </c>
      <c r="B893" t="s">
        <v>735</v>
      </c>
      <c r="C893">
        <v>8502</v>
      </c>
      <c r="D893" t="s">
        <v>6365</v>
      </c>
      <c r="E893" t="s">
        <v>6366</v>
      </c>
      <c r="F893" t="s">
        <v>6361</v>
      </c>
      <c r="G893" s="43">
        <v>0</v>
      </c>
      <c r="H893" s="63">
        <v>-0.1</v>
      </c>
    </row>
    <row r="894" spans="1:8" x14ac:dyDescent="0.55000000000000004">
      <c r="A894" s="61" t="s">
        <v>6646</v>
      </c>
      <c r="B894" t="s">
        <v>735</v>
      </c>
      <c r="C894">
        <v>8510</v>
      </c>
      <c r="D894" t="s">
        <v>6359</v>
      </c>
      <c r="E894" t="s">
        <v>6360</v>
      </c>
      <c r="F894" t="s">
        <v>6361</v>
      </c>
      <c r="G894" s="43">
        <v>0</v>
      </c>
      <c r="H894" s="63">
        <v>0.9</v>
      </c>
    </row>
    <row r="895" spans="1:8" x14ac:dyDescent="0.55000000000000004">
      <c r="A895" s="61" t="s">
        <v>6646</v>
      </c>
      <c r="B895" t="s">
        <v>735</v>
      </c>
      <c r="C895">
        <v>8510</v>
      </c>
      <c r="D895" t="s">
        <v>6363</v>
      </c>
      <c r="E895" t="s">
        <v>6364</v>
      </c>
      <c r="F895" t="s">
        <v>6361</v>
      </c>
      <c r="G895" s="43">
        <v>0</v>
      </c>
      <c r="H895" s="63">
        <v>0.1</v>
      </c>
    </row>
    <row r="896" spans="1:8" x14ac:dyDescent="0.55000000000000004">
      <c r="A896" s="61" t="s">
        <v>6646</v>
      </c>
      <c r="B896" t="s">
        <v>735</v>
      </c>
      <c r="C896">
        <v>8510</v>
      </c>
      <c r="D896" t="s">
        <v>6362</v>
      </c>
      <c r="E896" t="s">
        <v>6358</v>
      </c>
      <c r="F896" t="s">
        <v>6358</v>
      </c>
      <c r="G896" s="43">
        <v>8.3599999999999994E-2</v>
      </c>
      <c r="H896" s="63">
        <v>1</v>
      </c>
    </row>
    <row r="897" spans="1:8" x14ac:dyDescent="0.55000000000000004">
      <c r="A897" s="61" t="s">
        <v>6646</v>
      </c>
      <c r="B897" t="s">
        <v>735</v>
      </c>
      <c r="C897">
        <v>8510</v>
      </c>
      <c r="D897" t="s">
        <v>6365</v>
      </c>
      <c r="E897" t="s">
        <v>6366</v>
      </c>
      <c r="F897" t="s">
        <v>6361</v>
      </c>
      <c r="G897" s="43">
        <v>0</v>
      </c>
      <c r="H897" s="63">
        <v>-0.1</v>
      </c>
    </row>
    <row r="898" spans="1:8" x14ac:dyDescent="0.55000000000000004">
      <c r="A898" s="61" t="s">
        <v>6647</v>
      </c>
      <c r="B898" t="s">
        <v>735</v>
      </c>
      <c r="C898">
        <v>8708</v>
      </c>
      <c r="D898" t="s">
        <v>6359</v>
      </c>
      <c r="E898" t="s">
        <v>6360</v>
      </c>
      <c r="F898" t="s">
        <v>6361</v>
      </c>
      <c r="G898" s="43">
        <v>0</v>
      </c>
      <c r="H898" s="63">
        <v>0.9</v>
      </c>
    </row>
    <row r="899" spans="1:8" x14ac:dyDescent="0.55000000000000004">
      <c r="A899" s="61" t="s">
        <v>6647</v>
      </c>
      <c r="B899" t="s">
        <v>735</v>
      </c>
      <c r="C899">
        <v>8708</v>
      </c>
      <c r="D899" t="s">
        <v>6363</v>
      </c>
      <c r="E899" t="s">
        <v>6364</v>
      </c>
      <c r="F899" t="s">
        <v>6361</v>
      </c>
      <c r="G899" s="43">
        <v>0</v>
      </c>
      <c r="H899" s="63">
        <v>0.1</v>
      </c>
    </row>
    <row r="900" spans="1:8" x14ac:dyDescent="0.55000000000000004">
      <c r="A900" s="61" t="s">
        <v>6647</v>
      </c>
      <c r="B900" t="s">
        <v>735</v>
      </c>
      <c r="C900">
        <v>8708</v>
      </c>
      <c r="D900" t="s">
        <v>6362</v>
      </c>
      <c r="E900" t="s">
        <v>6358</v>
      </c>
      <c r="F900" t="s">
        <v>6358</v>
      </c>
      <c r="G900" s="43">
        <v>8.3599999999999994E-2</v>
      </c>
      <c r="H900" s="63">
        <v>1</v>
      </c>
    </row>
    <row r="901" spans="1:8" x14ac:dyDescent="0.55000000000000004">
      <c r="A901" s="61" t="s">
        <v>6647</v>
      </c>
      <c r="B901" t="s">
        <v>735</v>
      </c>
      <c r="C901">
        <v>8708</v>
      </c>
      <c r="D901" t="s">
        <v>6365</v>
      </c>
      <c r="E901" t="s">
        <v>6366</v>
      </c>
      <c r="F901" t="s">
        <v>6361</v>
      </c>
      <c r="G901" s="43">
        <v>0</v>
      </c>
      <c r="H901" s="63">
        <v>-0.1</v>
      </c>
    </row>
    <row r="902" spans="1:8" x14ac:dyDescent="0.55000000000000004">
      <c r="A902" s="61" t="s">
        <v>6648</v>
      </c>
      <c r="B902" t="s">
        <v>735</v>
      </c>
      <c r="C902">
        <v>8710</v>
      </c>
      <c r="D902" t="s">
        <v>6359</v>
      </c>
      <c r="E902" t="s">
        <v>6360</v>
      </c>
      <c r="F902" t="s">
        <v>6361</v>
      </c>
      <c r="G902" s="43">
        <v>0</v>
      </c>
      <c r="H902" s="63">
        <v>0.9</v>
      </c>
    </row>
    <row r="903" spans="1:8" x14ac:dyDescent="0.55000000000000004">
      <c r="A903" s="61" t="s">
        <v>6648</v>
      </c>
      <c r="B903" t="s">
        <v>735</v>
      </c>
      <c r="C903">
        <v>8710</v>
      </c>
      <c r="D903" t="s">
        <v>6363</v>
      </c>
      <c r="E903" t="s">
        <v>6364</v>
      </c>
      <c r="F903" t="s">
        <v>6361</v>
      </c>
      <c r="G903" s="43">
        <v>0</v>
      </c>
      <c r="H903" s="63">
        <v>0.1</v>
      </c>
    </row>
    <row r="904" spans="1:8" x14ac:dyDescent="0.55000000000000004">
      <c r="A904" s="61" t="s">
        <v>6648</v>
      </c>
      <c r="B904" t="s">
        <v>735</v>
      </c>
      <c r="C904">
        <v>8710</v>
      </c>
      <c r="D904" t="s">
        <v>6362</v>
      </c>
      <c r="E904" t="s">
        <v>6358</v>
      </c>
      <c r="F904" t="s">
        <v>6358</v>
      </c>
      <c r="G904" s="43">
        <v>8.3599999999999994E-2</v>
      </c>
      <c r="H904" s="63">
        <v>1</v>
      </c>
    </row>
    <row r="905" spans="1:8" x14ac:dyDescent="0.55000000000000004">
      <c r="A905" s="61" t="s">
        <v>6648</v>
      </c>
      <c r="B905" t="s">
        <v>735</v>
      </c>
      <c r="C905">
        <v>8710</v>
      </c>
      <c r="D905" t="s">
        <v>6365</v>
      </c>
      <c r="E905" t="s">
        <v>6366</v>
      </c>
      <c r="F905" t="s">
        <v>6361</v>
      </c>
      <c r="G905" s="43">
        <v>0</v>
      </c>
      <c r="H905" s="63">
        <v>-0.1</v>
      </c>
    </row>
    <row r="906" spans="1:8" x14ac:dyDescent="0.55000000000000004">
      <c r="A906" s="61" t="s">
        <v>6649</v>
      </c>
      <c r="B906" t="s">
        <v>735</v>
      </c>
      <c r="C906">
        <v>9107</v>
      </c>
      <c r="D906" t="s">
        <v>6359</v>
      </c>
      <c r="E906" t="s">
        <v>6367</v>
      </c>
      <c r="F906" t="s">
        <v>6361</v>
      </c>
      <c r="G906" s="43">
        <v>0</v>
      </c>
      <c r="H906" s="63">
        <v>0.9</v>
      </c>
    </row>
    <row r="907" spans="1:8" x14ac:dyDescent="0.55000000000000004">
      <c r="A907" s="61" t="s">
        <v>6649</v>
      </c>
      <c r="B907" t="s">
        <v>735</v>
      </c>
      <c r="C907">
        <v>9107</v>
      </c>
      <c r="D907" t="s">
        <v>6363</v>
      </c>
      <c r="E907" t="s">
        <v>6364</v>
      </c>
      <c r="F907" t="s">
        <v>6361</v>
      </c>
      <c r="G907" s="43">
        <v>0</v>
      </c>
      <c r="H907" s="63">
        <v>0.1</v>
      </c>
    </row>
    <row r="908" spans="1:8" x14ac:dyDescent="0.55000000000000004">
      <c r="A908" s="61" t="s">
        <v>6649</v>
      </c>
      <c r="B908" t="s">
        <v>735</v>
      </c>
      <c r="C908">
        <v>9107</v>
      </c>
      <c r="D908" t="s">
        <v>6362</v>
      </c>
      <c r="E908" t="s">
        <v>6358</v>
      </c>
      <c r="F908" t="s">
        <v>6358</v>
      </c>
      <c r="G908" s="43">
        <v>8.3599999999999994E-2</v>
      </c>
      <c r="H908" s="63">
        <v>1</v>
      </c>
    </row>
    <row r="909" spans="1:8" x14ac:dyDescent="0.55000000000000004">
      <c r="A909" s="61" t="s">
        <v>6649</v>
      </c>
      <c r="B909" t="s">
        <v>735</v>
      </c>
      <c r="C909">
        <v>9107</v>
      </c>
      <c r="D909" t="s">
        <v>6365</v>
      </c>
      <c r="E909" t="s">
        <v>6366</v>
      </c>
      <c r="F909" t="s">
        <v>6361</v>
      </c>
      <c r="G909" s="43">
        <v>0</v>
      </c>
      <c r="H909" s="63">
        <v>-0.1</v>
      </c>
    </row>
    <row r="910" spans="1:8" x14ac:dyDescent="0.55000000000000004">
      <c r="A910" s="61" t="s">
        <v>6650</v>
      </c>
      <c r="B910" t="s">
        <v>735</v>
      </c>
      <c r="C910">
        <v>9110</v>
      </c>
      <c r="D910" t="s">
        <v>6359</v>
      </c>
      <c r="E910" t="s">
        <v>6367</v>
      </c>
      <c r="F910" t="s">
        <v>6361</v>
      </c>
      <c r="G910" s="43">
        <v>0</v>
      </c>
      <c r="H910" s="63">
        <v>0.9</v>
      </c>
    </row>
    <row r="911" spans="1:8" x14ac:dyDescent="0.55000000000000004">
      <c r="A911" s="61" t="s">
        <v>6650</v>
      </c>
      <c r="B911" t="s">
        <v>735</v>
      </c>
      <c r="C911">
        <v>9110</v>
      </c>
      <c r="D911" t="s">
        <v>6363</v>
      </c>
      <c r="E911" t="s">
        <v>6364</v>
      </c>
      <c r="F911" t="s">
        <v>6361</v>
      </c>
      <c r="G911" s="43">
        <v>0</v>
      </c>
      <c r="H911" s="63">
        <v>0.1</v>
      </c>
    </row>
    <row r="912" spans="1:8" x14ac:dyDescent="0.55000000000000004">
      <c r="A912" s="61" t="s">
        <v>6650</v>
      </c>
      <c r="B912" t="s">
        <v>735</v>
      </c>
      <c r="C912">
        <v>9110</v>
      </c>
      <c r="D912" t="s">
        <v>6362</v>
      </c>
      <c r="E912" t="s">
        <v>6358</v>
      </c>
      <c r="F912" t="s">
        <v>6358</v>
      </c>
      <c r="G912" s="43">
        <v>8.3599999999999994E-2</v>
      </c>
      <c r="H912" s="63">
        <v>1</v>
      </c>
    </row>
    <row r="913" spans="1:8" x14ac:dyDescent="0.55000000000000004">
      <c r="A913" s="61" t="s">
        <v>6650</v>
      </c>
      <c r="B913" t="s">
        <v>735</v>
      </c>
      <c r="C913">
        <v>9110</v>
      </c>
      <c r="D913" t="s">
        <v>6365</v>
      </c>
      <c r="E913" t="s">
        <v>6366</v>
      </c>
      <c r="F913" t="s">
        <v>6361</v>
      </c>
      <c r="G913" s="43">
        <v>0</v>
      </c>
      <c r="H913" s="63">
        <v>-0.1</v>
      </c>
    </row>
    <row r="914" spans="1:8" x14ac:dyDescent="0.55000000000000004">
      <c r="A914" s="61" t="s">
        <v>6651</v>
      </c>
      <c r="B914" t="s">
        <v>464</v>
      </c>
      <c r="C914">
        <v>8705</v>
      </c>
      <c r="D914" t="s">
        <v>6359</v>
      </c>
      <c r="E914" t="s">
        <v>6383</v>
      </c>
      <c r="F914" t="s">
        <v>6361</v>
      </c>
      <c r="G914" s="43">
        <v>0</v>
      </c>
      <c r="H914" s="63">
        <v>0.9</v>
      </c>
    </row>
    <row r="915" spans="1:8" x14ac:dyDescent="0.55000000000000004">
      <c r="A915" s="61" t="s">
        <v>6651</v>
      </c>
      <c r="B915" t="s">
        <v>464</v>
      </c>
      <c r="C915">
        <v>8705</v>
      </c>
      <c r="D915" t="s">
        <v>6363</v>
      </c>
      <c r="E915" t="s">
        <v>6364</v>
      </c>
      <c r="F915" t="s">
        <v>6361</v>
      </c>
      <c r="G915" s="43">
        <v>0</v>
      </c>
      <c r="H915" s="63">
        <v>0.1</v>
      </c>
    </row>
    <row r="916" spans="1:8" x14ac:dyDescent="0.55000000000000004">
      <c r="A916" s="61" t="s">
        <v>6651</v>
      </c>
      <c r="B916" t="s">
        <v>464</v>
      </c>
      <c r="C916">
        <v>8705</v>
      </c>
      <c r="D916" t="s">
        <v>6362</v>
      </c>
      <c r="E916" t="s">
        <v>6358</v>
      </c>
      <c r="F916" t="s">
        <v>6358</v>
      </c>
      <c r="G916" s="43">
        <v>3.9800000000000002E-2</v>
      </c>
      <c r="H916" s="63">
        <v>1</v>
      </c>
    </row>
    <row r="917" spans="1:8" x14ac:dyDescent="0.55000000000000004">
      <c r="A917" s="61" t="s">
        <v>6651</v>
      </c>
      <c r="B917" t="s">
        <v>464</v>
      </c>
      <c r="C917">
        <v>8705</v>
      </c>
      <c r="D917" t="s">
        <v>6365</v>
      </c>
      <c r="E917" t="s">
        <v>6366</v>
      </c>
      <c r="F917" t="s">
        <v>6361</v>
      </c>
      <c r="G917" s="43">
        <v>0</v>
      </c>
      <c r="H917" s="63">
        <v>-0.1</v>
      </c>
    </row>
    <row r="918" spans="1:8" x14ac:dyDescent="0.55000000000000004">
      <c r="A918" s="61" t="s">
        <v>6651</v>
      </c>
      <c r="B918" t="s">
        <v>464</v>
      </c>
      <c r="C918">
        <v>8705</v>
      </c>
      <c r="D918" t="s">
        <v>6384</v>
      </c>
      <c r="E918" t="s">
        <v>6385</v>
      </c>
      <c r="F918" t="s">
        <v>6361</v>
      </c>
      <c r="G918" s="43">
        <v>0</v>
      </c>
      <c r="H918" s="63">
        <v>1</v>
      </c>
    </row>
    <row r="919" spans="1:8" x14ac:dyDescent="0.55000000000000004">
      <c r="A919" s="61" t="s">
        <v>6651</v>
      </c>
      <c r="B919" t="s">
        <v>464</v>
      </c>
      <c r="C919">
        <v>8705</v>
      </c>
      <c r="D919" t="s">
        <v>6386</v>
      </c>
      <c r="E919" t="s">
        <v>6387</v>
      </c>
      <c r="F919" t="s">
        <v>6361</v>
      </c>
      <c r="G919" s="43">
        <v>0</v>
      </c>
      <c r="H919" s="63">
        <v>1</v>
      </c>
    </row>
    <row r="920" spans="1:8" x14ac:dyDescent="0.55000000000000004">
      <c r="A920" s="61" t="s">
        <v>6652</v>
      </c>
      <c r="B920" t="s">
        <v>464</v>
      </c>
      <c r="C920">
        <v>9105</v>
      </c>
      <c r="D920" t="s">
        <v>6359</v>
      </c>
      <c r="E920" t="s">
        <v>6388</v>
      </c>
      <c r="F920" t="s">
        <v>6361</v>
      </c>
      <c r="G920" s="43">
        <v>0</v>
      </c>
      <c r="H920" s="63">
        <v>0.9</v>
      </c>
    </row>
    <row r="921" spans="1:8" x14ac:dyDescent="0.55000000000000004">
      <c r="A921" s="61" t="s">
        <v>6652</v>
      </c>
      <c r="B921" t="s">
        <v>464</v>
      </c>
      <c r="C921">
        <v>9105</v>
      </c>
      <c r="D921" t="s">
        <v>6363</v>
      </c>
      <c r="E921" t="s">
        <v>6364</v>
      </c>
      <c r="F921" t="s">
        <v>6361</v>
      </c>
      <c r="G921" s="43">
        <v>0</v>
      </c>
      <c r="H921" s="63">
        <v>0.1</v>
      </c>
    </row>
    <row r="922" spans="1:8" x14ac:dyDescent="0.55000000000000004">
      <c r="A922" s="61" t="s">
        <v>6652</v>
      </c>
      <c r="B922" t="s">
        <v>464</v>
      </c>
      <c r="C922">
        <v>9105</v>
      </c>
      <c r="D922" t="s">
        <v>6362</v>
      </c>
      <c r="E922" t="s">
        <v>6358</v>
      </c>
      <c r="F922" t="s">
        <v>6358</v>
      </c>
      <c r="G922" s="43">
        <v>3.9800000000000002E-2</v>
      </c>
      <c r="H922" s="63">
        <v>1</v>
      </c>
    </row>
    <row r="923" spans="1:8" x14ac:dyDescent="0.55000000000000004">
      <c r="A923" s="61" t="s">
        <v>6652</v>
      </c>
      <c r="B923" t="s">
        <v>464</v>
      </c>
      <c r="C923">
        <v>9105</v>
      </c>
      <c r="D923" t="s">
        <v>6365</v>
      </c>
      <c r="E923" t="s">
        <v>6366</v>
      </c>
      <c r="F923" t="s">
        <v>6361</v>
      </c>
      <c r="G923" s="43">
        <v>0</v>
      </c>
      <c r="H923" s="63">
        <v>-0.1</v>
      </c>
    </row>
    <row r="924" spans="1:8" x14ac:dyDescent="0.55000000000000004">
      <c r="A924" s="61" t="s">
        <v>6652</v>
      </c>
      <c r="B924" t="s">
        <v>464</v>
      </c>
      <c r="C924">
        <v>9105</v>
      </c>
      <c r="D924" t="s">
        <v>6384</v>
      </c>
      <c r="E924" t="s">
        <v>6385</v>
      </c>
      <c r="F924" t="s">
        <v>6361</v>
      </c>
      <c r="G924" s="43">
        <v>0</v>
      </c>
      <c r="H924" s="63">
        <v>1</v>
      </c>
    </row>
    <row r="925" spans="1:8" x14ac:dyDescent="0.55000000000000004">
      <c r="A925" s="61" t="s">
        <v>6652</v>
      </c>
      <c r="B925" t="s">
        <v>464</v>
      </c>
      <c r="C925">
        <v>9105</v>
      </c>
      <c r="D925" t="s">
        <v>6386</v>
      </c>
      <c r="E925" t="s">
        <v>6387</v>
      </c>
      <c r="F925" t="s">
        <v>6361</v>
      </c>
      <c r="G925" s="43">
        <v>0</v>
      </c>
      <c r="H925" s="63">
        <v>1</v>
      </c>
    </row>
    <row r="926" spans="1:8" x14ac:dyDescent="0.55000000000000004">
      <c r="A926" s="61" t="s">
        <v>6653</v>
      </c>
      <c r="B926" t="s">
        <v>1640</v>
      </c>
      <c r="C926">
        <v>8710</v>
      </c>
      <c r="D926" t="s">
        <v>6359</v>
      </c>
      <c r="E926" t="s">
        <v>6368</v>
      </c>
      <c r="F926" t="s">
        <v>6361</v>
      </c>
      <c r="G926" s="43">
        <v>0</v>
      </c>
      <c r="H926" s="63">
        <v>0.9</v>
      </c>
    </row>
    <row r="927" spans="1:8" x14ac:dyDescent="0.55000000000000004">
      <c r="A927" s="61" t="s">
        <v>6653</v>
      </c>
      <c r="B927" t="s">
        <v>1640</v>
      </c>
      <c r="C927">
        <v>8710</v>
      </c>
      <c r="D927" t="s">
        <v>6363</v>
      </c>
      <c r="E927" t="s">
        <v>6364</v>
      </c>
      <c r="F927" t="s">
        <v>6361</v>
      </c>
      <c r="G927" s="43">
        <v>0</v>
      </c>
      <c r="H927" s="63">
        <v>0.1</v>
      </c>
    </row>
    <row r="928" spans="1:8" x14ac:dyDescent="0.55000000000000004">
      <c r="A928" s="61" t="s">
        <v>6653</v>
      </c>
      <c r="B928" t="s">
        <v>1640</v>
      </c>
      <c r="C928">
        <v>8710</v>
      </c>
      <c r="D928" t="s">
        <v>6362</v>
      </c>
      <c r="E928" t="s">
        <v>6358</v>
      </c>
      <c r="F928" t="s">
        <v>6358</v>
      </c>
      <c r="G928" s="43">
        <v>3.5799999999999998E-2</v>
      </c>
      <c r="H928" s="63">
        <v>1</v>
      </c>
    </row>
    <row r="929" spans="1:8" x14ac:dyDescent="0.55000000000000004">
      <c r="A929" s="61" t="s">
        <v>6653</v>
      </c>
      <c r="B929" t="s">
        <v>1640</v>
      </c>
      <c r="C929">
        <v>8710</v>
      </c>
      <c r="D929" t="s">
        <v>6365</v>
      </c>
      <c r="E929" t="s">
        <v>6366</v>
      </c>
      <c r="F929" t="s">
        <v>6361</v>
      </c>
      <c r="G929" s="43">
        <v>0</v>
      </c>
      <c r="H929" s="63">
        <v>-0.1</v>
      </c>
    </row>
    <row r="930" spans="1:8" x14ac:dyDescent="0.55000000000000004">
      <c r="A930" s="61" t="s">
        <v>6654</v>
      </c>
      <c r="B930" t="s">
        <v>1640</v>
      </c>
      <c r="C930">
        <v>9310</v>
      </c>
      <c r="D930" t="s">
        <v>6359</v>
      </c>
      <c r="E930" t="s">
        <v>6369</v>
      </c>
      <c r="F930" t="s">
        <v>6361</v>
      </c>
      <c r="G930" s="43">
        <v>0</v>
      </c>
      <c r="H930" s="63">
        <v>0.9</v>
      </c>
    </row>
    <row r="931" spans="1:8" x14ac:dyDescent="0.55000000000000004">
      <c r="A931" s="61" t="s">
        <v>6654</v>
      </c>
      <c r="B931" t="s">
        <v>1640</v>
      </c>
      <c r="C931">
        <v>9310</v>
      </c>
      <c r="D931" t="s">
        <v>6363</v>
      </c>
      <c r="E931" t="s">
        <v>6364</v>
      </c>
      <c r="F931" t="s">
        <v>6361</v>
      </c>
      <c r="G931" s="43">
        <v>0</v>
      </c>
      <c r="H931" s="63">
        <v>0.1</v>
      </c>
    </row>
    <row r="932" spans="1:8" x14ac:dyDescent="0.55000000000000004">
      <c r="A932" s="61" t="s">
        <v>6654</v>
      </c>
      <c r="B932" t="s">
        <v>1640</v>
      </c>
      <c r="C932">
        <v>9310</v>
      </c>
      <c r="D932" t="s">
        <v>6362</v>
      </c>
      <c r="E932" t="s">
        <v>6358</v>
      </c>
      <c r="F932" t="s">
        <v>6358</v>
      </c>
      <c r="G932" s="43">
        <v>3.5799999999999998E-2</v>
      </c>
      <c r="H932" s="63">
        <v>1</v>
      </c>
    </row>
    <row r="933" spans="1:8" x14ac:dyDescent="0.55000000000000004">
      <c r="A933" s="61" t="s">
        <v>6654</v>
      </c>
      <c r="B933" t="s">
        <v>1640</v>
      </c>
      <c r="C933">
        <v>9310</v>
      </c>
      <c r="D933" t="s">
        <v>6365</v>
      </c>
      <c r="E933" t="s">
        <v>6366</v>
      </c>
      <c r="F933" t="s">
        <v>6361</v>
      </c>
      <c r="G933" s="43">
        <v>0</v>
      </c>
      <c r="H933" s="63">
        <v>-0.1</v>
      </c>
    </row>
    <row r="934" spans="1:8" x14ac:dyDescent="0.55000000000000004">
      <c r="A934" s="61" t="s">
        <v>6655</v>
      </c>
      <c r="B934" t="s">
        <v>5031</v>
      </c>
      <c r="C934">
        <v>8602</v>
      </c>
      <c r="D934" t="s">
        <v>6359</v>
      </c>
      <c r="E934" t="s">
        <v>6370</v>
      </c>
      <c r="F934" t="s">
        <v>6361</v>
      </c>
      <c r="G934" s="43">
        <v>0</v>
      </c>
      <c r="H934" s="63">
        <v>0.9</v>
      </c>
    </row>
    <row r="935" spans="1:8" x14ac:dyDescent="0.55000000000000004">
      <c r="A935" s="61" t="s">
        <v>6655</v>
      </c>
      <c r="B935" t="s">
        <v>5031</v>
      </c>
      <c r="C935">
        <v>8602</v>
      </c>
      <c r="D935" t="s">
        <v>6363</v>
      </c>
      <c r="E935" t="s">
        <v>6364</v>
      </c>
      <c r="F935" t="s">
        <v>6361</v>
      </c>
      <c r="G935" s="43">
        <v>0</v>
      </c>
      <c r="H935" s="63">
        <v>0.1</v>
      </c>
    </row>
    <row r="936" spans="1:8" x14ac:dyDescent="0.55000000000000004">
      <c r="A936" s="61" t="s">
        <v>6655</v>
      </c>
      <c r="B936" t="s">
        <v>5031</v>
      </c>
      <c r="C936">
        <v>8602</v>
      </c>
      <c r="D936" t="s">
        <v>6362</v>
      </c>
      <c r="E936" t="s">
        <v>6358</v>
      </c>
      <c r="F936" t="s">
        <v>6358</v>
      </c>
      <c r="G936" s="43">
        <v>0.14419999999999999</v>
      </c>
      <c r="H936" s="63">
        <v>1</v>
      </c>
    </row>
    <row r="937" spans="1:8" x14ac:dyDescent="0.55000000000000004">
      <c r="A937" s="61" t="s">
        <v>6655</v>
      </c>
      <c r="B937" t="s">
        <v>5031</v>
      </c>
      <c r="C937">
        <v>8602</v>
      </c>
      <c r="D937" t="s">
        <v>6365</v>
      </c>
      <c r="E937" t="s">
        <v>6366</v>
      </c>
      <c r="F937" t="s">
        <v>6361</v>
      </c>
      <c r="G937" s="43">
        <v>0</v>
      </c>
      <c r="H937" s="63">
        <v>-0.1</v>
      </c>
    </row>
    <row r="938" spans="1:8" x14ac:dyDescent="0.55000000000000004">
      <c r="A938" s="61" t="s">
        <v>6656</v>
      </c>
      <c r="B938" t="s">
        <v>5031</v>
      </c>
      <c r="C938">
        <v>8610</v>
      </c>
      <c r="D938" t="s">
        <v>6359</v>
      </c>
      <c r="E938" t="s">
        <v>6370</v>
      </c>
      <c r="F938" t="s">
        <v>6361</v>
      </c>
      <c r="G938" s="43">
        <v>0</v>
      </c>
      <c r="H938" s="63">
        <v>0.9</v>
      </c>
    </row>
    <row r="939" spans="1:8" x14ac:dyDescent="0.55000000000000004">
      <c r="A939" s="61" t="s">
        <v>6656</v>
      </c>
      <c r="B939" t="s">
        <v>5031</v>
      </c>
      <c r="C939">
        <v>8610</v>
      </c>
      <c r="D939" t="s">
        <v>6363</v>
      </c>
      <c r="E939" t="s">
        <v>6364</v>
      </c>
      <c r="F939" t="s">
        <v>6361</v>
      </c>
      <c r="G939" s="43">
        <v>0</v>
      </c>
      <c r="H939" s="63">
        <v>0.1</v>
      </c>
    </row>
    <row r="940" spans="1:8" x14ac:dyDescent="0.55000000000000004">
      <c r="A940" s="61" t="s">
        <v>6656</v>
      </c>
      <c r="B940" t="s">
        <v>5031</v>
      </c>
      <c r="C940">
        <v>8610</v>
      </c>
      <c r="D940" t="s">
        <v>6362</v>
      </c>
      <c r="E940" t="s">
        <v>6358</v>
      </c>
      <c r="F940" t="s">
        <v>6358</v>
      </c>
      <c r="G940" s="43">
        <v>0.14419999999999999</v>
      </c>
      <c r="H940" s="63">
        <v>1</v>
      </c>
    </row>
    <row r="941" spans="1:8" x14ac:dyDescent="0.55000000000000004">
      <c r="A941" s="61" t="s">
        <v>6656</v>
      </c>
      <c r="B941" t="s">
        <v>5031</v>
      </c>
      <c r="C941">
        <v>8610</v>
      </c>
      <c r="D941" t="s">
        <v>6365</v>
      </c>
      <c r="E941" t="s">
        <v>6366</v>
      </c>
      <c r="F941" t="s">
        <v>6361</v>
      </c>
      <c r="G941" s="43">
        <v>0</v>
      </c>
      <c r="H941" s="63">
        <v>-0.1</v>
      </c>
    </row>
    <row r="942" spans="1:8" x14ac:dyDescent="0.55000000000000004">
      <c r="A942" s="61" t="s">
        <v>6657</v>
      </c>
      <c r="B942" t="s">
        <v>5031</v>
      </c>
      <c r="C942">
        <v>8707</v>
      </c>
      <c r="D942" t="s">
        <v>6359</v>
      </c>
      <c r="E942" t="s">
        <v>6370</v>
      </c>
      <c r="F942" t="s">
        <v>6361</v>
      </c>
      <c r="G942" s="43">
        <v>0</v>
      </c>
      <c r="H942" s="63">
        <v>0.9</v>
      </c>
    </row>
    <row r="943" spans="1:8" x14ac:dyDescent="0.55000000000000004">
      <c r="A943" s="61" t="s">
        <v>6657</v>
      </c>
      <c r="B943" t="s">
        <v>5031</v>
      </c>
      <c r="C943">
        <v>8707</v>
      </c>
      <c r="D943" t="s">
        <v>6363</v>
      </c>
      <c r="E943" t="s">
        <v>6364</v>
      </c>
      <c r="F943" t="s">
        <v>6361</v>
      </c>
      <c r="G943" s="43">
        <v>0</v>
      </c>
      <c r="H943" s="63">
        <v>0.1</v>
      </c>
    </row>
    <row r="944" spans="1:8" x14ac:dyDescent="0.55000000000000004">
      <c r="A944" s="61" t="s">
        <v>6657</v>
      </c>
      <c r="B944" t="s">
        <v>5031</v>
      </c>
      <c r="C944">
        <v>8707</v>
      </c>
      <c r="D944" t="s">
        <v>6362</v>
      </c>
      <c r="E944" t="s">
        <v>6358</v>
      </c>
      <c r="F944" t="s">
        <v>6358</v>
      </c>
      <c r="G944" s="43">
        <v>0.14419999999999999</v>
      </c>
      <c r="H944" s="63">
        <v>1</v>
      </c>
    </row>
    <row r="945" spans="1:8" x14ac:dyDescent="0.55000000000000004">
      <c r="A945" s="61" t="s">
        <v>6657</v>
      </c>
      <c r="B945" t="s">
        <v>5031</v>
      </c>
      <c r="C945">
        <v>8707</v>
      </c>
      <c r="D945" t="s">
        <v>6365</v>
      </c>
      <c r="E945" t="s">
        <v>6366</v>
      </c>
      <c r="F945" t="s">
        <v>6361</v>
      </c>
      <c r="G945" s="43">
        <v>0</v>
      </c>
      <c r="H945" s="63">
        <v>-0.1</v>
      </c>
    </row>
    <row r="946" spans="1:8" x14ac:dyDescent="0.55000000000000004">
      <c r="A946" s="61" t="s">
        <v>6658</v>
      </c>
      <c r="B946" t="s">
        <v>5031</v>
      </c>
      <c r="C946">
        <v>8710</v>
      </c>
      <c r="D946" t="s">
        <v>6359</v>
      </c>
      <c r="E946" t="s">
        <v>6370</v>
      </c>
      <c r="F946" t="s">
        <v>6361</v>
      </c>
      <c r="G946" s="43">
        <v>0</v>
      </c>
      <c r="H946" s="63">
        <v>0.9</v>
      </c>
    </row>
    <row r="947" spans="1:8" x14ac:dyDescent="0.55000000000000004">
      <c r="A947" s="61" t="s">
        <v>6658</v>
      </c>
      <c r="B947" t="s">
        <v>5031</v>
      </c>
      <c r="C947">
        <v>8710</v>
      </c>
      <c r="D947" t="s">
        <v>6363</v>
      </c>
      <c r="E947" t="s">
        <v>6364</v>
      </c>
      <c r="F947" t="s">
        <v>6361</v>
      </c>
      <c r="G947" s="43">
        <v>0</v>
      </c>
      <c r="H947" s="63">
        <v>0.1</v>
      </c>
    </row>
    <row r="948" spans="1:8" x14ac:dyDescent="0.55000000000000004">
      <c r="A948" s="61" t="s">
        <v>6658</v>
      </c>
      <c r="B948" t="s">
        <v>5031</v>
      </c>
      <c r="C948">
        <v>8710</v>
      </c>
      <c r="D948" t="s">
        <v>6362</v>
      </c>
      <c r="E948" t="s">
        <v>6358</v>
      </c>
      <c r="F948" t="s">
        <v>6358</v>
      </c>
      <c r="G948" s="43">
        <v>0.14419999999999999</v>
      </c>
      <c r="H948" s="63">
        <v>1</v>
      </c>
    </row>
    <row r="949" spans="1:8" x14ac:dyDescent="0.55000000000000004">
      <c r="A949" s="61" t="s">
        <v>6658</v>
      </c>
      <c r="B949" t="s">
        <v>5031</v>
      </c>
      <c r="C949">
        <v>8710</v>
      </c>
      <c r="D949" t="s">
        <v>6365</v>
      </c>
      <c r="E949" t="s">
        <v>6366</v>
      </c>
      <c r="F949" t="s">
        <v>6361</v>
      </c>
      <c r="G949" s="43">
        <v>0</v>
      </c>
      <c r="H949" s="63">
        <v>-0.1</v>
      </c>
    </row>
    <row r="950" spans="1:8" x14ac:dyDescent="0.55000000000000004">
      <c r="A950" s="61" t="s">
        <v>6659</v>
      </c>
      <c r="B950" t="s">
        <v>5031</v>
      </c>
      <c r="C950">
        <v>9106</v>
      </c>
      <c r="D950" t="s">
        <v>6359</v>
      </c>
      <c r="E950" t="s">
        <v>6371</v>
      </c>
      <c r="F950" t="s">
        <v>6361</v>
      </c>
      <c r="G950" s="43">
        <v>0</v>
      </c>
      <c r="H950" s="63">
        <v>0.9</v>
      </c>
    </row>
    <row r="951" spans="1:8" x14ac:dyDescent="0.55000000000000004">
      <c r="A951" s="61" t="s">
        <v>6659</v>
      </c>
      <c r="B951" t="s">
        <v>5031</v>
      </c>
      <c r="C951">
        <v>9106</v>
      </c>
      <c r="D951" t="s">
        <v>6363</v>
      </c>
      <c r="E951" t="s">
        <v>6364</v>
      </c>
      <c r="F951" t="s">
        <v>6361</v>
      </c>
      <c r="G951" s="43">
        <v>0</v>
      </c>
      <c r="H951" s="63">
        <v>0.1</v>
      </c>
    </row>
    <row r="952" spans="1:8" x14ac:dyDescent="0.55000000000000004">
      <c r="A952" s="61" t="s">
        <v>6659</v>
      </c>
      <c r="B952" t="s">
        <v>5031</v>
      </c>
      <c r="C952">
        <v>9106</v>
      </c>
      <c r="D952" t="s">
        <v>6362</v>
      </c>
      <c r="E952" t="s">
        <v>6358</v>
      </c>
      <c r="F952" t="s">
        <v>6358</v>
      </c>
      <c r="G952" s="43">
        <v>0.14419999999999999</v>
      </c>
      <c r="H952" s="63">
        <v>1</v>
      </c>
    </row>
    <row r="953" spans="1:8" x14ac:dyDescent="0.55000000000000004">
      <c r="A953" s="61" t="s">
        <v>6659</v>
      </c>
      <c r="B953" t="s">
        <v>5031</v>
      </c>
      <c r="C953">
        <v>9106</v>
      </c>
      <c r="D953" t="s">
        <v>6365</v>
      </c>
      <c r="E953" t="s">
        <v>6366</v>
      </c>
      <c r="F953" t="s">
        <v>6361</v>
      </c>
      <c r="G953" s="43">
        <v>0</v>
      </c>
      <c r="H953" s="63">
        <v>-0.1</v>
      </c>
    </row>
    <row r="954" spans="1:8" x14ac:dyDescent="0.55000000000000004">
      <c r="A954" s="61" t="s">
        <v>6660</v>
      </c>
      <c r="B954" t="s">
        <v>5031</v>
      </c>
      <c r="C954">
        <v>9110</v>
      </c>
      <c r="D954" t="s">
        <v>6359</v>
      </c>
      <c r="E954" t="s">
        <v>6371</v>
      </c>
      <c r="F954" t="s">
        <v>6361</v>
      </c>
      <c r="G954" s="43">
        <v>0</v>
      </c>
      <c r="H954" s="63">
        <v>0.9</v>
      </c>
    </row>
    <row r="955" spans="1:8" x14ac:dyDescent="0.55000000000000004">
      <c r="A955" s="61" t="s">
        <v>6660</v>
      </c>
      <c r="B955" t="s">
        <v>5031</v>
      </c>
      <c r="C955">
        <v>9110</v>
      </c>
      <c r="D955" t="s">
        <v>6363</v>
      </c>
      <c r="E955" t="s">
        <v>6364</v>
      </c>
      <c r="F955" t="s">
        <v>6361</v>
      </c>
      <c r="G955" s="43">
        <v>0</v>
      </c>
      <c r="H955" s="63">
        <v>0.1</v>
      </c>
    </row>
    <row r="956" spans="1:8" x14ac:dyDescent="0.55000000000000004">
      <c r="A956" s="61" t="s">
        <v>6660</v>
      </c>
      <c r="B956" t="s">
        <v>5031</v>
      </c>
      <c r="C956">
        <v>9110</v>
      </c>
      <c r="D956" t="s">
        <v>6362</v>
      </c>
      <c r="E956" t="s">
        <v>6358</v>
      </c>
      <c r="F956" t="s">
        <v>6358</v>
      </c>
      <c r="G956" s="43">
        <v>0.14419999999999999</v>
      </c>
      <c r="H956" s="63">
        <v>1</v>
      </c>
    </row>
    <row r="957" spans="1:8" x14ac:dyDescent="0.55000000000000004">
      <c r="A957" s="61" t="s">
        <v>6660</v>
      </c>
      <c r="B957" t="s">
        <v>5031</v>
      </c>
      <c r="C957">
        <v>9110</v>
      </c>
      <c r="D957" t="s">
        <v>6365</v>
      </c>
      <c r="E957" t="s">
        <v>6366</v>
      </c>
      <c r="F957" t="s">
        <v>6361</v>
      </c>
      <c r="G957" s="43">
        <v>0</v>
      </c>
      <c r="H957" s="63">
        <v>-0.1</v>
      </c>
    </row>
    <row r="958" spans="1:8" x14ac:dyDescent="0.55000000000000004">
      <c r="A958" s="61" t="s">
        <v>6661</v>
      </c>
      <c r="B958" t="s">
        <v>4100</v>
      </c>
      <c r="C958">
        <v>8701</v>
      </c>
      <c r="D958" t="s">
        <v>6359</v>
      </c>
      <c r="E958" t="s">
        <v>6370</v>
      </c>
      <c r="F958" t="s">
        <v>6361</v>
      </c>
      <c r="G958" s="43">
        <v>0</v>
      </c>
      <c r="H958" s="63">
        <v>1</v>
      </c>
    </row>
    <row r="959" spans="1:8" x14ac:dyDescent="0.55000000000000004">
      <c r="A959" s="61" t="s">
        <v>6661</v>
      </c>
      <c r="B959" t="s">
        <v>4100</v>
      </c>
      <c r="C959">
        <v>8701</v>
      </c>
      <c r="D959" t="s">
        <v>6362</v>
      </c>
      <c r="E959" t="s">
        <v>6358</v>
      </c>
      <c r="F959" t="s">
        <v>6358</v>
      </c>
      <c r="G959" s="43">
        <v>0.14169999999999999</v>
      </c>
      <c r="H959" s="63">
        <v>1</v>
      </c>
    </row>
    <row r="960" spans="1:8" x14ac:dyDescent="0.55000000000000004">
      <c r="A960" s="61" t="s">
        <v>6662</v>
      </c>
      <c r="B960" t="s">
        <v>4100</v>
      </c>
      <c r="C960">
        <v>8710</v>
      </c>
      <c r="D960" t="s">
        <v>6359</v>
      </c>
      <c r="E960" t="s">
        <v>6370</v>
      </c>
      <c r="F960" t="s">
        <v>6361</v>
      </c>
      <c r="G960" s="43">
        <v>0</v>
      </c>
      <c r="H960" s="63">
        <v>0.9</v>
      </c>
    </row>
    <row r="961" spans="1:8" x14ac:dyDescent="0.55000000000000004">
      <c r="A961" s="61" t="s">
        <v>6662</v>
      </c>
      <c r="B961" t="s">
        <v>4100</v>
      </c>
      <c r="C961">
        <v>8710</v>
      </c>
      <c r="D961" t="s">
        <v>6363</v>
      </c>
      <c r="E961" t="s">
        <v>6364</v>
      </c>
      <c r="F961" t="s">
        <v>6361</v>
      </c>
      <c r="G961" s="43">
        <v>0</v>
      </c>
      <c r="H961" s="63">
        <v>0.1</v>
      </c>
    </row>
    <row r="962" spans="1:8" x14ac:dyDescent="0.55000000000000004">
      <c r="A962" s="61" t="s">
        <v>6662</v>
      </c>
      <c r="B962" t="s">
        <v>4100</v>
      </c>
      <c r="C962">
        <v>8710</v>
      </c>
      <c r="D962" t="s">
        <v>6362</v>
      </c>
      <c r="E962" t="s">
        <v>6358</v>
      </c>
      <c r="F962" t="s">
        <v>6358</v>
      </c>
      <c r="G962" s="62">
        <v>0.14000000000000001</v>
      </c>
      <c r="H962" s="63">
        <v>1</v>
      </c>
    </row>
    <row r="963" spans="1:8" x14ac:dyDescent="0.55000000000000004">
      <c r="A963" s="61" t="s">
        <v>6662</v>
      </c>
      <c r="B963" t="s">
        <v>4100</v>
      </c>
      <c r="C963">
        <v>8710</v>
      </c>
      <c r="D963" t="s">
        <v>6365</v>
      </c>
      <c r="E963" t="s">
        <v>6366</v>
      </c>
      <c r="F963" t="s">
        <v>6361</v>
      </c>
      <c r="G963" s="43">
        <v>0</v>
      </c>
      <c r="H963" s="63">
        <v>-0.1</v>
      </c>
    </row>
    <row r="964" spans="1:8" x14ac:dyDescent="0.55000000000000004">
      <c r="A964" s="61" t="s">
        <v>6663</v>
      </c>
      <c r="B964" t="s">
        <v>4100</v>
      </c>
      <c r="C964">
        <v>9101</v>
      </c>
      <c r="D964" t="s">
        <v>6359</v>
      </c>
      <c r="E964" t="s">
        <v>6371</v>
      </c>
      <c r="F964" t="s">
        <v>6361</v>
      </c>
      <c r="G964" s="43">
        <v>0</v>
      </c>
      <c r="H964" s="63">
        <v>1</v>
      </c>
    </row>
    <row r="965" spans="1:8" x14ac:dyDescent="0.55000000000000004">
      <c r="A965" s="61" t="s">
        <v>6663</v>
      </c>
      <c r="B965" t="s">
        <v>4100</v>
      </c>
      <c r="C965">
        <v>9101</v>
      </c>
      <c r="D965" t="s">
        <v>6362</v>
      </c>
      <c r="E965" t="s">
        <v>6358</v>
      </c>
      <c r="F965" t="s">
        <v>6358</v>
      </c>
      <c r="G965" s="43">
        <v>0.14169999999999999</v>
      </c>
      <c r="H965" s="63">
        <v>1</v>
      </c>
    </row>
    <row r="966" spans="1:8" x14ac:dyDescent="0.55000000000000004">
      <c r="A966" s="61" t="s">
        <v>6664</v>
      </c>
      <c r="B966" t="s">
        <v>4100</v>
      </c>
      <c r="C966">
        <v>9110</v>
      </c>
      <c r="D966" t="s">
        <v>6359</v>
      </c>
      <c r="E966" t="s">
        <v>6371</v>
      </c>
      <c r="F966" t="s">
        <v>6361</v>
      </c>
      <c r="G966" s="43">
        <v>0</v>
      </c>
      <c r="H966" s="63">
        <v>0.9</v>
      </c>
    </row>
    <row r="967" spans="1:8" x14ac:dyDescent="0.55000000000000004">
      <c r="A967" s="61" t="s">
        <v>6664</v>
      </c>
      <c r="B967" t="s">
        <v>4100</v>
      </c>
      <c r="C967">
        <v>9110</v>
      </c>
      <c r="D967" t="s">
        <v>6363</v>
      </c>
      <c r="E967" t="s">
        <v>6364</v>
      </c>
      <c r="F967" t="s">
        <v>6361</v>
      </c>
      <c r="G967" s="43">
        <v>0</v>
      </c>
      <c r="H967" s="63">
        <v>0.1</v>
      </c>
    </row>
    <row r="968" spans="1:8" x14ac:dyDescent="0.55000000000000004">
      <c r="A968" s="61" t="s">
        <v>6664</v>
      </c>
      <c r="B968" t="s">
        <v>4100</v>
      </c>
      <c r="C968">
        <v>9110</v>
      </c>
      <c r="D968" t="s">
        <v>6362</v>
      </c>
      <c r="E968" t="s">
        <v>6358</v>
      </c>
      <c r="F968" t="s">
        <v>6358</v>
      </c>
      <c r="G968" s="62">
        <v>0.14000000000000001</v>
      </c>
      <c r="H968" s="63">
        <v>1</v>
      </c>
    </row>
    <row r="969" spans="1:8" x14ac:dyDescent="0.55000000000000004">
      <c r="A969" s="61" t="s">
        <v>6664</v>
      </c>
      <c r="B969" t="s">
        <v>4100</v>
      </c>
      <c r="C969">
        <v>9110</v>
      </c>
      <c r="D969" t="s">
        <v>6365</v>
      </c>
      <c r="E969" t="s">
        <v>6366</v>
      </c>
      <c r="F969" t="s">
        <v>6361</v>
      </c>
      <c r="G969" s="43">
        <v>0</v>
      </c>
      <c r="H969" s="63">
        <v>-0.1</v>
      </c>
    </row>
    <row r="970" spans="1:8" x14ac:dyDescent="0.55000000000000004">
      <c r="A970" s="61" t="s">
        <v>6665</v>
      </c>
      <c r="B970" t="s">
        <v>5042</v>
      </c>
      <c r="C970">
        <v>8708</v>
      </c>
      <c r="D970" t="s">
        <v>6359</v>
      </c>
      <c r="E970" t="s">
        <v>6370</v>
      </c>
      <c r="F970" t="s">
        <v>6361</v>
      </c>
      <c r="G970" s="43">
        <v>0</v>
      </c>
      <c r="H970" s="63">
        <v>0.9</v>
      </c>
    </row>
    <row r="971" spans="1:8" x14ac:dyDescent="0.55000000000000004">
      <c r="A971" s="61" t="s">
        <v>6665</v>
      </c>
      <c r="B971" t="s">
        <v>5042</v>
      </c>
      <c r="C971">
        <v>8708</v>
      </c>
      <c r="D971" t="s">
        <v>6363</v>
      </c>
      <c r="E971" t="s">
        <v>6364</v>
      </c>
      <c r="F971" t="s">
        <v>6361</v>
      </c>
      <c r="G971" s="43">
        <v>0</v>
      </c>
      <c r="H971" s="63">
        <v>0.1</v>
      </c>
    </row>
    <row r="972" spans="1:8" x14ac:dyDescent="0.55000000000000004">
      <c r="A972" s="61" t="s">
        <v>6665</v>
      </c>
      <c r="B972" t="s">
        <v>5042</v>
      </c>
      <c r="C972">
        <v>8708</v>
      </c>
      <c r="D972" t="s">
        <v>6362</v>
      </c>
      <c r="E972" t="s">
        <v>6358</v>
      </c>
      <c r="F972" t="s">
        <v>6358</v>
      </c>
      <c r="G972" s="43">
        <v>7.8100000000000003E-2</v>
      </c>
      <c r="H972" s="63">
        <v>1</v>
      </c>
    </row>
    <row r="973" spans="1:8" x14ac:dyDescent="0.55000000000000004">
      <c r="A973" s="61" t="s">
        <v>6665</v>
      </c>
      <c r="B973" t="s">
        <v>5042</v>
      </c>
      <c r="C973">
        <v>8708</v>
      </c>
      <c r="D973" t="s">
        <v>6365</v>
      </c>
      <c r="E973" t="s">
        <v>6366</v>
      </c>
      <c r="F973" t="s">
        <v>6361</v>
      </c>
      <c r="G973" s="43">
        <v>0</v>
      </c>
      <c r="H973" s="63">
        <v>-0.1</v>
      </c>
    </row>
    <row r="974" spans="1:8" x14ac:dyDescent="0.55000000000000004">
      <c r="A974" s="61" t="s">
        <v>6666</v>
      </c>
      <c r="B974" t="s">
        <v>5042</v>
      </c>
      <c r="C974">
        <v>8710</v>
      </c>
      <c r="D974" t="s">
        <v>6359</v>
      </c>
      <c r="E974" t="s">
        <v>6370</v>
      </c>
      <c r="F974" t="s">
        <v>6361</v>
      </c>
      <c r="G974" s="43">
        <v>0</v>
      </c>
      <c r="H974" s="63">
        <v>0.9</v>
      </c>
    </row>
    <row r="975" spans="1:8" x14ac:dyDescent="0.55000000000000004">
      <c r="A975" s="61" t="s">
        <v>6666</v>
      </c>
      <c r="B975" t="s">
        <v>5042</v>
      </c>
      <c r="C975">
        <v>8710</v>
      </c>
      <c r="D975" t="s">
        <v>6363</v>
      </c>
      <c r="E975" t="s">
        <v>6364</v>
      </c>
      <c r="F975" t="s">
        <v>6361</v>
      </c>
      <c r="G975" s="43">
        <v>0</v>
      </c>
      <c r="H975" s="63">
        <v>0.1</v>
      </c>
    </row>
    <row r="976" spans="1:8" x14ac:dyDescent="0.55000000000000004">
      <c r="A976" s="61" t="s">
        <v>6666</v>
      </c>
      <c r="B976" t="s">
        <v>5042</v>
      </c>
      <c r="C976">
        <v>8710</v>
      </c>
      <c r="D976" t="s">
        <v>6362</v>
      </c>
      <c r="E976" t="s">
        <v>6358</v>
      </c>
      <c r="F976" t="s">
        <v>6358</v>
      </c>
      <c r="G976" s="43">
        <v>7.8100000000000003E-2</v>
      </c>
      <c r="H976" s="63">
        <v>1</v>
      </c>
    </row>
    <row r="977" spans="1:8" x14ac:dyDescent="0.55000000000000004">
      <c r="A977" s="61" t="s">
        <v>6666</v>
      </c>
      <c r="B977" t="s">
        <v>5042</v>
      </c>
      <c r="C977">
        <v>8710</v>
      </c>
      <c r="D977" t="s">
        <v>6365</v>
      </c>
      <c r="E977" t="s">
        <v>6366</v>
      </c>
      <c r="F977" t="s">
        <v>6361</v>
      </c>
      <c r="G977" s="43">
        <v>0</v>
      </c>
      <c r="H977" s="63">
        <v>-0.1</v>
      </c>
    </row>
    <row r="978" spans="1:8" x14ac:dyDescent="0.55000000000000004">
      <c r="A978" s="61" t="s">
        <v>6667</v>
      </c>
      <c r="B978" t="s">
        <v>5042</v>
      </c>
      <c r="C978">
        <v>8711</v>
      </c>
      <c r="D978" t="s">
        <v>6359</v>
      </c>
      <c r="E978" t="s">
        <v>6372</v>
      </c>
      <c r="F978" t="s">
        <v>6361</v>
      </c>
      <c r="G978" s="43">
        <v>0</v>
      </c>
      <c r="H978" s="63">
        <v>0.9</v>
      </c>
    </row>
    <row r="979" spans="1:8" x14ac:dyDescent="0.55000000000000004">
      <c r="A979" s="61" t="s">
        <v>6667</v>
      </c>
      <c r="B979" t="s">
        <v>5042</v>
      </c>
      <c r="C979">
        <v>8711</v>
      </c>
      <c r="D979" t="s">
        <v>6363</v>
      </c>
      <c r="E979" t="s">
        <v>6364</v>
      </c>
      <c r="F979" t="s">
        <v>6361</v>
      </c>
      <c r="G979" s="43">
        <v>0</v>
      </c>
      <c r="H979" s="63">
        <v>0.1</v>
      </c>
    </row>
    <row r="980" spans="1:8" x14ac:dyDescent="0.55000000000000004">
      <c r="A980" s="61" t="s">
        <v>6667</v>
      </c>
      <c r="B980" t="s">
        <v>5042</v>
      </c>
      <c r="C980">
        <v>8711</v>
      </c>
      <c r="D980" t="s">
        <v>6362</v>
      </c>
      <c r="E980" t="s">
        <v>6358</v>
      </c>
      <c r="F980" t="s">
        <v>6358</v>
      </c>
      <c r="G980" s="43">
        <v>7.8100000000000003E-2</v>
      </c>
      <c r="H980" s="63">
        <v>1</v>
      </c>
    </row>
    <row r="981" spans="1:8" x14ac:dyDescent="0.55000000000000004">
      <c r="A981" s="61" t="s">
        <v>6667</v>
      </c>
      <c r="B981" t="s">
        <v>5042</v>
      </c>
      <c r="C981">
        <v>8711</v>
      </c>
      <c r="D981" t="s">
        <v>6365</v>
      </c>
      <c r="E981" t="s">
        <v>6366</v>
      </c>
      <c r="F981" t="s">
        <v>6361</v>
      </c>
      <c r="G981" s="43">
        <v>0</v>
      </c>
      <c r="H981" s="63">
        <v>-0.1</v>
      </c>
    </row>
    <row r="982" spans="1:8" x14ac:dyDescent="0.55000000000000004">
      <c r="A982" s="61" t="s">
        <v>6668</v>
      </c>
      <c r="B982" t="s">
        <v>5042</v>
      </c>
      <c r="C982">
        <v>8713</v>
      </c>
      <c r="D982" t="s">
        <v>6359</v>
      </c>
      <c r="E982" t="s">
        <v>6372</v>
      </c>
      <c r="F982" t="s">
        <v>6361</v>
      </c>
      <c r="G982" s="43">
        <v>0</v>
      </c>
      <c r="H982" s="63">
        <v>0.9</v>
      </c>
    </row>
    <row r="983" spans="1:8" x14ac:dyDescent="0.55000000000000004">
      <c r="A983" s="61" t="s">
        <v>6668</v>
      </c>
      <c r="B983" t="s">
        <v>5042</v>
      </c>
      <c r="C983">
        <v>8713</v>
      </c>
      <c r="D983" t="s">
        <v>6363</v>
      </c>
      <c r="E983" t="s">
        <v>6364</v>
      </c>
      <c r="F983" t="s">
        <v>6361</v>
      </c>
      <c r="G983" s="43">
        <v>0</v>
      </c>
      <c r="H983" s="63">
        <v>0.1</v>
      </c>
    </row>
    <row r="984" spans="1:8" x14ac:dyDescent="0.55000000000000004">
      <c r="A984" s="61" t="s">
        <v>6668</v>
      </c>
      <c r="B984" t="s">
        <v>5042</v>
      </c>
      <c r="C984">
        <v>8713</v>
      </c>
      <c r="D984" t="s">
        <v>6362</v>
      </c>
      <c r="E984" t="s">
        <v>6358</v>
      </c>
      <c r="F984" t="s">
        <v>6358</v>
      </c>
      <c r="G984" s="43">
        <v>7.8100000000000003E-2</v>
      </c>
      <c r="H984" s="63">
        <v>1</v>
      </c>
    </row>
    <row r="985" spans="1:8" x14ac:dyDescent="0.55000000000000004">
      <c r="A985" s="61" t="s">
        <v>6668</v>
      </c>
      <c r="B985" t="s">
        <v>5042</v>
      </c>
      <c r="C985">
        <v>8713</v>
      </c>
      <c r="D985" t="s">
        <v>6365</v>
      </c>
      <c r="E985" t="s">
        <v>6366</v>
      </c>
      <c r="F985" t="s">
        <v>6361</v>
      </c>
      <c r="G985" s="43">
        <v>0</v>
      </c>
      <c r="H985" s="63">
        <v>-0.1</v>
      </c>
    </row>
    <row r="986" spans="1:8" x14ac:dyDescent="0.55000000000000004">
      <c r="A986" s="61" t="s">
        <v>6669</v>
      </c>
      <c r="B986" t="s">
        <v>5042</v>
      </c>
      <c r="C986">
        <v>9305</v>
      </c>
      <c r="D986" t="s">
        <v>6359</v>
      </c>
      <c r="E986" t="s">
        <v>6371</v>
      </c>
      <c r="F986" t="s">
        <v>6361</v>
      </c>
      <c r="G986" s="43">
        <v>0</v>
      </c>
      <c r="H986" s="63">
        <v>0.9</v>
      </c>
    </row>
    <row r="987" spans="1:8" x14ac:dyDescent="0.55000000000000004">
      <c r="A987" s="61" t="s">
        <v>6669</v>
      </c>
      <c r="B987" t="s">
        <v>5042</v>
      </c>
      <c r="C987">
        <v>9305</v>
      </c>
      <c r="D987" t="s">
        <v>6363</v>
      </c>
      <c r="E987" t="s">
        <v>6364</v>
      </c>
      <c r="F987" t="s">
        <v>6361</v>
      </c>
      <c r="G987" s="43">
        <v>0</v>
      </c>
      <c r="H987" s="63">
        <v>0.1</v>
      </c>
    </row>
    <row r="988" spans="1:8" x14ac:dyDescent="0.55000000000000004">
      <c r="A988" s="61" t="s">
        <v>6669</v>
      </c>
      <c r="B988" t="s">
        <v>5042</v>
      </c>
      <c r="C988">
        <v>9305</v>
      </c>
      <c r="D988" t="s">
        <v>6362</v>
      </c>
      <c r="E988" t="s">
        <v>6358</v>
      </c>
      <c r="F988" t="s">
        <v>6358</v>
      </c>
      <c r="G988" s="43">
        <v>7.8100000000000003E-2</v>
      </c>
      <c r="H988" s="63">
        <v>1</v>
      </c>
    </row>
    <row r="989" spans="1:8" x14ac:dyDescent="0.55000000000000004">
      <c r="A989" s="61" t="s">
        <v>6669</v>
      </c>
      <c r="B989" t="s">
        <v>5042</v>
      </c>
      <c r="C989">
        <v>9305</v>
      </c>
      <c r="D989" t="s">
        <v>6365</v>
      </c>
      <c r="E989" t="s">
        <v>6366</v>
      </c>
      <c r="F989" t="s">
        <v>6361</v>
      </c>
      <c r="G989" s="43">
        <v>0</v>
      </c>
      <c r="H989" s="63">
        <v>-0.1</v>
      </c>
    </row>
    <row r="990" spans="1:8" x14ac:dyDescent="0.55000000000000004">
      <c r="A990" s="61" t="s">
        <v>6670</v>
      </c>
      <c r="B990" t="s">
        <v>5042</v>
      </c>
      <c r="C990">
        <v>9307</v>
      </c>
      <c r="D990" t="s">
        <v>6359</v>
      </c>
      <c r="E990" t="s">
        <v>6373</v>
      </c>
      <c r="F990" t="s">
        <v>6361</v>
      </c>
      <c r="G990" s="43">
        <v>0</v>
      </c>
      <c r="H990" s="63">
        <v>0.9</v>
      </c>
    </row>
    <row r="991" spans="1:8" x14ac:dyDescent="0.55000000000000004">
      <c r="A991" s="61" t="s">
        <v>6670</v>
      </c>
      <c r="B991" t="s">
        <v>5042</v>
      </c>
      <c r="C991">
        <v>9307</v>
      </c>
      <c r="D991" t="s">
        <v>6363</v>
      </c>
      <c r="E991" t="s">
        <v>6364</v>
      </c>
      <c r="F991" t="s">
        <v>6361</v>
      </c>
      <c r="G991" s="43">
        <v>0</v>
      </c>
      <c r="H991" s="63">
        <v>0.1</v>
      </c>
    </row>
    <row r="992" spans="1:8" x14ac:dyDescent="0.55000000000000004">
      <c r="A992" s="61" t="s">
        <v>6670</v>
      </c>
      <c r="B992" t="s">
        <v>5042</v>
      </c>
      <c r="C992">
        <v>9307</v>
      </c>
      <c r="D992" t="s">
        <v>6362</v>
      </c>
      <c r="E992" t="s">
        <v>6358</v>
      </c>
      <c r="F992" t="s">
        <v>6358</v>
      </c>
      <c r="G992" s="43">
        <v>7.8100000000000003E-2</v>
      </c>
      <c r="H992" s="63">
        <v>1</v>
      </c>
    </row>
    <row r="993" spans="1:8" x14ac:dyDescent="0.55000000000000004">
      <c r="A993" s="61" t="s">
        <v>6670</v>
      </c>
      <c r="B993" t="s">
        <v>5042</v>
      </c>
      <c r="C993">
        <v>9307</v>
      </c>
      <c r="D993" t="s">
        <v>6365</v>
      </c>
      <c r="E993" t="s">
        <v>6366</v>
      </c>
      <c r="F993" t="s">
        <v>6361</v>
      </c>
      <c r="G993" s="43">
        <v>0</v>
      </c>
      <c r="H993" s="63">
        <v>-0.1</v>
      </c>
    </row>
    <row r="994" spans="1:8" x14ac:dyDescent="0.55000000000000004">
      <c r="A994" s="61" t="s">
        <v>6671</v>
      </c>
      <c r="B994" t="s">
        <v>5042</v>
      </c>
      <c r="C994">
        <v>9309</v>
      </c>
      <c r="D994" t="s">
        <v>6359</v>
      </c>
      <c r="E994" t="s">
        <v>6373</v>
      </c>
      <c r="F994" t="s">
        <v>6361</v>
      </c>
      <c r="G994" s="43">
        <v>0</v>
      </c>
      <c r="H994" s="63">
        <v>0.9</v>
      </c>
    </row>
    <row r="995" spans="1:8" x14ac:dyDescent="0.55000000000000004">
      <c r="A995" s="61" t="s">
        <v>6671</v>
      </c>
      <c r="B995" t="s">
        <v>5042</v>
      </c>
      <c r="C995">
        <v>9309</v>
      </c>
      <c r="D995" t="s">
        <v>6363</v>
      </c>
      <c r="E995" t="s">
        <v>6364</v>
      </c>
      <c r="F995" t="s">
        <v>6361</v>
      </c>
      <c r="G995" s="43">
        <v>0</v>
      </c>
      <c r="H995" s="63">
        <v>0.1</v>
      </c>
    </row>
    <row r="996" spans="1:8" x14ac:dyDescent="0.55000000000000004">
      <c r="A996" s="61" t="s">
        <v>6671</v>
      </c>
      <c r="B996" t="s">
        <v>5042</v>
      </c>
      <c r="C996">
        <v>9309</v>
      </c>
      <c r="D996" t="s">
        <v>6362</v>
      </c>
      <c r="E996" t="s">
        <v>6358</v>
      </c>
      <c r="F996" t="s">
        <v>6358</v>
      </c>
      <c r="G996" s="43">
        <v>7.8100000000000003E-2</v>
      </c>
      <c r="H996" s="63">
        <v>1</v>
      </c>
    </row>
    <row r="997" spans="1:8" x14ac:dyDescent="0.55000000000000004">
      <c r="A997" s="61" t="s">
        <v>6671</v>
      </c>
      <c r="B997" t="s">
        <v>5042</v>
      </c>
      <c r="C997">
        <v>9309</v>
      </c>
      <c r="D997" t="s">
        <v>6365</v>
      </c>
      <c r="E997" t="s">
        <v>6366</v>
      </c>
      <c r="F997" t="s">
        <v>6361</v>
      </c>
      <c r="G997" s="43">
        <v>0</v>
      </c>
      <c r="H997" s="63">
        <v>-0.1</v>
      </c>
    </row>
    <row r="998" spans="1:8" x14ac:dyDescent="0.55000000000000004">
      <c r="A998" s="61" t="s">
        <v>6672</v>
      </c>
      <c r="B998" t="s">
        <v>5042</v>
      </c>
      <c r="C998">
        <v>9310</v>
      </c>
      <c r="D998" t="s">
        <v>6359</v>
      </c>
      <c r="E998" t="s">
        <v>6371</v>
      </c>
      <c r="F998" t="s">
        <v>6361</v>
      </c>
      <c r="G998" s="43">
        <v>0</v>
      </c>
      <c r="H998" s="63">
        <v>0.9</v>
      </c>
    </row>
    <row r="999" spans="1:8" x14ac:dyDescent="0.55000000000000004">
      <c r="A999" s="61" t="s">
        <v>6672</v>
      </c>
      <c r="B999" t="s">
        <v>5042</v>
      </c>
      <c r="C999">
        <v>9310</v>
      </c>
      <c r="D999" t="s">
        <v>6363</v>
      </c>
      <c r="E999" t="s">
        <v>6364</v>
      </c>
      <c r="F999" t="s">
        <v>6361</v>
      </c>
      <c r="G999" s="43">
        <v>0</v>
      </c>
      <c r="H999" s="63">
        <v>0.1</v>
      </c>
    </row>
    <row r="1000" spans="1:8" x14ac:dyDescent="0.55000000000000004">
      <c r="A1000" s="61" t="s">
        <v>6672</v>
      </c>
      <c r="B1000" t="s">
        <v>5042</v>
      </c>
      <c r="C1000">
        <v>9310</v>
      </c>
      <c r="D1000" t="s">
        <v>6362</v>
      </c>
      <c r="E1000" t="s">
        <v>6358</v>
      </c>
      <c r="F1000" t="s">
        <v>6358</v>
      </c>
      <c r="G1000" s="43">
        <v>7.8100000000000003E-2</v>
      </c>
      <c r="H1000" s="63">
        <v>1</v>
      </c>
    </row>
    <row r="1001" spans="1:8" x14ac:dyDescent="0.55000000000000004">
      <c r="A1001" s="61" t="s">
        <v>6672</v>
      </c>
      <c r="B1001" t="s">
        <v>5042</v>
      </c>
      <c r="C1001">
        <v>9310</v>
      </c>
      <c r="D1001" t="s">
        <v>6365</v>
      </c>
      <c r="E1001" t="s">
        <v>6366</v>
      </c>
      <c r="F1001" t="s">
        <v>6361</v>
      </c>
      <c r="G1001" s="43">
        <v>0</v>
      </c>
      <c r="H1001" s="63">
        <v>-0.1</v>
      </c>
    </row>
    <row r="1002" spans="1:8" x14ac:dyDescent="0.55000000000000004">
      <c r="A1002" s="61" t="s">
        <v>6673</v>
      </c>
      <c r="B1002" t="s">
        <v>2683</v>
      </c>
      <c r="C1002">
        <v>8701</v>
      </c>
      <c r="D1002" t="s">
        <v>6359</v>
      </c>
      <c r="E1002" t="s">
        <v>6368</v>
      </c>
      <c r="F1002" t="s">
        <v>6361</v>
      </c>
      <c r="G1002" s="43">
        <v>0</v>
      </c>
      <c r="H1002" s="63">
        <v>1</v>
      </c>
    </row>
    <row r="1003" spans="1:8" x14ac:dyDescent="0.55000000000000004">
      <c r="A1003" s="61" t="s">
        <v>6673</v>
      </c>
      <c r="B1003" t="s">
        <v>2683</v>
      </c>
      <c r="C1003">
        <v>8701</v>
      </c>
      <c r="D1003" t="s">
        <v>6362</v>
      </c>
      <c r="E1003" t="s">
        <v>6358</v>
      </c>
      <c r="F1003" t="s">
        <v>6358</v>
      </c>
      <c r="G1003" s="43">
        <v>5.2299999999999999E-2</v>
      </c>
      <c r="H1003" s="63">
        <v>1</v>
      </c>
    </row>
    <row r="1004" spans="1:8" x14ac:dyDescent="0.55000000000000004">
      <c r="A1004" s="61" t="s">
        <v>6674</v>
      </c>
      <c r="B1004" t="s">
        <v>2683</v>
      </c>
      <c r="C1004">
        <v>8710</v>
      </c>
      <c r="D1004" t="s">
        <v>6359</v>
      </c>
      <c r="E1004" t="s">
        <v>6368</v>
      </c>
      <c r="F1004" t="s">
        <v>6361</v>
      </c>
      <c r="G1004" s="43">
        <v>0</v>
      </c>
      <c r="H1004" s="63">
        <v>0.9</v>
      </c>
    </row>
    <row r="1005" spans="1:8" x14ac:dyDescent="0.55000000000000004">
      <c r="A1005" s="61" t="s">
        <v>6674</v>
      </c>
      <c r="B1005" t="s">
        <v>2683</v>
      </c>
      <c r="C1005">
        <v>8710</v>
      </c>
      <c r="D1005" t="s">
        <v>6363</v>
      </c>
      <c r="E1005" t="s">
        <v>6364</v>
      </c>
      <c r="F1005" t="s">
        <v>6361</v>
      </c>
      <c r="G1005" s="43">
        <v>0</v>
      </c>
      <c r="H1005" s="63">
        <v>0.1</v>
      </c>
    </row>
    <row r="1006" spans="1:8" x14ac:dyDescent="0.55000000000000004">
      <c r="A1006" s="61" t="s">
        <v>6674</v>
      </c>
      <c r="B1006" t="s">
        <v>2683</v>
      </c>
      <c r="C1006">
        <v>8710</v>
      </c>
      <c r="D1006" t="s">
        <v>6362</v>
      </c>
      <c r="E1006" t="s">
        <v>6358</v>
      </c>
      <c r="F1006" t="s">
        <v>6358</v>
      </c>
      <c r="G1006" s="43">
        <v>3.9199999999999999E-2</v>
      </c>
      <c r="H1006" s="63">
        <v>1</v>
      </c>
    </row>
    <row r="1007" spans="1:8" x14ac:dyDescent="0.55000000000000004">
      <c r="A1007" s="61" t="s">
        <v>6674</v>
      </c>
      <c r="B1007" t="s">
        <v>2683</v>
      </c>
      <c r="C1007">
        <v>8710</v>
      </c>
      <c r="D1007" t="s">
        <v>6365</v>
      </c>
      <c r="E1007" t="s">
        <v>6366</v>
      </c>
      <c r="F1007" t="s">
        <v>6361</v>
      </c>
      <c r="G1007" s="43">
        <v>0</v>
      </c>
      <c r="H1007" s="63">
        <v>-0.1</v>
      </c>
    </row>
    <row r="1008" spans="1:8" x14ac:dyDescent="0.55000000000000004">
      <c r="A1008" s="61" t="s">
        <v>6675</v>
      </c>
      <c r="B1008" t="s">
        <v>2683</v>
      </c>
      <c r="C1008">
        <v>9101</v>
      </c>
      <c r="D1008" t="s">
        <v>6359</v>
      </c>
      <c r="E1008" t="s">
        <v>6369</v>
      </c>
      <c r="F1008" t="s">
        <v>6361</v>
      </c>
      <c r="G1008" s="43">
        <v>0</v>
      </c>
      <c r="H1008" s="63">
        <v>1</v>
      </c>
    </row>
    <row r="1009" spans="1:8" x14ac:dyDescent="0.55000000000000004">
      <c r="A1009" s="61" t="s">
        <v>6675</v>
      </c>
      <c r="B1009" t="s">
        <v>2683</v>
      </c>
      <c r="C1009">
        <v>9101</v>
      </c>
      <c r="D1009" t="s">
        <v>6362</v>
      </c>
      <c r="E1009" t="s">
        <v>6358</v>
      </c>
      <c r="F1009" t="s">
        <v>6358</v>
      </c>
      <c r="G1009" s="43">
        <v>5.2299999999999999E-2</v>
      </c>
      <c r="H1009" s="63">
        <v>1</v>
      </c>
    </row>
    <row r="1010" spans="1:8" x14ac:dyDescent="0.55000000000000004">
      <c r="A1010" s="61" t="s">
        <v>6676</v>
      </c>
      <c r="B1010" t="s">
        <v>2683</v>
      </c>
      <c r="C1010">
        <v>9110</v>
      </c>
      <c r="D1010" t="s">
        <v>6359</v>
      </c>
      <c r="E1010" t="s">
        <v>6369</v>
      </c>
      <c r="F1010" t="s">
        <v>6361</v>
      </c>
      <c r="G1010" s="43">
        <v>0</v>
      </c>
      <c r="H1010" s="63">
        <v>0.9</v>
      </c>
    </row>
    <row r="1011" spans="1:8" x14ac:dyDescent="0.55000000000000004">
      <c r="A1011" s="61" t="s">
        <v>6676</v>
      </c>
      <c r="B1011" t="s">
        <v>2683</v>
      </c>
      <c r="C1011">
        <v>9110</v>
      </c>
      <c r="D1011" t="s">
        <v>6363</v>
      </c>
      <c r="E1011" t="s">
        <v>6364</v>
      </c>
      <c r="F1011" t="s">
        <v>6361</v>
      </c>
      <c r="G1011" s="43">
        <v>0</v>
      </c>
      <c r="H1011" s="63">
        <v>0.1</v>
      </c>
    </row>
    <row r="1012" spans="1:8" x14ac:dyDescent="0.55000000000000004">
      <c r="A1012" s="61" t="s">
        <v>6676</v>
      </c>
      <c r="B1012" t="s">
        <v>2683</v>
      </c>
      <c r="C1012">
        <v>9110</v>
      </c>
      <c r="D1012" t="s">
        <v>6362</v>
      </c>
      <c r="E1012" t="s">
        <v>6358</v>
      </c>
      <c r="F1012" t="s">
        <v>6358</v>
      </c>
      <c r="G1012" s="43">
        <v>3.9199999999999999E-2</v>
      </c>
      <c r="H1012" s="63">
        <v>1</v>
      </c>
    </row>
    <row r="1013" spans="1:8" x14ac:dyDescent="0.55000000000000004">
      <c r="A1013" s="61" t="s">
        <v>6676</v>
      </c>
      <c r="B1013" t="s">
        <v>2683</v>
      </c>
      <c r="C1013">
        <v>9110</v>
      </c>
      <c r="D1013" t="s">
        <v>6365</v>
      </c>
      <c r="E1013" t="s">
        <v>6366</v>
      </c>
      <c r="F1013" t="s">
        <v>6361</v>
      </c>
      <c r="G1013" s="43">
        <v>0</v>
      </c>
      <c r="H1013" s="63">
        <v>-0.1</v>
      </c>
    </row>
    <row r="1014" spans="1:8" x14ac:dyDescent="0.55000000000000004">
      <c r="A1014" s="61" t="s">
        <v>6677</v>
      </c>
      <c r="B1014" t="s">
        <v>5373</v>
      </c>
      <c r="C1014">
        <v>8711</v>
      </c>
      <c r="D1014" t="s">
        <v>6359</v>
      </c>
      <c r="E1014" t="s">
        <v>6372</v>
      </c>
      <c r="F1014" t="s">
        <v>6361</v>
      </c>
      <c r="G1014" s="43">
        <v>0</v>
      </c>
      <c r="H1014" s="63">
        <v>0.9</v>
      </c>
    </row>
    <row r="1015" spans="1:8" x14ac:dyDescent="0.55000000000000004">
      <c r="A1015" s="61" t="s">
        <v>6677</v>
      </c>
      <c r="B1015" t="s">
        <v>5373</v>
      </c>
      <c r="C1015">
        <v>8711</v>
      </c>
      <c r="D1015" t="s">
        <v>6363</v>
      </c>
      <c r="E1015" t="s">
        <v>6364</v>
      </c>
      <c r="F1015" t="s">
        <v>6361</v>
      </c>
      <c r="G1015" s="43">
        <v>0</v>
      </c>
      <c r="H1015" s="63">
        <v>0.1</v>
      </c>
    </row>
    <row r="1016" spans="1:8" x14ac:dyDescent="0.55000000000000004">
      <c r="A1016" s="61" t="s">
        <v>6677</v>
      </c>
      <c r="B1016" t="s">
        <v>5373</v>
      </c>
      <c r="C1016">
        <v>8711</v>
      </c>
      <c r="D1016" t="s">
        <v>6362</v>
      </c>
      <c r="E1016" t="s">
        <v>6358</v>
      </c>
      <c r="F1016" t="s">
        <v>6358</v>
      </c>
      <c r="G1016" s="43">
        <v>8.7900000000000006E-2</v>
      </c>
      <c r="H1016" s="63">
        <v>1</v>
      </c>
    </row>
    <row r="1017" spans="1:8" x14ac:dyDescent="0.55000000000000004">
      <c r="A1017" s="61" t="s">
        <v>6677</v>
      </c>
      <c r="B1017" t="s">
        <v>5373</v>
      </c>
      <c r="C1017">
        <v>8711</v>
      </c>
      <c r="D1017" t="s">
        <v>6365</v>
      </c>
      <c r="E1017" t="s">
        <v>6366</v>
      </c>
      <c r="F1017" t="s">
        <v>6361</v>
      </c>
      <c r="G1017" s="43">
        <v>0</v>
      </c>
      <c r="H1017" s="63">
        <v>-0.1</v>
      </c>
    </row>
    <row r="1018" spans="1:8" x14ac:dyDescent="0.55000000000000004">
      <c r="A1018" s="61" t="s">
        <v>6678</v>
      </c>
      <c r="B1018" t="s">
        <v>5373</v>
      </c>
      <c r="C1018">
        <v>8713</v>
      </c>
      <c r="D1018" t="s">
        <v>6359</v>
      </c>
      <c r="E1018" t="s">
        <v>6372</v>
      </c>
      <c r="F1018" t="s">
        <v>6361</v>
      </c>
      <c r="G1018" s="43">
        <v>0</v>
      </c>
      <c r="H1018" s="63">
        <v>0.9</v>
      </c>
    </row>
    <row r="1019" spans="1:8" x14ac:dyDescent="0.55000000000000004">
      <c r="A1019" s="61" t="s">
        <v>6678</v>
      </c>
      <c r="B1019" t="s">
        <v>5373</v>
      </c>
      <c r="C1019">
        <v>8713</v>
      </c>
      <c r="D1019" t="s">
        <v>6363</v>
      </c>
      <c r="E1019" t="s">
        <v>6364</v>
      </c>
      <c r="F1019" t="s">
        <v>6361</v>
      </c>
      <c r="G1019" s="43">
        <v>0</v>
      </c>
      <c r="H1019" s="63">
        <v>0.1</v>
      </c>
    </row>
    <row r="1020" spans="1:8" x14ac:dyDescent="0.55000000000000004">
      <c r="A1020" s="61" t="s">
        <v>6678</v>
      </c>
      <c r="B1020" t="s">
        <v>5373</v>
      </c>
      <c r="C1020">
        <v>8713</v>
      </c>
      <c r="D1020" t="s">
        <v>6362</v>
      </c>
      <c r="E1020" t="s">
        <v>6358</v>
      </c>
      <c r="F1020" t="s">
        <v>6358</v>
      </c>
      <c r="G1020" s="43">
        <v>8.7900000000000006E-2</v>
      </c>
      <c r="H1020" s="63">
        <v>1</v>
      </c>
    </row>
    <row r="1021" spans="1:8" x14ac:dyDescent="0.55000000000000004">
      <c r="A1021" s="61" t="s">
        <v>6678</v>
      </c>
      <c r="B1021" t="s">
        <v>5373</v>
      </c>
      <c r="C1021">
        <v>8713</v>
      </c>
      <c r="D1021" t="s">
        <v>6365</v>
      </c>
      <c r="E1021" t="s">
        <v>6366</v>
      </c>
      <c r="F1021" t="s">
        <v>6361</v>
      </c>
      <c r="G1021" s="43">
        <v>0</v>
      </c>
      <c r="H1021" s="63">
        <v>-0.1</v>
      </c>
    </row>
    <row r="1022" spans="1:8" x14ac:dyDescent="0.55000000000000004">
      <c r="A1022" s="61" t="s">
        <v>6679</v>
      </c>
      <c r="B1022" t="s">
        <v>5373</v>
      </c>
      <c r="C1022">
        <v>9307</v>
      </c>
      <c r="D1022" t="s">
        <v>6359</v>
      </c>
      <c r="E1022" t="s">
        <v>6373</v>
      </c>
      <c r="F1022" t="s">
        <v>6361</v>
      </c>
      <c r="G1022" s="43">
        <v>0</v>
      </c>
      <c r="H1022" s="63">
        <v>0.9</v>
      </c>
    </row>
    <row r="1023" spans="1:8" x14ac:dyDescent="0.55000000000000004">
      <c r="A1023" s="61" t="s">
        <v>6679</v>
      </c>
      <c r="B1023" t="s">
        <v>5373</v>
      </c>
      <c r="C1023">
        <v>9307</v>
      </c>
      <c r="D1023" t="s">
        <v>6363</v>
      </c>
      <c r="E1023" t="s">
        <v>6364</v>
      </c>
      <c r="F1023" t="s">
        <v>6361</v>
      </c>
      <c r="G1023" s="43">
        <v>0</v>
      </c>
      <c r="H1023" s="63">
        <v>0.1</v>
      </c>
    </row>
    <row r="1024" spans="1:8" x14ac:dyDescent="0.55000000000000004">
      <c r="A1024" s="61" t="s">
        <v>6679</v>
      </c>
      <c r="B1024" t="s">
        <v>5373</v>
      </c>
      <c r="C1024">
        <v>9307</v>
      </c>
      <c r="D1024" t="s">
        <v>6362</v>
      </c>
      <c r="E1024" t="s">
        <v>6358</v>
      </c>
      <c r="F1024" t="s">
        <v>6358</v>
      </c>
      <c r="G1024" s="43">
        <v>8.7900000000000006E-2</v>
      </c>
      <c r="H1024" s="63">
        <v>1</v>
      </c>
    </row>
    <row r="1025" spans="1:8" x14ac:dyDescent="0.55000000000000004">
      <c r="A1025" s="61" t="s">
        <v>6679</v>
      </c>
      <c r="B1025" t="s">
        <v>5373</v>
      </c>
      <c r="C1025">
        <v>9307</v>
      </c>
      <c r="D1025" t="s">
        <v>6365</v>
      </c>
      <c r="E1025" t="s">
        <v>6366</v>
      </c>
      <c r="F1025" t="s">
        <v>6361</v>
      </c>
      <c r="G1025" s="43">
        <v>0</v>
      </c>
      <c r="H1025" s="63">
        <v>-0.1</v>
      </c>
    </row>
    <row r="1026" spans="1:8" x14ac:dyDescent="0.55000000000000004">
      <c r="A1026" s="61" t="s">
        <v>6680</v>
      </c>
      <c r="B1026" t="s">
        <v>5373</v>
      </c>
      <c r="C1026">
        <v>9309</v>
      </c>
      <c r="D1026" t="s">
        <v>6359</v>
      </c>
      <c r="E1026" t="s">
        <v>6373</v>
      </c>
      <c r="F1026" t="s">
        <v>6361</v>
      </c>
      <c r="G1026" s="43">
        <v>0</v>
      </c>
      <c r="H1026" s="63">
        <v>0.9</v>
      </c>
    </row>
    <row r="1027" spans="1:8" x14ac:dyDescent="0.55000000000000004">
      <c r="A1027" s="61" t="s">
        <v>6680</v>
      </c>
      <c r="B1027" t="s">
        <v>5373</v>
      </c>
      <c r="C1027">
        <v>9309</v>
      </c>
      <c r="D1027" t="s">
        <v>6363</v>
      </c>
      <c r="E1027" t="s">
        <v>6364</v>
      </c>
      <c r="F1027" t="s">
        <v>6361</v>
      </c>
      <c r="G1027" s="43">
        <v>0</v>
      </c>
      <c r="H1027" s="63">
        <v>0.1</v>
      </c>
    </row>
    <row r="1028" spans="1:8" x14ac:dyDescent="0.55000000000000004">
      <c r="A1028" s="61" t="s">
        <v>6680</v>
      </c>
      <c r="B1028" t="s">
        <v>5373</v>
      </c>
      <c r="C1028">
        <v>9309</v>
      </c>
      <c r="D1028" t="s">
        <v>6362</v>
      </c>
      <c r="E1028" t="s">
        <v>6358</v>
      </c>
      <c r="F1028" t="s">
        <v>6358</v>
      </c>
      <c r="G1028" s="43">
        <v>8.7900000000000006E-2</v>
      </c>
      <c r="H1028" s="63">
        <v>1</v>
      </c>
    </row>
    <row r="1029" spans="1:8" x14ac:dyDescent="0.55000000000000004">
      <c r="A1029" s="61" t="s">
        <v>6680</v>
      </c>
      <c r="B1029" t="s">
        <v>5373</v>
      </c>
      <c r="C1029">
        <v>9309</v>
      </c>
      <c r="D1029" t="s">
        <v>6365</v>
      </c>
      <c r="E1029" t="s">
        <v>6366</v>
      </c>
      <c r="F1029" t="s">
        <v>6361</v>
      </c>
      <c r="G1029" s="43">
        <v>0</v>
      </c>
      <c r="H1029" s="63">
        <v>-0.1</v>
      </c>
    </row>
    <row r="1030" spans="1:8" x14ac:dyDescent="0.55000000000000004">
      <c r="A1030" s="61" t="s">
        <v>6681</v>
      </c>
      <c r="B1030" t="s">
        <v>3212</v>
      </c>
      <c r="C1030">
        <v>8701</v>
      </c>
      <c r="D1030" t="s">
        <v>6359</v>
      </c>
      <c r="E1030" t="s">
        <v>6360</v>
      </c>
      <c r="F1030" t="s">
        <v>6361</v>
      </c>
      <c r="G1030" s="43">
        <v>0</v>
      </c>
      <c r="H1030" s="63">
        <v>1</v>
      </c>
    </row>
    <row r="1031" spans="1:8" x14ac:dyDescent="0.55000000000000004">
      <c r="A1031" s="61" t="s">
        <v>6681</v>
      </c>
      <c r="B1031" t="s">
        <v>3212</v>
      </c>
      <c r="C1031">
        <v>8701</v>
      </c>
      <c r="D1031" t="s">
        <v>6362</v>
      </c>
      <c r="E1031" t="s">
        <v>6358</v>
      </c>
      <c r="F1031" t="s">
        <v>6358</v>
      </c>
      <c r="G1031" s="43">
        <v>8.6400000000000005E-2</v>
      </c>
      <c r="H1031" s="63">
        <v>1</v>
      </c>
    </row>
    <row r="1032" spans="1:8" x14ac:dyDescent="0.55000000000000004">
      <c r="A1032" s="61" t="s">
        <v>6682</v>
      </c>
      <c r="B1032" t="s">
        <v>3212</v>
      </c>
      <c r="C1032">
        <v>8710</v>
      </c>
      <c r="D1032" t="s">
        <v>6359</v>
      </c>
      <c r="E1032" t="s">
        <v>6360</v>
      </c>
      <c r="F1032" t="s">
        <v>6361</v>
      </c>
      <c r="G1032" s="43">
        <v>0</v>
      </c>
      <c r="H1032" s="63">
        <v>0.9</v>
      </c>
    </row>
    <row r="1033" spans="1:8" x14ac:dyDescent="0.55000000000000004">
      <c r="A1033" s="61" t="s">
        <v>6682</v>
      </c>
      <c r="B1033" t="s">
        <v>3212</v>
      </c>
      <c r="C1033">
        <v>8710</v>
      </c>
      <c r="D1033" t="s">
        <v>6363</v>
      </c>
      <c r="E1033" t="s">
        <v>6364</v>
      </c>
      <c r="F1033" t="s">
        <v>6361</v>
      </c>
      <c r="G1033" s="43">
        <v>0</v>
      </c>
      <c r="H1033" s="63">
        <v>0.1</v>
      </c>
    </row>
    <row r="1034" spans="1:8" x14ac:dyDescent="0.55000000000000004">
      <c r="A1034" s="61" t="s">
        <v>6682</v>
      </c>
      <c r="B1034" t="s">
        <v>3212</v>
      </c>
      <c r="C1034">
        <v>8710</v>
      </c>
      <c r="D1034" t="s">
        <v>6362</v>
      </c>
      <c r="E1034" t="s">
        <v>6358</v>
      </c>
      <c r="F1034" t="s">
        <v>6358</v>
      </c>
      <c r="G1034" s="43">
        <v>6.9900000000000004E-2</v>
      </c>
      <c r="H1034" s="63">
        <v>1</v>
      </c>
    </row>
    <row r="1035" spans="1:8" x14ac:dyDescent="0.55000000000000004">
      <c r="A1035" s="61" t="s">
        <v>6682</v>
      </c>
      <c r="B1035" t="s">
        <v>3212</v>
      </c>
      <c r="C1035">
        <v>8710</v>
      </c>
      <c r="D1035" t="s">
        <v>6365</v>
      </c>
      <c r="E1035" t="s">
        <v>6366</v>
      </c>
      <c r="F1035" t="s">
        <v>6361</v>
      </c>
      <c r="G1035" s="43">
        <v>0</v>
      </c>
      <c r="H1035" s="63">
        <v>-0.1</v>
      </c>
    </row>
    <row r="1036" spans="1:8" x14ac:dyDescent="0.55000000000000004">
      <c r="A1036" s="61" t="s">
        <v>6683</v>
      </c>
      <c r="B1036" t="s">
        <v>3212</v>
      </c>
      <c r="C1036">
        <v>9101</v>
      </c>
      <c r="D1036" t="s">
        <v>6359</v>
      </c>
      <c r="E1036" t="s">
        <v>6367</v>
      </c>
      <c r="F1036" t="s">
        <v>6361</v>
      </c>
      <c r="G1036" s="43">
        <v>0</v>
      </c>
      <c r="H1036" s="63">
        <v>1</v>
      </c>
    </row>
    <row r="1037" spans="1:8" x14ac:dyDescent="0.55000000000000004">
      <c r="A1037" s="61" t="s">
        <v>6683</v>
      </c>
      <c r="B1037" t="s">
        <v>3212</v>
      </c>
      <c r="C1037">
        <v>9101</v>
      </c>
      <c r="D1037" t="s">
        <v>6362</v>
      </c>
      <c r="E1037" t="s">
        <v>6358</v>
      </c>
      <c r="F1037" t="s">
        <v>6358</v>
      </c>
      <c r="G1037" s="43">
        <v>8.6400000000000005E-2</v>
      </c>
      <c r="H1037" s="63">
        <v>1</v>
      </c>
    </row>
    <row r="1038" spans="1:8" x14ac:dyDescent="0.55000000000000004">
      <c r="A1038" s="61" t="s">
        <v>6684</v>
      </c>
      <c r="B1038" t="s">
        <v>3212</v>
      </c>
      <c r="C1038">
        <v>9110</v>
      </c>
      <c r="D1038" t="s">
        <v>6359</v>
      </c>
      <c r="E1038" t="s">
        <v>6367</v>
      </c>
      <c r="F1038" t="s">
        <v>6361</v>
      </c>
      <c r="G1038" s="43">
        <v>0</v>
      </c>
      <c r="H1038" s="63">
        <v>0.9</v>
      </c>
    </row>
    <row r="1039" spans="1:8" x14ac:dyDescent="0.55000000000000004">
      <c r="A1039" s="61" t="s">
        <v>6684</v>
      </c>
      <c r="B1039" t="s">
        <v>3212</v>
      </c>
      <c r="C1039">
        <v>9110</v>
      </c>
      <c r="D1039" t="s">
        <v>6363</v>
      </c>
      <c r="E1039" t="s">
        <v>6364</v>
      </c>
      <c r="F1039" t="s">
        <v>6361</v>
      </c>
      <c r="G1039" s="43">
        <v>0</v>
      </c>
      <c r="H1039" s="63">
        <v>0.1</v>
      </c>
    </row>
    <row r="1040" spans="1:8" x14ac:dyDescent="0.55000000000000004">
      <c r="A1040" s="61" t="s">
        <v>6684</v>
      </c>
      <c r="B1040" t="s">
        <v>3212</v>
      </c>
      <c r="C1040">
        <v>9110</v>
      </c>
      <c r="D1040" t="s">
        <v>6362</v>
      </c>
      <c r="E1040" t="s">
        <v>6358</v>
      </c>
      <c r="F1040" t="s">
        <v>6358</v>
      </c>
      <c r="G1040" s="43">
        <v>6.9900000000000004E-2</v>
      </c>
      <c r="H1040" s="63">
        <v>1</v>
      </c>
    </row>
    <row r="1041" spans="1:8" x14ac:dyDescent="0.55000000000000004">
      <c r="A1041" s="61" t="s">
        <v>6684</v>
      </c>
      <c r="B1041" t="s">
        <v>3212</v>
      </c>
      <c r="C1041">
        <v>9110</v>
      </c>
      <c r="D1041" t="s">
        <v>6365</v>
      </c>
      <c r="E1041" t="s">
        <v>6366</v>
      </c>
      <c r="F1041" t="s">
        <v>6361</v>
      </c>
      <c r="G1041" s="43">
        <v>0</v>
      </c>
      <c r="H1041" s="63">
        <v>-0.1</v>
      </c>
    </row>
    <row r="1042" spans="1:8" x14ac:dyDescent="0.55000000000000004">
      <c r="A1042" s="61" t="s">
        <v>6685</v>
      </c>
      <c r="B1042" t="s">
        <v>3212</v>
      </c>
      <c r="C1042">
        <v>9204</v>
      </c>
      <c r="D1042" t="s">
        <v>6359</v>
      </c>
      <c r="E1042" t="s">
        <v>6367</v>
      </c>
      <c r="F1042" t="s">
        <v>6361</v>
      </c>
      <c r="G1042" s="43">
        <v>0</v>
      </c>
      <c r="H1042" s="63">
        <v>0.9</v>
      </c>
    </row>
    <row r="1043" spans="1:8" x14ac:dyDescent="0.55000000000000004">
      <c r="A1043" s="61" t="s">
        <v>6685</v>
      </c>
      <c r="B1043" t="s">
        <v>3212</v>
      </c>
      <c r="C1043">
        <v>9204</v>
      </c>
      <c r="D1043" t="s">
        <v>6363</v>
      </c>
      <c r="E1043" t="s">
        <v>6364</v>
      </c>
      <c r="F1043" t="s">
        <v>6361</v>
      </c>
      <c r="G1043" s="43">
        <v>0</v>
      </c>
      <c r="H1043" s="63">
        <v>0.1</v>
      </c>
    </row>
    <row r="1044" spans="1:8" x14ac:dyDescent="0.55000000000000004">
      <c r="A1044" s="61" t="s">
        <v>6685</v>
      </c>
      <c r="B1044" t="s">
        <v>3212</v>
      </c>
      <c r="C1044">
        <v>9204</v>
      </c>
      <c r="D1044" t="s">
        <v>6362</v>
      </c>
      <c r="E1044" t="s">
        <v>6358</v>
      </c>
      <c r="F1044" t="s">
        <v>6358</v>
      </c>
      <c r="G1044" s="43">
        <v>6.9900000000000004E-2</v>
      </c>
      <c r="H1044" s="63">
        <v>1</v>
      </c>
    </row>
    <row r="1045" spans="1:8" x14ac:dyDescent="0.55000000000000004">
      <c r="A1045" s="61" t="s">
        <v>6685</v>
      </c>
      <c r="B1045" t="s">
        <v>3212</v>
      </c>
      <c r="C1045">
        <v>9204</v>
      </c>
      <c r="D1045" t="s">
        <v>6365</v>
      </c>
      <c r="E1045" t="s">
        <v>6366</v>
      </c>
      <c r="F1045" t="s">
        <v>6361</v>
      </c>
      <c r="G1045" s="43">
        <v>0</v>
      </c>
      <c r="H1045" s="63">
        <v>-0.1</v>
      </c>
    </row>
    <row r="1046" spans="1:8" x14ac:dyDescent="0.55000000000000004">
      <c r="A1046" s="61" t="s">
        <v>6686</v>
      </c>
      <c r="B1046" t="s">
        <v>3131</v>
      </c>
      <c r="C1046">
        <v>8710</v>
      </c>
      <c r="D1046" t="s">
        <v>6359</v>
      </c>
      <c r="E1046" t="s">
        <v>6370</v>
      </c>
      <c r="F1046" t="s">
        <v>6361</v>
      </c>
      <c r="G1046" s="43">
        <v>0</v>
      </c>
      <c r="H1046" s="63">
        <v>0.9</v>
      </c>
    </row>
    <row r="1047" spans="1:8" x14ac:dyDescent="0.55000000000000004">
      <c r="A1047" s="61" t="s">
        <v>6686</v>
      </c>
      <c r="B1047" t="s">
        <v>3131</v>
      </c>
      <c r="C1047">
        <v>8710</v>
      </c>
      <c r="D1047" t="s">
        <v>6363</v>
      </c>
      <c r="E1047" t="s">
        <v>6364</v>
      </c>
      <c r="F1047" t="s">
        <v>6361</v>
      </c>
      <c r="G1047" s="43">
        <v>0</v>
      </c>
      <c r="H1047" s="63">
        <v>0.1</v>
      </c>
    </row>
    <row r="1048" spans="1:8" x14ac:dyDescent="0.55000000000000004">
      <c r="A1048" s="61" t="s">
        <v>6686</v>
      </c>
      <c r="B1048" t="s">
        <v>3131</v>
      </c>
      <c r="C1048">
        <v>8710</v>
      </c>
      <c r="D1048" t="s">
        <v>6362</v>
      </c>
      <c r="E1048" t="s">
        <v>6358</v>
      </c>
      <c r="F1048" t="s">
        <v>6358</v>
      </c>
      <c r="G1048" s="43">
        <v>8.3900000000000002E-2</v>
      </c>
      <c r="H1048" s="63">
        <v>1</v>
      </c>
    </row>
    <row r="1049" spans="1:8" x14ac:dyDescent="0.55000000000000004">
      <c r="A1049" s="61" t="s">
        <v>6686</v>
      </c>
      <c r="B1049" t="s">
        <v>3131</v>
      </c>
      <c r="C1049">
        <v>8710</v>
      </c>
      <c r="D1049" t="s">
        <v>6365</v>
      </c>
      <c r="E1049" t="s">
        <v>6366</v>
      </c>
      <c r="F1049" t="s">
        <v>6361</v>
      </c>
      <c r="G1049" s="43">
        <v>0</v>
      </c>
      <c r="H1049" s="63">
        <v>-0.1</v>
      </c>
    </row>
    <row r="1050" spans="1:8" x14ac:dyDescent="0.55000000000000004">
      <c r="A1050" s="61" t="s">
        <v>6687</v>
      </c>
      <c r="B1050" t="s">
        <v>3131</v>
      </c>
      <c r="C1050">
        <v>9310</v>
      </c>
      <c r="D1050" t="s">
        <v>6359</v>
      </c>
      <c r="E1050" t="s">
        <v>6371</v>
      </c>
      <c r="F1050" t="s">
        <v>6361</v>
      </c>
      <c r="G1050" s="43">
        <v>0</v>
      </c>
      <c r="H1050" s="63">
        <v>0.9</v>
      </c>
    </row>
    <row r="1051" spans="1:8" x14ac:dyDescent="0.55000000000000004">
      <c r="A1051" s="61" t="s">
        <v>6687</v>
      </c>
      <c r="B1051" t="s">
        <v>3131</v>
      </c>
      <c r="C1051">
        <v>9310</v>
      </c>
      <c r="D1051" t="s">
        <v>6363</v>
      </c>
      <c r="E1051" t="s">
        <v>6364</v>
      </c>
      <c r="F1051" t="s">
        <v>6361</v>
      </c>
      <c r="G1051" s="43">
        <v>0</v>
      </c>
      <c r="H1051" s="63">
        <v>0.1</v>
      </c>
    </row>
    <row r="1052" spans="1:8" x14ac:dyDescent="0.55000000000000004">
      <c r="A1052" s="61" t="s">
        <v>6687</v>
      </c>
      <c r="B1052" t="s">
        <v>3131</v>
      </c>
      <c r="C1052">
        <v>9310</v>
      </c>
      <c r="D1052" t="s">
        <v>6362</v>
      </c>
      <c r="E1052" t="s">
        <v>6358</v>
      </c>
      <c r="F1052" t="s">
        <v>6358</v>
      </c>
      <c r="G1052" s="43">
        <v>8.3900000000000002E-2</v>
      </c>
      <c r="H1052" s="63">
        <v>1</v>
      </c>
    </row>
    <row r="1053" spans="1:8" x14ac:dyDescent="0.55000000000000004">
      <c r="A1053" s="61" t="s">
        <v>6687</v>
      </c>
      <c r="B1053" t="s">
        <v>3131</v>
      </c>
      <c r="C1053">
        <v>9310</v>
      </c>
      <c r="D1053" t="s">
        <v>6365</v>
      </c>
      <c r="E1053" t="s">
        <v>6366</v>
      </c>
      <c r="F1053" t="s">
        <v>6361</v>
      </c>
      <c r="G1053" s="43">
        <v>0</v>
      </c>
      <c r="H1053" s="63">
        <v>-0.1</v>
      </c>
    </row>
    <row r="1054" spans="1:8" x14ac:dyDescent="0.55000000000000004">
      <c r="A1054" s="61" t="s">
        <v>6688</v>
      </c>
      <c r="B1054" t="s">
        <v>2480</v>
      </c>
      <c r="C1054">
        <v>8710</v>
      </c>
      <c r="D1054" t="s">
        <v>6359</v>
      </c>
      <c r="E1054" t="s">
        <v>6368</v>
      </c>
      <c r="F1054" t="s">
        <v>6361</v>
      </c>
      <c r="G1054" s="43">
        <v>0</v>
      </c>
      <c r="H1054" s="63">
        <v>0.9</v>
      </c>
    </row>
    <row r="1055" spans="1:8" x14ac:dyDescent="0.55000000000000004">
      <c r="A1055" s="61" t="s">
        <v>6688</v>
      </c>
      <c r="B1055" t="s">
        <v>2480</v>
      </c>
      <c r="C1055">
        <v>8710</v>
      </c>
      <c r="D1055" t="s">
        <v>6363</v>
      </c>
      <c r="E1055" t="s">
        <v>6364</v>
      </c>
      <c r="F1055" t="s">
        <v>6361</v>
      </c>
      <c r="G1055" s="43">
        <v>0</v>
      </c>
      <c r="H1055" s="63">
        <v>0.1</v>
      </c>
    </row>
    <row r="1056" spans="1:8" x14ac:dyDescent="0.55000000000000004">
      <c r="A1056" s="61" t="s">
        <v>6688</v>
      </c>
      <c r="B1056" t="s">
        <v>2480</v>
      </c>
      <c r="C1056">
        <v>8710</v>
      </c>
      <c r="D1056" t="s">
        <v>6362</v>
      </c>
      <c r="E1056" t="s">
        <v>6358</v>
      </c>
      <c r="F1056" t="s">
        <v>6358</v>
      </c>
      <c r="G1056" s="43">
        <v>6.5000000000000002E-2</v>
      </c>
      <c r="H1056" s="63">
        <v>1</v>
      </c>
    </row>
    <row r="1057" spans="1:8" x14ac:dyDescent="0.55000000000000004">
      <c r="A1057" s="61" t="s">
        <v>6688</v>
      </c>
      <c r="B1057" t="s">
        <v>2480</v>
      </c>
      <c r="C1057">
        <v>8710</v>
      </c>
      <c r="D1057" t="s">
        <v>6365</v>
      </c>
      <c r="E1057" t="s">
        <v>6366</v>
      </c>
      <c r="F1057" t="s">
        <v>6361</v>
      </c>
      <c r="G1057" s="43">
        <v>0</v>
      </c>
      <c r="H1057" s="63">
        <v>-0.1</v>
      </c>
    </row>
    <row r="1058" spans="1:8" x14ac:dyDescent="0.55000000000000004">
      <c r="A1058" s="61" t="s">
        <v>6689</v>
      </c>
      <c r="B1058" t="s">
        <v>2480</v>
      </c>
      <c r="C1058">
        <v>9310</v>
      </c>
      <c r="D1058" t="s">
        <v>6359</v>
      </c>
      <c r="E1058" t="s">
        <v>6369</v>
      </c>
      <c r="F1058" t="s">
        <v>6361</v>
      </c>
      <c r="G1058" s="43">
        <v>0</v>
      </c>
      <c r="H1058" s="63">
        <v>0.9</v>
      </c>
    </row>
    <row r="1059" spans="1:8" x14ac:dyDescent="0.55000000000000004">
      <c r="A1059" s="61" t="s">
        <v>6689</v>
      </c>
      <c r="B1059" t="s">
        <v>2480</v>
      </c>
      <c r="C1059">
        <v>9310</v>
      </c>
      <c r="D1059" t="s">
        <v>6363</v>
      </c>
      <c r="E1059" t="s">
        <v>6364</v>
      </c>
      <c r="F1059" t="s">
        <v>6361</v>
      </c>
      <c r="G1059" s="43">
        <v>0</v>
      </c>
      <c r="H1059" s="63">
        <v>0.1</v>
      </c>
    </row>
    <row r="1060" spans="1:8" x14ac:dyDescent="0.55000000000000004">
      <c r="A1060" s="61" t="s">
        <v>6689</v>
      </c>
      <c r="B1060" t="s">
        <v>2480</v>
      </c>
      <c r="C1060">
        <v>9310</v>
      </c>
      <c r="D1060" t="s">
        <v>6362</v>
      </c>
      <c r="E1060" t="s">
        <v>6358</v>
      </c>
      <c r="F1060" t="s">
        <v>6358</v>
      </c>
      <c r="G1060" s="43">
        <v>6.5000000000000002E-2</v>
      </c>
      <c r="H1060" s="63">
        <v>1</v>
      </c>
    </row>
    <row r="1061" spans="1:8" x14ac:dyDescent="0.55000000000000004">
      <c r="A1061" s="61" t="s">
        <v>6689</v>
      </c>
      <c r="B1061" t="s">
        <v>2480</v>
      </c>
      <c r="C1061">
        <v>9310</v>
      </c>
      <c r="D1061" t="s">
        <v>6365</v>
      </c>
      <c r="E1061" t="s">
        <v>6366</v>
      </c>
      <c r="F1061" t="s">
        <v>6361</v>
      </c>
      <c r="G1061" s="43">
        <v>0</v>
      </c>
      <c r="H1061" s="63">
        <v>-0.1</v>
      </c>
    </row>
    <row r="1062" spans="1:8" x14ac:dyDescent="0.55000000000000004">
      <c r="A1062" s="61" t="s">
        <v>6690</v>
      </c>
      <c r="B1062" t="s">
        <v>2491</v>
      </c>
      <c r="C1062">
        <v>8710</v>
      </c>
      <c r="D1062" t="s">
        <v>6359</v>
      </c>
      <c r="E1062" t="s">
        <v>6368</v>
      </c>
      <c r="F1062" t="s">
        <v>6361</v>
      </c>
      <c r="G1062" s="43">
        <v>0</v>
      </c>
      <c r="H1062" s="63">
        <v>0.9</v>
      </c>
    </row>
    <row r="1063" spans="1:8" x14ac:dyDescent="0.55000000000000004">
      <c r="A1063" s="61" t="s">
        <v>6690</v>
      </c>
      <c r="B1063" t="s">
        <v>2491</v>
      </c>
      <c r="C1063">
        <v>8710</v>
      </c>
      <c r="D1063" t="s">
        <v>6363</v>
      </c>
      <c r="E1063" t="s">
        <v>6364</v>
      </c>
      <c r="F1063" t="s">
        <v>6361</v>
      </c>
      <c r="G1063" s="43">
        <v>0</v>
      </c>
      <c r="H1063" s="63">
        <v>0.1</v>
      </c>
    </row>
    <row r="1064" spans="1:8" x14ac:dyDescent="0.55000000000000004">
      <c r="A1064" s="61" t="s">
        <v>6690</v>
      </c>
      <c r="B1064" t="s">
        <v>2491</v>
      </c>
      <c r="C1064">
        <v>8710</v>
      </c>
      <c r="D1064" t="s">
        <v>6362</v>
      </c>
      <c r="E1064" t="s">
        <v>6358</v>
      </c>
      <c r="F1064" t="s">
        <v>6358</v>
      </c>
      <c r="G1064" s="43">
        <v>0.10730000000000001</v>
      </c>
      <c r="H1064" s="63">
        <v>1</v>
      </c>
    </row>
    <row r="1065" spans="1:8" x14ac:dyDescent="0.55000000000000004">
      <c r="A1065" s="61" t="s">
        <v>6690</v>
      </c>
      <c r="B1065" t="s">
        <v>2491</v>
      </c>
      <c r="C1065">
        <v>8710</v>
      </c>
      <c r="D1065" t="s">
        <v>6365</v>
      </c>
      <c r="E1065" t="s">
        <v>6366</v>
      </c>
      <c r="F1065" t="s">
        <v>6361</v>
      </c>
      <c r="G1065" s="43">
        <v>0</v>
      </c>
      <c r="H1065" s="63">
        <v>-0.1</v>
      </c>
    </row>
    <row r="1066" spans="1:8" x14ac:dyDescent="0.55000000000000004">
      <c r="A1066" s="61" t="s">
        <v>6691</v>
      </c>
      <c r="B1066" t="s">
        <v>2491</v>
      </c>
      <c r="C1066">
        <v>9204</v>
      </c>
      <c r="D1066" t="s">
        <v>6359</v>
      </c>
      <c r="E1066" t="s">
        <v>6369</v>
      </c>
      <c r="F1066" t="s">
        <v>6361</v>
      </c>
      <c r="G1066" s="43">
        <v>0</v>
      </c>
      <c r="H1066" s="63">
        <v>0.9</v>
      </c>
    </row>
    <row r="1067" spans="1:8" x14ac:dyDescent="0.55000000000000004">
      <c r="A1067" s="61" t="s">
        <v>6691</v>
      </c>
      <c r="B1067" t="s">
        <v>2491</v>
      </c>
      <c r="C1067">
        <v>9204</v>
      </c>
      <c r="D1067" t="s">
        <v>6363</v>
      </c>
      <c r="E1067" t="s">
        <v>6364</v>
      </c>
      <c r="F1067" t="s">
        <v>6361</v>
      </c>
      <c r="G1067" s="43">
        <v>0</v>
      </c>
      <c r="H1067" s="63">
        <v>0.1</v>
      </c>
    </row>
    <row r="1068" spans="1:8" x14ac:dyDescent="0.55000000000000004">
      <c r="A1068" s="61" t="s">
        <v>6691</v>
      </c>
      <c r="B1068" t="s">
        <v>2491</v>
      </c>
      <c r="C1068">
        <v>9204</v>
      </c>
      <c r="D1068" t="s">
        <v>6362</v>
      </c>
      <c r="E1068" t="s">
        <v>6358</v>
      </c>
      <c r="F1068" t="s">
        <v>6358</v>
      </c>
      <c r="G1068" s="43">
        <v>0.10730000000000001</v>
      </c>
      <c r="H1068" s="63">
        <v>1</v>
      </c>
    </row>
    <row r="1069" spans="1:8" x14ac:dyDescent="0.55000000000000004">
      <c r="A1069" s="61" t="s">
        <v>6691</v>
      </c>
      <c r="B1069" t="s">
        <v>2491</v>
      </c>
      <c r="C1069">
        <v>9204</v>
      </c>
      <c r="D1069" t="s">
        <v>6365</v>
      </c>
      <c r="E1069" t="s">
        <v>6366</v>
      </c>
      <c r="F1069" t="s">
        <v>6361</v>
      </c>
      <c r="G1069" s="43">
        <v>0</v>
      </c>
      <c r="H1069" s="63">
        <v>-0.1</v>
      </c>
    </row>
    <row r="1070" spans="1:8" x14ac:dyDescent="0.55000000000000004">
      <c r="A1070" s="61" t="s">
        <v>6692</v>
      </c>
      <c r="B1070" t="s">
        <v>2491</v>
      </c>
      <c r="C1070">
        <v>9310</v>
      </c>
      <c r="D1070" t="s">
        <v>6359</v>
      </c>
      <c r="E1070" t="s">
        <v>6369</v>
      </c>
      <c r="F1070" t="s">
        <v>6361</v>
      </c>
      <c r="G1070" s="43">
        <v>0</v>
      </c>
      <c r="H1070" s="63">
        <v>0.9</v>
      </c>
    </row>
    <row r="1071" spans="1:8" x14ac:dyDescent="0.55000000000000004">
      <c r="A1071" s="61" t="s">
        <v>6692</v>
      </c>
      <c r="B1071" t="s">
        <v>2491</v>
      </c>
      <c r="C1071">
        <v>9310</v>
      </c>
      <c r="D1071" t="s">
        <v>6363</v>
      </c>
      <c r="E1071" t="s">
        <v>6364</v>
      </c>
      <c r="F1071" t="s">
        <v>6361</v>
      </c>
      <c r="G1071" s="43">
        <v>0</v>
      </c>
      <c r="H1071" s="63">
        <v>0.1</v>
      </c>
    </row>
    <row r="1072" spans="1:8" x14ac:dyDescent="0.55000000000000004">
      <c r="A1072" s="61" t="s">
        <v>6692</v>
      </c>
      <c r="B1072" t="s">
        <v>2491</v>
      </c>
      <c r="C1072">
        <v>9310</v>
      </c>
      <c r="D1072" t="s">
        <v>6362</v>
      </c>
      <c r="E1072" t="s">
        <v>6358</v>
      </c>
      <c r="F1072" t="s">
        <v>6358</v>
      </c>
      <c r="G1072" s="43">
        <v>0.10730000000000001</v>
      </c>
      <c r="H1072" s="63">
        <v>1</v>
      </c>
    </row>
    <row r="1073" spans="1:8" x14ac:dyDescent="0.55000000000000004">
      <c r="A1073" s="61" t="s">
        <v>6692</v>
      </c>
      <c r="B1073" t="s">
        <v>2491</v>
      </c>
      <c r="C1073">
        <v>9310</v>
      </c>
      <c r="D1073" t="s">
        <v>6365</v>
      </c>
      <c r="E1073" t="s">
        <v>6366</v>
      </c>
      <c r="F1073" t="s">
        <v>6361</v>
      </c>
      <c r="G1073" s="43">
        <v>0</v>
      </c>
      <c r="H1073" s="63">
        <v>-0.1</v>
      </c>
    </row>
    <row r="1074" spans="1:8" x14ac:dyDescent="0.55000000000000004">
      <c r="A1074" s="61" t="s">
        <v>6693</v>
      </c>
      <c r="B1074" t="s">
        <v>1649</v>
      </c>
      <c r="C1074">
        <v>8711</v>
      </c>
      <c r="D1074" t="s">
        <v>6359</v>
      </c>
      <c r="E1074" t="s">
        <v>6378</v>
      </c>
      <c r="F1074" t="s">
        <v>6361</v>
      </c>
      <c r="G1074" s="43">
        <v>0</v>
      </c>
      <c r="H1074" s="63">
        <v>0.9</v>
      </c>
    </row>
    <row r="1075" spans="1:8" x14ac:dyDescent="0.55000000000000004">
      <c r="A1075" s="61" t="s">
        <v>6693</v>
      </c>
      <c r="B1075" t="s">
        <v>1649</v>
      </c>
      <c r="C1075">
        <v>8711</v>
      </c>
      <c r="D1075" t="s">
        <v>6363</v>
      </c>
      <c r="E1075" t="s">
        <v>6364</v>
      </c>
      <c r="F1075" t="s">
        <v>6361</v>
      </c>
      <c r="G1075" s="43">
        <v>0</v>
      </c>
      <c r="H1075" s="63">
        <v>0.1</v>
      </c>
    </row>
    <row r="1076" spans="1:8" x14ac:dyDescent="0.55000000000000004">
      <c r="A1076" s="61" t="s">
        <v>6693</v>
      </c>
      <c r="B1076" t="s">
        <v>1649</v>
      </c>
      <c r="C1076">
        <v>8711</v>
      </c>
      <c r="D1076" t="s">
        <v>6362</v>
      </c>
      <c r="E1076" t="s">
        <v>6358</v>
      </c>
      <c r="F1076" t="s">
        <v>6358</v>
      </c>
      <c r="G1076" s="43">
        <v>4.3900000000000002E-2</v>
      </c>
      <c r="H1076" s="63">
        <v>1</v>
      </c>
    </row>
    <row r="1077" spans="1:8" x14ac:dyDescent="0.55000000000000004">
      <c r="A1077" s="61" t="s">
        <v>6693</v>
      </c>
      <c r="B1077" t="s">
        <v>1649</v>
      </c>
      <c r="C1077">
        <v>8711</v>
      </c>
      <c r="D1077" t="s">
        <v>6365</v>
      </c>
      <c r="E1077" t="s">
        <v>6366</v>
      </c>
      <c r="F1077" t="s">
        <v>6361</v>
      </c>
      <c r="G1077" s="43">
        <v>0</v>
      </c>
      <c r="H1077" s="63">
        <v>-0.1</v>
      </c>
    </row>
    <row r="1078" spans="1:8" x14ac:dyDescent="0.55000000000000004">
      <c r="A1078" s="61" t="s">
        <v>6694</v>
      </c>
      <c r="B1078" t="s">
        <v>1649</v>
      </c>
      <c r="C1078">
        <v>8712</v>
      </c>
      <c r="D1078" t="s">
        <v>6359</v>
      </c>
      <c r="E1078" t="s">
        <v>6378</v>
      </c>
      <c r="F1078" t="s">
        <v>6361</v>
      </c>
      <c r="G1078" s="43">
        <v>0</v>
      </c>
      <c r="H1078" s="63">
        <v>0.9</v>
      </c>
    </row>
    <row r="1079" spans="1:8" x14ac:dyDescent="0.55000000000000004">
      <c r="A1079" s="61" t="s">
        <v>6694</v>
      </c>
      <c r="B1079" t="s">
        <v>1649</v>
      </c>
      <c r="C1079">
        <v>8712</v>
      </c>
      <c r="D1079" t="s">
        <v>6363</v>
      </c>
      <c r="E1079" t="s">
        <v>6364</v>
      </c>
      <c r="F1079" t="s">
        <v>6361</v>
      </c>
      <c r="G1079" s="43">
        <v>0</v>
      </c>
      <c r="H1079" s="63">
        <v>0.1</v>
      </c>
    </row>
    <row r="1080" spans="1:8" x14ac:dyDescent="0.55000000000000004">
      <c r="A1080" s="61" t="s">
        <v>6694</v>
      </c>
      <c r="B1080" t="s">
        <v>1649</v>
      </c>
      <c r="C1080">
        <v>8712</v>
      </c>
      <c r="D1080" t="s">
        <v>6362</v>
      </c>
      <c r="E1080" t="s">
        <v>6358</v>
      </c>
      <c r="F1080" t="s">
        <v>6358</v>
      </c>
      <c r="G1080" s="43">
        <v>4.3900000000000002E-2</v>
      </c>
      <c r="H1080" s="63">
        <v>1</v>
      </c>
    </row>
    <row r="1081" spans="1:8" x14ac:dyDescent="0.55000000000000004">
      <c r="A1081" s="61" t="s">
        <v>6694</v>
      </c>
      <c r="B1081" t="s">
        <v>1649</v>
      </c>
      <c r="C1081">
        <v>8712</v>
      </c>
      <c r="D1081" t="s">
        <v>6365</v>
      </c>
      <c r="E1081" t="s">
        <v>6366</v>
      </c>
      <c r="F1081" t="s">
        <v>6361</v>
      </c>
      <c r="G1081" s="43">
        <v>0</v>
      </c>
      <c r="H1081" s="63">
        <v>-0.1</v>
      </c>
    </row>
    <row r="1082" spans="1:8" x14ac:dyDescent="0.55000000000000004">
      <c r="A1082" s="61" t="s">
        <v>6695</v>
      </c>
      <c r="B1082" t="s">
        <v>1649</v>
      </c>
      <c r="C1082">
        <v>8713</v>
      </c>
      <c r="D1082" t="s">
        <v>6359</v>
      </c>
      <c r="E1082" t="s">
        <v>6378</v>
      </c>
      <c r="F1082" t="s">
        <v>6361</v>
      </c>
      <c r="G1082" s="43">
        <v>0</v>
      </c>
      <c r="H1082" s="63">
        <v>0.9</v>
      </c>
    </row>
    <row r="1083" spans="1:8" x14ac:dyDescent="0.55000000000000004">
      <c r="A1083" s="61" t="s">
        <v>6695</v>
      </c>
      <c r="B1083" t="s">
        <v>1649</v>
      </c>
      <c r="C1083">
        <v>8713</v>
      </c>
      <c r="D1083" t="s">
        <v>6363</v>
      </c>
      <c r="E1083" t="s">
        <v>6364</v>
      </c>
      <c r="F1083" t="s">
        <v>6361</v>
      </c>
      <c r="G1083" s="43">
        <v>0</v>
      </c>
      <c r="H1083" s="63">
        <v>0.1</v>
      </c>
    </row>
    <row r="1084" spans="1:8" x14ac:dyDescent="0.55000000000000004">
      <c r="A1084" s="61" t="s">
        <v>6695</v>
      </c>
      <c r="B1084" t="s">
        <v>1649</v>
      </c>
      <c r="C1084">
        <v>8713</v>
      </c>
      <c r="D1084" t="s">
        <v>6362</v>
      </c>
      <c r="E1084" t="s">
        <v>6358</v>
      </c>
      <c r="F1084" t="s">
        <v>6358</v>
      </c>
      <c r="G1084" s="43">
        <v>4.3900000000000002E-2</v>
      </c>
      <c r="H1084" s="63">
        <v>1</v>
      </c>
    </row>
    <row r="1085" spans="1:8" x14ac:dyDescent="0.55000000000000004">
      <c r="A1085" s="61" t="s">
        <v>6695</v>
      </c>
      <c r="B1085" t="s">
        <v>1649</v>
      </c>
      <c r="C1085">
        <v>8713</v>
      </c>
      <c r="D1085" t="s">
        <v>6365</v>
      </c>
      <c r="E1085" t="s">
        <v>6366</v>
      </c>
      <c r="F1085" t="s">
        <v>6361</v>
      </c>
      <c r="G1085" s="43">
        <v>0</v>
      </c>
      <c r="H1085" s="63">
        <v>-0.1</v>
      </c>
    </row>
    <row r="1086" spans="1:8" x14ac:dyDescent="0.55000000000000004">
      <c r="A1086" s="61" t="s">
        <v>6696</v>
      </c>
      <c r="B1086" t="s">
        <v>1649</v>
      </c>
      <c r="C1086">
        <v>9307</v>
      </c>
      <c r="D1086" t="s">
        <v>6359</v>
      </c>
      <c r="E1086" t="s">
        <v>6379</v>
      </c>
      <c r="F1086" t="s">
        <v>6361</v>
      </c>
      <c r="G1086" s="43">
        <v>0</v>
      </c>
      <c r="H1086" s="63">
        <v>0.9</v>
      </c>
    </row>
    <row r="1087" spans="1:8" x14ac:dyDescent="0.55000000000000004">
      <c r="A1087" s="61" t="s">
        <v>6696</v>
      </c>
      <c r="B1087" t="s">
        <v>1649</v>
      </c>
      <c r="C1087">
        <v>9307</v>
      </c>
      <c r="D1087" t="s">
        <v>6363</v>
      </c>
      <c r="E1087" t="s">
        <v>6364</v>
      </c>
      <c r="F1087" t="s">
        <v>6361</v>
      </c>
      <c r="G1087" s="43">
        <v>0</v>
      </c>
      <c r="H1087" s="63">
        <v>0.1</v>
      </c>
    </row>
    <row r="1088" spans="1:8" x14ac:dyDescent="0.55000000000000004">
      <c r="A1088" s="61" t="s">
        <v>6696</v>
      </c>
      <c r="B1088" t="s">
        <v>1649</v>
      </c>
      <c r="C1088">
        <v>9307</v>
      </c>
      <c r="D1088" t="s">
        <v>6362</v>
      </c>
      <c r="E1088" t="s">
        <v>6358</v>
      </c>
      <c r="F1088" t="s">
        <v>6358</v>
      </c>
      <c r="G1088" s="43">
        <v>4.3900000000000002E-2</v>
      </c>
      <c r="H1088" s="63">
        <v>1</v>
      </c>
    </row>
    <row r="1089" spans="1:8" x14ac:dyDescent="0.55000000000000004">
      <c r="A1089" s="61" t="s">
        <v>6696</v>
      </c>
      <c r="B1089" t="s">
        <v>1649</v>
      </c>
      <c r="C1089">
        <v>9307</v>
      </c>
      <c r="D1089" t="s">
        <v>6365</v>
      </c>
      <c r="E1089" t="s">
        <v>6366</v>
      </c>
      <c r="F1089" t="s">
        <v>6361</v>
      </c>
      <c r="G1089" s="43">
        <v>0</v>
      </c>
      <c r="H1089" s="63">
        <v>-0.1</v>
      </c>
    </row>
    <row r="1090" spans="1:8" x14ac:dyDescent="0.55000000000000004">
      <c r="A1090" s="61" t="s">
        <v>6697</v>
      </c>
      <c r="B1090" t="s">
        <v>1649</v>
      </c>
      <c r="C1090">
        <v>9308</v>
      </c>
      <c r="D1090" t="s">
        <v>6359</v>
      </c>
      <c r="E1090" t="s">
        <v>6379</v>
      </c>
      <c r="F1090" t="s">
        <v>6361</v>
      </c>
      <c r="G1090" s="43">
        <v>0</v>
      </c>
      <c r="H1090" s="63">
        <v>0.9</v>
      </c>
    </row>
    <row r="1091" spans="1:8" x14ac:dyDescent="0.55000000000000004">
      <c r="A1091" s="61" t="s">
        <v>6697</v>
      </c>
      <c r="B1091" t="s">
        <v>1649</v>
      </c>
      <c r="C1091">
        <v>9308</v>
      </c>
      <c r="D1091" t="s">
        <v>6363</v>
      </c>
      <c r="E1091" t="s">
        <v>6364</v>
      </c>
      <c r="F1091" t="s">
        <v>6361</v>
      </c>
      <c r="G1091" s="43">
        <v>0</v>
      </c>
      <c r="H1091" s="63">
        <v>0.1</v>
      </c>
    </row>
    <row r="1092" spans="1:8" x14ac:dyDescent="0.55000000000000004">
      <c r="A1092" s="61" t="s">
        <v>6697</v>
      </c>
      <c r="B1092" t="s">
        <v>1649</v>
      </c>
      <c r="C1092">
        <v>9308</v>
      </c>
      <c r="D1092" t="s">
        <v>6362</v>
      </c>
      <c r="E1092" t="s">
        <v>6358</v>
      </c>
      <c r="F1092" t="s">
        <v>6358</v>
      </c>
      <c r="G1092" s="43">
        <v>4.3900000000000002E-2</v>
      </c>
      <c r="H1092" s="63">
        <v>1</v>
      </c>
    </row>
    <row r="1093" spans="1:8" x14ac:dyDescent="0.55000000000000004">
      <c r="A1093" s="61" t="s">
        <v>6697</v>
      </c>
      <c r="B1093" t="s">
        <v>1649</v>
      </c>
      <c r="C1093">
        <v>9308</v>
      </c>
      <c r="D1093" t="s">
        <v>6365</v>
      </c>
      <c r="E1093" t="s">
        <v>6366</v>
      </c>
      <c r="F1093" t="s">
        <v>6361</v>
      </c>
      <c r="G1093" s="43">
        <v>0</v>
      </c>
      <c r="H1093" s="63">
        <v>-0.1</v>
      </c>
    </row>
    <row r="1094" spans="1:8" x14ac:dyDescent="0.55000000000000004">
      <c r="A1094" s="61" t="s">
        <v>6698</v>
      </c>
      <c r="B1094" t="s">
        <v>1649</v>
      </c>
      <c r="C1094">
        <v>9309</v>
      </c>
      <c r="D1094" t="s">
        <v>6359</v>
      </c>
      <c r="E1094" t="s">
        <v>6379</v>
      </c>
      <c r="F1094" t="s">
        <v>6361</v>
      </c>
      <c r="G1094" s="43">
        <v>0</v>
      </c>
      <c r="H1094" s="63">
        <v>0.9</v>
      </c>
    </row>
    <row r="1095" spans="1:8" x14ac:dyDescent="0.55000000000000004">
      <c r="A1095" s="61" t="s">
        <v>6698</v>
      </c>
      <c r="B1095" t="s">
        <v>1649</v>
      </c>
      <c r="C1095">
        <v>9309</v>
      </c>
      <c r="D1095" t="s">
        <v>6363</v>
      </c>
      <c r="E1095" t="s">
        <v>6364</v>
      </c>
      <c r="F1095" t="s">
        <v>6361</v>
      </c>
      <c r="G1095" s="43">
        <v>0</v>
      </c>
      <c r="H1095" s="63">
        <v>0.1</v>
      </c>
    </row>
    <row r="1096" spans="1:8" x14ac:dyDescent="0.55000000000000004">
      <c r="A1096" s="61" t="s">
        <v>6698</v>
      </c>
      <c r="B1096" t="s">
        <v>1649</v>
      </c>
      <c r="C1096">
        <v>9309</v>
      </c>
      <c r="D1096" t="s">
        <v>6362</v>
      </c>
      <c r="E1096" t="s">
        <v>6358</v>
      </c>
      <c r="F1096" t="s">
        <v>6358</v>
      </c>
      <c r="G1096" s="43">
        <v>4.3900000000000002E-2</v>
      </c>
      <c r="H1096" s="63">
        <v>1</v>
      </c>
    </row>
    <row r="1097" spans="1:8" x14ac:dyDescent="0.55000000000000004">
      <c r="A1097" s="61" t="s">
        <v>6698</v>
      </c>
      <c r="B1097" t="s">
        <v>1649</v>
      </c>
      <c r="C1097">
        <v>9309</v>
      </c>
      <c r="D1097" t="s">
        <v>6365</v>
      </c>
      <c r="E1097" t="s">
        <v>6366</v>
      </c>
      <c r="F1097" t="s">
        <v>6361</v>
      </c>
      <c r="G1097" s="43">
        <v>0</v>
      </c>
      <c r="H1097" s="63">
        <v>-0.1</v>
      </c>
    </row>
    <row r="1098" spans="1:8" x14ac:dyDescent="0.55000000000000004">
      <c r="A1098" s="61" t="s">
        <v>6699</v>
      </c>
      <c r="B1098" t="s">
        <v>206</v>
      </c>
      <c r="C1098">
        <v>8701</v>
      </c>
      <c r="D1098" t="s">
        <v>6359</v>
      </c>
      <c r="E1098" t="s">
        <v>6370</v>
      </c>
      <c r="F1098" t="s">
        <v>6361</v>
      </c>
      <c r="G1098" s="43">
        <v>0</v>
      </c>
      <c r="H1098" s="63">
        <v>1</v>
      </c>
    </row>
    <row r="1099" spans="1:8" x14ac:dyDescent="0.55000000000000004">
      <c r="A1099" s="61" t="s">
        <v>6699</v>
      </c>
      <c r="B1099" t="s">
        <v>206</v>
      </c>
      <c r="C1099">
        <v>8701</v>
      </c>
      <c r="D1099" t="s">
        <v>6362</v>
      </c>
      <c r="E1099" t="s">
        <v>6358</v>
      </c>
      <c r="F1099" t="s">
        <v>6358</v>
      </c>
      <c r="G1099" s="43">
        <v>0.11559999999999999</v>
      </c>
      <c r="H1099" s="63">
        <v>1</v>
      </c>
    </row>
    <row r="1100" spans="1:8" x14ac:dyDescent="0.55000000000000004">
      <c r="A1100" s="61" t="s">
        <v>6700</v>
      </c>
      <c r="B1100" t="s">
        <v>206</v>
      </c>
      <c r="C1100">
        <v>8710</v>
      </c>
      <c r="D1100" t="s">
        <v>6359</v>
      </c>
      <c r="E1100" t="s">
        <v>6370</v>
      </c>
      <c r="F1100" t="s">
        <v>6361</v>
      </c>
      <c r="G1100" s="43">
        <v>0</v>
      </c>
      <c r="H1100" s="63">
        <v>0.9</v>
      </c>
    </row>
    <row r="1101" spans="1:8" x14ac:dyDescent="0.55000000000000004">
      <c r="A1101" s="61" t="s">
        <v>6700</v>
      </c>
      <c r="B1101" t="s">
        <v>206</v>
      </c>
      <c r="C1101">
        <v>8710</v>
      </c>
      <c r="D1101" t="s">
        <v>6363</v>
      </c>
      <c r="E1101" t="s">
        <v>6364</v>
      </c>
      <c r="F1101" t="s">
        <v>6361</v>
      </c>
      <c r="G1101" s="43">
        <v>0</v>
      </c>
      <c r="H1101" s="63">
        <v>0.1</v>
      </c>
    </row>
    <row r="1102" spans="1:8" x14ac:dyDescent="0.55000000000000004">
      <c r="A1102" s="61" t="s">
        <v>6700</v>
      </c>
      <c r="B1102" t="s">
        <v>206</v>
      </c>
      <c r="C1102">
        <v>8710</v>
      </c>
      <c r="D1102" t="s">
        <v>6362</v>
      </c>
      <c r="E1102" t="s">
        <v>6358</v>
      </c>
      <c r="F1102" t="s">
        <v>6358</v>
      </c>
      <c r="G1102" s="62">
        <v>0.1193</v>
      </c>
      <c r="H1102" s="63">
        <v>1</v>
      </c>
    </row>
    <row r="1103" spans="1:8" x14ac:dyDescent="0.55000000000000004">
      <c r="A1103" s="61" t="s">
        <v>6700</v>
      </c>
      <c r="B1103" t="s">
        <v>206</v>
      </c>
      <c r="C1103">
        <v>8710</v>
      </c>
      <c r="D1103" t="s">
        <v>6365</v>
      </c>
      <c r="E1103" t="s">
        <v>6366</v>
      </c>
      <c r="F1103" t="s">
        <v>6361</v>
      </c>
      <c r="G1103" s="43">
        <v>0</v>
      </c>
      <c r="H1103" s="63">
        <v>-0.1</v>
      </c>
    </row>
    <row r="1104" spans="1:8" x14ac:dyDescent="0.55000000000000004">
      <c r="A1104" s="61" t="s">
        <v>6701</v>
      </c>
      <c r="B1104" t="s">
        <v>206</v>
      </c>
      <c r="C1104">
        <v>9101</v>
      </c>
      <c r="D1104" t="s">
        <v>6359</v>
      </c>
      <c r="E1104" t="s">
        <v>6371</v>
      </c>
      <c r="F1104" t="s">
        <v>6361</v>
      </c>
      <c r="G1104" s="43">
        <v>0</v>
      </c>
      <c r="H1104" s="63">
        <v>1</v>
      </c>
    </row>
    <row r="1105" spans="1:8" x14ac:dyDescent="0.55000000000000004">
      <c r="A1105" s="61" t="s">
        <v>6701</v>
      </c>
      <c r="B1105" t="s">
        <v>206</v>
      </c>
      <c r="C1105">
        <v>9101</v>
      </c>
      <c r="D1105" t="s">
        <v>6362</v>
      </c>
      <c r="E1105" t="s">
        <v>6358</v>
      </c>
      <c r="F1105" t="s">
        <v>6358</v>
      </c>
      <c r="G1105" s="43">
        <v>0.11559999999999999</v>
      </c>
      <c r="H1105" s="63">
        <v>1</v>
      </c>
    </row>
    <row r="1106" spans="1:8" x14ac:dyDescent="0.55000000000000004">
      <c r="A1106" s="61" t="s">
        <v>6702</v>
      </c>
      <c r="B1106" t="s">
        <v>206</v>
      </c>
      <c r="C1106">
        <v>9110</v>
      </c>
      <c r="D1106" t="s">
        <v>6359</v>
      </c>
      <c r="E1106" t="s">
        <v>6371</v>
      </c>
      <c r="F1106" t="s">
        <v>6361</v>
      </c>
      <c r="G1106" s="43">
        <v>0</v>
      </c>
      <c r="H1106" s="63">
        <v>0.9</v>
      </c>
    </row>
    <row r="1107" spans="1:8" x14ac:dyDescent="0.55000000000000004">
      <c r="A1107" s="61" t="s">
        <v>6702</v>
      </c>
      <c r="B1107" t="s">
        <v>206</v>
      </c>
      <c r="C1107">
        <v>9110</v>
      </c>
      <c r="D1107" t="s">
        <v>6363</v>
      </c>
      <c r="E1107" t="s">
        <v>6364</v>
      </c>
      <c r="F1107" t="s">
        <v>6361</v>
      </c>
      <c r="G1107" s="43">
        <v>0</v>
      </c>
      <c r="H1107" s="63">
        <v>0.1</v>
      </c>
    </row>
    <row r="1108" spans="1:8" x14ac:dyDescent="0.55000000000000004">
      <c r="A1108" s="61" t="s">
        <v>6702</v>
      </c>
      <c r="B1108" t="s">
        <v>206</v>
      </c>
      <c r="C1108">
        <v>9110</v>
      </c>
      <c r="D1108" t="s">
        <v>6362</v>
      </c>
      <c r="E1108" t="s">
        <v>6358</v>
      </c>
      <c r="F1108" t="s">
        <v>6358</v>
      </c>
      <c r="G1108" s="62">
        <v>0.1193</v>
      </c>
      <c r="H1108" s="63">
        <v>1</v>
      </c>
    </row>
    <row r="1109" spans="1:8" x14ac:dyDescent="0.55000000000000004">
      <c r="A1109" s="61" t="s">
        <v>6702</v>
      </c>
      <c r="B1109" t="s">
        <v>206</v>
      </c>
      <c r="C1109">
        <v>9110</v>
      </c>
      <c r="D1109" t="s">
        <v>6365</v>
      </c>
      <c r="E1109" t="s">
        <v>6366</v>
      </c>
      <c r="F1109" t="s">
        <v>6361</v>
      </c>
      <c r="G1109" s="43">
        <v>0</v>
      </c>
      <c r="H1109" s="63">
        <v>-0.1</v>
      </c>
    </row>
    <row r="1110" spans="1:8" x14ac:dyDescent="0.55000000000000004">
      <c r="A1110" s="61" t="s">
        <v>6703</v>
      </c>
      <c r="B1110" t="s">
        <v>206</v>
      </c>
      <c r="C1110">
        <v>9310</v>
      </c>
      <c r="D1110" t="s">
        <v>6359</v>
      </c>
      <c r="E1110" t="s">
        <v>6371</v>
      </c>
      <c r="F1110" t="s">
        <v>6361</v>
      </c>
      <c r="G1110" s="43">
        <v>0</v>
      </c>
      <c r="H1110" s="63">
        <v>0.9</v>
      </c>
    </row>
    <row r="1111" spans="1:8" x14ac:dyDescent="0.55000000000000004">
      <c r="A1111" s="61" t="s">
        <v>6703</v>
      </c>
      <c r="B1111" t="s">
        <v>206</v>
      </c>
      <c r="C1111">
        <v>9310</v>
      </c>
      <c r="D1111" t="s">
        <v>6363</v>
      </c>
      <c r="E1111" t="s">
        <v>6364</v>
      </c>
      <c r="F1111" t="s">
        <v>6361</v>
      </c>
      <c r="G1111" s="43">
        <v>0</v>
      </c>
      <c r="H1111" s="63">
        <v>0.1</v>
      </c>
    </row>
    <row r="1112" spans="1:8" x14ac:dyDescent="0.55000000000000004">
      <c r="A1112" s="61" t="s">
        <v>6703</v>
      </c>
      <c r="B1112" t="s">
        <v>206</v>
      </c>
      <c r="C1112">
        <v>9310</v>
      </c>
      <c r="D1112" t="s">
        <v>6362</v>
      </c>
      <c r="E1112" t="s">
        <v>6358</v>
      </c>
      <c r="F1112" t="s">
        <v>6358</v>
      </c>
      <c r="G1112" s="62">
        <v>0.1193</v>
      </c>
      <c r="H1112" s="63">
        <v>1</v>
      </c>
    </row>
    <row r="1113" spans="1:8" x14ac:dyDescent="0.55000000000000004">
      <c r="A1113" s="61" t="s">
        <v>6703</v>
      </c>
      <c r="B1113" t="s">
        <v>206</v>
      </c>
      <c r="C1113">
        <v>9310</v>
      </c>
      <c r="D1113" t="s">
        <v>6365</v>
      </c>
      <c r="E1113" t="s">
        <v>6366</v>
      </c>
      <c r="F1113" t="s">
        <v>6361</v>
      </c>
      <c r="G1113" s="43">
        <v>0</v>
      </c>
      <c r="H1113" s="63">
        <v>-0.1</v>
      </c>
    </row>
    <row r="1114" spans="1:8" x14ac:dyDescent="0.55000000000000004">
      <c r="A1114" s="61" t="s">
        <v>6704</v>
      </c>
      <c r="B1114" t="s">
        <v>5070</v>
      </c>
      <c r="C1114">
        <v>8708</v>
      </c>
      <c r="D1114" t="s">
        <v>6359</v>
      </c>
      <c r="E1114" t="s">
        <v>6370</v>
      </c>
      <c r="F1114" t="s">
        <v>6361</v>
      </c>
      <c r="G1114" s="43">
        <v>0</v>
      </c>
      <c r="H1114" s="63">
        <v>0.9</v>
      </c>
    </row>
    <row r="1115" spans="1:8" x14ac:dyDescent="0.55000000000000004">
      <c r="A1115" s="61" t="s">
        <v>6704</v>
      </c>
      <c r="B1115" t="s">
        <v>5070</v>
      </c>
      <c r="C1115">
        <v>8708</v>
      </c>
      <c r="D1115" t="s">
        <v>6363</v>
      </c>
      <c r="E1115" t="s">
        <v>6364</v>
      </c>
      <c r="F1115" t="s">
        <v>6361</v>
      </c>
      <c r="G1115" s="43">
        <v>0</v>
      </c>
      <c r="H1115" s="63">
        <v>0.1</v>
      </c>
    </row>
    <row r="1116" spans="1:8" x14ac:dyDescent="0.55000000000000004">
      <c r="A1116" s="61" t="s">
        <v>6704</v>
      </c>
      <c r="B1116" t="s">
        <v>5070</v>
      </c>
      <c r="C1116">
        <v>8708</v>
      </c>
      <c r="D1116" t="s">
        <v>6362</v>
      </c>
      <c r="E1116" t="s">
        <v>6358</v>
      </c>
      <c r="F1116" t="s">
        <v>6358</v>
      </c>
      <c r="G1116" s="43">
        <v>7.8600000000000003E-2</v>
      </c>
      <c r="H1116" s="63">
        <v>1</v>
      </c>
    </row>
    <row r="1117" spans="1:8" x14ac:dyDescent="0.55000000000000004">
      <c r="A1117" s="61" t="s">
        <v>6704</v>
      </c>
      <c r="B1117" t="s">
        <v>5070</v>
      </c>
      <c r="C1117">
        <v>8708</v>
      </c>
      <c r="D1117" t="s">
        <v>6365</v>
      </c>
      <c r="E1117" t="s">
        <v>6366</v>
      </c>
      <c r="F1117" t="s">
        <v>6361</v>
      </c>
      <c r="G1117" s="43">
        <v>0</v>
      </c>
      <c r="H1117" s="63">
        <v>-0.1</v>
      </c>
    </row>
    <row r="1118" spans="1:8" x14ac:dyDescent="0.55000000000000004">
      <c r="A1118" s="61" t="s">
        <v>6705</v>
      </c>
      <c r="B1118" t="s">
        <v>5070</v>
      </c>
      <c r="C1118">
        <v>8710</v>
      </c>
      <c r="D1118" t="s">
        <v>6359</v>
      </c>
      <c r="E1118" t="s">
        <v>6370</v>
      </c>
      <c r="F1118" t="s">
        <v>6361</v>
      </c>
      <c r="G1118" s="43">
        <v>0</v>
      </c>
      <c r="H1118" s="63">
        <v>0.9</v>
      </c>
    </row>
    <row r="1119" spans="1:8" x14ac:dyDescent="0.55000000000000004">
      <c r="A1119" s="61" t="s">
        <v>6705</v>
      </c>
      <c r="B1119" t="s">
        <v>5070</v>
      </c>
      <c r="C1119">
        <v>8710</v>
      </c>
      <c r="D1119" t="s">
        <v>6363</v>
      </c>
      <c r="E1119" t="s">
        <v>6364</v>
      </c>
      <c r="F1119" t="s">
        <v>6361</v>
      </c>
      <c r="G1119" s="43">
        <v>0</v>
      </c>
      <c r="H1119" s="63">
        <v>0.1</v>
      </c>
    </row>
    <row r="1120" spans="1:8" x14ac:dyDescent="0.55000000000000004">
      <c r="A1120" s="61" t="s">
        <v>6705</v>
      </c>
      <c r="B1120" t="s">
        <v>5070</v>
      </c>
      <c r="C1120">
        <v>8710</v>
      </c>
      <c r="D1120" t="s">
        <v>6362</v>
      </c>
      <c r="E1120" t="s">
        <v>6358</v>
      </c>
      <c r="F1120" t="s">
        <v>6358</v>
      </c>
      <c r="G1120" s="43">
        <v>7.8600000000000003E-2</v>
      </c>
      <c r="H1120" s="63">
        <v>1</v>
      </c>
    </row>
    <row r="1121" spans="1:8" x14ac:dyDescent="0.55000000000000004">
      <c r="A1121" s="61" t="s">
        <v>6705</v>
      </c>
      <c r="B1121" t="s">
        <v>5070</v>
      </c>
      <c r="C1121">
        <v>8710</v>
      </c>
      <c r="D1121" t="s">
        <v>6365</v>
      </c>
      <c r="E1121" t="s">
        <v>6366</v>
      </c>
      <c r="F1121" t="s">
        <v>6361</v>
      </c>
      <c r="G1121" s="43">
        <v>0</v>
      </c>
      <c r="H1121" s="63">
        <v>-0.1</v>
      </c>
    </row>
    <row r="1122" spans="1:8" x14ac:dyDescent="0.55000000000000004">
      <c r="A1122" s="61" t="s">
        <v>6706</v>
      </c>
      <c r="B1122" t="s">
        <v>5070</v>
      </c>
      <c r="C1122">
        <v>8711</v>
      </c>
      <c r="D1122" t="s">
        <v>6359</v>
      </c>
      <c r="E1122" t="s">
        <v>6372</v>
      </c>
      <c r="F1122" t="s">
        <v>6361</v>
      </c>
      <c r="G1122" s="43">
        <v>0</v>
      </c>
      <c r="H1122" s="63">
        <v>0.9</v>
      </c>
    </row>
    <row r="1123" spans="1:8" x14ac:dyDescent="0.55000000000000004">
      <c r="A1123" s="61" t="s">
        <v>6706</v>
      </c>
      <c r="B1123" t="s">
        <v>5070</v>
      </c>
      <c r="C1123">
        <v>8711</v>
      </c>
      <c r="D1123" t="s">
        <v>6363</v>
      </c>
      <c r="E1123" t="s">
        <v>6364</v>
      </c>
      <c r="F1123" t="s">
        <v>6361</v>
      </c>
      <c r="G1123" s="43">
        <v>0</v>
      </c>
      <c r="H1123" s="63">
        <v>0.1</v>
      </c>
    </row>
    <row r="1124" spans="1:8" x14ac:dyDescent="0.55000000000000004">
      <c r="A1124" s="61" t="s">
        <v>6706</v>
      </c>
      <c r="B1124" t="s">
        <v>5070</v>
      </c>
      <c r="C1124">
        <v>8711</v>
      </c>
      <c r="D1124" t="s">
        <v>6362</v>
      </c>
      <c r="E1124" t="s">
        <v>6358</v>
      </c>
      <c r="F1124" t="s">
        <v>6358</v>
      </c>
      <c r="G1124" s="43">
        <v>7.8600000000000003E-2</v>
      </c>
      <c r="H1124" s="63">
        <v>1</v>
      </c>
    </row>
    <row r="1125" spans="1:8" x14ac:dyDescent="0.55000000000000004">
      <c r="A1125" s="61" t="s">
        <v>6706</v>
      </c>
      <c r="B1125" t="s">
        <v>5070</v>
      </c>
      <c r="C1125">
        <v>8711</v>
      </c>
      <c r="D1125" t="s">
        <v>6365</v>
      </c>
      <c r="E1125" t="s">
        <v>6366</v>
      </c>
      <c r="F1125" t="s">
        <v>6361</v>
      </c>
      <c r="G1125" s="43">
        <v>0</v>
      </c>
      <c r="H1125" s="63">
        <v>-0.1</v>
      </c>
    </row>
    <row r="1126" spans="1:8" x14ac:dyDescent="0.55000000000000004">
      <c r="A1126" s="61" t="s">
        <v>6707</v>
      </c>
      <c r="B1126" t="s">
        <v>5070</v>
      </c>
      <c r="C1126">
        <v>8713</v>
      </c>
      <c r="D1126" t="s">
        <v>6359</v>
      </c>
      <c r="E1126" t="s">
        <v>6372</v>
      </c>
      <c r="F1126" t="s">
        <v>6361</v>
      </c>
      <c r="G1126" s="43">
        <v>0</v>
      </c>
      <c r="H1126" s="63">
        <v>0.9</v>
      </c>
    </row>
    <row r="1127" spans="1:8" x14ac:dyDescent="0.55000000000000004">
      <c r="A1127" s="61" t="s">
        <v>6707</v>
      </c>
      <c r="B1127" t="s">
        <v>5070</v>
      </c>
      <c r="C1127">
        <v>8713</v>
      </c>
      <c r="D1127" t="s">
        <v>6363</v>
      </c>
      <c r="E1127" t="s">
        <v>6364</v>
      </c>
      <c r="F1127" t="s">
        <v>6361</v>
      </c>
      <c r="G1127" s="43">
        <v>0</v>
      </c>
      <c r="H1127" s="63">
        <v>0.1</v>
      </c>
    </row>
    <row r="1128" spans="1:8" x14ac:dyDescent="0.55000000000000004">
      <c r="A1128" s="61" t="s">
        <v>6707</v>
      </c>
      <c r="B1128" t="s">
        <v>5070</v>
      </c>
      <c r="C1128">
        <v>8713</v>
      </c>
      <c r="D1128" t="s">
        <v>6362</v>
      </c>
      <c r="E1128" t="s">
        <v>6358</v>
      </c>
      <c r="F1128" t="s">
        <v>6358</v>
      </c>
      <c r="G1128" s="43">
        <v>7.8600000000000003E-2</v>
      </c>
      <c r="H1128" s="63">
        <v>1</v>
      </c>
    </row>
    <row r="1129" spans="1:8" x14ac:dyDescent="0.55000000000000004">
      <c r="A1129" s="61" t="s">
        <v>6707</v>
      </c>
      <c r="B1129" t="s">
        <v>5070</v>
      </c>
      <c r="C1129">
        <v>8713</v>
      </c>
      <c r="D1129" t="s">
        <v>6365</v>
      </c>
      <c r="E1129" t="s">
        <v>6366</v>
      </c>
      <c r="F1129" t="s">
        <v>6361</v>
      </c>
      <c r="G1129" s="43">
        <v>0</v>
      </c>
      <c r="H1129" s="63">
        <v>-0.1</v>
      </c>
    </row>
    <row r="1130" spans="1:8" x14ac:dyDescent="0.55000000000000004">
      <c r="A1130" s="61" t="s">
        <v>6708</v>
      </c>
      <c r="B1130" t="s">
        <v>5070</v>
      </c>
      <c r="C1130">
        <v>9305</v>
      </c>
      <c r="D1130" t="s">
        <v>6359</v>
      </c>
      <c r="E1130" t="s">
        <v>6371</v>
      </c>
      <c r="F1130" t="s">
        <v>6361</v>
      </c>
      <c r="G1130" s="43">
        <v>0</v>
      </c>
      <c r="H1130" s="63">
        <v>0.9</v>
      </c>
    </row>
    <row r="1131" spans="1:8" x14ac:dyDescent="0.55000000000000004">
      <c r="A1131" s="61" t="s">
        <v>6708</v>
      </c>
      <c r="B1131" t="s">
        <v>5070</v>
      </c>
      <c r="C1131">
        <v>9305</v>
      </c>
      <c r="D1131" t="s">
        <v>6363</v>
      </c>
      <c r="E1131" t="s">
        <v>6364</v>
      </c>
      <c r="F1131" t="s">
        <v>6361</v>
      </c>
      <c r="G1131" s="43">
        <v>0</v>
      </c>
      <c r="H1131" s="63">
        <v>0.1</v>
      </c>
    </row>
    <row r="1132" spans="1:8" x14ac:dyDescent="0.55000000000000004">
      <c r="A1132" s="61" t="s">
        <v>6708</v>
      </c>
      <c r="B1132" t="s">
        <v>5070</v>
      </c>
      <c r="C1132">
        <v>9305</v>
      </c>
      <c r="D1132" t="s">
        <v>6362</v>
      </c>
      <c r="E1132" t="s">
        <v>6358</v>
      </c>
      <c r="F1132" t="s">
        <v>6358</v>
      </c>
      <c r="G1132" s="43">
        <v>7.8600000000000003E-2</v>
      </c>
      <c r="H1132" s="63">
        <v>1</v>
      </c>
    </row>
    <row r="1133" spans="1:8" x14ac:dyDescent="0.55000000000000004">
      <c r="A1133" s="61" t="s">
        <v>6708</v>
      </c>
      <c r="B1133" t="s">
        <v>5070</v>
      </c>
      <c r="C1133">
        <v>9305</v>
      </c>
      <c r="D1133" t="s">
        <v>6365</v>
      </c>
      <c r="E1133" t="s">
        <v>6366</v>
      </c>
      <c r="F1133" t="s">
        <v>6361</v>
      </c>
      <c r="G1133" s="43">
        <v>0</v>
      </c>
      <c r="H1133" s="63">
        <v>-0.1</v>
      </c>
    </row>
    <row r="1134" spans="1:8" x14ac:dyDescent="0.55000000000000004">
      <c r="A1134" s="61" t="s">
        <v>6709</v>
      </c>
      <c r="B1134" t="s">
        <v>5070</v>
      </c>
      <c r="C1134">
        <v>9307</v>
      </c>
      <c r="D1134" t="s">
        <v>6359</v>
      </c>
      <c r="E1134" t="s">
        <v>6373</v>
      </c>
      <c r="F1134" t="s">
        <v>6361</v>
      </c>
      <c r="G1134" s="43">
        <v>0</v>
      </c>
      <c r="H1134" s="63">
        <v>0.9</v>
      </c>
    </row>
    <row r="1135" spans="1:8" x14ac:dyDescent="0.55000000000000004">
      <c r="A1135" s="61" t="s">
        <v>6709</v>
      </c>
      <c r="B1135" t="s">
        <v>5070</v>
      </c>
      <c r="C1135">
        <v>9307</v>
      </c>
      <c r="D1135" t="s">
        <v>6363</v>
      </c>
      <c r="E1135" t="s">
        <v>6364</v>
      </c>
      <c r="F1135" t="s">
        <v>6361</v>
      </c>
      <c r="G1135" s="43">
        <v>0</v>
      </c>
      <c r="H1135" s="63">
        <v>0.1</v>
      </c>
    </row>
    <row r="1136" spans="1:8" x14ac:dyDescent="0.55000000000000004">
      <c r="A1136" s="61" t="s">
        <v>6709</v>
      </c>
      <c r="B1136" t="s">
        <v>5070</v>
      </c>
      <c r="C1136">
        <v>9307</v>
      </c>
      <c r="D1136" t="s">
        <v>6362</v>
      </c>
      <c r="E1136" t="s">
        <v>6358</v>
      </c>
      <c r="F1136" t="s">
        <v>6358</v>
      </c>
      <c r="G1136" s="43">
        <v>7.8600000000000003E-2</v>
      </c>
      <c r="H1136" s="63">
        <v>1</v>
      </c>
    </row>
    <row r="1137" spans="1:8" x14ac:dyDescent="0.55000000000000004">
      <c r="A1137" s="61" t="s">
        <v>6709</v>
      </c>
      <c r="B1137" t="s">
        <v>5070</v>
      </c>
      <c r="C1137">
        <v>9307</v>
      </c>
      <c r="D1137" t="s">
        <v>6365</v>
      </c>
      <c r="E1137" t="s">
        <v>6366</v>
      </c>
      <c r="F1137" t="s">
        <v>6361</v>
      </c>
      <c r="G1137" s="43">
        <v>0</v>
      </c>
      <c r="H1137" s="63">
        <v>-0.1</v>
      </c>
    </row>
    <row r="1138" spans="1:8" x14ac:dyDescent="0.55000000000000004">
      <c r="A1138" s="61" t="s">
        <v>6710</v>
      </c>
      <c r="B1138" t="s">
        <v>5070</v>
      </c>
      <c r="C1138">
        <v>9309</v>
      </c>
      <c r="D1138" t="s">
        <v>6359</v>
      </c>
      <c r="E1138" t="s">
        <v>6373</v>
      </c>
      <c r="F1138" t="s">
        <v>6361</v>
      </c>
      <c r="G1138" s="43">
        <v>0</v>
      </c>
      <c r="H1138" s="63">
        <v>0.9</v>
      </c>
    </row>
    <row r="1139" spans="1:8" x14ac:dyDescent="0.55000000000000004">
      <c r="A1139" s="61" t="s">
        <v>6710</v>
      </c>
      <c r="B1139" t="s">
        <v>5070</v>
      </c>
      <c r="C1139">
        <v>9309</v>
      </c>
      <c r="D1139" t="s">
        <v>6363</v>
      </c>
      <c r="E1139" t="s">
        <v>6364</v>
      </c>
      <c r="F1139" t="s">
        <v>6361</v>
      </c>
      <c r="G1139" s="43">
        <v>0</v>
      </c>
      <c r="H1139" s="63">
        <v>0.1</v>
      </c>
    </row>
    <row r="1140" spans="1:8" x14ac:dyDescent="0.55000000000000004">
      <c r="A1140" s="61" t="s">
        <v>6710</v>
      </c>
      <c r="B1140" t="s">
        <v>5070</v>
      </c>
      <c r="C1140">
        <v>9309</v>
      </c>
      <c r="D1140" t="s">
        <v>6362</v>
      </c>
      <c r="E1140" t="s">
        <v>6358</v>
      </c>
      <c r="F1140" t="s">
        <v>6358</v>
      </c>
      <c r="G1140" s="43">
        <v>7.8600000000000003E-2</v>
      </c>
      <c r="H1140" s="63">
        <v>1</v>
      </c>
    </row>
    <row r="1141" spans="1:8" x14ac:dyDescent="0.55000000000000004">
      <c r="A1141" s="61" t="s">
        <v>6710</v>
      </c>
      <c r="B1141" t="s">
        <v>5070</v>
      </c>
      <c r="C1141">
        <v>9309</v>
      </c>
      <c r="D1141" t="s">
        <v>6365</v>
      </c>
      <c r="E1141" t="s">
        <v>6366</v>
      </c>
      <c r="F1141" t="s">
        <v>6361</v>
      </c>
      <c r="G1141" s="43">
        <v>0</v>
      </c>
      <c r="H1141" s="63">
        <v>-0.1</v>
      </c>
    </row>
    <row r="1142" spans="1:8" x14ac:dyDescent="0.55000000000000004">
      <c r="A1142" s="61" t="s">
        <v>6711</v>
      </c>
      <c r="B1142" t="s">
        <v>5070</v>
      </c>
      <c r="C1142">
        <v>9310</v>
      </c>
      <c r="D1142" t="s">
        <v>6359</v>
      </c>
      <c r="E1142" t="s">
        <v>6371</v>
      </c>
      <c r="F1142" t="s">
        <v>6361</v>
      </c>
      <c r="G1142" s="43">
        <v>0</v>
      </c>
      <c r="H1142" s="63">
        <v>0.9</v>
      </c>
    </row>
    <row r="1143" spans="1:8" x14ac:dyDescent="0.55000000000000004">
      <c r="A1143" s="61" t="s">
        <v>6711</v>
      </c>
      <c r="B1143" t="s">
        <v>5070</v>
      </c>
      <c r="C1143">
        <v>9310</v>
      </c>
      <c r="D1143" t="s">
        <v>6363</v>
      </c>
      <c r="E1143" t="s">
        <v>6364</v>
      </c>
      <c r="F1143" t="s">
        <v>6361</v>
      </c>
      <c r="G1143" s="43">
        <v>0</v>
      </c>
      <c r="H1143" s="63">
        <v>0.1</v>
      </c>
    </row>
    <row r="1144" spans="1:8" x14ac:dyDescent="0.55000000000000004">
      <c r="A1144" s="61" t="s">
        <v>6711</v>
      </c>
      <c r="B1144" t="s">
        <v>5070</v>
      </c>
      <c r="C1144">
        <v>9310</v>
      </c>
      <c r="D1144" t="s">
        <v>6362</v>
      </c>
      <c r="E1144" t="s">
        <v>6358</v>
      </c>
      <c r="F1144" t="s">
        <v>6358</v>
      </c>
      <c r="G1144" s="43">
        <v>7.8600000000000003E-2</v>
      </c>
      <c r="H1144" s="63">
        <v>1</v>
      </c>
    </row>
    <row r="1145" spans="1:8" x14ac:dyDescent="0.55000000000000004">
      <c r="A1145" s="61" t="s">
        <v>6711</v>
      </c>
      <c r="B1145" t="s">
        <v>5070</v>
      </c>
      <c r="C1145">
        <v>9310</v>
      </c>
      <c r="D1145" t="s">
        <v>6365</v>
      </c>
      <c r="E1145" t="s">
        <v>6366</v>
      </c>
      <c r="F1145" t="s">
        <v>6361</v>
      </c>
      <c r="G1145" s="43">
        <v>0</v>
      </c>
      <c r="H1145" s="63">
        <v>-0.1</v>
      </c>
    </row>
    <row r="1146" spans="1:8" x14ac:dyDescent="0.55000000000000004">
      <c r="A1146" s="61" t="s">
        <v>6712</v>
      </c>
      <c r="B1146" t="s">
        <v>749</v>
      </c>
      <c r="C1146">
        <v>8500</v>
      </c>
      <c r="D1146" t="s">
        <v>6359</v>
      </c>
      <c r="E1146" t="s">
        <v>6360</v>
      </c>
      <c r="F1146" t="s">
        <v>6361</v>
      </c>
      <c r="G1146" s="43">
        <v>0</v>
      </c>
      <c r="H1146" s="63">
        <v>1</v>
      </c>
    </row>
    <row r="1147" spans="1:8" x14ac:dyDescent="0.55000000000000004">
      <c r="A1147" s="61" t="s">
        <v>6712</v>
      </c>
      <c r="B1147" t="s">
        <v>749</v>
      </c>
      <c r="C1147">
        <v>8500</v>
      </c>
      <c r="D1147" t="s">
        <v>6362</v>
      </c>
      <c r="E1147" t="s">
        <v>6358</v>
      </c>
      <c r="F1147" t="s">
        <v>6358</v>
      </c>
      <c r="G1147" s="43">
        <v>9.5100000000000004E-2</v>
      </c>
      <c r="H1147" s="63">
        <v>1</v>
      </c>
    </row>
    <row r="1148" spans="1:8" x14ac:dyDescent="0.55000000000000004">
      <c r="A1148" s="61" t="s">
        <v>6713</v>
      </c>
      <c r="B1148" t="s">
        <v>749</v>
      </c>
      <c r="C1148">
        <v>8510</v>
      </c>
      <c r="D1148" t="s">
        <v>6359</v>
      </c>
      <c r="E1148" t="s">
        <v>6360</v>
      </c>
      <c r="F1148" t="s">
        <v>6361</v>
      </c>
      <c r="G1148" s="43">
        <v>0</v>
      </c>
      <c r="H1148" s="63">
        <v>0.9</v>
      </c>
    </row>
    <row r="1149" spans="1:8" x14ac:dyDescent="0.55000000000000004">
      <c r="A1149" s="61" t="s">
        <v>6713</v>
      </c>
      <c r="B1149" t="s">
        <v>749</v>
      </c>
      <c r="C1149">
        <v>8510</v>
      </c>
      <c r="D1149" t="s">
        <v>6363</v>
      </c>
      <c r="E1149" t="s">
        <v>6364</v>
      </c>
      <c r="F1149" t="s">
        <v>6361</v>
      </c>
      <c r="G1149" s="43">
        <v>0</v>
      </c>
      <c r="H1149" s="63">
        <v>0.1</v>
      </c>
    </row>
    <row r="1150" spans="1:8" x14ac:dyDescent="0.55000000000000004">
      <c r="A1150" s="61" t="s">
        <v>6713</v>
      </c>
      <c r="B1150" t="s">
        <v>749</v>
      </c>
      <c r="C1150">
        <v>8510</v>
      </c>
      <c r="D1150" t="s">
        <v>6362</v>
      </c>
      <c r="E1150" t="s">
        <v>6358</v>
      </c>
      <c r="F1150" t="s">
        <v>6358</v>
      </c>
      <c r="G1150" s="62">
        <v>0.1014</v>
      </c>
      <c r="H1150" s="63">
        <v>1</v>
      </c>
    </row>
    <row r="1151" spans="1:8" x14ac:dyDescent="0.55000000000000004">
      <c r="A1151" s="61" t="s">
        <v>6713</v>
      </c>
      <c r="B1151" t="s">
        <v>749</v>
      </c>
      <c r="C1151">
        <v>8510</v>
      </c>
      <c r="D1151" t="s">
        <v>6365</v>
      </c>
      <c r="E1151" t="s">
        <v>6366</v>
      </c>
      <c r="F1151" t="s">
        <v>6361</v>
      </c>
      <c r="G1151" s="43">
        <v>0</v>
      </c>
      <c r="H1151" s="63">
        <v>-0.1</v>
      </c>
    </row>
    <row r="1152" spans="1:8" x14ac:dyDescent="0.55000000000000004">
      <c r="A1152" s="61" t="s">
        <v>6714</v>
      </c>
      <c r="B1152" t="s">
        <v>749</v>
      </c>
      <c r="C1152">
        <v>8710</v>
      </c>
      <c r="D1152" t="s">
        <v>6359</v>
      </c>
      <c r="E1152" t="s">
        <v>6360</v>
      </c>
      <c r="F1152" t="s">
        <v>6361</v>
      </c>
      <c r="G1152" s="43">
        <v>0</v>
      </c>
      <c r="H1152" s="63">
        <v>0.9</v>
      </c>
    </row>
    <row r="1153" spans="1:8" x14ac:dyDescent="0.55000000000000004">
      <c r="A1153" s="61" t="s">
        <v>6714</v>
      </c>
      <c r="B1153" t="s">
        <v>749</v>
      </c>
      <c r="C1153">
        <v>8710</v>
      </c>
      <c r="D1153" t="s">
        <v>6363</v>
      </c>
      <c r="E1153" t="s">
        <v>6364</v>
      </c>
      <c r="F1153" t="s">
        <v>6361</v>
      </c>
      <c r="G1153" s="43">
        <v>0</v>
      </c>
      <c r="H1153" s="63">
        <v>0.1</v>
      </c>
    </row>
    <row r="1154" spans="1:8" x14ac:dyDescent="0.55000000000000004">
      <c r="A1154" s="61" t="s">
        <v>6714</v>
      </c>
      <c r="B1154" t="s">
        <v>749</v>
      </c>
      <c r="C1154">
        <v>8710</v>
      </c>
      <c r="D1154" t="s">
        <v>6362</v>
      </c>
      <c r="E1154" t="s">
        <v>6358</v>
      </c>
      <c r="F1154" t="s">
        <v>6358</v>
      </c>
      <c r="G1154" s="62">
        <v>0.1014</v>
      </c>
      <c r="H1154" s="63">
        <v>1</v>
      </c>
    </row>
    <row r="1155" spans="1:8" x14ac:dyDescent="0.55000000000000004">
      <c r="A1155" s="61" t="s">
        <v>6714</v>
      </c>
      <c r="B1155" t="s">
        <v>749</v>
      </c>
      <c r="C1155">
        <v>8710</v>
      </c>
      <c r="D1155" t="s">
        <v>6365</v>
      </c>
      <c r="E1155" t="s">
        <v>6366</v>
      </c>
      <c r="F1155" t="s">
        <v>6361</v>
      </c>
      <c r="G1155" s="43">
        <v>0</v>
      </c>
      <c r="H1155" s="63">
        <v>-0.1</v>
      </c>
    </row>
    <row r="1156" spans="1:8" x14ac:dyDescent="0.55000000000000004">
      <c r="A1156" s="61" t="s">
        <v>6715</v>
      </c>
      <c r="B1156" t="s">
        <v>749</v>
      </c>
      <c r="C1156">
        <v>9110</v>
      </c>
      <c r="D1156" t="s">
        <v>6359</v>
      </c>
      <c r="E1156" t="s">
        <v>6367</v>
      </c>
      <c r="F1156" t="s">
        <v>6361</v>
      </c>
      <c r="G1156" s="43">
        <v>0</v>
      </c>
      <c r="H1156" s="63">
        <v>0.9</v>
      </c>
    </row>
    <row r="1157" spans="1:8" x14ac:dyDescent="0.55000000000000004">
      <c r="A1157" s="61" t="s">
        <v>6715</v>
      </c>
      <c r="B1157" t="s">
        <v>749</v>
      </c>
      <c r="C1157">
        <v>9110</v>
      </c>
      <c r="D1157" t="s">
        <v>6363</v>
      </c>
      <c r="E1157" t="s">
        <v>6364</v>
      </c>
      <c r="F1157" t="s">
        <v>6361</v>
      </c>
      <c r="G1157" s="43">
        <v>0</v>
      </c>
      <c r="H1157" s="63">
        <v>0.1</v>
      </c>
    </row>
    <row r="1158" spans="1:8" x14ac:dyDescent="0.55000000000000004">
      <c r="A1158" s="61" t="s">
        <v>6715</v>
      </c>
      <c r="B1158" t="s">
        <v>749</v>
      </c>
      <c r="C1158">
        <v>9110</v>
      </c>
      <c r="D1158" t="s">
        <v>6362</v>
      </c>
      <c r="E1158" t="s">
        <v>6358</v>
      </c>
      <c r="F1158" t="s">
        <v>6358</v>
      </c>
      <c r="G1158" s="62">
        <v>0.1014</v>
      </c>
      <c r="H1158" s="63">
        <v>1</v>
      </c>
    </row>
    <row r="1159" spans="1:8" x14ac:dyDescent="0.55000000000000004">
      <c r="A1159" s="61" t="s">
        <v>6715</v>
      </c>
      <c r="B1159" t="s">
        <v>749</v>
      </c>
      <c r="C1159">
        <v>9110</v>
      </c>
      <c r="D1159" t="s">
        <v>6365</v>
      </c>
      <c r="E1159" t="s">
        <v>6366</v>
      </c>
      <c r="F1159" t="s">
        <v>6361</v>
      </c>
      <c r="G1159" s="43">
        <v>0</v>
      </c>
      <c r="H1159" s="63">
        <v>-0.1</v>
      </c>
    </row>
    <row r="1160" spans="1:8" x14ac:dyDescent="0.55000000000000004">
      <c r="A1160" s="61" t="s">
        <v>6716</v>
      </c>
      <c r="B1160" t="s">
        <v>484</v>
      </c>
      <c r="C1160">
        <v>8705</v>
      </c>
      <c r="D1160" t="s">
        <v>6359</v>
      </c>
      <c r="E1160" t="s">
        <v>6389</v>
      </c>
      <c r="F1160" t="s">
        <v>6361</v>
      </c>
      <c r="G1160" s="43">
        <v>0</v>
      </c>
      <c r="H1160" s="63">
        <v>0.9</v>
      </c>
    </row>
    <row r="1161" spans="1:8" x14ac:dyDescent="0.55000000000000004">
      <c r="A1161" s="61" t="s">
        <v>6716</v>
      </c>
      <c r="B1161" t="s">
        <v>484</v>
      </c>
      <c r="C1161">
        <v>8705</v>
      </c>
      <c r="D1161" t="s">
        <v>6363</v>
      </c>
      <c r="E1161" t="s">
        <v>6364</v>
      </c>
      <c r="F1161" t="s">
        <v>6361</v>
      </c>
      <c r="G1161" s="43">
        <v>0</v>
      </c>
      <c r="H1161" s="63">
        <v>0.1</v>
      </c>
    </row>
    <row r="1162" spans="1:8" x14ac:dyDescent="0.55000000000000004">
      <c r="A1162" s="61" t="s">
        <v>6716</v>
      </c>
      <c r="B1162" t="s">
        <v>484</v>
      </c>
      <c r="C1162">
        <v>8705</v>
      </c>
      <c r="D1162" t="s">
        <v>6362</v>
      </c>
      <c r="E1162" t="s">
        <v>6358</v>
      </c>
      <c r="F1162" t="s">
        <v>6358</v>
      </c>
      <c r="G1162" s="43">
        <v>6.9800000000000001E-2</v>
      </c>
      <c r="H1162" s="63">
        <v>1</v>
      </c>
    </row>
    <row r="1163" spans="1:8" x14ac:dyDescent="0.55000000000000004">
      <c r="A1163" s="61" t="s">
        <v>6716</v>
      </c>
      <c r="B1163" t="s">
        <v>484</v>
      </c>
      <c r="C1163">
        <v>8705</v>
      </c>
      <c r="D1163" t="s">
        <v>6365</v>
      </c>
      <c r="E1163" t="s">
        <v>6366</v>
      </c>
      <c r="F1163" t="s">
        <v>6361</v>
      </c>
      <c r="G1163" s="43">
        <v>0</v>
      </c>
      <c r="H1163" s="63">
        <v>-0.1</v>
      </c>
    </row>
    <row r="1164" spans="1:8" x14ac:dyDescent="0.55000000000000004">
      <c r="A1164" s="61" t="s">
        <v>6716</v>
      </c>
      <c r="B1164" t="s">
        <v>484</v>
      </c>
      <c r="C1164">
        <v>8705</v>
      </c>
      <c r="D1164" t="s">
        <v>6384</v>
      </c>
      <c r="E1164" t="s">
        <v>6385</v>
      </c>
      <c r="F1164" t="s">
        <v>6361</v>
      </c>
      <c r="G1164" s="43">
        <v>0</v>
      </c>
      <c r="H1164" s="63">
        <v>1</v>
      </c>
    </row>
    <row r="1165" spans="1:8" x14ac:dyDescent="0.55000000000000004">
      <c r="A1165" s="61" t="s">
        <v>6716</v>
      </c>
      <c r="B1165" t="s">
        <v>484</v>
      </c>
      <c r="C1165">
        <v>8705</v>
      </c>
      <c r="D1165" t="s">
        <v>6386</v>
      </c>
      <c r="E1165" t="s">
        <v>6387</v>
      </c>
      <c r="F1165" t="s">
        <v>6361</v>
      </c>
      <c r="G1165" s="43">
        <v>0</v>
      </c>
      <c r="H1165" s="63">
        <v>1</v>
      </c>
    </row>
    <row r="1166" spans="1:8" x14ac:dyDescent="0.55000000000000004">
      <c r="A1166" s="61" t="s">
        <v>6717</v>
      </c>
      <c r="B1166" t="s">
        <v>484</v>
      </c>
      <c r="C1166">
        <v>9105</v>
      </c>
      <c r="D1166" t="s">
        <v>6359</v>
      </c>
      <c r="E1166" t="s">
        <v>6390</v>
      </c>
      <c r="F1166" t="s">
        <v>6361</v>
      </c>
      <c r="G1166" s="43">
        <v>0</v>
      </c>
      <c r="H1166" s="63">
        <v>0.9</v>
      </c>
    </row>
    <row r="1167" spans="1:8" x14ac:dyDescent="0.55000000000000004">
      <c r="A1167" s="61" t="s">
        <v>6717</v>
      </c>
      <c r="B1167" t="s">
        <v>484</v>
      </c>
      <c r="C1167">
        <v>9105</v>
      </c>
      <c r="D1167" t="s">
        <v>6363</v>
      </c>
      <c r="E1167" t="s">
        <v>6364</v>
      </c>
      <c r="F1167" t="s">
        <v>6361</v>
      </c>
      <c r="G1167" s="43">
        <v>0</v>
      </c>
      <c r="H1167" s="63">
        <v>0.1</v>
      </c>
    </row>
    <row r="1168" spans="1:8" x14ac:dyDescent="0.55000000000000004">
      <c r="A1168" s="61" t="s">
        <v>6717</v>
      </c>
      <c r="B1168" t="s">
        <v>484</v>
      </c>
      <c r="C1168">
        <v>9105</v>
      </c>
      <c r="D1168" t="s">
        <v>6362</v>
      </c>
      <c r="E1168" t="s">
        <v>6358</v>
      </c>
      <c r="F1168" t="s">
        <v>6358</v>
      </c>
      <c r="G1168" s="43">
        <v>6.9800000000000001E-2</v>
      </c>
      <c r="H1168" s="63">
        <v>1</v>
      </c>
    </row>
    <row r="1169" spans="1:8" x14ac:dyDescent="0.55000000000000004">
      <c r="A1169" s="61" t="s">
        <v>6717</v>
      </c>
      <c r="B1169" t="s">
        <v>484</v>
      </c>
      <c r="C1169">
        <v>9105</v>
      </c>
      <c r="D1169" t="s">
        <v>6365</v>
      </c>
      <c r="E1169" t="s">
        <v>6366</v>
      </c>
      <c r="F1169" t="s">
        <v>6361</v>
      </c>
      <c r="G1169" s="43">
        <v>0</v>
      </c>
      <c r="H1169" s="63">
        <v>-0.1</v>
      </c>
    </row>
    <row r="1170" spans="1:8" x14ac:dyDescent="0.55000000000000004">
      <c r="A1170" s="61" t="s">
        <v>6717</v>
      </c>
      <c r="B1170" t="s">
        <v>484</v>
      </c>
      <c r="C1170">
        <v>9105</v>
      </c>
      <c r="D1170" t="s">
        <v>6384</v>
      </c>
      <c r="E1170" t="s">
        <v>6385</v>
      </c>
      <c r="F1170" t="s">
        <v>6361</v>
      </c>
      <c r="G1170" s="43">
        <v>0</v>
      </c>
      <c r="H1170" s="63">
        <v>1</v>
      </c>
    </row>
    <row r="1171" spans="1:8" x14ac:dyDescent="0.55000000000000004">
      <c r="A1171" s="61" t="s">
        <v>6717</v>
      </c>
      <c r="B1171" t="s">
        <v>484</v>
      </c>
      <c r="C1171">
        <v>9105</v>
      </c>
      <c r="D1171" t="s">
        <v>6386</v>
      </c>
      <c r="E1171" t="s">
        <v>6387</v>
      </c>
      <c r="F1171" t="s">
        <v>6361</v>
      </c>
      <c r="G1171" s="43">
        <v>0</v>
      </c>
      <c r="H1171" s="63">
        <v>1</v>
      </c>
    </row>
    <row r="1172" spans="1:8" x14ac:dyDescent="0.55000000000000004">
      <c r="A1172" s="61" t="s">
        <v>6718</v>
      </c>
      <c r="B1172" t="s">
        <v>5076</v>
      </c>
      <c r="C1172">
        <v>8708</v>
      </c>
      <c r="D1172" t="s">
        <v>6359</v>
      </c>
      <c r="E1172" t="s">
        <v>6360</v>
      </c>
      <c r="F1172" t="s">
        <v>6361</v>
      </c>
      <c r="G1172" s="43">
        <v>0</v>
      </c>
      <c r="H1172" s="63">
        <v>0.9</v>
      </c>
    </row>
    <row r="1173" spans="1:8" x14ac:dyDescent="0.55000000000000004">
      <c r="A1173" s="61" t="s">
        <v>6718</v>
      </c>
      <c r="B1173" t="s">
        <v>5076</v>
      </c>
      <c r="C1173">
        <v>8708</v>
      </c>
      <c r="D1173" t="s">
        <v>6363</v>
      </c>
      <c r="E1173" t="s">
        <v>6364</v>
      </c>
      <c r="F1173" t="s">
        <v>6361</v>
      </c>
      <c r="G1173" s="43">
        <v>0</v>
      </c>
      <c r="H1173" s="63">
        <v>0.1</v>
      </c>
    </row>
    <row r="1174" spans="1:8" x14ac:dyDescent="0.55000000000000004">
      <c r="A1174" s="61" t="s">
        <v>6718</v>
      </c>
      <c r="B1174" t="s">
        <v>5076</v>
      </c>
      <c r="C1174">
        <v>8708</v>
      </c>
      <c r="D1174" t="s">
        <v>6362</v>
      </c>
      <c r="E1174" t="s">
        <v>6358</v>
      </c>
      <c r="F1174" t="s">
        <v>6358</v>
      </c>
      <c r="G1174" s="43">
        <v>8.9499999999999996E-2</v>
      </c>
      <c r="H1174" s="63">
        <v>1</v>
      </c>
    </row>
    <row r="1175" spans="1:8" x14ac:dyDescent="0.55000000000000004">
      <c r="A1175" s="61" t="s">
        <v>6718</v>
      </c>
      <c r="B1175" t="s">
        <v>5076</v>
      </c>
      <c r="C1175">
        <v>8708</v>
      </c>
      <c r="D1175" t="s">
        <v>6365</v>
      </c>
      <c r="E1175" t="s">
        <v>6366</v>
      </c>
      <c r="F1175" t="s">
        <v>6361</v>
      </c>
      <c r="G1175" s="43">
        <v>0</v>
      </c>
      <c r="H1175" s="63">
        <v>-0.1</v>
      </c>
    </row>
    <row r="1176" spans="1:8" x14ac:dyDescent="0.55000000000000004">
      <c r="A1176" s="61" t="s">
        <v>6719</v>
      </c>
      <c r="B1176" t="s">
        <v>5076</v>
      </c>
      <c r="C1176">
        <v>8710</v>
      </c>
      <c r="D1176" t="s">
        <v>6359</v>
      </c>
      <c r="E1176" t="s">
        <v>6360</v>
      </c>
      <c r="F1176" t="s">
        <v>6361</v>
      </c>
      <c r="G1176" s="43">
        <v>0</v>
      </c>
      <c r="H1176" s="63">
        <v>0.9</v>
      </c>
    </row>
    <row r="1177" spans="1:8" x14ac:dyDescent="0.55000000000000004">
      <c r="A1177" s="61" t="s">
        <v>6719</v>
      </c>
      <c r="B1177" t="s">
        <v>5076</v>
      </c>
      <c r="C1177">
        <v>8710</v>
      </c>
      <c r="D1177" t="s">
        <v>6363</v>
      </c>
      <c r="E1177" t="s">
        <v>6364</v>
      </c>
      <c r="F1177" t="s">
        <v>6361</v>
      </c>
      <c r="G1177" s="43">
        <v>0</v>
      </c>
      <c r="H1177" s="63">
        <v>0.1</v>
      </c>
    </row>
    <row r="1178" spans="1:8" x14ac:dyDescent="0.55000000000000004">
      <c r="A1178" s="61" t="s">
        <v>6719</v>
      </c>
      <c r="B1178" t="s">
        <v>5076</v>
      </c>
      <c r="C1178">
        <v>8710</v>
      </c>
      <c r="D1178" t="s">
        <v>6362</v>
      </c>
      <c r="E1178" t="s">
        <v>6358</v>
      </c>
      <c r="F1178" t="s">
        <v>6358</v>
      </c>
      <c r="G1178" s="43">
        <v>8.9499999999999996E-2</v>
      </c>
      <c r="H1178" s="63">
        <v>1</v>
      </c>
    </row>
    <row r="1179" spans="1:8" x14ac:dyDescent="0.55000000000000004">
      <c r="A1179" s="61" t="s">
        <v>6719</v>
      </c>
      <c r="B1179" t="s">
        <v>5076</v>
      </c>
      <c r="C1179">
        <v>8710</v>
      </c>
      <c r="D1179" t="s">
        <v>6365</v>
      </c>
      <c r="E1179" t="s">
        <v>6366</v>
      </c>
      <c r="F1179" t="s">
        <v>6361</v>
      </c>
      <c r="G1179" s="43">
        <v>0</v>
      </c>
      <c r="H1179" s="63">
        <v>-0.1</v>
      </c>
    </row>
    <row r="1180" spans="1:8" x14ac:dyDescent="0.55000000000000004">
      <c r="A1180" s="61" t="s">
        <v>6720</v>
      </c>
      <c r="B1180" t="s">
        <v>3311</v>
      </c>
      <c r="C1180">
        <v>8701</v>
      </c>
      <c r="D1180" t="s">
        <v>6359</v>
      </c>
      <c r="E1180" t="s">
        <v>6360</v>
      </c>
      <c r="F1180" t="s">
        <v>6361</v>
      </c>
      <c r="G1180" s="43">
        <v>0</v>
      </c>
      <c r="H1180" s="63">
        <v>1</v>
      </c>
    </row>
    <row r="1181" spans="1:8" x14ac:dyDescent="0.55000000000000004">
      <c r="A1181" s="61" t="s">
        <v>6720</v>
      </c>
      <c r="B1181" t="s">
        <v>3311</v>
      </c>
      <c r="C1181">
        <v>8701</v>
      </c>
      <c r="D1181" t="s">
        <v>6362</v>
      </c>
      <c r="E1181" t="s">
        <v>6358</v>
      </c>
      <c r="F1181" t="s">
        <v>6358</v>
      </c>
      <c r="G1181" s="43">
        <v>6.1100000000000002E-2</v>
      </c>
      <c r="H1181" s="63">
        <v>1</v>
      </c>
    </row>
    <row r="1182" spans="1:8" x14ac:dyDescent="0.55000000000000004">
      <c r="A1182" s="61" t="s">
        <v>6721</v>
      </c>
      <c r="B1182" t="s">
        <v>3311</v>
      </c>
      <c r="C1182">
        <v>8710</v>
      </c>
      <c r="D1182" t="s">
        <v>6359</v>
      </c>
      <c r="E1182" t="s">
        <v>6360</v>
      </c>
      <c r="F1182" t="s">
        <v>6361</v>
      </c>
      <c r="G1182" s="43">
        <v>0</v>
      </c>
      <c r="H1182" s="63">
        <v>0.9</v>
      </c>
    </row>
    <row r="1183" spans="1:8" x14ac:dyDescent="0.55000000000000004">
      <c r="A1183" s="61" t="s">
        <v>6721</v>
      </c>
      <c r="B1183" t="s">
        <v>3311</v>
      </c>
      <c r="C1183">
        <v>8710</v>
      </c>
      <c r="D1183" t="s">
        <v>6363</v>
      </c>
      <c r="E1183" t="s">
        <v>6364</v>
      </c>
      <c r="F1183" t="s">
        <v>6361</v>
      </c>
      <c r="G1183" s="43">
        <v>0</v>
      </c>
      <c r="H1183" s="63">
        <v>0.1</v>
      </c>
    </row>
    <row r="1184" spans="1:8" x14ac:dyDescent="0.55000000000000004">
      <c r="A1184" s="61" t="s">
        <v>6721</v>
      </c>
      <c r="B1184" t="s">
        <v>3311</v>
      </c>
      <c r="C1184">
        <v>8710</v>
      </c>
      <c r="D1184" t="s">
        <v>6362</v>
      </c>
      <c r="E1184" t="s">
        <v>6358</v>
      </c>
      <c r="F1184" t="s">
        <v>6358</v>
      </c>
      <c r="G1184" s="43">
        <v>4.7100000000000003E-2</v>
      </c>
      <c r="H1184" s="63">
        <v>1</v>
      </c>
    </row>
    <row r="1185" spans="1:8" x14ac:dyDescent="0.55000000000000004">
      <c r="A1185" s="61" t="s">
        <v>6721</v>
      </c>
      <c r="B1185" t="s">
        <v>3311</v>
      </c>
      <c r="C1185">
        <v>8710</v>
      </c>
      <c r="D1185" t="s">
        <v>6365</v>
      </c>
      <c r="E1185" t="s">
        <v>6366</v>
      </c>
      <c r="F1185" t="s">
        <v>6361</v>
      </c>
      <c r="G1185" s="43">
        <v>0</v>
      </c>
      <c r="H1185" s="63">
        <v>-0.1</v>
      </c>
    </row>
    <row r="1186" spans="1:8" x14ac:dyDescent="0.55000000000000004">
      <c r="A1186" s="61" t="s">
        <v>6722</v>
      </c>
      <c r="B1186" t="s">
        <v>3311</v>
      </c>
      <c r="C1186">
        <v>9101</v>
      </c>
      <c r="D1186" t="s">
        <v>6359</v>
      </c>
      <c r="E1186" t="s">
        <v>6367</v>
      </c>
      <c r="F1186" t="s">
        <v>6361</v>
      </c>
      <c r="G1186" s="43">
        <v>0</v>
      </c>
      <c r="H1186" s="63">
        <v>1</v>
      </c>
    </row>
    <row r="1187" spans="1:8" x14ac:dyDescent="0.55000000000000004">
      <c r="A1187" s="61" t="s">
        <v>6722</v>
      </c>
      <c r="B1187" t="s">
        <v>3311</v>
      </c>
      <c r="C1187">
        <v>9101</v>
      </c>
      <c r="D1187" t="s">
        <v>6362</v>
      </c>
      <c r="E1187" t="s">
        <v>6358</v>
      </c>
      <c r="F1187" t="s">
        <v>6358</v>
      </c>
      <c r="G1187" s="43">
        <v>6.1100000000000002E-2</v>
      </c>
      <c r="H1187" s="63">
        <v>1</v>
      </c>
    </row>
    <row r="1188" spans="1:8" x14ac:dyDescent="0.55000000000000004">
      <c r="A1188" s="61" t="s">
        <v>6723</v>
      </c>
      <c r="B1188" t="s">
        <v>3311</v>
      </c>
      <c r="C1188">
        <v>9110</v>
      </c>
      <c r="D1188" t="s">
        <v>6359</v>
      </c>
      <c r="E1188" t="s">
        <v>6367</v>
      </c>
      <c r="F1188" t="s">
        <v>6361</v>
      </c>
      <c r="G1188" s="43">
        <v>0</v>
      </c>
      <c r="H1188" s="63">
        <v>0.9</v>
      </c>
    </row>
    <row r="1189" spans="1:8" x14ac:dyDescent="0.55000000000000004">
      <c r="A1189" s="61" t="s">
        <v>6723</v>
      </c>
      <c r="B1189" t="s">
        <v>3311</v>
      </c>
      <c r="C1189">
        <v>9110</v>
      </c>
      <c r="D1189" t="s">
        <v>6363</v>
      </c>
      <c r="E1189" t="s">
        <v>6364</v>
      </c>
      <c r="F1189" t="s">
        <v>6361</v>
      </c>
      <c r="G1189" s="43">
        <v>0</v>
      </c>
      <c r="H1189" s="63">
        <v>0.1</v>
      </c>
    </row>
    <row r="1190" spans="1:8" x14ac:dyDescent="0.55000000000000004">
      <c r="A1190" s="61" t="s">
        <v>6723</v>
      </c>
      <c r="B1190" t="s">
        <v>3311</v>
      </c>
      <c r="C1190">
        <v>9110</v>
      </c>
      <c r="D1190" t="s">
        <v>6362</v>
      </c>
      <c r="E1190" t="s">
        <v>6358</v>
      </c>
      <c r="F1190" t="s">
        <v>6358</v>
      </c>
      <c r="G1190" s="43">
        <v>4.7100000000000003E-2</v>
      </c>
      <c r="H1190" s="63">
        <v>1</v>
      </c>
    </row>
    <row r="1191" spans="1:8" x14ac:dyDescent="0.55000000000000004">
      <c r="A1191" s="61" t="s">
        <v>6723</v>
      </c>
      <c r="B1191" t="s">
        <v>3311</v>
      </c>
      <c r="C1191">
        <v>9110</v>
      </c>
      <c r="D1191" t="s">
        <v>6365</v>
      </c>
      <c r="E1191" t="s">
        <v>6366</v>
      </c>
      <c r="F1191" t="s">
        <v>6361</v>
      </c>
      <c r="G1191" s="43">
        <v>0</v>
      </c>
      <c r="H1191" s="63">
        <v>-0.1</v>
      </c>
    </row>
    <row r="1192" spans="1:8" x14ac:dyDescent="0.55000000000000004">
      <c r="A1192" s="61" t="s">
        <v>6724</v>
      </c>
      <c r="B1192" t="s">
        <v>3229</v>
      </c>
      <c r="C1192">
        <v>8701</v>
      </c>
      <c r="D1192" t="s">
        <v>6359</v>
      </c>
      <c r="E1192" t="s">
        <v>6360</v>
      </c>
      <c r="F1192" t="s">
        <v>6361</v>
      </c>
      <c r="G1192" s="43">
        <v>0</v>
      </c>
      <c r="H1192" s="63">
        <v>1</v>
      </c>
    </row>
    <row r="1193" spans="1:8" x14ac:dyDescent="0.55000000000000004">
      <c r="A1193" s="61" t="s">
        <v>6724</v>
      </c>
      <c r="B1193" t="s">
        <v>3229</v>
      </c>
      <c r="C1193">
        <v>8701</v>
      </c>
      <c r="D1193" t="s">
        <v>6362</v>
      </c>
      <c r="E1193" t="s">
        <v>6358</v>
      </c>
      <c r="F1193" t="s">
        <v>6358</v>
      </c>
      <c r="G1193" s="43">
        <v>7.1199999999999999E-2</v>
      </c>
      <c r="H1193" s="63">
        <v>1</v>
      </c>
    </row>
    <row r="1194" spans="1:8" x14ac:dyDescent="0.55000000000000004">
      <c r="A1194" s="61" t="s">
        <v>6725</v>
      </c>
      <c r="B1194" t="s">
        <v>3229</v>
      </c>
      <c r="C1194">
        <v>8710</v>
      </c>
      <c r="D1194" t="s">
        <v>6359</v>
      </c>
      <c r="E1194" t="s">
        <v>6360</v>
      </c>
      <c r="F1194" t="s">
        <v>6361</v>
      </c>
      <c r="G1194" s="43">
        <v>0</v>
      </c>
      <c r="H1194" s="63">
        <v>0.9</v>
      </c>
    </row>
    <row r="1195" spans="1:8" x14ac:dyDescent="0.55000000000000004">
      <c r="A1195" s="61" t="s">
        <v>6725</v>
      </c>
      <c r="B1195" t="s">
        <v>3229</v>
      </c>
      <c r="C1195">
        <v>8710</v>
      </c>
      <c r="D1195" t="s">
        <v>6363</v>
      </c>
      <c r="E1195" t="s">
        <v>6364</v>
      </c>
      <c r="F1195" t="s">
        <v>6361</v>
      </c>
      <c r="G1195" s="43">
        <v>0</v>
      </c>
      <c r="H1195" s="63">
        <v>0.1</v>
      </c>
    </row>
    <row r="1196" spans="1:8" x14ac:dyDescent="0.55000000000000004">
      <c r="A1196" s="61" t="s">
        <v>6725</v>
      </c>
      <c r="B1196" t="s">
        <v>3229</v>
      </c>
      <c r="C1196">
        <v>8710</v>
      </c>
      <c r="D1196" t="s">
        <v>6362</v>
      </c>
      <c r="E1196" t="s">
        <v>6358</v>
      </c>
      <c r="F1196" t="s">
        <v>6358</v>
      </c>
      <c r="G1196" s="43">
        <v>7.6700000000000004E-2</v>
      </c>
      <c r="H1196" s="63">
        <v>1</v>
      </c>
    </row>
    <row r="1197" spans="1:8" x14ac:dyDescent="0.55000000000000004">
      <c r="A1197" s="61" t="s">
        <v>6725</v>
      </c>
      <c r="B1197" t="s">
        <v>3229</v>
      </c>
      <c r="C1197">
        <v>8710</v>
      </c>
      <c r="D1197" t="s">
        <v>6365</v>
      </c>
      <c r="E1197" t="s">
        <v>6366</v>
      </c>
      <c r="F1197" t="s">
        <v>6361</v>
      </c>
      <c r="G1197" s="43">
        <v>0</v>
      </c>
      <c r="H1197" s="63">
        <v>-0.1</v>
      </c>
    </row>
    <row r="1198" spans="1:8" x14ac:dyDescent="0.55000000000000004">
      <c r="A1198" s="61" t="s">
        <v>6726</v>
      </c>
      <c r="B1198" t="s">
        <v>3229</v>
      </c>
      <c r="C1198">
        <v>9101</v>
      </c>
      <c r="D1198" t="s">
        <v>6359</v>
      </c>
      <c r="E1198" t="s">
        <v>6367</v>
      </c>
      <c r="F1198" t="s">
        <v>6361</v>
      </c>
      <c r="G1198" s="43">
        <v>0</v>
      </c>
      <c r="H1198" s="63">
        <v>1</v>
      </c>
    </row>
    <row r="1199" spans="1:8" x14ac:dyDescent="0.55000000000000004">
      <c r="A1199" s="61" t="s">
        <v>6726</v>
      </c>
      <c r="B1199" t="s">
        <v>3229</v>
      </c>
      <c r="C1199">
        <v>9101</v>
      </c>
      <c r="D1199" t="s">
        <v>6362</v>
      </c>
      <c r="E1199" t="s">
        <v>6358</v>
      </c>
      <c r="F1199" t="s">
        <v>6358</v>
      </c>
      <c r="G1199" s="43">
        <v>7.1199999999999999E-2</v>
      </c>
      <c r="H1199" s="63">
        <v>1</v>
      </c>
    </row>
    <row r="1200" spans="1:8" x14ac:dyDescent="0.55000000000000004">
      <c r="A1200" s="61" t="s">
        <v>6727</v>
      </c>
      <c r="B1200" t="s">
        <v>3229</v>
      </c>
      <c r="C1200">
        <v>9110</v>
      </c>
      <c r="D1200" t="s">
        <v>6359</v>
      </c>
      <c r="E1200" t="s">
        <v>6367</v>
      </c>
      <c r="F1200" t="s">
        <v>6361</v>
      </c>
      <c r="G1200" s="43">
        <v>0</v>
      </c>
      <c r="H1200" s="63">
        <v>0.9</v>
      </c>
    </row>
    <row r="1201" spans="1:8" x14ac:dyDescent="0.55000000000000004">
      <c r="A1201" s="61" t="s">
        <v>6727</v>
      </c>
      <c r="B1201" t="s">
        <v>3229</v>
      </c>
      <c r="C1201">
        <v>9110</v>
      </c>
      <c r="D1201" t="s">
        <v>6363</v>
      </c>
      <c r="E1201" t="s">
        <v>6364</v>
      </c>
      <c r="F1201" t="s">
        <v>6361</v>
      </c>
      <c r="G1201" s="43">
        <v>0</v>
      </c>
      <c r="H1201" s="63">
        <v>0.1</v>
      </c>
    </row>
    <row r="1202" spans="1:8" x14ac:dyDescent="0.55000000000000004">
      <c r="A1202" s="61" t="s">
        <v>6727</v>
      </c>
      <c r="B1202" t="s">
        <v>3229</v>
      </c>
      <c r="C1202">
        <v>9110</v>
      </c>
      <c r="D1202" t="s">
        <v>6362</v>
      </c>
      <c r="E1202" t="s">
        <v>6358</v>
      </c>
      <c r="F1202" t="s">
        <v>6358</v>
      </c>
      <c r="G1202" s="43">
        <v>7.6700000000000004E-2</v>
      </c>
      <c r="H1202" s="63">
        <v>1</v>
      </c>
    </row>
    <row r="1203" spans="1:8" x14ac:dyDescent="0.55000000000000004">
      <c r="A1203" s="61" t="s">
        <v>6727</v>
      </c>
      <c r="B1203" t="s">
        <v>3229</v>
      </c>
      <c r="C1203">
        <v>9110</v>
      </c>
      <c r="D1203" t="s">
        <v>6365</v>
      </c>
      <c r="E1203" t="s">
        <v>6366</v>
      </c>
      <c r="F1203" t="s">
        <v>6361</v>
      </c>
      <c r="G1203" s="43">
        <v>0</v>
      </c>
      <c r="H1203" s="63">
        <v>-0.1</v>
      </c>
    </row>
    <row r="1204" spans="1:8" x14ac:dyDescent="0.55000000000000004">
      <c r="A1204" s="61" t="s">
        <v>6728</v>
      </c>
      <c r="B1204" t="s">
        <v>3229</v>
      </c>
      <c r="C1204">
        <v>9204</v>
      </c>
      <c r="D1204" t="s">
        <v>6359</v>
      </c>
      <c r="E1204" t="s">
        <v>6367</v>
      </c>
      <c r="F1204" t="s">
        <v>6361</v>
      </c>
      <c r="G1204" s="43">
        <v>0</v>
      </c>
      <c r="H1204" s="63">
        <v>0.9</v>
      </c>
    </row>
    <row r="1205" spans="1:8" x14ac:dyDescent="0.55000000000000004">
      <c r="A1205" s="61" t="s">
        <v>6728</v>
      </c>
      <c r="B1205" t="s">
        <v>3229</v>
      </c>
      <c r="C1205">
        <v>9204</v>
      </c>
      <c r="D1205" t="s">
        <v>6363</v>
      </c>
      <c r="E1205" t="s">
        <v>6364</v>
      </c>
      <c r="F1205" t="s">
        <v>6361</v>
      </c>
      <c r="G1205" s="43">
        <v>0</v>
      </c>
      <c r="H1205" s="63">
        <v>0.1</v>
      </c>
    </row>
    <row r="1206" spans="1:8" x14ac:dyDescent="0.55000000000000004">
      <c r="A1206" s="61" t="s">
        <v>6728</v>
      </c>
      <c r="B1206" t="s">
        <v>3229</v>
      </c>
      <c r="C1206">
        <v>9204</v>
      </c>
      <c r="D1206" t="s">
        <v>6362</v>
      </c>
      <c r="E1206" t="s">
        <v>6358</v>
      </c>
      <c r="F1206" t="s">
        <v>6358</v>
      </c>
      <c r="G1206" s="43">
        <v>7.6700000000000004E-2</v>
      </c>
      <c r="H1206" s="63">
        <v>1</v>
      </c>
    </row>
    <row r="1207" spans="1:8" x14ac:dyDescent="0.55000000000000004">
      <c r="A1207" s="61" t="s">
        <v>6728</v>
      </c>
      <c r="B1207" t="s">
        <v>3229</v>
      </c>
      <c r="C1207">
        <v>9204</v>
      </c>
      <c r="D1207" t="s">
        <v>6365</v>
      </c>
      <c r="E1207" t="s">
        <v>6366</v>
      </c>
      <c r="F1207" t="s">
        <v>6361</v>
      </c>
      <c r="G1207" s="43">
        <v>0</v>
      </c>
      <c r="H1207" s="63">
        <v>-0.1</v>
      </c>
    </row>
    <row r="1208" spans="1:8" x14ac:dyDescent="0.55000000000000004">
      <c r="A1208" s="61" t="s">
        <v>6729</v>
      </c>
      <c r="B1208" t="s">
        <v>1797</v>
      </c>
      <c r="C1208">
        <v>8710</v>
      </c>
      <c r="D1208" t="s">
        <v>6359</v>
      </c>
      <c r="E1208" t="s">
        <v>6368</v>
      </c>
      <c r="F1208" t="s">
        <v>6361</v>
      </c>
      <c r="G1208" s="43">
        <v>0</v>
      </c>
      <c r="H1208" s="63">
        <v>0.9</v>
      </c>
    </row>
    <row r="1209" spans="1:8" x14ac:dyDescent="0.55000000000000004">
      <c r="A1209" s="61" t="s">
        <v>6729</v>
      </c>
      <c r="B1209" t="s">
        <v>1797</v>
      </c>
      <c r="C1209">
        <v>8710</v>
      </c>
      <c r="D1209" t="s">
        <v>6363</v>
      </c>
      <c r="E1209" t="s">
        <v>6364</v>
      </c>
      <c r="F1209" t="s">
        <v>6361</v>
      </c>
      <c r="G1209" s="43">
        <v>0</v>
      </c>
      <c r="H1209" s="63">
        <v>0.1</v>
      </c>
    </row>
    <row r="1210" spans="1:8" x14ac:dyDescent="0.55000000000000004">
      <c r="A1210" s="61" t="s">
        <v>6729</v>
      </c>
      <c r="B1210" t="s">
        <v>1797</v>
      </c>
      <c r="C1210">
        <v>8710</v>
      </c>
      <c r="D1210" t="s">
        <v>6362</v>
      </c>
      <c r="E1210" t="s">
        <v>6358</v>
      </c>
      <c r="F1210" t="s">
        <v>6358</v>
      </c>
      <c r="G1210" s="43">
        <v>3.8800000000000001E-2</v>
      </c>
      <c r="H1210" s="63">
        <v>1</v>
      </c>
    </row>
    <row r="1211" spans="1:8" x14ac:dyDescent="0.55000000000000004">
      <c r="A1211" s="61" t="s">
        <v>6729</v>
      </c>
      <c r="B1211" t="s">
        <v>1797</v>
      </c>
      <c r="C1211">
        <v>8710</v>
      </c>
      <c r="D1211" t="s">
        <v>6365</v>
      </c>
      <c r="E1211" t="s">
        <v>6366</v>
      </c>
      <c r="F1211" t="s">
        <v>6361</v>
      </c>
      <c r="G1211" s="43">
        <v>0</v>
      </c>
      <c r="H1211" s="63">
        <v>-0.1</v>
      </c>
    </row>
    <row r="1212" spans="1:8" x14ac:dyDescent="0.55000000000000004">
      <c r="A1212" s="61" t="s">
        <v>6730</v>
      </c>
      <c r="B1212" t="s">
        <v>1797</v>
      </c>
      <c r="C1212">
        <v>9310</v>
      </c>
      <c r="D1212" t="s">
        <v>6359</v>
      </c>
      <c r="E1212" t="s">
        <v>6369</v>
      </c>
      <c r="F1212" t="s">
        <v>6361</v>
      </c>
      <c r="G1212" s="43">
        <v>0</v>
      </c>
      <c r="H1212" s="63">
        <v>0.9</v>
      </c>
    </row>
    <row r="1213" spans="1:8" x14ac:dyDescent="0.55000000000000004">
      <c r="A1213" s="61" t="s">
        <v>6730</v>
      </c>
      <c r="B1213" t="s">
        <v>1797</v>
      </c>
      <c r="C1213">
        <v>9310</v>
      </c>
      <c r="D1213" t="s">
        <v>6363</v>
      </c>
      <c r="E1213" t="s">
        <v>6364</v>
      </c>
      <c r="F1213" t="s">
        <v>6361</v>
      </c>
      <c r="G1213" s="43">
        <v>0</v>
      </c>
      <c r="H1213" s="63">
        <v>0.1</v>
      </c>
    </row>
    <row r="1214" spans="1:8" x14ac:dyDescent="0.55000000000000004">
      <c r="A1214" s="61" t="s">
        <v>6730</v>
      </c>
      <c r="B1214" t="s">
        <v>1797</v>
      </c>
      <c r="C1214">
        <v>9310</v>
      </c>
      <c r="D1214" t="s">
        <v>6362</v>
      </c>
      <c r="E1214" t="s">
        <v>6358</v>
      </c>
      <c r="F1214" t="s">
        <v>6358</v>
      </c>
      <c r="G1214" s="43">
        <v>3.8800000000000001E-2</v>
      </c>
      <c r="H1214" s="63">
        <v>1</v>
      </c>
    </row>
    <row r="1215" spans="1:8" x14ac:dyDescent="0.55000000000000004">
      <c r="A1215" s="61" t="s">
        <v>6730</v>
      </c>
      <c r="B1215" t="s">
        <v>1797</v>
      </c>
      <c r="C1215">
        <v>9310</v>
      </c>
      <c r="D1215" t="s">
        <v>6365</v>
      </c>
      <c r="E1215" t="s">
        <v>6366</v>
      </c>
      <c r="F1215" t="s">
        <v>6361</v>
      </c>
      <c r="G1215" s="43">
        <v>0</v>
      </c>
      <c r="H1215" s="63">
        <v>-0.1</v>
      </c>
    </row>
    <row r="1216" spans="1:8" x14ac:dyDescent="0.55000000000000004">
      <c r="A1216" s="61" t="s">
        <v>6731</v>
      </c>
      <c r="B1216" t="s">
        <v>5099</v>
      </c>
      <c r="C1216">
        <v>8708</v>
      </c>
      <c r="D1216" t="s">
        <v>6359</v>
      </c>
      <c r="E1216" t="s">
        <v>6370</v>
      </c>
      <c r="F1216" t="s">
        <v>6361</v>
      </c>
      <c r="G1216" s="43">
        <v>0</v>
      </c>
      <c r="H1216" s="63">
        <v>0.9</v>
      </c>
    </row>
    <row r="1217" spans="1:8" x14ac:dyDescent="0.55000000000000004">
      <c r="A1217" s="61" t="s">
        <v>6731</v>
      </c>
      <c r="B1217" t="s">
        <v>5099</v>
      </c>
      <c r="C1217">
        <v>8708</v>
      </c>
      <c r="D1217" t="s">
        <v>6363</v>
      </c>
      <c r="E1217" t="s">
        <v>6364</v>
      </c>
      <c r="F1217" t="s">
        <v>6361</v>
      </c>
      <c r="G1217" s="43">
        <v>0</v>
      </c>
      <c r="H1217" s="63">
        <v>0.1</v>
      </c>
    </row>
    <row r="1218" spans="1:8" x14ac:dyDescent="0.55000000000000004">
      <c r="A1218" s="61" t="s">
        <v>6731</v>
      </c>
      <c r="B1218" t="s">
        <v>5099</v>
      </c>
      <c r="C1218">
        <v>8708</v>
      </c>
      <c r="D1218" t="s">
        <v>6362</v>
      </c>
      <c r="E1218" t="s">
        <v>6358</v>
      </c>
      <c r="F1218" t="s">
        <v>6358</v>
      </c>
      <c r="G1218" s="43">
        <v>7.8100000000000003E-2</v>
      </c>
      <c r="H1218" s="63">
        <v>1</v>
      </c>
    </row>
    <row r="1219" spans="1:8" x14ac:dyDescent="0.55000000000000004">
      <c r="A1219" s="61" t="s">
        <v>6731</v>
      </c>
      <c r="B1219" t="s">
        <v>5099</v>
      </c>
      <c r="C1219">
        <v>8708</v>
      </c>
      <c r="D1219" t="s">
        <v>6365</v>
      </c>
      <c r="E1219" t="s">
        <v>6366</v>
      </c>
      <c r="F1219" t="s">
        <v>6361</v>
      </c>
      <c r="G1219" s="43">
        <v>0</v>
      </c>
      <c r="H1219" s="63">
        <v>-0.1</v>
      </c>
    </row>
    <row r="1220" spans="1:8" x14ac:dyDescent="0.55000000000000004">
      <c r="A1220" s="61" t="s">
        <v>6732</v>
      </c>
      <c r="B1220" t="s">
        <v>5099</v>
      </c>
      <c r="C1220">
        <v>8710</v>
      </c>
      <c r="D1220" t="s">
        <v>6359</v>
      </c>
      <c r="E1220" t="s">
        <v>6370</v>
      </c>
      <c r="F1220" t="s">
        <v>6361</v>
      </c>
      <c r="G1220" s="43">
        <v>0</v>
      </c>
      <c r="H1220" s="63">
        <v>0.9</v>
      </c>
    </row>
    <row r="1221" spans="1:8" x14ac:dyDescent="0.55000000000000004">
      <c r="A1221" s="61" t="s">
        <v>6732</v>
      </c>
      <c r="B1221" t="s">
        <v>5099</v>
      </c>
      <c r="C1221">
        <v>8710</v>
      </c>
      <c r="D1221" t="s">
        <v>6363</v>
      </c>
      <c r="E1221" t="s">
        <v>6364</v>
      </c>
      <c r="F1221" t="s">
        <v>6361</v>
      </c>
      <c r="G1221" s="43">
        <v>0</v>
      </c>
      <c r="H1221" s="63">
        <v>0.1</v>
      </c>
    </row>
    <row r="1222" spans="1:8" x14ac:dyDescent="0.55000000000000004">
      <c r="A1222" s="61" t="s">
        <v>6732</v>
      </c>
      <c r="B1222" t="s">
        <v>5099</v>
      </c>
      <c r="C1222">
        <v>8710</v>
      </c>
      <c r="D1222" t="s">
        <v>6362</v>
      </c>
      <c r="E1222" t="s">
        <v>6358</v>
      </c>
      <c r="F1222" t="s">
        <v>6358</v>
      </c>
      <c r="G1222" s="43">
        <v>7.8100000000000003E-2</v>
      </c>
      <c r="H1222" s="63">
        <v>1</v>
      </c>
    </row>
    <row r="1223" spans="1:8" x14ac:dyDescent="0.55000000000000004">
      <c r="A1223" s="61" t="s">
        <v>6732</v>
      </c>
      <c r="B1223" t="s">
        <v>5099</v>
      </c>
      <c r="C1223">
        <v>8710</v>
      </c>
      <c r="D1223" t="s">
        <v>6365</v>
      </c>
      <c r="E1223" t="s">
        <v>6366</v>
      </c>
      <c r="F1223" t="s">
        <v>6361</v>
      </c>
      <c r="G1223" s="43">
        <v>0</v>
      </c>
      <c r="H1223" s="63">
        <v>-0.1</v>
      </c>
    </row>
    <row r="1224" spans="1:8" x14ac:dyDescent="0.55000000000000004">
      <c r="A1224" s="61" t="s">
        <v>6733</v>
      </c>
      <c r="B1224" t="s">
        <v>5099</v>
      </c>
      <c r="C1224">
        <v>8711</v>
      </c>
      <c r="D1224" t="s">
        <v>6359</v>
      </c>
      <c r="E1224" t="s">
        <v>6372</v>
      </c>
      <c r="F1224" t="s">
        <v>6361</v>
      </c>
      <c r="G1224" s="43">
        <v>0</v>
      </c>
      <c r="H1224" s="63">
        <v>0.9</v>
      </c>
    </row>
    <row r="1225" spans="1:8" x14ac:dyDescent="0.55000000000000004">
      <c r="A1225" s="61" t="s">
        <v>6733</v>
      </c>
      <c r="B1225" t="s">
        <v>5099</v>
      </c>
      <c r="C1225">
        <v>8711</v>
      </c>
      <c r="D1225" t="s">
        <v>6363</v>
      </c>
      <c r="E1225" t="s">
        <v>6364</v>
      </c>
      <c r="F1225" t="s">
        <v>6361</v>
      </c>
      <c r="G1225" s="43">
        <v>0</v>
      </c>
      <c r="H1225" s="63">
        <v>0.1</v>
      </c>
    </row>
    <row r="1226" spans="1:8" x14ac:dyDescent="0.55000000000000004">
      <c r="A1226" s="61" t="s">
        <v>6733</v>
      </c>
      <c r="B1226" t="s">
        <v>5099</v>
      </c>
      <c r="C1226">
        <v>8711</v>
      </c>
      <c r="D1226" t="s">
        <v>6362</v>
      </c>
      <c r="E1226" t="s">
        <v>6358</v>
      </c>
      <c r="F1226" t="s">
        <v>6358</v>
      </c>
      <c r="G1226" s="43">
        <v>7.8100000000000003E-2</v>
      </c>
      <c r="H1226" s="63">
        <v>1</v>
      </c>
    </row>
    <row r="1227" spans="1:8" x14ac:dyDescent="0.55000000000000004">
      <c r="A1227" s="61" t="s">
        <v>6733</v>
      </c>
      <c r="B1227" t="s">
        <v>5099</v>
      </c>
      <c r="C1227">
        <v>8711</v>
      </c>
      <c r="D1227" t="s">
        <v>6365</v>
      </c>
      <c r="E1227" t="s">
        <v>6366</v>
      </c>
      <c r="F1227" t="s">
        <v>6361</v>
      </c>
      <c r="G1227" s="43">
        <v>0</v>
      </c>
      <c r="H1227" s="63">
        <v>-0.1</v>
      </c>
    </row>
    <row r="1228" spans="1:8" x14ac:dyDescent="0.55000000000000004">
      <c r="A1228" s="61" t="s">
        <v>6734</v>
      </c>
      <c r="B1228" t="s">
        <v>5099</v>
      </c>
      <c r="C1228">
        <v>8713</v>
      </c>
      <c r="D1228" t="s">
        <v>6359</v>
      </c>
      <c r="E1228" t="s">
        <v>6372</v>
      </c>
      <c r="F1228" t="s">
        <v>6361</v>
      </c>
      <c r="G1228" s="43">
        <v>0</v>
      </c>
      <c r="H1228" s="63">
        <v>0.9</v>
      </c>
    </row>
    <row r="1229" spans="1:8" x14ac:dyDescent="0.55000000000000004">
      <c r="A1229" s="61" t="s">
        <v>6734</v>
      </c>
      <c r="B1229" t="s">
        <v>5099</v>
      </c>
      <c r="C1229">
        <v>8713</v>
      </c>
      <c r="D1229" t="s">
        <v>6363</v>
      </c>
      <c r="E1229" t="s">
        <v>6364</v>
      </c>
      <c r="F1229" t="s">
        <v>6361</v>
      </c>
      <c r="G1229" s="43">
        <v>0</v>
      </c>
      <c r="H1229" s="63">
        <v>0.1</v>
      </c>
    </row>
    <row r="1230" spans="1:8" x14ac:dyDescent="0.55000000000000004">
      <c r="A1230" s="61" t="s">
        <v>6734</v>
      </c>
      <c r="B1230" t="s">
        <v>5099</v>
      </c>
      <c r="C1230">
        <v>8713</v>
      </c>
      <c r="D1230" t="s">
        <v>6362</v>
      </c>
      <c r="E1230" t="s">
        <v>6358</v>
      </c>
      <c r="F1230" t="s">
        <v>6358</v>
      </c>
      <c r="G1230" s="43">
        <v>7.8100000000000003E-2</v>
      </c>
      <c r="H1230" s="63">
        <v>1</v>
      </c>
    </row>
    <row r="1231" spans="1:8" x14ac:dyDescent="0.55000000000000004">
      <c r="A1231" s="61" t="s">
        <v>6734</v>
      </c>
      <c r="B1231" t="s">
        <v>5099</v>
      </c>
      <c r="C1231">
        <v>8713</v>
      </c>
      <c r="D1231" t="s">
        <v>6365</v>
      </c>
      <c r="E1231" t="s">
        <v>6366</v>
      </c>
      <c r="F1231" t="s">
        <v>6361</v>
      </c>
      <c r="G1231" s="43">
        <v>0</v>
      </c>
      <c r="H1231" s="63">
        <v>-0.1</v>
      </c>
    </row>
    <row r="1232" spans="1:8" x14ac:dyDescent="0.55000000000000004">
      <c r="A1232" s="61" t="s">
        <v>6735</v>
      </c>
      <c r="B1232" t="s">
        <v>5099</v>
      </c>
      <c r="C1232">
        <v>9305</v>
      </c>
      <c r="D1232" t="s">
        <v>6359</v>
      </c>
      <c r="E1232" t="s">
        <v>6371</v>
      </c>
      <c r="F1232" t="s">
        <v>6361</v>
      </c>
      <c r="G1232" s="43">
        <v>0</v>
      </c>
      <c r="H1232" s="63">
        <v>0.9</v>
      </c>
    </row>
    <row r="1233" spans="1:8" x14ac:dyDescent="0.55000000000000004">
      <c r="A1233" s="61" t="s">
        <v>6735</v>
      </c>
      <c r="B1233" t="s">
        <v>5099</v>
      </c>
      <c r="C1233">
        <v>9305</v>
      </c>
      <c r="D1233" t="s">
        <v>6363</v>
      </c>
      <c r="E1233" t="s">
        <v>6364</v>
      </c>
      <c r="F1233" t="s">
        <v>6361</v>
      </c>
      <c r="G1233" s="43">
        <v>0</v>
      </c>
      <c r="H1233" s="63">
        <v>0.1</v>
      </c>
    </row>
    <row r="1234" spans="1:8" x14ac:dyDescent="0.55000000000000004">
      <c r="A1234" s="61" t="s">
        <v>6735</v>
      </c>
      <c r="B1234" t="s">
        <v>5099</v>
      </c>
      <c r="C1234">
        <v>9305</v>
      </c>
      <c r="D1234" t="s">
        <v>6362</v>
      </c>
      <c r="E1234" t="s">
        <v>6358</v>
      </c>
      <c r="F1234" t="s">
        <v>6358</v>
      </c>
      <c r="G1234" s="43">
        <v>7.8100000000000003E-2</v>
      </c>
      <c r="H1234" s="63">
        <v>1</v>
      </c>
    </row>
    <row r="1235" spans="1:8" x14ac:dyDescent="0.55000000000000004">
      <c r="A1235" s="61" t="s">
        <v>6735</v>
      </c>
      <c r="B1235" t="s">
        <v>5099</v>
      </c>
      <c r="C1235">
        <v>9305</v>
      </c>
      <c r="D1235" t="s">
        <v>6365</v>
      </c>
      <c r="E1235" t="s">
        <v>6366</v>
      </c>
      <c r="F1235" t="s">
        <v>6361</v>
      </c>
      <c r="G1235" s="43">
        <v>0</v>
      </c>
      <c r="H1235" s="63">
        <v>-0.1</v>
      </c>
    </row>
    <row r="1236" spans="1:8" x14ac:dyDescent="0.55000000000000004">
      <c r="A1236" s="61" t="s">
        <v>6736</v>
      </c>
      <c r="B1236" t="s">
        <v>5099</v>
      </c>
      <c r="C1236">
        <v>9307</v>
      </c>
      <c r="D1236" t="s">
        <v>6359</v>
      </c>
      <c r="E1236" t="s">
        <v>6373</v>
      </c>
      <c r="F1236" t="s">
        <v>6361</v>
      </c>
      <c r="G1236" s="43">
        <v>0</v>
      </c>
      <c r="H1236" s="63">
        <v>0.9</v>
      </c>
    </row>
    <row r="1237" spans="1:8" x14ac:dyDescent="0.55000000000000004">
      <c r="A1237" s="61" t="s">
        <v>6736</v>
      </c>
      <c r="B1237" t="s">
        <v>5099</v>
      </c>
      <c r="C1237">
        <v>9307</v>
      </c>
      <c r="D1237" t="s">
        <v>6363</v>
      </c>
      <c r="E1237" t="s">
        <v>6364</v>
      </c>
      <c r="F1237" t="s">
        <v>6361</v>
      </c>
      <c r="G1237" s="43">
        <v>0</v>
      </c>
      <c r="H1237" s="63">
        <v>0.1</v>
      </c>
    </row>
    <row r="1238" spans="1:8" x14ac:dyDescent="0.55000000000000004">
      <c r="A1238" s="61" t="s">
        <v>6736</v>
      </c>
      <c r="B1238" t="s">
        <v>5099</v>
      </c>
      <c r="C1238">
        <v>9307</v>
      </c>
      <c r="D1238" t="s">
        <v>6362</v>
      </c>
      <c r="E1238" t="s">
        <v>6358</v>
      </c>
      <c r="F1238" t="s">
        <v>6358</v>
      </c>
      <c r="G1238" s="43">
        <v>7.8100000000000003E-2</v>
      </c>
      <c r="H1238" s="63">
        <v>1</v>
      </c>
    </row>
    <row r="1239" spans="1:8" x14ac:dyDescent="0.55000000000000004">
      <c r="A1239" s="61" t="s">
        <v>6736</v>
      </c>
      <c r="B1239" t="s">
        <v>5099</v>
      </c>
      <c r="C1239">
        <v>9307</v>
      </c>
      <c r="D1239" t="s">
        <v>6365</v>
      </c>
      <c r="E1239" t="s">
        <v>6366</v>
      </c>
      <c r="F1239" t="s">
        <v>6361</v>
      </c>
      <c r="G1239" s="43">
        <v>0</v>
      </c>
      <c r="H1239" s="63">
        <v>-0.1</v>
      </c>
    </row>
    <row r="1240" spans="1:8" x14ac:dyDescent="0.55000000000000004">
      <c r="A1240" s="61" t="s">
        <v>6737</v>
      </c>
      <c r="B1240" t="s">
        <v>5099</v>
      </c>
      <c r="C1240">
        <v>9309</v>
      </c>
      <c r="D1240" t="s">
        <v>6359</v>
      </c>
      <c r="E1240" t="s">
        <v>6373</v>
      </c>
      <c r="F1240" t="s">
        <v>6361</v>
      </c>
      <c r="G1240" s="43">
        <v>0</v>
      </c>
      <c r="H1240" s="63">
        <v>0.9</v>
      </c>
    </row>
    <row r="1241" spans="1:8" x14ac:dyDescent="0.55000000000000004">
      <c r="A1241" s="61" t="s">
        <v>6737</v>
      </c>
      <c r="B1241" t="s">
        <v>5099</v>
      </c>
      <c r="C1241">
        <v>9309</v>
      </c>
      <c r="D1241" t="s">
        <v>6363</v>
      </c>
      <c r="E1241" t="s">
        <v>6364</v>
      </c>
      <c r="F1241" t="s">
        <v>6361</v>
      </c>
      <c r="G1241" s="43">
        <v>0</v>
      </c>
      <c r="H1241" s="63">
        <v>0.1</v>
      </c>
    </row>
    <row r="1242" spans="1:8" x14ac:dyDescent="0.55000000000000004">
      <c r="A1242" s="61" t="s">
        <v>6737</v>
      </c>
      <c r="B1242" t="s">
        <v>5099</v>
      </c>
      <c r="C1242">
        <v>9309</v>
      </c>
      <c r="D1242" t="s">
        <v>6362</v>
      </c>
      <c r="E1242" t="s">
        <v>6358</v>
      </c>
      <c r="F1242" t="s">
        <v>6358</v>
      </c>
      <c r="G1242" s="43">
        <v>7.8100000000000003E-2</v>
      </c>
      <c r="H1242" s="63">
        <v>1</v>
      </c>
    </row>
    <row r="1243" spans="1:8" x14ac:dyDescent="0.55000000000000004">
      <c r="A1243" s="61" t="s">
        <v>6737</v>
      </c>
      <c r="B1243" t="s">
        <v>5099</v>
      </c>
      <c r="C1243">
        <v>9309</v>
      </c>
      <c r="D1243" t="s">
        <v>6365</v>
      </c>
      <c r="E1243" t="s">
        <v>6366</v>
      </c>
      <c r="F1243" t="s">
        <v>6361</v>
      </c>
      <c r="G1243" s="43">
        <v>0</v>
      </c>
      <c r="H1243" s="63">
        <v>-0.1</v>
      </c>
    </row>
    <row r="1244" spans="1:8" x14ac:dyDescent="0.55000000000000004">
      <c r="A1244" s="61" t="s">
        <v>6738</v>
      </c>
      <c r="B1244" t="s">
        <v>5099</v>
      </c>
      <c r="C1244">
        <v>9310</v>
      </c>
      <c r="D1244" t="s">
        <v>6359</v>
      </c>
      <c r="E1244" t="s">
        <v>6371</v>
      </c>
      <c r="F1244" t="s">
        <v>6361</v>
      </c>
      <c r="G1244" s="43">
        <v>0</v>
      </c>
      <c r="H1244" s="63">
        <v>0.9</v>
      </c>
    </row>
    <row r="1245" spans="1:8" x14ac:dyDescent="0.55000000000000004">
      <c r="A1245" s="61" t="s">
        <v>6738</v>
      </c>
      <c r="B1245" t="s">
        <v>5099</v>
      </c>
      <c r="C1245">
        <v>9310</v>
      </c>
      <c r="D1245" t="s">
        <v>6363</v>
      </c>
      <c r="E1245" t="s">
        <v>6364</v>
      </c>
      <c r="F1245" t="s">
        <v>6361</v>
      </c>
      <c r="G1245" s="43">
        <v>0</v>
      </c>
      <c r="H1245" s="63">
        <v>0.1</v>
      </c>
    </row>
    <row r="1246" spans="1:8" x14ac:dyDescent="0.55000000000000004">
      <c r="A1246" s="61" t="s">
        <v>6738</v>
      </c>
      <c r="B1246" t="s">
        <v>5099</v>
      </c>
      <c r="C1246">
        <v>9310</v>
      </c>
      <c r="D1246" t="s">
        <v>6362</v>
      </c>
      <c r="E1246" t="s">
        <v>6358</v>
      </c>
      <c r="F1246" t="s">
        <v>6358</v>
      </c>
      <c r="G1246" s="43">
        <v>7.8100000000000003E-2</v>
      </c>
      <c r="H1246" s="63">
        <v>1</v>
      </c>
    </row>
    <row r="1247" spans="1:8" x14ac:dyDescent="0.55000000000000004">
      <c r="A1247" s="61" t="s">
        <v>6738</v>
      </c>
      <c r="B1247" t="s">
        <v>5099</v>
      </c>
      <c r="C1247">
        <v>9310</v>
      </c>
      <c r="D1247" t="s">
        <v>6365</v>
      </c>
      <c r="E1247" t="s">
        <v>6366</v>
      </c>
      <c r="F1247" t="s">
        <v>6361</v>
      </c>
      <c r="G1247" s="43">
        <v>0</v>
      </c>
      <c r="H1247" s="63">
        <v>-0.1</v>
      </c>
    </row>
    <row r="1248" spans="1:8" x14ac:dyDescent="0.55000000000000004">
      <c r="A1248" s="61" t="s">
        <v>6739</v>
      </c>
      <c r="B1248" t="s">
        <v>1968</v>
      </c>
      <c r="C1248">
        <v>8701</v>
      </c>
      <c r="D1248" t="s">
        <v>6359</v>
      </c>
      <c r="E1248" t="s">
        <v>6360</v>
      </c>
      <c r="F1248" t="s">
        <v>6361</v>
      </c>
      <c r="G1248" s="43">
        <v>0</v>
      </c>
      <c r="H1248" s="63">
        <v>1</v>
      </c>
    </row>
    <row r="1249" spans="1:8" x14ac:dyDescent="0.55000000000000004">
      <c r="A1249" s="61" t="s">
        <v>6739</v>
      </c>
      <c r="B1249" t="s">
        <v>1968</v>
      </c>
      <c r="C1249">
        <v>8701</v>
      </c>
      <c r="D1249" t="s">
        <v>6362</v>
      </c>
      <c r="E1249" t="s">
        <v>6358</v>
      </c>
      <c r="F1249" t="s">
        <v>6358</v>
      </c>
      <c r="G1249" s="43">
        <v>8.1600000000000006E-2</v>
      </c>
      <c r="H1249" s="63">
        <v>1</v>
      </c>
    </row>
    <row r="1250" spans="1:8" x14ac:dyDescent="0.55000000000000004">
      <c r="A1250" s="61" t="s">
        <v>6740</v>
      </c>
      <c r="B1250" t="s">
        <v>1968</v>
      </c>
      <c r="C1250">
        <v>8710</v>
      </c>
      <c r="D1250" t="s">
        <v>6359</v>
      </c>
      <c r="E1250" t="s">
        <v>6360</v>
      </c>
      <c r="F1250" t="s">
        <v>6361</v>
      </c>
      <c r="G1250" s="43">
        <v>0</v>
      </c>
      <c r="H1250" s="63">
        <v>0.9</v>
      </c>
    </row>
    <row r="1251" spans="1:8" x14ac:dyDescent="0.55000000000000004">
      <c r="A1251" s="61" t="s">
        <v>6740</v>
      </c>
      <c r="B1251" t="s">
        <v>1968</v>
      </c>
      <c r="C1251">
        <v>8710</v>
      </c>
      <c r="D1251" t="s">
        <v>6363</v>
      </c>
      <c r="E1251" t="s">
        <v>6364</v>
      </c>
      <c r="F1251" t="s">
        <v>6361</v>
      </c>
      <c r="G1251" s="43">
        <v>0</v>
      </c>
      <c r="H1251" s="63">
        <v>0.1</v>
      </c>
    </row>
    <row r="1252" spans="1:8" x14ac:dyDescent="0.55000000000000004">
      <c r="A1252" s="61" t="s">
        <v>6740</v>
      </c>
      <c r="B1252" t="s">
        <v>1968</v>
      </c>
      <c r="C1252">
        <v>8710</v>
      </c>
      <c r="D1252" t="s">
        <v>6362</v>
      </c>
      <c r="E1252" t="s">
        <v>6358</v>
      </c>
      <c r="F1252" t="s">
        <v>6358</v>
      </c>
      <c r="G1252" s="43">
        <v>7.2800000000000004E-2</v>
      </c>
      <c r="H1252" s="63">
        <v>1</v>
      </c>
    </row>
    <row r="1253" spans="1:8" x14ac:dyDescent="0.55000000000000004">
      <c r="A1253" s="61" t="s">
        <v>6740</v>
      </c>
      <c r="B1253" t="s">
        <v>1968</v>
      </c>
      <c r="C1253">
        <v>8710</v>
      </c>
      <c r="D1253" t="s">
        <v>6365</v>
      </c>
      <c r="E1253" t="s">
        <v>6366</v>
      </c>
      <c r="F1253" t="s">
        <v>6361</v>
      </c>
      <c r="G1253" s="43">
        <v>0</v>
      </c>
      <c r="H1253" s="63">
        <v>-0.1</v>
      </c>
    </row>
    <row r="1254" spans="1:8" x14ac:dyDescent="0.55000000000000004">
      <c r="A1254" s="61" t="s">
        <v>6741</v>
      </c>
      <c r="B1254" t="s">
        <v>1968</v>
      </c>
      <c r="C1254">
        <v>9101</v>
      </c>
      <c r="D1254" t="s">
        <v>6359</v>
      </c>
      <c r="E1254" t="s">
        <v>6367</v>
      </c>
      <c r="F1254" t="s">
        <v>6361</v>
      </c>
      <c r="G1254" s="43">
        <v>0</v>
      </c>
      <c r="H1254" s="63">
        <v>1</v>
      </c>
    </row>
    <row r="1255" spans="1:8" x14ac:dyDescent="0.55000000000000004">
      <c r="A1255" s="61" t="s">
        <v>6741</v>
      </c>
      <c r="B1255" t="s">
        <v>1968</v>
      </c>
      <c r="C1255">
        <v>9101</v>
      </c>
      <c r="D1255" t="s">
        <v>6362</v>
      </c>
      <c r="E1255" t="s">
        <v>6358</v>
      </c>
      <c r="F1255" t="s">
        <v>6358</v>
      </c>
      <c r="G1255" s="43">
        <v>8.1600000000000006E-2</v>
      </c>
      <c r="H1255" s="63">
        <v>1</v>
      </c>
    </row>
    <row r="1256" spans="1:8" x14ac:dyDescent="0.55000000000000004">
      <c r="A1256" s="61" t="s">
        <v>6742</v>
      </c>
      <c r="B1256" t="s">
        <v>1968</v>
      </c>
      <c r="C1256">
        <v>9110</v>
      </c>
      <c r="D1256" t="s">
        <v>6359</v>
      </c>
      <c r="E1256" t="s">
        <v>6367</v>
      </c>
      <c r="F1256" t="s">
        <v>6361</v>
      </c>
      <c r="G1256" s="43">
        <v>0</v>
      </c>
      <c r="H1256" s="63">
        <v>0.9</v>
      </c>
    </row>
    <row r="1257" spans="1:8" x14ac:dyDescent="0.55000000000000004">
      <c r="A1257" s="61" t="s">
        <v>6742</v>
      </c>
      <c r="B1257" t="s">
        <v>1968</v>
      </c>
      <c r="C1257">
        <v>9110</v>
      </c>
      <c r="D1257" t="s">
        <v>6363</v>
      </c>
      <c r="E1257" t="s">
        <v>6364</v>
      </c>
      <c r="F1257" t="s">
        <v>6361</v>
      </c>
      <c r="G1257" s="43">
        <v>0</v>
      </c>
      <c r="H1257" s="63">
        <v>0.1</v>
      </c>
    </row>
    <row r="1258" spans="1:8" x14ac:dyDescent="0.55000000000000004">
      <c r="A1258" s="61" t="s">
        <v>6742</v>
      </c>
      <c r="B1258" t="s">
        <v>1968</v>
      </c>
      <c r="C1258">
        <v>9110</v>
      </c>
      <c r="D1258" t="s">
        <v>6362</v>
      </c>
      <c r="E1258" t="s">
        <v>6358</v>
      </c>
      <c r="F1258" t="s">
        <v>6358</v>
      </c>
      <c r="G1258" s="43">
        <v>7.2800000000000004E-2</v>
      </c>
      <c r="H1258" s="63">
        <v>1</v>
      </c>
    </row>
    <row r="1259" spans="1:8" x14ac:dyDescent="0.55000000000000004">
      <c r="A1259" s="61" t="s">
        <v>6742</v>
      </c>
      <c r="B1259" t="s">
        <v>1968</v>
      </c>
      <c r="C1259">
        <v>9110</v>
      </c>
      <c r="D1259" t="s">
        <v>6365</v>
      </c>
      <c r="E1259" t="s">
        <v>6366</v>
      </c>
      <c r="F1259" t="s">
        <v>6361</v>
      </c>
      <c r="G1259" s="43">
        <v>0</v>
      </c>
      <c r="H1259" s="63">
        <v>-0.1</v>
      </c>
    </row>
    <row r="1260" spans="1:8" x14ac:dyDescent="0.55000000000000004">
      <c r="A1260" s="61" t="s">
        <v>6743</v>
      </c>
      <c r="B1260" t="s">
        <v>3142</v>
      </c>
      <c r="C1260">
        <v>8701</v>
      </c>
      <c r="D1260" t="s">
        <v>6359</v>
      </c>
      <c r="E1260" t="s">
        <v>6370</v>
      </c>
      <c r="F1260" t="s">
        <v>6361</v>
      </c>
      <c r="G1260" s="43">
        <v>0</v>
      </c>
      <c r="H1260" s="63">
        <v>1</v>
      </c>
    </row>
    <row r="1261" spans="1:8" x14ac:dyDescent="0.55000000000000004">
      <c r="A1261" s="61" t="s">
        <v>6743</v>
      </c>
      <c r="B1261" t="s">
        <v>3142</v>
      </c>
      <c r="C1261">
        <v>8701</v>
      </c>
      <c r="D1261" t="s">
        <v>6362</v>
      </c>
      <c r="E1261" t="s">
        <v>6358</v>
      </c>
      <c r="F1261" t="s">
        <v>6358</v>
      </c>
      <c r="G1261" s="43">
        <v>6.25E-2</v>
      </c>
      <c r="H1261" s="63">
        <v>1</v>
      </c>
    </row>
    <row r="1262" spans="1:8" x14ac:dyDescent="0.55000000000000004">
      <c r="A1262" s="61" t="s">
        <v>6744</v>
      </c>
      <c r="B1262" t="s">
        <v>3142</v>
      </c>
      <c r="C1262">
        <v>8710</v>
      </c>
      <c r="D1262" t="s">
        <v>6359</v>
      </c>
      <c r="E1262" t="s">
        <v>6370</v>
      </c>
      <c r="F1262" t="s">
        <v>6361</v>
      </c>
      <c r="G1262" s="43">
        <v>0</v>
      </c>
      <c r="H1262" s="63">
        <v>0.9</v>
      </c>
    </row>
    <row r="1263" spans="1:8" x14ac:dyDescent="0.55000000000000004">
      <c r="A1263" s="61" t="s">
        <v>6744</v>
      </c>
      <c r="B1263" t="s">
        <v>3142</v>
      </c>
      <c r="C1263">
        <v>8710</v>
      </c>
      <c r="D1263" t="s">
        <v>6363</v>
      </c>
      <c r="E1263" t="s">
        <v>6364</v>
      </c>
      <c r="F1263" t="s">
        <v>6361</v>
      </c>
      <c r="G1263" s="43">
        <v>0</v>
      </c>
      <c r="H1263" s="63">
        <v>0.1</v>
      </c>
    </row>
    <row r="1264" spans="1:8" x14ac:dyDescent="0.55000000000000004">
      <c r="A1264" s="61" t="s">
        <v>6744</v>
      </c>
      <c r="B1264" t="s">
        <v>3142</v>
      </c>
      <c r="C1264">
        <v>8710</v>
      </c>
      <c r="D1264" t="s">
        <v>6362</v>
      </c>
      <c r="E1264" t="s">
        <v>6358</v>
      </c>
      <c r="F1264" t="s">
        <v>6358</v>
      </c>
      <c r="G1264" s="43">
        <v>7.9200000000000007E-2</v>
      </c>
      <c r="H1264" s="63">
        <v>1</v>
      </c>
    </row>
    <row r="1265" spans="1:8" x14ac:dyDescent="0.55000000000000004">
      <c r="A1265" s="61" t="s">
        <v>6744</v>
      </c>
      <c r="B1265" t="s">
        <v>3142</v>
      </c>
      <c r="C1265">
        <v>8710</v>
      </c>
      <c r="D1265" t="s">
        <v>6365</v>
      </c>
      <c r="E1265" t="s">
        <v>6366</v>
      </c>
      <c r="F1265" t="s">
        <v>6361</v>
      </c>
      <c r="G1265" s="43">
        <v>0</v>
      </c>
      <c r="H1265" s="63">
        <v>-0.1</v>
      </c>
    </row>
    <row r="1266" spans="1:8" x14ac:dyDescent="0.55000000000000004">
      <c r="A1266" s="61" t="s">
        <v>6745</v>
      </c>
      <c r="B1266" t="s">
        <v>3142</v>
      </c>
      <c r="C1266">
        <v>9101</v>
      </c>
      <c r="D1266" t="s">
        <v>6359</v>
      </c>
      <c r="E1266" t="s">
        <v>6371</v>
      </c>
      <c r="F1266" t="s">
        <v>6361</v>
      </c>
      <c r="G1266" s="43">
        <v>0</v>
      </c>
      <c r="H1266" s="63">
        <v>1</v>
      </c>
    </row>
    <row r="1267" spans="1:8" x14ac:dyDescent="0.55000000000000004">
      <c r="A1267" s="61" t="s">
        <v>6745</v>
      </c>
      <c r="B1267" t="s">
        <v>3142</v>
      </c>
      <c r="C1267">
        <v>9101</v>
      </c>
      <c r="D1267" t="s">
        <v>6362</v>
      </c>
      <c r="E1267" t="s">
        <v>6358</v>
      </c>
      <c r="F1267" t="s">
        <v>6358</v>
      </c>
      <c r="G1267" s="43">
        <v>6.25E-2</v>
      </c>
      <c r="H1267" s="63">
        <v>1</v>
      </c>
    </row>
    <row r="1268" spans="1:8" x14ac:dyDescent="0.55000000000000004">
      <c r="A1268" s="61" t="s">
        <v>6746</v>
      </c>
      <c r="B1268" t="s">
        <v>3142</v>
      </c>
      <c r="C1268">
        <v>9204</v>
      </c>
      <c r="D1268" t="s">
        <v>6359</v>
      </c>
      <c r="E1268" t="s">
        <v>6371</v>
      </c>
      <c r="F1268" t="s">
        <v>6361</v>
      </c>
      <c r="G1268" s="43">
        <v>0</v>
      </c>
      <c r="H1268" s="63">
        <v>0.9</v>
      </c>
    </row>
    <row r="1269" spans="1:8" x14ac:dyDescent="0.55000000000000004">
      <c r="A1269" s="61" t="s">
        <v>6746</v>
      </c>
      <c r="B1269" t="s">
        <v>3142</v>
      </c>
      <c r="C1269">
        <v>9204</v>
      </c>
      <c r="D1269" t="s">
        <v>6363</v>
      </c>
      <c r="E1269" t="s">
        <v>6364</v>
      </c>
      <c r="F1269" t="s">
        <v>6361</v>
      </c>
      <c r="G1269" s="43">
        <v>0</v>
      </c>
      <c r="H1269" s="63">
        <v>0.1</v>
      </c>
    </row>
    <row r="1270" spans="1:8" x14ac:dyDescent="0.55000000000000004">
      <c r="A1270" s="61" t="s">
        <v>6746</v>
      </c>
      <c r="B1270" t="s">
        <v>3142</v>
      </c>
      <c r="C1270">
        <v>9204</v>
      </c>
      <c r="D1270" t="s">
        <v>6362</v>
      </c>
      <c r="E1270" t="s">
        <v>6358</v>
      </c>
      <c r="F1270" t="s">
        <v>6358</v>
      </c>
      <c r="G1270" s="43">
        <v>7.9200000000000007E-2</v>
      </c>
      <c r="H1270" s="63">
        <v>1</v>
      </c>
    </row>
    <row r="1271" spans="1:8" x14ac:dyDescent="0.55000000000000004">
      <c r="A1271" s="61" t="s">
        <v>6746</v>
      </c>
      <c r="B1271" t="s">
        <v>3142</v>
      </c>
      <c r="C1271">
        <v>9204</v>
      </c>
      <c r="D1271" t="s">
        <v>6365</v>
      </c>
      <c r="E1271" t="s">
        <v>6366</v>
      </c>
      <c r="F1271" t="s">
        <v>6361</v>
      </c>
      <c r="G1271" s="43">
        <v>0</v>
      </c>
      <c r="H1271" s="63">
        <v>-0.1</v>
      </c>
    </row>
    <row r="1272" spans="1:8" x14ac:dyDescent="0.55000000000000004">
      <c r="A1272" s="61" t="s">
        <v>6747</v>
      </c>
      <c r="B1272" t="s">
        <v>3142</v>
      </c>
      <c r="C1272">
        <v>9310</v>
      </c>
      <c r="D1272" t="s">
        <v>6359</v>
      </c>
      <c r="E1272" t="s">
        <v>6371</v>
      </c>
      <c r="F1272" t="s">
        <v>6361</v>
      </c>
      <c r="G1272" s="43">
        <v>0</v>
      </c>
      <c r="H1272" s="63">
        <v>0.9</v>
      </c>
    </row>
    <row r="1273" spans="1:8" x14ac:dyDescent="0.55000000000000004">
      <c r="A1273" s="61" t="s">
        <v>6747</v>
      </c>
      <c r="B1273" t="s">
        <v>3142</v>
      </c>
      <c r="C1273">
        <v>9310</v>
      </c>
      <c r="D1273" t="s">
        <v>6363</v>
      </c>
      <c r="E1273" t="s">
        <v>6364</v>
      </c>
      <c r="F1273" t="s">
        <v>6361</v>
      </c>
      <c r="G1273" s="43">
        <v>0</v>
      </c>
      <c r="H1273" s="63">
        <v>0.1</v>
      </c>
    </row>
    <row r="1274" spans="1:8" x14ac:dyDescent="0.55000000000000004">
      <c r="A1274" s="61" t="s">
        <v>6747</v>
      </c>
      <c r="B1274" t="s">
        <v>3142</v>
      </c>
      <c r="C1274">
        <v>9310</v>
      </c>
      <c r="D1274" t="s">
        <v>6362</v>
      </c>
      <c r="E1274" t="s">
        <v>6358</v>
      </c>
      <c r="F1274" t="s">
        <v>6358</v>
      </c>
      <c r="G1274" s="43">
        <v>7.9200000000000007E-2</v>
      </c>
      <c r="H1274" s="63">
        <v>1</v>
      </c>
    </row>
    <row r="1275" spans="1:8" x14ac:dyDescent="0.55000000000000004">
      <c r="A1275" s="61" t="s">
        <v>6747</v>
      </c>
      <c r="B1275" t="s">
        <v>3142</v>
      </c>
      <c r="C1275">
        <v>9310</v>
      </c>
      <c r="D1275" t="s">
        <v>6365</v>
      </c>
      <c r="E1275" t="s">
        <v>6366</v>
      </c>
      <c r="F1275" t="s">
        <v>6361</v>
      </c>
      <c r="G1275" s="43">
        <v>0</v>
      </c>
      <c r="H1275" s="63">
        <v>-0.1</v>
      </c>
    </row>
    <row r="1276" spans="1:8" x14ac:dyDescent="0.55000000000000004">
      <c r="A1276" s="61" t="s">
        <v>6748</v>
      </c>
      <c r="B1276" t="s">
        <v>1827</v>
      </c>
      <c r="C1276">
        <v>8711</v>
      </c>
      <c r="D1276" t="s">
        <v>6359</v>
      </c>
      <c r="E1276" t="s">
        <v>6360</v>
      </c>
      <c r="F1276" t="s">
        <v>6361</v>
      </c>
      <c r="G1276" s="43">
        <v>0</v>
      </c>
      <c r="H1276" s="63">
        <v>0.9</v>
      </c>
    </row>
    <row r="1277" spans="1:8" x14ac:dyDescent="0.55000000000000004">
      <c r="A1277" s="61" t="s">
        <v>6748</v>
      </c>
      <c r="B1277" t="s">
        <v>1827</v>
      </c>
      <c r="C1277">
        <v>8711</v>
      </c>
      <c r="D1277" t="s">
        <v>6363</v>
      </c>
      <c r="E1277" t="s">
        <v>6364</v>
      </c>
      <c r="F1277" t="s">
        <v>6361</v>
      </c>
      <c r="G1277" s="43">
        <v>0</v>
      </c>
      <c r="H1277" s="63">
        <v>0.1</v>
      </c>
    </row>
    <row r="1278" spans="1:8" x14ac:dyDescent="0.55000000000000004">
      <c r="A1278" s="61" t="s">
        <v>6748</v>
      </c>
      <c r="B1278" t="s">
        <v>1827</v>
      </c>
      <c r="C1278">
        <v>8711</v>
      </c>
      <c r="D1278" t="s">
        <v>6362</v>
      </c>
      <c r="E1278" t="s">
        <v>6358</v>
      </c>
      <c r="F1278" t="s">
        <v>6358</v>
      </c>
      <c r="G1278" s="43">
        <v>7.1499999999999994E-2</v>
      </c>
      <c r="H1278" s="63">
        <v>1</v>
      </c>
    </row>
    <row r="1279" spans="1:8" x14ac:dyDescent="0.55000000000000004">
      <c r="A1279" s="61" t="s">
        <v>6748</v>
      </c>
      <c r="B1279" t="s">
        <v>1827</v>
      </c>
      <c r="C1279">
        <v>8711</v>
      </c>
      <c r="D1279" t="s">
        <v>6365</v>
      </c>
      <c r="E1279" t="s">
        <v>6366</v>
      </c>
      <c r="F1279" t="s">
        <v>6361</v>
      </c>
      <c r="G1279" s="43">
        <v>0</v>
      </c>
      <c r="H1279" s="63">
        <v>-0.1</v>
      </c>
    </row>
    <row r="1280" spans="1:8" x14ac:dyDescent="0.55000000000000004">
      <c r="A1280" s="61" t="s">
        <v>6749</v>
      </c>
      <c r="B1280" t="s">
        <v>1827</v>
      </c>
      <c r="C1280">
        <v>8712</v>
      </c>
      <c r="D1280" t="s">
        <v>6359</v>
      </c>
      <c r="E1280" t="s">
        <v>6360</v>
      </c>
      <c r="F1280" t="s">
        <v>6361</v>
      </c>
      <c r="G1280" s="43">
        <v>0</v>
      </c>
      <c r="H1280" s="63">
        <v>0.9</v>
      </c>
    </row>
    <row r="1281" spans="1:8" x14ac:dyDescent="0.55000000000000004">
      <c r="A1281" s="61" t="s">
        <v>6749</v>
      </c>
      <c r="B1281" t="s">
        <v>1827</v>
      </c>
      <c r="C1281">
        <v>8712</v>
      </c>
      <c r="D1281" t="s">
        <v>6363</v>
      </c>
      <c r="E1281" t="s">
        <v>6364</v>
      </c>
      <c r="F1281" t="s">
        <v>6361</v>
      </c>
      <c r="G1281" s="43">
        <v>0</v>
      </c>
      <c r="H1281" s="63">
        <v>0.1</v>
      </c>
    </row>
    <row r="1282" spans="1:8" x14ac:dyDescent="0.55000000000000004">
      <c r="A1282" s="61" t="s">
        <v>6749</v>
      </c>
      <c r="B1282" t="s">
        <v>1827</v>
      </c>
      <c r="C1282">
        <v>8712</v>
      </c>
      <c r="D1282" t="s">
        <v>6362</v>
      </c>
      <c r="E1282" t="s">
        <v>6358</v>
      </c>
      <c r="F1282" t="s">
        <v>6358</v>
      </c>
      <c r="G1282" s="43">
        <v>7.1499999999999994E-2</v>
      </c>
      <c r="H1282" s="63">
        <v>1</v>
      </c>
    </row>
    <row r="1283" spans="1:8" x14ac:dyDescent="0.55000000000000004">
      <c r="A1283" s="61" t="s">
        <v>6749</v>
      </c>
      <c r="B1283" t="s">
        <v>1827</v>
      </c>
      <c r="C1283">
        <v>8712</v>
      </c>
      <c r="D1283" t="s">
        <v>6365</v>
      </c>
      <c r="E1283" t="s">
        <v>6366</v>
      </c>
      <c r="F1283" t="s">
        <v>6361</v>
      </c>
      <c r="G1283" s="43">
        <v>0</v>
      </c>
      <c r="H1283" s="63">
        <v>-0.1</v>
      </c>
    </row>
    <row r="1284" spans="1:8" x14ac:dyDescent="0.55000000000000004">
      <c r="A1284" s="61" t="s">
        <v>6750</v>
      </c>
      <c r="B1284" t="s">
        <v>1827</v>
      </c>
      <c r="C1284">
        <v>8713</v>
      </c>
      <c r="D1284" t="s">
        <v>6359</v>
      </c>
      <c r="E1284" t="s">
        <v>6360</v>
      </c>
      <c r="F1284" t="s">
        <v>6361</v>
      </c>
      <c r="G1284" s="43">
        <v>0</v>
      </c>
      <c r="H1284" s="63">
        <v>0.9</v>
      </c>
    </row>
    <row r="1285" spans="1:8" x14ac:dyDescent="0.55000000000000004">
      <c r="A1285" s="61" t="s">
        <v>6750</v>
      </c>
      <c r="B1285" t="s">
        <v>1827</v>
      </c>
      <c r="C1285">
        <v>8713</v>
      </c>
      <c r="D1285" t="s">
        <v>6363</v>
      </c>
      <c r="E1285" t="s">
        <v>6364</v>
      </c>
      <c r="F1285" t="s">
        <v>6361</v>
      </c>
      <c r="G1285" s="43">
        <v>0</v>
      </c>
      <c r="H1285" s="63">
        <v>0.1</v>
      </c>
    </row>
    <row r="1286" spans="1:8" x14ac:dyDescent="0.55000000000000004">
      <c r="A1286" s="61" t="s">
        <v>6750</v>
      </c>
      <c r="B1286" t="s">
        <v>1827</v>
      </c>
      <c r="C1286">
        <v>8713</v>
      </c>
      <c r="D1286" t="s">
        <v>6362</v>
      </c>
      <c r="E1286" t="s">
        <v>6358</v>
      </c>
      <c r="F1286" t="s">
        <v>6358</v>
      </c>
      <c r="G1286" s="43">
        <v>7.1499999999999994E-2</v>
      </c>
      <c r="H1286" s="63">
        <v>1</v>
      </c>
    </row>
    <row r="1287" spans="1:8" x14ac:dyDescent="0.55000000000000004">
      <c r="A1287" s="61" t="s">
        <v>6750</v>
      </c>
      <c r="B1287" t="s">
        <v>1827</v>
      </c>
      <c r="C1287">
        <v>8713</v>
      </c>
      <c r="D1287" t="s">
        <v>6365</v>
      </c>
      <c r="E1287" t="s">
        <v>6366</v>
      </c>
      <c r="F1287" t="s">
        <v>6361</v>
      </c>
      <c r="G1287" s="43">
        <v>0</v>
      </c>
      <c r="H1287" s="63">
        <v>-0.1</v>
      </c>
    </row>
    <row r="1288" spans="1:8" x14ac:dyDescent="0.55000000000000004">
      <c r="A1288" s="61" t="s">
        <v>6751</v>
      </c>
      <c r="B1288" t="s">
        <v>1827</v>
      </c>
      <c r="C1288">
        <v>9205</v>
      </c>
      <c r="D1288" t="s">
        <v>6359</v>
      </c>
      <c r="E1288" t="s">
        <v>6367</v>
      </c>
      <c r="F1288" t="s">
        <v>6361</v>
      </c>
      <c r="G1288" s="43">
        <v>0</v>
      </c>
      <c r="H1288" s="63">
        <v>0.9</v>
      </c>
    </row>
    <row r="1289" spans="1:8" x14ac:dyDescent="0.55000000000000004">
      <c r="A1289" s="61" t="s">
        <v>6751</v>
      </c>
      <c r="B1289" t="s">
        <v>1827</v>
      </c>
      <c r="C1289">
        <v>9205</v>
      </c>
      <c r="D1289" t="s">
        <v>6363</v>
      </c>
      <c r="E1289" t="s">
        <v>6364</v>
      </c>
      <c r="F1289" t="s">
        <v>6361</v>
      </c>
      <c r="G1289" s="43">
        <v>0</v>
      </c>
      <c r="H1289" s="63">
        <v>0.1</v>
      </c>
    </row>
    <row r="1290" spans="1:8" x14ac:dyDescent="0.55000000000000004">
      <c r="A1290" s="61" t="s">
        <v>6751</v>
      </c>
      <c r="B1290" t="s">
        <v>1827</v>
      </c>
      <c r="C1290">
        <v>9205</v>
      </c>
      <c r="D1290" t="s">
        <v>6362</v>
      </c>
      <c r="E1290" t="s">
        <v>6358</v>
      </c>
      <c r="F1290" t="s">
        <v>6358</v>
      </c>
      <c r="G1290" s="43">
        <v>7.1499999999999994E-2</v>
      </c>
      <c r="H1290" s="63">
        <v>1</v>
      </c>
    </row>
    <row r="1291" spans="1:8" x14ac:dyDescent="0.55000000000000004">
      <c r="A1291" s="61" t="s">
        <v>6751</v>
      </c>
      <c r="B1291" t="s">
        <v>1827</v>
      </c>
      <c r="C1291">
        <v>9205</v>
      </c>
      <c r="D1291" t="s">
        <v>6365</v>
      </c>
      <c r="E1291" t="s">
        <v>6366</v>
      </c>
      <c r="F1291" t="s">
        <v>6361</v>
      </c>
      <c r="G1291" s="43">
        <v>0</v>
      </c>
      <c r="H1291" s="63">
        <v>-0.1</v>
      </c>
    </row>
    <row r="1292" spans="1:8" x14ac:dyDescent="0.55000000000000004">
      <c r="A1292" s="61" t="s">
        <v>6752</v>
      </c>
      <c r="B1292" t="s">
        <v>1827</v>
      </c>
      <c r="C1292">
        <v>9307</v>
      </c>
      <c r="D1292" t="s">
        <v>6359</v>
      </c>
      <c r="E1292" t="s">
        <v>6367</v>
      </c>
      <c r="F1292" t="s">
        <v>6361</v>
      </c>
      <c r="G1292" s="43">
        <v>0</v>
      </c>
      <c r="H1292" s="63">
        <v>0.9</v>
      </c>
    </row>
    <row r="1293" spans="1:8" x14ac:dyDescent="0.55000000000000004">
      <c r="A1293" s="61" t="s">
        <v>6752</v>
      </c>
      <c r="B1293" t="s">
        <v>1827</v>
      </c>
      <c r="C1293">
        <v>9307</v>
      </c>
      <c r="D1293" t="s">
        <v>6363</v>
      </c>
      <c r="E1293" t="s">
        <v>6364</v>
      </c>
      <c r="F1293" t="s">
        <v>6361</v>
      </c>
      <c r="G1293" s="43">
        <v>0</v>
      </c>
      <c r="H1293" s="63">
        <v>0.1</v>
      </c>
    </row>
    <row r="1294" spans="1:8" x14ac:dyDescent="0.55000000000000004">
      <c r="A1294" s="61" t="s">
        <v>6752</v>
      </c>
      <c r="B1294" t="s">
        <v>1827</v>
      </c>
      <c r="C1294">
        <v>9307</v>
      </c>
      <c r="D1294" t="s">
        <v>6362</v>
      </c>
      <c r="E1294" t="s">
        <v>6358</v>
      </c>
      <c r="F1294" t="s">
        <v>6358</v>
      </c>
      <c r="G1294" s="43">
        <v>7.1499999999999994E-2</v>
      </c>
      <c r="H1294" s="63">
        <v>1</v>
      </c>
    </row>
    <row r="1295" spans="1:8" x14ac:dyDescent="0.55000000000000004">
      <c r="A1295" s="61" t="s">
        <v>6752</v>
      </c>
      <c r="B1295" t="s">
        <v>1827</v>
      </c>
      <c r="C1295">
        <v>9307</v>
      </c>
      <c r="D1295" t="s">
        <v>6365</v>
      </c>
      <c r="E1295" t="s">
        <v>6366</v>
      </c>
      <c r="F1295" t="s">
        <v>6361</v>
      </c>
      <c r="G1295" s="43">
        <v>0</v>
      </c>
      <c r="H1295" s="63">
        <v>-0.1</v>
      </c>
    </row>
    <row r="1296" spans="1:8" x14ac:dyDescent="0.55000000000000004">
      <c r="A1296" s="61" t="s">
        <v>6753</v>
      </c>
      <c r="B1296" t="s">
        <v>1827</v>
      </c>
      <c r="C1296">
        <v>9308</v>
      </c>
      <c r="D1296" t="s">
        <v>6359</v>
      </c>
      <c r="E1296" t="s">
        <v>6367</v>
      </c>
      <c r="F1296" t="s">
        <v>6361</v>
      </c>
      <c r="G1296" s="43">
        <v>0</v>
      </c>
      <c r="H1296" s="63">
        <v>0.9</v>
      </c>
    </row>
    <row r="1297" spans="1:8" x14ac:dyDescent="0.55000000000000004">
      <c r="A1297" s="61" t="s">
        <v>6753</v>
      </c>
      <c r="B1297" t="s">
        <v>1827</v>
      </c>
      <c r="C1297">
        <v>9308</v>
      </c>
      <c r="D1297" t="s">
        <v>6363</v>
      </c>
      <c r="E1297" t="s">
        <v>6364</v>
      </c>
      <c r="F1297" t="s">
        <v>6361</v>
      </c>
      <c r="G1297" s="43">
        <v>0</v>
      </c>
      <c r="H1297" s="63">
        <v>0.1</v>
      </c>
    </row>
    <row r="1298" spans="1:8" x14ac:dyDescent="0.55000000000000004">
      <c r="A1298" s="61" t="s">
        <v>6753</v>
      </c>
      <c r="B1298" t="s">
        <v>1827</v>
      </c>
      <c r="C1298">
        <v>9308</v>
      </c>
      <c r="D1298" t="s">
        <v>6362</v>
      </c>
      <c r="E1298" t="s">
        <v>6358</v>
      </c>
      <c r="F1298" t="s">
        <v>6358</v>
      </c>
      <c r="G1298" s="43">
        <v>7.1499999999999994E-2</v>
      </c>
      <c r="H1298" s="63">
        <v>1</v>
      </c>
    </row>
    <row r="1299" spans="1:8" x14ac:dyDescent="0.55000000000000004">
      <c r="A1299" s="61" t="s">
        <v>6753</v>
      </c>
      <c r="B1299" t="s">
        <v>1827</v>
      </c>
      <c r="C1299">
        <v>9308</v>
      </c>
      <c r="D1299" t="s">
        <v>6365</v>
      </c>
      <c r="E1299" t="s">
        <v>6366</v>
      </c>
      <c r="F1299" t="s">
        <v>6361</v>
      </c>
      <c r="G1299" s="43">
        <v>0</v>
      </c>
      <c r="H1299" s="63">
        <v>-0.1</v>
      </c>
    </row>
    <row r="1300" spans="1:8" x14ac:dyDescent="0.55000000000000004">
      <c r="A1300" s="61" t="s">
        <v>6754</v>
      </c>
      <c r="B1300" t="s">
        <v>1827</v>
      </c>
      <c r="C1300">
        <v>9309</v>
      </c>
      <c r="D1300" t="s">
        <v>6359</v>
      </c>
      <c r="E1300" t="s">
        <v>6367</v>
      </c>
      <c r="F1300" t="s">
        <v>6361</v>
      </c>
      <c r="G1300" s="43">
        <v>0</v>
      </c>
      <c r="H1300" s="63">
        <v>0.9</v>
      </c>
    </row>
    <row r="1301" spans="1:8" x14ac:dyDescent="0.55000000000000004">
      <c r="A1301" s="61" t="s">
        <v>6754</v>
      </c>
      <c r="B1301" t="s">
        <v>1827</v>
      </c>
      <c r="C1301">
        <v>9309</v>
      </c>
      <c r="D1301" t="s">
        <v>6363</v>
      </c>
      <c r="E1301" t="s">
        <v>6364</v>
      </c>
      <c r="F1301" t="s">
        <v>6361</v>
      </c>
      <c r="G1301" s="43">
        <v>0</v>
      </c>
      <c r="H1301" s="63">
        <v>0.1</v>
      </c>
    </row>
    <row r="1302" spans="1:8" x14ac:dyDescent="0.55000000000000004">
      <c r="A1302" s="61" t="s">
        <v>6754</v>
      </c>
      <c r="B1302" t="s">
        <v>1827</v>
      </c>
      <c r="C1302">
        <v>9309</v>
      </c>
      <c r="D1302" t="s">
        <v>6362</v>
      </c>
      <c r="E1302" t="s">
        <v>6358</v>
      </c>
      <c r="F1302" t="s">
        <v>6358</v>
      </c>
      <c r="G1302" s="43">
        <v>7.1499999999999994E-2</v>
      </c>
      <c r="H1302" s="63">
        <v>1</v>
      </c>
    </row>
    <row r="1303" spans="1:8" x14ac:dyDescent="0.55000000000000004">
      <c r="A1303" s="61" t="s">
        <v>6754</v>
      </c>
      <c r="B1303" t="s">
        <v>1827</v>
      </c>
      <c r="C1303">
        <v>9309</v>
      </c>
      <c r="D1303" t="s">
        <v>6365</v>
      </c>
      <c r="E1303" t="s">
        <v>6366</v>
      </c>
      <c r="F1303" t="s">
        <v>6361</v>
      </c>
      <c r="G1303" s="43">
        <v>0</v>
      </c>
      <c r="H1303" s="63">
        <v>-0.1</v>
      </c>
    </row>
    <row r="1304" spans="1:8" x14ac:dyDescent="0.55000000000000004">
      <c r="A1304" s="61" t="s">
        <v>6755</v>
      </c>
      <c r="B1304" t="s">
        <v>4330</v>
      </c>
      <c r="C1304">
        <v>8701</v>
      </c>
      <c r="D1304" t="s">
        <v>6359</v>
      </c>
      <c r="E1304" t="s">
        <v>6376</v>
      </c>
      <c r="F1304" t="s">
        <v>6361</v>
      </c>
      <c r="G1304" s="43">
        <v>0</v>
      </c>
      <c r="H1304" s="63">
        <v>1</v>
      </c>
    </row>
    <row r="1305" spans="1:8" x14ac:dyDescent="0.55000000000000004">
      <c r="A1305" s="61" t="s">
        <v>6755</v>
      </c>
      <c r="B1305" t="s">
        <v>4330</v>
      </c>
      <c r="C1305">
        <v>8701</v>
      </c>
      <c r="D1305" t="s">
        <v>6362</v>
      </c>
      <c r="E1305" t="s">
        <v>6358</v>
      </c>
      <c r="F1305" t="s">
        <v>6358</v>
      </c>
      <c r="G1305" s="43">
        <v>4.02E-2</v>
      </c>
      <c r="H1305" s="63">
        <v>1</v>
      </c>
    </row>
    <row r="1306" spans="1:8" x14ac:dyDescent="0.55000000000000004">
      <c r="A1306" s="61" t="s">
        <v>6756</v>
      </c>
      <c r="B1306" t="s">
        <v>4330</v>
      </c>
      <c r="C1306">
        <v>8710</v>
      </c>
      <c r="D1306" t="s">
        <v>6359</v>
      </c>
      <c r="E1306" t="s">
        <v>6376</v>
      </c>
      <c r="F1306" t="s">
        <v>6361</v>
      </c>
      <c r="G1306" s="43">
        <v>0</v>
      </c>
      <c r="H1306" s="63">
        <v>0.9</v>
      </c>
    </row>
    <row r="1307" spans="1:8" x14ac:dyDescent="0.55000000000000004">
      <c r="A1307" s="61" t="s">
        <v>6756</v>
      </c>
      <c r="B1307" t="s">
        <v>4330</v>
      </c>
      <c r="C1307">
        <v>8710</v>
      </c>
      <c r="D1307" t="s">
        <v>6363</v>
      </c>
      <c r="E1307" t="s">
        <v>6364</v>
      </c>
      <c r="F1307" t="s">
        <v>6361</v>
      </c>
      <c r="G1307" s="43">
        <v>0</v>
      </c>
      <c r="H1307" s="63">
        <v>0.1</v>
      </c>
    </row>
    <row r="1308" spans="1:8" x14ac:dyDescent="0.55000000000000004">
      <c r="A1308" s="61" t="s">
        <v>6756</v>
      </c>
      <c r="B1308" t="s">
        <v>4330</v>
      </c>
      <c r="C1308">
        <v>8710</v>
      </c>
      <c r="D1308" t="s">
        <v>6362</v>
      </c>
      <c r="E1308" t="s">
        <v>6358</v>
      </c>
      <c r="F1308" t="s">
        <v>6358</v>
      </c>
      <c r="G1308" s="62">
        <v>5.9400000000000001E-2</v>
      </c>
      <c r="H1308" s="63">
        <v>1</v>
      </c>
    </row>
    <row r="1309" spans="1:8" x14ac:dyDescent="0.55000000000000004">
      <c r="A1309" s="61" t="s">
        <v>6756</v>
      </c>
      <c r="B1309" t="s">
        <v>4330</v>
      </c>
      <c r="C1309">
        <v>8710</v>
      </c>
      <c r="D1309" t="s">
        <v>6365</v>
      </c>
      <c r="E1309" t="s">
        <v>6366</v>
      </c>
      <c r="F1309" t="s">
        <v>6361</v>
      </c>
      <c r="G1309" s="43">
        <v>0</v>
      </c>
      <c r="H1309" s="63">
        <v>-0.1</v>
      </c>
    </row>
    <row r="1310" spans="1:8" x14ac:dyDescent="0.55000000000000004">
      <c r="A1310" s="61" t="s">
        <v>6757</v>
      </c>
      <c r="B1310" t="s">
        <v>4330</v>
      </c>
      <c r="C1310">
        <v>9204</v>
      </c>
      <c r="D1310" t="s">
        <v>6359</v>
      </c>
      <c r="E1310" t="s">
        <v>6377</v>
      </c>
      <c r="F1310" t="s">
        <v>6361</v>
      </c>
      <c r="G1310" s="43">
        <v>0</v>
      </c>
      <c r="H1310" s="63">
        <v>0.9</v>
      </c>
    </row>
    <row r="1311" spans="1:8" x14ac:dyDescent="0.55000000000000004">
      <c r="A1311" s="61" t="s">
        <v>6757</v>
      </c>
      <c r="B1311" t="s">
        <v>4330</v>
      </c>
      <c r="C1311">
        <v>9204</v>
      </c>
      <c r="D1311" t="s">
        <v>6363</v>
      </c>
      <c r="E1311" t="s">
        <v>6364</v>
      </c>
      <c r="F1311" t="s">
        <v>6361</v>
      </c>
      <c r="G1311" s="43">
        <v>0</v>
      </c>
      <c r="H1311" s="63">
        <v>0.1</v>
      </c>
    </row>
    <row r="1312" spans="1:8" x14ac:dyDescent="0.55000000000000004">
      <c r="A1312" s="61" t="s">
        <v>6757</v>
      </c>
      <c r="B1312" t="s">
        <v>4330</v>
      </c>
      <c r="C1312">
        <v>9204</v>
      </c>
      <c r="D1312" t="s">
        <v>6362</v>
      </c>
      <c r="E1312" t="s">
        <v>6358</v>
      </c>
      <c r="F1312" t="s">
        <v>6358</v>
      </c>
      <c r="G1312" s="62">
        <v>5.9400000000000001E-2</v>
      </c>
      <c r="H1312" s="63">
        <v>1</v>
      </c>
    </row>
    <row r="1313" spans="1:8" x14ac:dyDescent="0.55000000000000004">
      <c r="A1313" s="61" t="s">
        <v>6757</v>
      </c>
      <c r="B1313" t="s">
        <v>4330</v>
      </c>
      <c r="C1313">
        <v>9204</v>
      </c>
      <c r="D1313" t="s">
        <v>6365</v>
      </c>
      <c r="E1313" t="s">
        <v>6366</v>
      </c>
      <c r="F1313" t="s">
        <v>6361</v>
      </c>
      <c r="G1313" s="43">
        <v>0</v>
      </c>
      <c r="H1313" s="63">
        <v>-0.1</v>
      </c>
    </row>
    <row r="1314" spans="1:8" x14ac:dyDescent="0.55000000000000004">
      <c r="A1314" s="61" t="s">
        <v>6758</v>
      </c>
      <c r="B1314" t="s">
        <v>4330</v>
      </c>
      <c r="C1314">
        <v>9310</v>
      </c>
      <c r="D1314" t="s">
        <v>6359</v>
      </c>
      <c r="E1314" t="s">
        <v>6377</v>
      </c>
      <c r="F1314" t="s">
        <v>6361</v>
      </c>
      <c r="G1314" s="43">
        <v>0</v>
      </c>
      <c r="H1314" s="63">
        <v>0.9</v>
      </c>
    </row>
    <row r="1315" spans="1:8" x14ac:dyDescent="0.55000000000000004">
      <c r="A1315" s="61" t="s">
        <v>6758</v>
      </c>
      <c r="B1315" t="s">
        <v>4330</v>
      </c>
      <c r="C1315">
        <v>9310</v>
      </c>
      <c r="D1315" t="s">
        <v>6363</v>
      </c>
      <c r="E1315" t="s">
        <v>6364</v>
      </c>
      <c r="F1315" t="s">
        <v>6361</v>
      </c>
      <c r="G1315" s="43">
        <v>0</v>
      </c>
      <c r="H1315" s="63">
        <v>0.1</v>
      </c>
    </row>
    <row r="1316" spans="1:8" x14ac:dyDescent="0.55000000000000004">
      <c r="A1316" s="61" t="s">
        <v>6758</v>
      </c>
      <c r="B1316" t="s">
        <v>4330</v>
      </c>
      <c r="C1316">
        <v>9310</v>
      </c>
      <c r="D1316" t="s">
        <v>6362</v>
      </c>
      <c r="E1316" t="s">
        <v>6358</v>
      </c>
      <c r="F1316" t="s">
        <v>6358</v>
      </c>
      <c r="G1316" s="62">
        <v>5.9400000000000001E-2</v>
      </c>
      <c r="H1316" s="63">
        <v>1</v>
      </c>
    </row>
    <row r="1317" spans="1:8" x14ac:dyDescent="0.55000000000000004">
      <c r="A1317" s="61" t="s">
        <v>6758</v>
      </c>
      <c r="B1317" t="s">
        <v>4330</v>
      </c>
      <c r="C1317">
        <v>9310</v>
      </c>
      <c r="D1317" t="s">
        <v>6365</v>
      </c>
      <c r="E1317" t="s">
        <v>6366</v>
      </c>
      <c r="F1317" t="s">
        <v>6361</v>
      </c>
      <c r="G1317" s="43">
        <v>0</v>
      </c>
      <c r="H1317" s="63">
        <v>-0.1</v>
      </c>
    </row>
    <row r="1318" spans="1:8" x14ac:dyDescent="0.55000000000000004">
      <c r="A1318" s="61" t="s">
        <v>6759</v>
      </c>
      <c r="B1318" t="s">
        <v>5126</v>
      </c>
      <c r="C1318">
        <v>8708</v>
      </c>
      <c r="D1318" t="s">
        <v>6359</v>
      </c>
      <c r="E1318" t="s">
        <v>6370</v>
      </c>
      <c r="F1318" t="s">
        <v>6361</v>
      </c>
      <c r="G1318" s="43">
        <v>0</v>
      </c>
      <c r="H1318" s="63">
        <v>0.9</v>
      </c>
    </row>
    <row r="1319" spans="1:8" x14ac:dyDescent="0.55000000000000004">
      <c r="A1319" s="61" t="s">
        <v>6759</v>
      </c>
      <c r="B1319" t="s">
        <v>5126</v>
      </c>
      <c r="C1319">
        <v>8708</v>
      </c>
      <c r="D1319" t="s">
        <v>6363</v>
      </c>
      <c r="E1319" t="s">
        <v>6364</v>
      </c>
      <c r="F1319" t="s">
        <v>6361</v>
      </c>
      <c r="G1319" s="43">
        <v>0</v>
      </c>
      <c r="H1319" s="63">
        <v>0.1</v>
      </c>
    </row>
    <row r="1320" spans="1:8" x14ac:dyDescent="0.55000000000000004">
      <c r="A1320" s="61" t="s">
        <v>6759</v>
      </c>
      <c r="B1320" t="s">
        <v>5126</v>
      </c>
      <c r="C1320">
        <v>8708</v>
      </c>
      <c r="D1320" t="s">
        <v>6362</v>
      </c>
      <c r="E1320" t="s">
        <v>6358</v>
      </c>
      <c r="F1320" t="s">
        <v>6358</v>
      </c>
      <c r="G1320" s="43">
        <v>6.3700000000000007E-2</v>
      </c>
      <c r="H1320" s="63">
        <v>1</v>
      </c>
    </row>
    <row r="1321" spans="1:8" x14ac:dyDescent="0.55000000000000004">
      <c r="A1321" s="61" t="s">
        <v>6759</v>
      </c>
      <c r="B1321" t="s">
        <v>5126</v>
      </c>
      <c r="C1321">
        <v>8708</v>
      </c>
      <c r="D1321" t="s">
        <v>6365</v>
      </c>
      <c r="E1321" t="s">
        <v>6366</v>
      </c>
      <c r="F1321" t="s">
        <v>6361</v>
      </c>
      <c r="G1321" s="43">
        <v>0</v>
      </c>
      <c r="H1321" s="63">
        <v>-0.1</v>
      </c>
    </row>
    <row r="1322" spans="1:8" x14ac:dyDescent="0.55000000000000004">
      <c r="A1322" s="61" t="s">
        <v>6760</v>
      </c>
      <c r="B1322" t="s">
        <v>5126</v>
      </c>
      <c r="C1322">
        <v>8710</v>
      </c>
      <c r="D1322" t="s">
        <v>6359</v>
      </c>
      <c r="E1322" t="s">
        <v>6370</v>
      </c>
      <c r="F1322" t="s">
        <v>6361</v>
      </c>
      <c r="G1322" s="43">
        <v>0</v>
      </c>
      <c r="H1322" s="63">
        <v>0.9</v>
      </c>
    </row>
    <row r="1323" spans="1:8" x14ac:dyDescent="0.55000000000000004">
      <c r="A1323" s="61" t="s">
        <v>6760</v>
      </c>
      <c r="B1323" t="s">
        <v>5126</v>
      </c>
      <c r="C1323">
        <v>8710</v>
      </c>
      <c r="D1323" t="s">
        <v>6363</v>
      </c>
      <c r="E1323" t="s">
        <v>6364</v>
      </c>
      <c r="F1323" t="s">
        <v>6361</v>
      </c>
      <c r="G1323" s="43">
        <v>0</v>
      </c>
      <c r="H1323" s="63">
        <v>0.1</v>
      </c>
    </row>
    <row r="1324" spans="1:8" x14ac:dyDescent="0.55000000000000004">
      <c r="A1324" s="61" t="s">
        <v>6760</v>
      </c>
      <c r="B1324" t="s">
        <v>5126</v>
      </c>
      <c r="C1324">
        <v>8710</v>
      </c>
      <c r="D1324" t="s">
        <v>6362</v>
      </c>
      <c r="E1324" t="s">
        <v>6358</v>
      </c>
      <c r="F1324" t="s">
        <v>6358</v>
      </c>
      <c r="G1324" s="43">
        <v>6.3700000000000007E-2</v>
      </c>
      <c r="H1324" s="63">
        <v>1</v>
      </c>
    </row>
    <row r="1325" spans="1:8" x14ac:dyDescent="0.55000000000000004">
      <c r="A1325" s="61" t="s">
        <v>6760</v>
      </c>
      <c r="B1325" t="s">
        <v>5126</v>
      </c>
      <c r="C1325">
        <v>8710</v>
      </c>
      <c r="D1325" t="s">
        <v>6365</v>
      </c>
      <c r="E1325" t="s">
        <v>6366</v>
      </c>
      <c r="F1325" t="s">
        <v>6361</v>
      </c>
      <c r="G1325" s="43">
        <v>0</v>
      </c>
      <c r="H1325" s="63">
        <v>-0.1</v>
      </c>
    </row>
    <row r="1326" spans="1:8" x14ac:dyDescent="0.55000000000000004">
      <c r="A1326" s="61" t="s">
        <v>6761</v>
      </c>
      <c r="B1326" t="s">
        <v>5126</v>
      </c>
      <c r="C1326">
        <v>9305</v>
      </c>
      <c r="D1326" t="s">
        <v>6359</v>
      </c>
      <c r="E1326" t="s">
        <v>6371</v>
      </c>
      <c r="F1326" t="s">
        <v>6361</v>
      </c>
      <c r="G1326" s="43">
        <v>0</v>
      </c>
      <c r="H1326" s="63">
        <v>0.9</v>
      </c>
    </row>
    <row r="1327" spans="1:8" x14ac:dyDescent="0.55000000000000004">
      <c r="A1327" s="61" t="s">
        <v>6761</v>
      </c>
      <c r="B1327" t="s">
        <v>5126</v>
      </c>
      <c r="C1327">
        <v>9305</v>
      </c>
      <c r="D1327" t="s">
        <v>6363</v>
      </c>
      <c r="E1327" t="s">
        <v>6364</v>
      </c>
      <c r="F1327" t="s">
        <v>6361</v>
      </c>
      <c r="G1327" s="43">
        <v>0</v>
      </c>
      <c r="H1327" s="63">
        <v>0.1</v>
      </c>
    </row>
    <row r="1328" spans="1:8" x14ac:dyDescent="0.55000000000000004">
      <c r="A1328" s="61" t="s">
        <v>6761</v>
      </c>
      <c r="B1328" t="s">
        <v>5126</v>
      </c>
      <c r="C1328">
        <v>9305</v>
      </c>
      <c r="D1328" t="s">
        <v>6362</v>
      </c>
      <c r="E1328" t="s">
        <v>6358</v>
      </c>
      <c r="F1328" t="s">
        <v>6358</v>
      </c>
      <c r="G1328" s="43">
        <v>6.3700000000000007E-2</v>
      </c>
      <c r="H1328" s="63">
        <v>1</v>
      </c>
    </row>
    <row r="1329" spans="1:8" x14ac:dyDescent="0.55000000000000004">
      <c r="A1329" s="61" t="s">
        <v>6761</v>
      </c>
      <c r="B1329" t="s">
        <v>5126</v>
      </c>
      <c r="C1329">
        <v>9305</v>
      </c>
      <c r="D1329" t="s">
        <v>6365</v>
      </c>
      <c r="E1329" t="s">
        <v>6366</v>
      </c>
      <c r="F1329" t="s">
        <v>6361</v>
      </c>
      <c r="G1329" s="43">
        <v>0</v>
      </c>
      <c r="H1329" s="63">
        <v>-0.1</v>
      </c>
    </row>
    <row r="1330" spans="1:8" x14ac:dyDescent="0.55000000000000004">
      <c r="A1330" s="61" t="s">
        <v>6762</v>
      </c>
      <c r="B1330" t="s">
        <v>5126</v>
      </c>
      <c r="C1330">
        <v>9307</v>
      </c>
      <c r="D1330" t="s">
        <v>6359</v>
      </c>
      <c r="E1330" t="s">
        <v>6373</v>
      </c>
      <c r="F1330" t="s">
        <v>6361</v>
      </c>
      <c r="G1330" s="43">
        <v>0</v>
      </c>
      <c r="H1330" s="63">
        <v>0.9</v>
      </c>
    </row>
    <row r="1331" spans="1:8" x14ac:dyDescent="0.55000000000000004">
      <c r="A1331" s="61" t="s">
        <v>6762</v>
      </c>
      <c r="B1331" t="s">
        <v>5126</v>
      </c>
      <c r="C1331">
        <v>9307</v>
      </c>
      <c r="D1331" t="s">
        <v>6363</v>
      </c>
      <c r="E1331" t="s">
        <v>6364</v>
      </c>
      <c r="F1331" t="s">
        <v>6361</v>
      </c>
      <c r="G1331" s="43">
        <v>0</v>
      </c>
      <c r="H1331" s="63">
        <v>0.1</v>
      </c>
    </row>
    <row r="1332" spans="1:8" x14ac:dyDescent="0.55000000000000004">
      <c r="A1332" s="61" t="s">
        <v>6762</v>
      </c>
      <c r="B1332" t="s">
        <v>5126</v>
      </c>
      <c r="C1332">
        <v>9307</v>
      </c>
      <c r="D1332" t="s">
        <v>6362</v>
      </c>
      <c r="E1332" t="s">
        <v>6358</v>
      </c>
      <c r="F1332" t="s">
        <v>6358</v>
      </c>
      <c r="G1332" s="43">
        <v>6.3700000000000007E-2</v>
      </c>
      <c r="H1332" s="63">
        <v>1</v>
      </c>
    </row>
    <row r="1333" spans="1:8" x14ac:dyDescent="0.55000000000000004">
      <c r="A1333" s="61" t="s">
        <v>6762</v>
      </c>
      <c r="B1333" t="s">
        <v>5126</v>
      </c>
      <c r="C1333">
        <v>9307</v>
      </c>
      <c r="D1333" t="s">
        <v>6365</v>
      </c>
      <c r="E1333" t="s">
        <v>6366</v>
      </c>
      <c r="F1333" t="s">
        <v>6361</v>
      </c>
      <c r="G1333" s="43">
        <v>0</v>
      </c>
      <c r="H1333" s="63">
        <v>-0.1</v>
      </c>
    </row>
    <row r="1334" spans="1:8" x14ac:dyDescent="0.55000000000000004">
      <c r="A1334" s="61" t="s">
        <v>6763</v>
      </c>
      <c r="B1334" t="s">
        <v>5126</v>
      </c>
      <c r="C1334">
        <v>9309</v>
      </c>
      <c r="D1334" t="s">
        <v>6359</v>
      </c>
      <c r="E1334" t="s">
        <v>6373</v>
      </c>
      <c r="F1334" t="s">
        <v>6361</v>
      </c>
      <c r="G1334" s="43">
        <v>0</v>
      </c>
      <c r="H1334" s="63">
        <v>0.9</v>
      </c>
    </row>
    <row r="1335" spans="1:8" x14ac:dyDescent="0.55000000000000004">
      <c r="A1335" s="61" t="s">
        <v>6763</v>
      </c>
      <c r="B1335" t="s">
        <v>5126</v>
      </c>
      <c r="C1335">
        <v>9309</v>
      </c>
      <c r="D1335" t="s">
        <v>6363</v>
      </c>
      <c r="E1335" t="s">
        <v>6364</v>
      </c>
      <c r="F1335" t="s">
        <v>6361</v>
      </c>
      <c r="G1335" s="43">
        <v>0</v>
      </c>
      <c r="H1335" s="63">
        <v>0.1</v>
      </c>
    </row>
    <row r="1336" spans="1:8" x14ac:dyDescent="0.55000000000000004">
      <c r="A1336" s="61" t="s">
        <v>6763</v>
      </c>
      <c r="B1336" t="s">
        <v>5126</v>
      </c>
      <c r="C1336">
        <v>9309</v>
      </c>
      <c r="D1336" t="s">
        <v>6362</v>
      </c>
      <c r="E1336" t="s">
        <v>6358</v>
      </c>
      <c r="F1336" t="s">
        <v>6358</v>
      </c>
      <c r="G1336" s="43">
        <v>6.3700000000000007E-2</v>
      </c>
      <c r="H1336" s="63">
        <v>1</v>
      </c>
    </row>
    <row r="1337" spans="1:8" x14ac:dyDescent="0.55000000000000004">
      <c r="A1337" s="61" t="s">
        <v>6763</v>
      </c>
      <c r="B1337" t="s">
        <v>5126</v>
      </c>
      <c r="C1337">
        <v>9309</v>
      </c>
      <c r="D1337" t="s">
        <v>6365</v>
      </c>
      <c r="E1337" t="s">
        <v>6366</v>
      </c>
      <c r="F1337" t="s">
        <v>6361</v>
      </c>
      <c r="G1337" s="43">
        <v>0</v>
      </c>
      <c r="H1337" s="63">
        <v>-0.1</v>
      </c>
    </row>
    <row r="1338" spans="1:8" x14ac:dyDescent="0.55000000000000004">
      <c r="A1338" s="61" t="s">
        <v>6764</v>
      </c>
      <c r="B1338" t="s">
        <v>3993</v>
      </c>
      <c r="C1338">
        <v>8710</v>
      </c>
      <c r="D1338" t="s">
        <v>6359</v>
      </c>
      <c r="E1338" t="s">
        <v>6368</v>
      </c>
      <c r="F1338" t="s">
        <v>6361</v>
      </c>
      <c r="G1338" s="43">
        <v>0</v>
      </c>
      <c r="H1338" s="63">
        <v>0.9</v>
      </c>
    </row>
    <row r="1339" spans="1:8" x14ac:dyDescent="0.55000000000000004">
      <c r="A1339" s="61" t="s">
        <v>6764</v>
      </c>
      <c r="B1339" t="s">
        <v>3993</v>
      </c>
      <c r="C1339">
        <v>8710</v>
      </c>
      <c r="D1339" t="s">
        <v>6363</v>
      </c>
      <c r="E1339" t="s">
        <v>6364</v>
      </c>
      <c r="F1339" t="s">
        <v>6361</v>
      </c>
      <c r="G1339" s="43">
        <v>0</v>
      </c>
      <c r="H1339" s="63">
        <v>0.1</v>
      </c>
    </row>
    <row r="1340" spans="1:8" x14ac:dyDescent="0.55000000000000004">
      <c r="A1340" s="61" t="s">
        <v>6764</v>
      </c>
      <c r="B1340" t="s">
        <v>3993</v>
      </c>
      <c r="C1340">
        <v>8710</v>
      </c>
      <c r="D1340" t="s">
        <v>6362</v>
      </c>
      <c r="E1340" t="s">
        <v>6358</v>
      </c>
      <c r="F1340" t="s">
        <v>6358</v>
      </c>
      <c r="G1340" s="43">
        <v>7.3599999999999999E-2</v>
      </c>
      <c r="H1340" s="63">
        <v>1</v>
      </c>
    </row>
    <row r="1341" spans="1:8" x14ac:dyDescent="0.55000000000000004">
      <c r="A1341" s="61" t="s">
        <v>6764</v>
      </c>
      <c r="B1341" t="s">
        <v>3993</v>
      </c>
      <c r="C1341">
        <v>8710</v>
      </c>
      <c r="D1341" t="s">
        <v>6365</v>
      </c>
      <c r="E1341" t="s">
        <v>6366</v>
      </c>
      <c r="F1341" t="s">
        <v>6361</v>
      </c>
      <c r="G1341" s="43">
        <v>0</v>
      </c>
      <c r="H1341" s="63">
        <v>-0.1</v>
      </c>
    </row>
    <row r="1342" spans="1:8" x14ac:dyDescent="0.55000000000000004">
      <c r="A1342" s="61" t="s">
        <v>6765</v>
      </c>
      <c r="B1342" t="s">
        <v>3993</v>
      </c>
      <c r="C1342">
        <v>9110</v>
      </c>
      <c r="D1342" t="s">
        <v>6359</v>
      </c>
      <c r="E1342" t="s">
        <v>6369</v>
      </c>
      <c r="F1342" t="s">
        <v>6361</v>
      </c>
      <c r="G1342" s="43">
        <v>0</v>
      </c>
      <c r="H1342" s="63">
        <v>0.9</v>
      </c>
    </row>
    <row r="1343" spans="1:8" x14ac:dyDescent="0.55000000000000004">
      <c r="A1343" s="61" t="s">
        <v>6765</v>
      </c>
      <c r="B1343" t="s">
        <v>3993</v>
      </c>
      <c r="C1343">
        <v>9110</v>
      </c>
      <c r="D1343" t="s">
        <v>6363</v>
      </c>
      <c r="E1343" t="s">
        <v>6364</v>
      </c>
      <c r="F1343" t="s">
        <v>6361</v>
      </c>
      <c r="G1343" s="43">
        <v>0</v>
      </c>
      <c r="H1343" s="63">
        <v>0.1</v>
      </c>
    </row>
    <row r="1344" spans="1:8" x14ac:dyDescent="0.55000000000000004">
      <c r="A1344" s="61" t="s">
        <v>6765</v>
      </c>
      <c r="B1344" t="s">
        <v>3993</v>
      </c>
      <c r="C1344">
        <v>9110</v>
      </c>
      <c r="D1344" t="s">
        <v>6362</v>
      </c>
      <c r="E1344" t="s">
        <v>6358</v>
      </c>
      <c r="F1344" t="s">
        <v>6358</v>
      </c>
      <c r="G1344" s="43">
        <v>7.3599999999999999E-2</v>
      </c>
      <c r="H1344" s="63">
        <v>1</v>
      </c>
    </row>
    <row r="1345" spans="1:8" x14ac:dyDescent="0.55000000000000004">
      <c r="A1345" s="61" t="s">
        <v>6765</v>
      </c>
      <c r="B1345" t="s">
        <v>3993</v>
      </c>
      <c r="C1345">
        <v>9110</v>
      </c>
      <c r="D1345" t="s">
        <v>6365</v>
      </c>
      <c r="E1345" t="s">
        <v>6366</v>
      </c>
      <c r="F1345" t="s">
        <v>6361</v>
      </c>
      <c r="G1345" s="43">
        <v>0</v>
      </c>
      <c r="H1345" s="63">
        <v>-0.1</v>
      </c>
    </row>
    <row r="1346" spans="1:8" x14ac:dyDescent="0.55000000000000004">
      <c r="A1346" s="61" t="s">
        <v>6766</v>
      </c>
      <c r="B1346" t="s">
        <v>3993</v>
      </c>
      <c r="C1346">
        <v>9204</v>
      </c>
      <c r="D1346" t="s">
        <v>6359</v>
      </c>
      <c r="E1346" t="s">
        <v>6369</v>
      </c>
      <c r="F1346" t="s">
        <v>6361</v>
      </c>
      <c r="G1346" s="43">
        <v>0</v>
      </c>
      <c r="H1346" s="63">
        <v>0.9</v>
      </c>
    </row>
    <row r="1347" spans="1:8" x14ac:dyDescent="0.55000000000000004">
      <c r="A1347" s="61" t="s">
        <v>6766</v>
      </c>
      <c r="B1347" t="s">
        <v>3993</v>
      </c>
      <c r="C1347">
        <v>9204</v>
      </c>
      <c r="D1347" t="s">
        <v>6363</v>
      </c>
      <c r="E1347" t="s">
        <v>6364</v>
      </c>
      <c r="F1347" t="s">
        <v>6361</v>
      </c>
      <c r="G1347" s="43">
        <v>0</v>
      </c>
      <c r="H1347" s="63">
        <v>0.1</v>
      </c>
    </row>
    <row r="1348" spans="1:8" x14ac:dyDescent="0.55000000000000004">
      <c r="A1348" s="61" t="s">
        <v>6766</v>
      </c>
      <c r="B1348" t="s">
        <v>3993</v>
      </c>
      <c r="C1348">
        <v>9204</v>
      </c>
      <c r="D1348" t="s">
        <v>6362</v>
      </c>
      <c r="E1348" t="s">
        <v>6358</v>
      </c>
      <c r="F1348" t="s">
        <v>6358</v>
      </c>
      <c r="G1348" s="43">
        <v>7.3599999999999999E-2</v>
      </c>
      <c r="H1348" s="63">
        <v>1</v>
      </c>
    </row>
    <row r="1349" spans="1:8" x14ac:dyDescent="0.55000000000000004">
      <c r="A1349" s="61" t="s">
        <v>6766</v>
      </c>
      <c r="B1349" t="s">
        <v>3993</v>
      </c>
      <c r="C1349">
        <v>9204</v>
      </c>
      <c r="D1349" t="s">
        <v>6365</v>
      </c>
      <c r="E1349" t="s">
        <v>6366</v>
      </c>
      <c r="F1349" t="s">
        <v>6361</v>
      </c>
      <c r="G1349" s="43">
        <v>0</v>
      </c>
      <c r="H1349" s="63">
        <v>-0.1</v>
      </c>
    </row>
    <row r="1350" spans="1:8" x14ac:dyDescent="0.55000000000000004">
      <c r="A1350" s="61" t="s">
        <v>6767</v>
      </c>
      <c r="B1350" t="s">
        <v>3993</v>
      </c>
      <c r="C1350">
        <v>9310</v>
      </c>
      <c r="D1350" t="s">
        <v>6359</v>
      </c>
      <c r="E1350" t="s">
        <v>6369</v>
      </c>
      <c r="F1350" t="s">
        <v>6361</v>
      </c>
      <c r="G1350" s="43">
        <v>0</v>
      </c>
      <c r="H1350" s="63">
        <v>0.9</v>
      </c>
    </row>
    <row r="1351" spans="1:8" x14ac:dyDescent="0.55000000000000004">
      <c r="A1351" s="61" t="s">
        <v>6767</v>
      </c>
      <c r="B1351" t="s">
        <v>3993</v>
      </c>
      <c r="C1351">
        <v>9310</v>
      </c>
      <c r="D1351" t="s">
        <v>6363</v>
      </c>
      <c r="E1351" t="s">
        <v>6364</v>
      </c>
      <c r="F1351" t="s">
        <v>6361</v>
      </c>
      <c r="G1351" s="43">
        <v>0</v>
      </c>
      <c r="H1351" s="63">
        <v>0.1</v>
      </c>
    </row>
    <row r="1352" spans="1:8" x14ac:dyDescent="0.55000000000000004">
      <c r="A1352" s="61" t="s">
        <v>6767</v>
      </c>
      <c r="B1352" t="s">
        <v>3993</v>
      </c>
      <c r="C1352">
        <v>9310</v>
      </c>
      <c r="D1352" t="s">
        <v>6362</v>
      </c>
      <c r="E1352" t="s">
        <v>6358</v>
      </c>
      <c r="F1352" t="s">
        <v>6358</v>
      </c>
      <c r="G1352" s="43">
        <v>7.3599999999999999E-2</v>
      </c>
      <c r="H1352" s="63">
        <v>1</v>
      </c>
    </row>
    <row r="1353" spans="1:8" x14ac:dyDescent="0.55000000000000004">
      <c r="A1353" s="61" t="s">
        <v>6767</v>
      </c>
      <c r="B1353" t="s">
        <v>3993</v>
      </c>
      <c r="C1353">
        <v>9310</v>
      </c>
      <c r="D1353" t="s">
        <v>6365</v>
      </c>
      <c r="E1353" t="s">
        <v>6366</v>
      </c>
      <c r="F1353" t="s">
        <v>6361</v>
      </c>
      <c r="G1353" s="43">
        <v>0</v>
      </c>
      <c r="H1353" s="63">
        <v>-0.1</v>
      </c>
    </row>
    <row r="1354" spans="1:8" x14ac:dyDescent="0.55000000000000004">
      <c r="A1354" s="61" t="s">
        <v>6768</v>
      </c>
      <c r="B1354" t="s">
        <v>1667</v>
      </c>
      <c r="C1354">
        <v>8710</v>
      </c>
      <c r="D1354" t="s">
        <v>6359</v>
      </c>
      <c r="E1354" t="s">
        <v>6368</v>
      </c>
      <c r="F1354" t="s">
        <v>6361</v>
      </c>
      <c r="G1354" s="43">
        <v>0</v>
      </c>
      <c r="H1354" s="63">
        <v>0.9</v>
      </c>
    </row>
    <row r="1355" spans="1:8" x14ac:dyDescent="0.55000000000000004">
      <c r="A1355" s="61" t="s">
        <v>6768</v>
      </c>
      <c r="B1355" t="s">
        <v>1667</v>
      </c>
      <c r="C1355">
        <v>8710</v>
      </c>
      <c r="D1355" t="s">
        <v>6363</v>
      </c>
      <c r="E1355" t="s">
        <v>6364</v>
      </c>
      <c r="F1355" t="s">
        <v>6361</v>
      </c>
      <c r="G1355" s="43">
        <v>0</v>
      </c>
      <c r="H1355" s="63">
        <v>0.1</v>
      </c>
    </row>
    <row r="1356" spans="1:8" x14ac:dyDescent="0.55000000000000004">
      <c r="A1356" s="61" t="s">
        <v>6768</v>
      </c>
      <c r="B1356" t="s">
        <v>1667</v>
      </c>
      <c r="C1356">
        <v>8710</v>
      </c>
      <c r="D1356" t="s">
        <v>6362</v>
      </c>
      <c r="E1356" t="s">
        <v>6358</v>
      </c>
      <c r="F1356" t="s">
        <v>6358</v>
      </c>
      <c r="G1356" s="43">
        <v>4.6399999999999997E-2</v>
      </c>
      <c r="H1356" s="63">
        <v>1</v>
      </c>
    </row>
    <row r="1357" spans="1:8" x14ac:dyDescent="0.55000000000000004">
      <c r="A1357" s="61" t="s">
        <v>6768</v>
      </c>
      <c r="B1357" t="s">
        <v>1667</v>
      </c>
      <c r="C1357">
        <v>8710</v>
      </c>
      <c r="D1357" t="s">
        <v>6365</v>
      </c>
      <c r="E1357" t="s">
        <v>6366</v>
      </c>
      <c r="F1357" t="s">
        <v>6361</v>
      </c>
      <c r="G1357" s="43">
        <v>0</v>
      </c>
      <c r="H1357" s="63">
        <v>-0.1</v>
      </c>
    </row>
    <row r="1358" spans="1:8" x14ac:dyDescent="0.55000000000000004">
      <c r="A1358" s="61" t="s">
        <v>6769</v>
      </c>
      <c r="B1358" t="s">
        <v>1667</v>
      </c>
      <c r="C1358">
        <v>9310</v>
      </c>
      <c r="D1358" t="s">
        <v>6359</v>
      </c>
      <c r="E1358" t="s">
        <v>6369</v>
      </c>
      <c r="F1358" t="s">
        <v>6361</v>
      </c>
      <c r="G1358" s="43">
        <v>0</v>
      </c>
      <c r="H1358" s="63">
        <v>0.9</v>
      </c>
    </row>
    <row r="1359" spans="1:8" x14ac:dyDescent="0.55000000000000004">
      <c r="A1359" s="61" t="s">
        <v>6769</v>
      </c>
      <c r="B1359" t="s">
        <v>1667</v>
      </c>
      <c r="C1359">
        <v>9310</v>
      </c>
      <c r="D1359" t="s">
        <v>6363</v>
      </c>
      <c r="E1359" t="s">
        <v>6364</v>
      </c>
      <c r="F1359" t="s">
        <v>6361</v>
      </c>
      <c r="G1359" s="43">
        <v>0</v>
      </c>
      <c r="H1359" s="63">
        <v>0.1</v>
      </c>
    </row>
    <row r="1360" spans="1:8" x14ac:dyDescent="0.55000000000000004">
      <c r="A1360" s="61" t="s">
        <v>6769</v>
      </c>
      <c r="B1360" t="s">
        <v>1667</v>
      </c>
      <c r="C1360">
        <v>9310</v>
      </c>
      <c r="D1360" t="s">
        <v>6362</v>
      </c>
      <c r="E1360" t="s">
        <v>6358</v>
      </c>
      <c r="F1360" t="s">
        <v>6358</v>
      </c>
      <c r="G1360" s="43">
        <v>4.6399999999999997E-2</v>
      </c>
      <c r="H1360" s="63">
        <v>1</v>
      </c>
    </row>
    <row r="1361" spans="1:8" x14ac:dyDescent="0.55000000000000004">
      <c r="A1361" s="61" t="s">
        <v>6769</v>
      </c>
      <c r="B1361" t="s">
        <v>1667</v>
      </c>
      <c r="C1361">
        <v>9310</v>
      </c>
      <c r="D1361" t="s">
        <v>6365</v>
      </c>
      <c r="E1361" t="s">
        <v>6366</v>
      </c>
      <c r="F1361" t="s">
        <v>6361</v>
      </c>
      <c r="G1361" s="43">
        <v>0</v>
      </c>
      <c r="H1361" s="63">
        <v>-0.1</v>
      </c>
    </row>
    <row r="1362" spans="1:8" x14ac:dyDescent="0.55000000000000004">
      <c r="A1362" s="61" t="s">
        <v>6770</v>
      </c>
      <c r="B1362" t="s">
        <v>2494</v>
      </c>
      <c r="C1362">
        <v>8710</v>
      </c>
      <c r="D1362" t="s">
        <v>6359</v>
      </c>
      <c r="E1362" t="s">
        <v>6368</v>
      </c>
      <c r="F1362" t="s">
        <v>6361</v>
      </c>
      <c r="G1362" s="43">
        <v>0</v>
      </c>
      <c r="H1362" s="63">
        <v>0.9</v>
      </c>
    </row>
    <row r="1363" spans="1:8" x14ac:dyDescent="0.55000000000000004">
      <c r="A1363" s="61" t="s">
        <v>6770</v>
      </c>
      <c r="B1363" t="s">
        <v>2494</v>
      </c>
      <c r="C1363">
        <v>8710</v>
      </c>
      <c r="D1363" t="s">
        <v>6363</v>
      </c>
      <c r="E1363" t="s">
        <v>6364</v>
      </c>
      <c r="F1363" t="s">
        <v>6361</v>
      </c>
      <c r="G1363" s="43">
        <v>0</v>
      </c>
      <c r="H1363" s="63">
        <v>0.1</v>
      </c>
    </row>
    <row r="1364" spans="1:8" x14ac:dyDescent="0.55000000000000004">
      <c r="A1364" s="61" t="s">
        <v>6770</v>
      </c>
      <c r="B1364" t="s">
        <v>2494</v>
      </c>
      <c r="C1364">
        <v>8710</v>
      </c>
      <c r="D1364" t="s">
        <v>6362</v>
      </c>
      <c r="E1364" t="s">
        <v>6358</v>
      </c>
      <c r="F1364" t="s">
        <v>6358</v>
      </c>
      <c r="G1364" s="43">
        <v>6.25E-2</v>
      </c>
      <c r="H1364" s="63">
        <v>1</v>
      </c>
    </row>
    <row r="1365" spans="1:8" x14ac:dyDescent="0.55000000000000004">
      <c r="A1365" s="61" t="s">
        <v>6770</v>
      </c>
      <c r="B1365" t="s">
        <v>2494</v>
      </c>
      <c r="C1365">
        <v>8710</v>
      </c>
      <c r="D1365" t="s">
        <v>6365</v>
      </c>
      <c r="E1365" t="s">
        <v>6366</v>
      </c>
      <c r="F1365" t="s">
        <v>6361</v>
      </c>
      <c r="G1365" s="43">
        <v>0</v>
      </c>
      <c r="H1365" s="63">
        <v>-0.1</v>
      </c>
    </row>
    <row r="1366" spans="1:8" x14ac:dyDescent="0.55000000000000004">
      <c r="A1366" s="61" t="s">
        <v>6771</v>
      </c>
      <c r="B1366" t="s">
        <v>2494</v>
      </c>
      <c r="C1366">
        <v>9310</v>
      </c>
      <c r="D1366" t="s">
        <v>6359</v>
      </c>
      <c r="E1366" t="s">
        <v>6369</v>
      </c>
      <c r="F1366" t="s">
        <v>6361</v>
      </c>
      <c r="G1366" s="43">
        <v>0</v>
      </c>
      <c r="H1366" s="63">
        <v>0.9</v>
      </c>
    </row>
    <row r="1367" spans="1:8" x14ac:dyDescent="0.55000000000000004">
      <c r="A1367" s="61" t="s">
        <v>6771</v>
      </c>
      <c r="B1367" t="s">
        <v>2494</v>
      </c>
      <c r="C1367">
        <v>9310</v>
      </c>
      <c r="D1367" t="s">
        <v>6363</v>
      </c>
      <c r="E1367" t="s">
        <v>6364</v>
      </c>
      <c r="F1367" t="s">
        <v>6361</v>
      </c>
      <c r="G1367" s="43">
        <v>0</v>
      </c>
      <c r="H1367" s="63">
        <v>0.1</v>
      </c>
    </row>
    <row r="1368" spans="1:8" x14ac:dyDescent="0.55000000000000004">
      <c r="A1368" s="61" t="s">
        <v>6771</v>
      </c>
      <c r="B1368" t="s">
        <v>2494</v>
      </c>
      <c r="C1368">
        <v>9310</v>
      </c>
      <c r="D1368" t="s">
        <v>6362</v>
      </c>
      <c r="E1368" t="s">
        <v>6358</v>
      </c>
      <c r="F1368" t="s">
        <v>6358</v>
      </c>
      <c r="G1368" s="43">
        <v>6.25E-2</v>
      </c>
      <c r="H1368" s="63">
        <v>1</v>
      </c>
    </row>
    <row r="1369" spans="1:8" x14ac:dyDescent="0.55000000000000004">
      <c r="A1369" s="61" t="s">
        <v>6771</v>
      </c>
      <c r="B1369" t="s">
        <v>2494</v>
      </c>
      <c r="C1369">
        <v>9310</v>
      </c>
      <c r="D1369" t="s">
        <v>6365</v>
      </c>
      <c r="E1369" t="s">
        <v>6366</v>
      </c>
      <c r="F1369" t="s">
        <v>6361</v>
      </c>
      <c r="G1369" s="43">
        <v>0</v>
      </c>
      <c r="H1369" s="63">
        <v>-0.1</v>
      </c>
    </row>
    <row r="1370" spans="1:8" x14ac:dyDescent="0.55000000000000004">
      <c r="A1370" s="61" t="s">
        <v>6772</v>
      </c>
      <c r="B1370" t="s">
        <v>1845</v>
      </c>
      <c r="C1370">
        <v>8710</v>
      </c>
      <c r="D1370" t="s">
        <v>6359</v>
      </c>
      <c r="E1370" t="s">
        <v>6368</v>
      </c>
      <c r="F1370" t="s">
        <v>6361</v>
      </c>
      <c r="G1370" s="43">
        <v>0</v>
      </c>
      <c r="H1370" s="63">
        <v>0.9</v>
      </c>
    </row>
    <row r="1371" spans="1:8" x14ac:dyDescent="0.55000000000000004">
      <c r="A1371" s="61" t="s">
        <v>6772</v>
      </c>
      <c r="B1371" t="s">
        <v>1845</v>
      </c>
      <c r="C1371">
        <v>8710</v>
      </c>
      <c r="D1371" t="s">
        <v>6363</v>
      </c>
      <c r="E1371" t="s">
        <v>6364</v>
      </c>
      <c r="F1371" t="s">
        <v>6361</v>
      </c>
      <c r="G1371" s="43">
        <v>0</v>
      </c>
      <c r="H1371" s="63">
        <v>0.1</v>
      </c>
    </row>
    <row r="1372" spans="1:8" x14ac:dyDescent="0.55000000000000004">
      <c r="A1372" s="61" t="s">
        <v>6772</v>
      </c>
      <c r="B1372" t="s">
        <v>1845</v>
      </c>
      <c r="C1372">
        <v>8710</v>
      </c>
      <c r="D1372" t="s">
        <v>6362</v>
      </c>
      <c r="E1372" t="s">
        <v>6358</v>
      </c>
      <c r="F1372" t="s">
        <v>6358</v>
      </c>
      <c r="G1372" s="43">
        <v>6.6299999999999998E-2</v>
      </c>
      <c r="H1372" s="63">
        <v>1</v>
      </c>
    </row>
    <row r="1373" spans="1:8" x14ac:dyDescent="0.55000000000000004">
      <c r="A1373" s="61" t="s">
        <v>6772</v>
      </c>
      <c r="B1373" t="s">
        <v>1845</v>
      </c>
      <c r="C1373">
        <v>8710</v>
      </c>
      <c r="D1373" t="s">
        <v>6365</v>
      </c>
      <c r="E1373" t="s">
        <v>6366</v>
      </c>
      <c r="F1373" t="s">
        <v>6361</v>
      </c>
      <c r="G1373" s="43">
        <v>0</v>
      </c>
      <c r="H1373" s="63">
        <v>-0.1</v>
      </c>
    </row>
    <row r="1374" spans="1:8" x14ac:dyDescent="0.55000000000000004">
      <c r="A1374" s="61" t="s">
        <v>6773</v>
      </c>
      <c r="B1374" t="s">
        <v>1845</v>
      </c>
      <c r="C1374">
        <v>9204</v>
      </c>
      <c r="D1374" t="s">
        <v>6359</v>
      </c>
      <c r="E1374" t="s">
        <v>6369</v>
      </c>
      <c r="F1374" t="s">
        <v>6361</v>
      </c>
      <c r="G1374" s="43">
        <v>0</v>
      </c>
      <c r="H1374" s="63">
        <v>0.9</v>
      </c>
    </row>
    <row r="1375" spans="1:8" x14ac:dyDescent="0.55000000000000004">
      <c r="A1375" s="61" t="s">
        <v>6773</v>
      </c>
      <c r="B1375" t="s">
        <v>1845</v>
      </c>
      <c r="C1375">
        <v>9204</v>
      </c>
      <c r="D1375" t="s">
        <v>6363</v>
      </c>
      <c r="E1375" t="s">
        <v>6364</v>
      </c>
      <c r="F1375" t="s">
        <v>6361</v>
      </c>
      <c r="G1375" s="43">
        <v>0</v>
      </c>
      <c r="H1375" s="63">
        <v>0.1</v>
      </c>
    </row>
    <row r="1376" spans="1:8" x14ac:dyDescent="0.55000000000000004">
      <c r="A1376" s="61" t="s">
        <v>6773</v>
      </c>
      <c r="B1376" t="s">
        <v>1845</v>
      </c>
      <c r="C1376">
        <v>9204</v>
      </c>
      <c r="D1376" t="s">
        <v>6362</v>
      </c>
      <c r="E1376" t="s">
        <v>6358</v>
      </c>
      <c r="F1376" t="s">
        <v>6358</v>
      </c>
      <c r="G1376" s="43">
        <v>6.6299999999999998E-2</v>
      </c>
      <c r="H1376" s="63">
        <v>1</v>
      </c>
    </row>
    <row r="1377" spans="1:8" x14ac:dyDescent="0.55000000000000004">
      <c r="A1377" s="61" t="s">
        <v>6773</v>
      </c>
      <c r="B1377" t="s">
        <v>1845</v>
      </c>
      <c r="C1377">
        <v>9204</v>
      </c>
      <c r="D1377" t="s">
        <v>6365</v>
      </c>
      <c r="E1377" t="s">
        <v>6366</v>
      </c>
      <c r="F1377" t="s">
        <v>6361</v>
      </c>
      <c r="G1377" s="43">
        <v>0</v>
      </c>
      <c r="H1377" s="63">
        <v>-0.1</v>
      </c>
    </row>
    <row r="1378" spans="1:8" x14ac:dyDescent="0.55000000000000004">
      <c r="A1378" s="61" t="s">
        <v>6774</v>
      </c>
      <c r="B1378" t="s">
        <v>1845</v>
      </c>
      <c r="C1378">
        <v>9310</v>
      </c>
      <c r="D1378" t="s">
        <v>6359</v>
      </c>
      <c r="E1378" t="s">
        <v>6369</v>
      </c>
      <c r="F1378" t="s">
        <v>6361</v>
      </c>
      <c r="G1378" s="43">
        <v>0</v>
      </c>
      <c r="H1378" s="63">
        <v>0.9</v>
      </c>
    </row>
    <row r="1379" spans="1:8" x14ac:dyDescent="0.55000000000000004">
      <c r="A1379" s="61" t="s">
        <v>6774</v>
      </c>
      <c r="B1379" t="s">
        <v>1845</v>
      </c>
      <c r="C1379">
        <v>9310</v>
      </c>
      <c r="D1379" t="s">
        <v>6363</v>
      </c>
      <c r="E1379" t="s">
        <v>6364</v>
      </c>
      <c r="F1379" t="s">
        <v>6361</v>
      </c>
      <c r="G1379" s="43">
        <v>0</v>
      </c>
      <c r="H1379" s="63">
        <v>0.1</v>
      </c>
    </row>
    <row r="1380" spans="1:8" x14ac:dyDescent="0.55000000000000004">
      <c r="A1380" s="61" t="s">
        <v>6774</v>
      </c>
      <c r="B1380" t="s">
        <v>1845</v>
      </c>
      <c r="C1380">
        <v>9310</v>
      </c>
      <c r="D1380" t="s">
        <v>6362</v>
      </c>
      <c r="E1380" t="s">
        <v>6358</v>
      </c>
      <c r="F1380" t="s">
        <v>6358</v>
      </c>
      <c r="G1380" s="43">
        <v>6.6299999999999998E-2</v>
      </c>
      <c r="H1380" s="63">
        <v>1</v>
      </c>
    </row>
    <row r="1381" spans="1:8" x14ac:dyDescent="0.55000000000000004">
      <c r="A1381" s="61" t="s">
        <v>6774</v>
      </c>
      <c r="B1381" t="s">
        <v>1845</v>
      </c>
      <c r="C1381">
        <v>9310</v>
      </c>
      <c r="D1381" t="s">
        <v>6365</v>
      </c>
      <c r="E1381" t="s">
        <v>6366</v>
      </c>
      <c r="F1381" t="s">
        <v>6361</v>
      </c>
      <c r="G1381" s="43">
        <v>0</v>
      </c>
      <c r="H1381" s="63">
        <v>-0.1</v>
      </c>
    </row>
    <row r="1382" spans="1:8" x14ac:dyDescent="0.55000000000000004">
      <c r="A1382" s="61" t="s">
        <v>6775</v>
      </c>
      <c r="B1382" t="s">
        <v>1984</v>
      </c>
      <c r="C1382">
        <v>8710</v>
      </c>
      <c r="D1382" t="s">
        <v>6359</v>
      </c>
      <c r="E1382" t="s">
        <v>6360</v>
      </c>
      <c r="F1382" t="s">
        <v>6361</v>
      </c>
      <c r="G1382" s="43">
        <v>0</v>
      </c>
      <c r="H1382" s="63">
        <v>0.9</v>
      </c>
    </row>
    <row r="1383" spans="1:8" x14ac:dyDescent="0.55000000000000004">
      <c r="A1383" s="61" t="s">
        <v>6775</v>
      </c>
      <c r="B1383" t="s">
        <v>1984</v>
      </c>
      <c r="C1383">
        <v>8710</v>
      </c>
      <c r="D1383" t="s">
        <v>6363</v>
      </c>
      <c r="E1383" t="s">
        <v>6364</v>
      </c>
      <c r="F1383" t="s">
        <v>6361</v>
      </c>
      <c r="G1383" s="43">
        <v>0</v>
      </c>
      <c r="H1383" s="63">
        <v>0.1</v>
      </c>
    </row>
    <row r="1384" spans="1:8" x14ac:dyDescent="0.55000000000000004">
      <c r="A1384" s="61" t="s">
        <v>6775</v>
      </c>
      <c r="B1384" t="s">
        <v>1984</v>
      </c>
      <c r="C1384">
        <v>8710</v>
      </c>
      <c r="D1384" t="s">
        <v>6362</v>
      </c>
      <c r="E1384" t="s">
        <v>6358</v>
      </c>
      <c r="F1384" t="s">
        <v>6358</v>
      </c>
      <c r="G1384" s="43">
        <v>4.4200000000000003E-2</v>
      </c>
      <c r="H1384" s="63">
        <v>1</v>
      </c>
    </row>
    <row r="1385" spans="1:8" x14ac:dyDescent="0.55000000000000004">
      <c r="A1385" s="61" t="s">
        <v>6775</v>
      </c>
      <c r="B1385" t="s">
        <v>1984</v>
      </c>
      <c r="C1385">
        <v>8710</v>
      </c>
      <c r="D1385" t="s">
        <v>6365</v>
      </c>
      <c r="E1385" t="s">
        <v>6366</v>
      </c>
      <c r="F1385" t="s">
        <v>6361</v>
      </c>
      <c r="G1385" s="43">
        <v>0</v>
      </c>
      <c r="H1385" s="63">
        <v>-0.1</v>
      </c>
    </row>
    <row r="1386" spans="1:8" x14ac:dyDescent="0.55000000000000004">
      <c r="A1386" s="61" t="s">
        <v>6776</v>
      </c>
      <c r="B1386" t="s">
        <v>496</v>
      </c>
      <c r="C1386">
        <v>8705</v>
      </c>
      <c r="D1386" t="s">
        <v>6359</v>
      </c>
      <c r="E1386" t="s">
        <v>6383</v>
      </c>
      <c r="F1386" t="s">
        <v>6361</v>
      </c>
      <c r="G1386" s="43">
        <v>0</v>
      </c>
      <c r="H1386" s="63">
        <v>0.9</v>
      </c>
    </row>
    <row r="1387" spans="1:8" x14ac:dyDescent="0.55000000000000004">
      <c r="A1387" s="61" t="s">
        <v>6776</v>
      </c>
      <c r="B1387" t="s">
        <v>496</v>
      </c>
      <c r="C1387">
        <v>8705</v>
      </c>
      <c r="D1387" t="s">
        <v>6363</v>
      </c>
      <c r="E1387" t="s">
        <v>6364</v>
      </c>
      <c r="F1387" t="s">
        <v>6361</v>
      </c>
      <c r="G1387" s="43">
        <v>0</v>
      </c>
      <c r="H1387" s="63">
        <v>0.1</v>
      </c>
    </row>
    <row r="1388" spans="1:8" x14ac:dyDescent="0.55000000000000004">
      <c r="A1388" s="61" t="s">
        <v>6776</v>
      </c>
      <c r="B1388" t="s">
        <v>496</v>
      </c>
      <c r="C1388">
        <v>8705</v>
      </c>
      <c r="D1388" t="s">
        <v>6362</v>
      </c>
      <c r="E1388" t="s">
        <v>6358</v>
      </c>
      <c r="F1388" t="s">
        <v>6358</v>
      </c>
      <c r="G1388" s="62">
        <v>6.0600000000000001E-2</v>
      </c>
      <c r="H1388" s="63">
        <v>1</v>
      </c>
    </row>
    <row r="1389" spans="1:8" x14ac:dyDescent="0.55000000000000004">
      <c r="A1389" s="61" t="s">
        <v>6776</v>
      </c>
      <c r="B1389" t="s">
        <v>496</v>
      </c>
      <c r="C1389">
        <v>8705</v>
      </c>
      <c r="D1389" t="s">
        <v>6365</v>
      </c>
      <c r="E1389" t="s">
        <v>6366</v>
      </c>
      <c r="F1389" t="s">
        <v>6361</v>
      </c>
      <c r="G1389" s="43">
        <v>0</v>
      </c>
      <c r="H1389" s="63">
        <v>-0.1</v>
      </c>
    </row>
    <row r="1390" spans="1:8" x14ac:dyDescent="0.55000000000000004">
      <c r="A1390" s="61" t="s">
        <v>6776</v>
      </c>
      <c r="B1390" t="s">
        <v>496</v>
      </c>
      <c r="C1390">
        <v>8705</v>
      </c>
      <c r="D1390" t="s">
        <v>6384</v>
      </c>
      <c r="E1390" t="s">
        <v>6385</v>
      </c>
      <c r="F1390" t="s">
        <v>6361</v>
      </c>
      <c r="G1390" s="43">
        <v>0</v>
      </c>
      <c r="H1390" s="63">
        <v>1</v>
      </c>
    </row>
    <row r="1391" spans="1:8" x14ac:dyDescent="0.55000000000000004">
      <c r="A1391" s="61" t="s">
        <v>6776</v>
      </c>
      <c r="B1391" t="s">
        <v>496</v>
      </c>
      <c r="C1391">
        <v>8705</v>
      </c>
      <c r="D1391" t="s">
        <v>6386</v>
      </c>
      <c r="E1391" t="s">
        <v>6387</v>
      </c>
      <c r="F1391" t="s">
        <v>6361</v>
      </c>
      <c r="G1391" s="43">
        <v>0</v>
      </c>
      <c r="H1391" s="63">
        <v>1</v>
      </c>
    </row>
    <row r="1392" spans="1:8" x14ac:dyDescent="0.55000000000000004">
      <c r="A1392" s="61" t="s">
        <v>6777</v>
      </c>
      <c r="B1392" t="s">
        <v>496</v>
      </c>
      <c r="C1392">
        <v>9105</v>
      </c>
      <c r="D1392" t="s">
        <v>6359</v>
      </c>
      <c r="E1392" t="s">
        <v>6388</v>
      </c>
      <c r="F1392" t="s">
        <v>6361</v>
      </c>
      <c r="G1392" s="43">
        <v>0</v>
      </c>
      <c r="H1392" s="63">
        <v>0.9</v>
      </c>
    </row>
    <row r="1393" spans="1:8" x14ac:dyDescent="0.55000000000000004">
      <c r="A1393" s="61" t="s">
        <v>6777</v>
      </c>
      <c r="B1393" t="s">
        <v>496</v>
      </c>
      <c r="C1393">
        <v>9105</v>
      </c>
      <c r="D1393" t="s">
        <v>6363</v>
      </c>
      <c r="E1393" t="s">
        <v>6364</v>
      </c>
      <c r="F1393" t="s">
        <v>6361</v>
      </c>
      <c r="G1393" s="43">
        <v>0</v>
      </c>
      <c r="H1393" s="63">
        <v>0.1</v>
      </c>
    </row>
    <row r="1394" spans="1:8" x14ac:dyDescent="0.55000000000000004">
      <c r="A1394" s="61" t="s">
        <v>6777</v>
      </c>
      <c r="B1394" t="s">
        <v>496</v>
      </c>
      <c r="C1394">
        <v>9105</v>
      </c>
      <c r="D1394" t="s">
        <v>6362</v>
      </c>
      <c r="E1394" t="s">
        <v>6358</v>
      </c>
      <c r="F1394" t="s">
        <v>6358</v>
      </c>
      <c r="G1394" s="62">
        <v>6.0600000000000001E-2</v>
      </c>
      <c r="H1394" s="63">
        <v>1</v>
      </c>
    </row>
    <row r="1395" spans="1:8" x14ac:dyDescent="0.55000000000000004">
      <c r="A1395" s="61" t="s">
        <v>6777</v>
      </c>
      <c r="B1395" t="s">
        <v>496</v>
      </c>
      <c r="C1395">
        <v>9105</v>
      </c>
      <c r="D1395" t="s">
        <v>6365</v>
      </c>
      <c r="E1395" t="s">
        <v>6366</v>
      </c>
      <c r="F1395" t="s">
        <v>6361</v>
      </c>
      <c r="G1395" s="43">
        <v>0</v>
      </c>
      <c r="H1395" s="63">
        <v>-0.1</v>
      </c>
    </row>
    <row r="1396" spans="1:8" x14ac:dyDescent="0.55000000000000004">
      <c r="A1396" s="61" t="s">
        <v>6777</v>
      </c>
      <c r="B1396" t="s">
        <v>496</v>
      </c>
      <c r="C1396">
        <v>9105</v>
      </c>
      <c r="D1396" t="s">
        <v>6384</v>
      </c>
      <c r="E1396" t="s">
        <v>6385</v>
      </c>
      <c r="F1396" t="s">
        <v>6361</v>
      </c>
      <c r="G1396" s="43">
        <v>0</v>
      </c>
      <c r="H1396" s="63">
        <v>1</v>
      </c>
    </row>
    <row r="1397" spans="1:8" x14ac:dyDescent="0.55000000000000004">
      <c r="A1397" s="61" t="s">
        <v>6777</v>
      </c>
      <c r="B1397" t="s">
        <v>496</v>
      </c>
      <c r="C1397">
        <v>9105</v>
      </c>
      <c r="D1397" t="s">
        <v>6386</v>
      </c>
      <c r="E1397" t="s">
        <v>6387</v>
      </c>
      <c r="F1397" t="s">
        <v>6361</v>
      </c>
      <c r="G1397" s="43">
        <v>0</v>
      </c>
      <c r="H1397" s="63">
        <v>1</v>
      </c>
    </row>
    <row r="1398" spans="1:8" x14ac:dyDescent="0.55000000000000004">
      <c r="A1398" s="61" t="s">
        <v>6778</v>
      </c>
      <c r="B1398" t="s">
        <v>1847</v>
      </c>
      <c r="C1398">
        <v>8710</v>
      </c>
      <c r="D1398" t="s">
        <v>6359</v>
      </c>
      <c r="E1398" t="s">
        <v>6368</v>
      </c>
      <c r="F1398" t="s">
        <v>6361</v>
      </c>
      <c r="G1398" s="43">
        <v>0</v>
      </c>
      <c r="H1398" s="63">
        <v>0.9</v>
      </c>
    </row>
    <row r="1399" spans="1:8" x14ac:dyDescent="0.55000000000000004">
      <c r="A1399" s="61" t="s">
        <v>6778</v>
      </c>
      <c r="B1399" t="s">
        <v>1847</v>
      </c>
      <c r="C1399">
        <v>8710</v>
      </c>
      <c r="D1399" t="s">
        <v>6363</v>
      </c>
      <c r="E1399" t="s">
        <v>6364</v>
      </c>
      <c r="F1399" t="s">
        <v>6361</v>
      </c>
      <c r="G1399" s="43">
        <v>0</v>
      </c>
      <c r="H1399" s="63">
        <v>0.1</v>
      </c>
    </row>
    <row r="1400" spans="1:8" x14ac:dyDescent="0.55000000000000004">
      <c r="A1400" s="61" t="s">
        <v>6778</v>
      </c>
      <c r="B1400" t="s">
        <v>1847</v>
      </c>
      <c r="C1400">
        <v>8710</v>
      </c>
      <c r="D1400" t="s">
        <v>6362</v>
      </c>
      <c r="E1400" t="s">
        <v>6358</v>
      </c>
      <c r="F1400" t="s">
        <v>6358</v>
      </c>
      <c r="G1400" s="43">
        <v>8.1900000000000001E-2</v>
      </c>
      <c r="H1400" s="63">
        <v>1</v>
      </c>
    </row>
    <row r="1401" spans="1:8" x14ac:dyDescent="0.55000000000000004">
      <c r="A1401" s="61" t="s">
        <v>6778</v>
      </c>
      <c r="B1401" t="s">
        <v>1847</v>
      </c>
      <c r="C1401">
        <v>8710</v>
      </c>
      <c r="D1401" t="s">
        <v>6365</v>
      </c>
      <c r="E1401" t="s">
        <v>6366</v>
      </c>
      <c r="F1401" t="s">
        <v>6361</v>
      </c>
      <c r="G1401" s="43">
        <v>0</v>
      </c>
      <c r="H1401" s="63">
        <v>-0.1</v>
      </c>
    </row>
    <row r="1402" spans="1:8" x14ac:dyDescent="0.55000000000000004">
      <c r="A1402" s="61" t="s">
        <v>6779</v>
      </c>
      <c r="B1402" t="s">
        <v>1847</v>
      </c>
      <c r="C1402">
        <v>9204</v>
      </c>
      <c r="D1402" t="s">
        <v>6359</v>
      </c>
      <c r="E1402" t="s">
        <v>6369</v>
      </c>
      <c r="F1402" t="s">
        <v>6361</v>
      </c>
      <c r="G1402" s="43">
        <v>0</v>
      </c>
      <c r="H1402" s="63">
        <v>0.9</v>
      </c>
    </row>
    <row r="1403" spans="1:8" x14ac:dyDescent="0.55000000000000004">
      <c r="A1403" s="61" t="s">
        <v>6779</v>
      </c>
      <c r="B1403" t="s">
        <v>1847</v>
      </c>
      <c r="C1403">
        <v>9204</v>
      </c>
      <c r="D1403" t="s">
        <v>6363</v>
      </c>
      <c r="E1403" t="s">
        <v>6364</v>
      </c>
      <c r="F1403" t="s">
        <v>6361</v>
      </c>
      <c r="G1403" s="43">
        <v>0</v>
      </c>
      <c r="H1403" s="63">
        <v>0.1</v>
      </c>
    </row>
    <row r="1404" spans="1:8" x14ac:dyDescent="0.55000000000000004">
      <c r="A1404" s="61" t="s">
        <v>6779</v>
      </c>
      <c r="B1404" t="s">
        <v>1847</v>
      </c>
      <c r="C1404">
        <v>9204</v>
      </c>
      <c r="D1404" t="s">
        <v>6362</v>
      </c>
      <c r="E1404" t="s">
        <v>6358</v>
      </c>
      <c r="F1404" t="s">
        <v>6358</v>
      </c>
      <c r="G1404" s="43">
        <v>8.1900000000000001E-2</v>
      </c>
      <c r="H1404" s="63">
        <v>1</v>
      </c>
    </row>
    <row r="1405" spans="1:8" x14ac:dyDescent="0.55000000000000004">
      <c r="A1405" s="61" t="s">
        <v>6779</v>
      </c>
      <c r="B1405" t="s">
        <v>1847</v>
      </c>
      <c r="C1405">
        <v>9204</v>
      </c>
      <c r="D1405" t="s">
        <v>6365</v>
      </c>
      <c r="E1405" t="s">
        <v>6366</v>
      </c>
      <c r="F1405" t="s">
        <v>6361</v>
      </c>
      <c r="G1405" s="43">
        <v>0</v>
      </c>
      <c r="H1405" s="63">
        <v>-0.1</v>
      </c>
    </row>
    <row r="1406" spans="1:8" x14ac:dyDescent="0.55000000000000004">
      <c r="A1406" s="61" t="s">
        <v>6780</v>
      </c>
      <c r="B1406" t="s">
        <v>1847</v>
      </c>
      <c r="C1406">
        <v>9310</v>
      </c>
      <c r="D1406" t="s">
        <v>6359</v>
      </c>
      <c r="E1406" t="s">
        <v>6369</v>
      </c>
      <c r="F1406" t="s">
        <v>6361</v>
      </c>
      <c r="G1406" s="43">
        <v>0</v>
      </c>
      <c r="H1406" s="63">
        <v>0.9</v>
      </c>
    </row>
    <row r="1407" spans="1:8" x14ac:dyDescent="0.55000000000000004">
      <c r="A1407" s="61" t="s">
        <v>6780</v>
      </c>
      <c r="B1407" t="s">
        <v>1847</v>
      </c>
      <c r="C1407">
        <v>9310</v>
      </c>
      <c r="D1407" t="s">
        <v>6363</v>
      </c>
      <c r="E1407" t="s">
        <v>6364</v>
      </c>
      <c r="F1407" t="s">
        <v>6361</v>
      </c>
      <c r="G1407" s="43">
        <v>0</v>
      </c>
      <c r="H1407" s="63">
        <v>0.1</v>
      </c>
    </row>
    <row r="1408" spans="1:8" x14ac:dyDescent="0.55000000000000004">
      <c r="A1408" s="61" t="s">
        <v>6780</v>
      </c>
      <c r="B1408" t="s">
        <v>1847</v>
      </c>
      <c r="C1408">
        <v>9310</v>
      </c>
      <c r="D1408" t="s">
        <v>6362</v>
      </c>
      <c r="E1408" t="s">
        <v>6358</v>
      </c>
      <c r="F1408" t="s">
        <v>6358</v>
      </c>
      <c r="G1408" s="43">
        <v>8.1900000000000001E-2</v>
      </c>
      <c r="H1408" s="63">
        <v>1</v>
      </c>
    </row>
    <row r="1409" spans="1:8" x14ac:dyDescent="0.55000000000000004">
      <c r="A1409" s="61" t="s">
        <v>6780</v>
      </c>
      <c r="B1409" t="s">
        <v>1847</v>
      </c>
      <c r="C1409">
        <v>9310</v>
      </c>
      <c r="D1409" t="s">
        <v>6365</v>
      </c>
      <c r="E1409" t="s">
        <v>6366</v>
      </c>
      <c r="F1409" t="s">
        <v>6361</v>
      </c>
      <c r="G1409" s="43">
        <v>0</v>
      </c>
      <c r="H1409" s="63">
        <v>-0.1</v>
      </c>
    </row>
    <row r="1410" spans="1:8" x14ac:dyDescent="0.55000000000000004">
      <c r="A1410" s="61" t="s">
        <v>6781</v>
      </c>
      <c r="B1410" t="s">
        <v>3720</v>
      </c>
      <c r="C1410">
        <v>8712</v>
      </c>
      <c r="D1410" t="s">
        <v>6359</v>
      </c>
      <c r="E1410" t="s">
        <v>6391</v>
      </c>
      <c r="F1410" t="s">
        <v>6361</v>
      </c>
      <c r="G1410" s="43">
        <v>0</v>
      </c>
      <c r="H1410" s="63">
        <v>0.9</v>
      </c>
    </row>
    <row r="1411" spans="1:8" x14ac:dyDescent="0.55000000000000004">
      <c r="A1411" s="61" t="s">
        <v>6781</v>
      </c>
      <c r="B1411" t="s">
        <v>3720</v>
      </c>
      <c r="C1411">
        <v>8712</v>
      </c>
      <c r="D1411" t="s">
        <v>6363</v>
      </c>
      <c r="E1411" t="s">
        <v>6364</v>
      </c>
      <c r="F1411" t="s">
        <v>6361</v>
      </c>
      <c r="G1411" s="43">
        <v>0</v>
      </c>
      <c r="H1411" s="63">
        <v>0.1</v>
      </c>
    </row>
    <row r="1412" spans="1:8" x14ac:dyDescent="0.55000000000000004">
      <c r="A1412" s="61" t="s">
        <v>6781</v>
      </c>
      <c r="B1412" t="s">
        <v>3720</v>
      </c>
      <c r="C1412">
        <v>8712</v>
      </c>
      <c r="D1412" t="s">
        <v>6362</v>
      </c>
      <c r="E1412" t="s">
        <v>6358</v>
      </c>
      <c r="F1412" t="s">
        <v>6358</v>
      </c>
      <c r="G1412" s="43">
        <v>6.5500000000000003E-2</v>
      </c>
      <c r="H1412" s="63">
        <v>1</v>
      </c>
    </row>
    <row r="1413" spans="1:8" x14ac:dyDescent="0.55000000000000004">
      <c r="A1413" s="61" t="s">
        <v>6781</v>
      </c>
      <c r="B1413" t="s">
        <v>3720</v>
      </c>
      <c r="C1413">
        <v>8712</v>
      </c>
      <c r="D1413" t="s">
        <v>6365</v>
      </c>
      <c r="E1413" t="s">
        <v>6366</v>
      </c>
      <c r="F1413" t="s">
        <v>6361</v>
      </c>
      <c r="G1413" s="43">
        <v>0</v>
      </c>
      <c r="H1413" s="63">
        <v>-0.1</v>
      </c>
    </row>
    <row r="1414" spans="1:8" x14ac:dyDescent="0.55000000000000004">
      <c r="A1414" s="61" t="s">
        <v>6782</v>
      </c>
      <c r="B1414" t="s">
        <v>3720</v>
      </c>
      <c r="C1414">
        <v>8713</v>
      </c>
      <c r="D1414" t="s">
        <v>6359</v>
      </c>
      <c r="E1414" t="s">
        <v>6391</v>
      </c>
      <c r="F1414" t="s">
        <v>6361</v>
      </c>
      <c r="G1414" s="43">
        <v>0</v>
      </c>
      <c r="H1414" s="63">
        <v>0.9</v>
      </c>
    </row>
    <row r="1415" spans="1:8" x14ac:dyDescent="0.55000000000000004">
      <c r="A1415" s="61" t="s">
        <v>6782</v>
      </c>
      <c r="B1415" t="s">
        <v>3720</v>
      </c>
      <c r="C1415">
        <v>8713</v>
      </c>
      <c r="D1415" t="s">
        <v>6363</v>
      </c>
      <c r="E1415" t="s">
        <v>6364</v>
      </c>
      <c r="F1415" t="s">
        <v>6361</v>
      </c>
      <c r="G1415" s="43">
        <v>0</v>
      </c>
      <c r="H1415" s="63">
        <v>0.1</v>
      </c>
    </row>
    <row r="1416" spans="1:8" x14ac:dyDescent="0.55000000000000004">
      <c r="A1416" s="61" t="s">
        <v>6782</v>
      </c>
      <c r="B1416" t="s">
        <v>3720</v>
      </c>
      <c r="C1416">
        <v>8713</v>
      </c>
      <c r="D1416" t="s">
        <v>6362</v>
      </c>
      <c r="E1416" t="s">
        <v>6358</v>
      </c>
      <c r="F1416" t="s">
        <v>6358</v>
      </c>
      <c r="G1416" s="43">
        <v>6.5500000000000003E-2</v>
      </c>
      <c r="H1416" s="63">
        <v>1</v>
      </c>
    </row>
    <row r="1417" spans="1:8" x14ac:dyDescent="0.55000000000000004">
      <c r="A1417" s="61" t="s">
        <v>6782</v>
      </c>
      <c r="B1417" t="s">
        <v>3720</v>
      </c>
      <c r="C1417">
        <v>8713</v>
      </c>
      <c r="D1417" t="s">
        <v>6365</v>
      </c>
      <c r="E1417" t="s">
        <v>6366</v>
      </c>
      <c r="F1417" t="s">
        <v>6361</v>
      </c>
      <c r="G1417" s="43">
        <v>0</v>
      </c>
      <c r="H1417" s="63">
        <v>-0.1</v>
      </c>
    </row>
    <row r="1418" spans="1:8" x14ac:dyDescent="0.55000000000000004">
      <c r="A1418" s="61" t="s">
        <v>6783</v>
      </c>
      <c r="B1418" t="s">
        <v>3720</v>
      </c>
      <c r="C1418">
        <v>9308</v>
      </c>
      <c r="D1418" t="s">
        <v>6359</v>
      </c>
      <c r="E1418" t="s">
        <v>6392</v>
      </c>
      <c r="F1418" t="s">
        <v>6361</v>
      </c>
      <c r="G1418" s="43">
        <v>0</v>
      </c>
      <c r="H1418" s="63">
        <v>0.9</v>
      </c>
    </row>
    <row r="1419" spans="1:8" x14ac:dyDescent="0.55000000000000004">
      <c r="A1419" s="61" t="s">
        <v>6783</v>
      </c>
      <c r="B1419" t="s">
        <v>3720</v>
      </c>
      <c r="C1419">
        <v>9308</v>
      </c>
      <c r="D1419" t="s">
        <v>6363</v>
      </c>
      <c r="E1419" t="s">
        <v>6364</v>
      </c>
      <c r="F1419" t="s">
        <v>6361</v>
      </c>
      <c r="G1419" s="43">
        <v>0</v>
      </c>
      <c r="H1419" s="63">
        <v>0.1</v>
      </c>
    </row>
    <row r="1420" spans="1:8" x14ac:dyDescent="0.55000000000000004">
      <c r="A1420" s="61" t="s">
        <v>6783</v>
      </c>
      <c r="B1420" t="s">
        <v>3720</v>
      </c>
      <c r="C1420">
        <v>9308</v>
      </c>
      <c r="D1420" t="s">
        <v>6362</v>
      </c>
      <c r="E1420" t="s">
        <v>6358</v>
      </c>
      <c r="F1420" t="s">
        <v>6358</v>
      </c>
      <c r="G1420" s="43">
        <v>6.5500000000000003E-2</v>
      </c>
      <c r="H1420" s="63">
        <v>1</v>
      </c>
    </row>
    <row r="1421" spans="1:8" x14ac:dyDescent="0.55000000000000004">
      <c r="A1421" s="61" t="s">
        <v>6783</v>
      </c>
      <c r="B1421" t="s">
        <v>3720</v>
      </c>
      <c r="C1421">
        <v>9308</v>
      </c>
      <c r="D1421" t="s">
        <v>6365</v>
      </c>
      <c r="E1421" t="s">
        <v>6366</v>
      </c>
      <c r="F1421" t="s">
        <v>6361</v>
      </c>
      <c r="G1421" s="43">
        <v>0</v>
      </c>
      <c r="H1421" s="63">
        <v>-0.1</v>
      </c>
    </row>
    <row r="1422" spans="1:8" x14ac:dyDescent="0.55000000000000004">
      <c r="A1422" s="61" t="s">
        <v>6784</v>
      </c>
      <c r="B1422" t="s">
        <v>3720</v>
      </c>
      <c r="C1422">
        <v>9309</v>
      </c>
      <c r="D1422" t="s">
        <v>6359</v>
      </c>
      <c r="E1422" t="s">
        <v>6392</v>
      </c>
      <c r="F1422" t="s">
        <v>6361</v>
      </c>
      <c r="G1422" s="43">
        <v>0</v>
      </c>
      <c r="H1422" s="63">
        <v>0.9</v>
      </c>
    </row>
    <row r="1423" spans="1:8" x14ac:dyDescent="0.55000000000000004">
      <c r="A1423" s="61" t="s">
        <v>6784</v>
      </c>
      <c r="B1423" t="s">
        <v>3720</v>
      </c>
      <c r="C1423">
        <v>9309</v>
      </c>
      <c r="D1423" t="s">
        <v>6363</v>
      </c>
      <c r="E1423" t="s">
        <v>6364</v>
      </c>
      <c r="F1423" t="s">
        <v>6361</v>
      </c>
      <c r="G1423" s="43">
        <v>0</v>
      </c>
      <c r="H1423" s="63">
        <v>0.1</v>
      </c>
    </row>
    <row r="1424" spans="1:8" x14ac:dyDescent="0.55000000000000004">
      <c r="A1424" s="61" t="s">
        <v>6784</v>
      </c>
      <c r="B1424" t="s">
        <v>3720</v>
      </c>
      <c r="C1424">
        <v>9309</v>
      </c>
      <c r="D1424" t="s">
        <v>6362</v>
      </c>
      <c r="E1424" t="s">
        <v>6358</v>
      </c>
      <c r="F1424" t="s">
        <v>6358</v>
      </c>
      <c r="G1424" s="43">
        <v>6.5500000000000003E-2</v>
      </c>
      <c r="H1424" s="63">
        <v>1</v>
      </c>
    </row>
    <row r="1425" spans="1:8" x14ac:dyDescent="0.55000000000000004">
      <c r="A1425" s="61" t="s">
        <v>6784</v>
      </c>
      <c r="B1425" t="s">
        <v>3720</v>
      </c>
      <c r="C1425">
        <v>9309</v>
      </c>
      <c r="D1425" t="s">
        <v>6365</v>
      </c>
      <c r="E1425" t="s">
        <v>6366</v>
      </c>
      <c r="F1425" t="s">
        <v>6361</v>
      </c>
      <c r="G1425" s="43">
        <v>0</v>
      </c>
      <c r="H1425" s="63">
        <v>-0.1</v>
      </c>
    </row>
    <row r="1426" spans="1:8" x14ac:dyDescent="0.55000000000000004">
      <c r="A1426" s="61" t="s">
        <v>6785</v>
      </c>
      <c r="B1426" t="s">
        <v>5145</v>
      </c>
      <c r="C1426">
        <v>8708</v>
      </c>
      <c r="D1426" t="s">
        <v>6359</v>
      </c>
      <c r="E1426" t="s">
        <v>6370</v>
      </c>
      <c r="F1426" t="s">
        <v>6361</v>
      </c>
      <c r="G1426" s="43">
        <v>0</v>
      </c>
      <c r="H1426" s="63">
        <v>0.9</v>
      </c>
    </row>
    <row r="1427" spans="1:8" x14ac:dyDescent="0.55000000000000004">
      <c r="A1427" s="61" t="s">
        <v>6785</v>
      </c>
      <c r="B1427" t="s">
        <v>5145</v>
      </c>
      <c r="C1427">
        <v>8708</v>
      </c>
      <c r="D1427" t="s">
        <v>6363</v>
      </c>
      <c r="E1427" t="s">
        <v>6364</v>
      </c>
      <c r="F1427" t="s">
        <v>6361</v>
      </c>
      <c r="G1427" s="43">
        <v>0</v>
      </c>
      <c r="H1427" s="63">
        <v>0.1</v>
      </c>
    </row>
    <row r="1428" spans="1:8" x14ac:dyDescent="0.55000000000000004">
      <c r="A1428" s="61" t="s">
        <v>6785</v>
      </c>
      <c r="B1428" t="s">
        <v>5145</v>
      </c>
      <c r="C1428">
        <v>8708</v>
      </c>
      <c r="D1428" t="s">
        <v>6362</v>
      </c>
      <c r="E1428" t="s">
        <v>6358</v>
      </c>
      <c r="F1428" t="s">
        <v>6358</v>
      </c>
      <c r="G1428" s="43">
        <v>8.2199999999999995E-2</v>
      </c>
      <c r="H1428" s="63">
        <v>1</v>
      </c>
    </row>
    <row r="1429" spans="1:8" x14ac:dyDescent="0.55000000000000004">
      <c r="A1429" s="61" t="s">
        <v>6785</v>
      </c>
      <c r="B1429" t="s">
        <v>5145</v>
      </c>
      <c r="C1429">
        <v>8708</v>
      </c>
      <c r="D1429" t="s">
        <v>6365</v>
      </c>
      <c r="E1429" t="s">
        <v>6366</v>
      </c>
      <c r="F1429" t="s">
        <v>6361</v>
      </c>
      <c r="G1429" s="43">
        <v>0</v>
      </c>
      <c r="H1429" s="63">
        <v>-0.1</v>
      </c>
    </row>
    <row r="1430" spans="1:8" x14ac:dyDescent="0.55000000000000004">
      <c r="A1430" s="61" t="s">
        <v>6786</v>
      </c>
      <c r="B1430" t="s">
        <v>5145</v>
      </c>
      <c r="C1430">
        <v>8710</v>
      </c>
      <c r="D1430" t="s">
        <v>6359</v>
      </c>
      <c r="E1430" t="s">
        <v>6370</v>
      </c>
      <c r="F1430" t="s">
        <v>6361</v>
      </c>
      <c r="G1430" s="43">
        <v>0</v>
      </c>
      <c r="H1430" s="63">
        <v>0.9</v>
      </c>
    </row>
    <row r="1431" spans="1:8" x14ac:dyDescent="0.55000000000000004">
      <c r="A1431" s="61" t="s">
        <v>6786</v>
      </c>
      <c r="B1431" t="s">
        <v>5145</v>
      </c>
      <c r="C1431">
        <v>8710</v>
      </c>
      <c r="D1431" t="s">
        <v>6363</v>
      </c>
      <c r="E1431" t="s">
        <v>6364</v>
      </c>
      <c r="F1431" t="s">
        <v>6361</v>
      </c>
      <c r="G1431" s="43">
        <v>0</v>
      </c>
      <c r="H1431" s="63">
        <v>0.1</v>
      </c>
    </row>
    <row r="1432" spans="1:8" x14ac:dyDescent="0.55000000000000004">
      <c r="A1432" s="61" t="s">
        <v>6786</v>
      </c>
      <c r="B1432" t="s">
        <v>5145</v>
      </c>
      <c r="C1432">
        <v>8710</v>
      </c>
      <c r="D1432" t="s">
        <v>6362</v>
      </c>
      <c r="E1432" t="s">
        <v>6358</v>
      </c>
      <c r="F1432" t="s">
        <v>6358</v>
      </c>
      <c r="G1432" s="43">
        <v>8.2199999999999995E-2</v>
      </c>
      <c r="H1432" s="63">
        <v>1</v>
      </c>
    </row>
    <row r="1433" spans="1:8" x14ac:dyDescent="0.55000000000000004">
      <c r="A1433" s="61" t="s">
        <v>6786</v>
      </c>
      <c r="B1433" t="s">
        <v>5145</v>
      </c>
      <c r="C1433">
        <v>8710</v>
      </c>
      <c r="D1433" t="s">
        <v>6365</v>
      </c>
      <c r="E1433" t="s">
        <v>6366</v>
      </c>
      <c r="F1433" t="s">
        <v>6361</v>
      </c>
      <c r="G1433" s="43">
        <v>0</v>
      </c>
      <c r="H1433" s="63">
        <v>-0.1</v>
      </c>
    </row>
    <row r="1434" spans="1:8" x14ac:dyDescent="0.55000000000000004">
      <c r="A1434" s="61" t="s">
        <v>6787</v>
      </c>
      <c r="B1434" t="s">
        <v>5145</v>
      </c>
      <c r="C1434">
        <v>8711</v>
      </c>
      <c r="D1434" t="s">
        <v>6359</v>
      </c>
      <c r="E1434" t="s">
        <v>6372</v>
      </c>
      <c r="F1434" t="s">
        <v>6361</v>
      </c>
      <c r="G1434" s="43">
        <v>0</v>
      </c>
      <c r="H1434" s="63">
        <v>0.9</v>
      </c>
    </row>
    <row r="1435" spans="1:8" x14ac:dyDescent="0.55000000000000004">
      <c r="A1435" s="61" t="s">
        <v>6787</v>
      </c>
      <c r="B1435" t="s">
        <v>5145</v>
      </c>
      <c r="C1435">
        <v>8711</v>
      </c>
      <c r="D1435" t="s">
        <v>6363</v>
      </c>
      <c r="E1435" t="s">
        <v>6364</v>
      </c>
      <c r="F1435" t="s">
        <v>6361</v>
      </c>
      <c r="G1435" s="43">
        <v>0</v>
      </c>
      <c r="H1435" s="63">
        <v>0.1</v>
      </c>
    </row>
    <row r="1436" spans="1:8" x14ac:dyDescent="0.55000000000000004">
      <c r="A1436" s="61" t="s">
        <v>6787</v>
      </c>
      <c r="B1436" t="s">
        <v>5145</v>
      </c>
      <c r="C1436">
        <v>8711</v>
      </c>
      <c r="D1436" t="s">
        <v>6362</v>
      </c>
      <c r="E1436" t="s">
        <v>6358</v>
      </c>
      <c r="F1436" t="s">
        <v>6358</v>
      </c>
      <c r="G1436" s="43">
        <v>8.2199999999999995E-2</v>
      </c>
      <c r="H1436" s="63">
        <v>1</v>
      </c>
    </row>
    <row r="1437" spans="1:8" x14ac:dyDescent="0.55000000000000004">
      <c r="A1437" s="61" t="s">
        <v>6787</v>
      </c>
      <c r="B1437" t="s">
        <v>5145</v>
      </c>
      <c r="C1437">
        <v>8711</v>
      </c>
      <c r="D1437" t="s">
        <v>6365</v>
      </c>
      <c r="E1437" t="s">
        <v>6366</v>
      </c>
      <c r="F1437" t="s">
        <v>6361</v>
      </c>
      <c r="G1437" s="43">
        <v>0</v>
      </c>
      <c r="H1437" s="63">
        <v>-0.1</v>
      </c>
    </row>
    <row r="1438" spans="1:8" x14ac:dyDescent="0.55000000000000004">
      <c r="A1438" s="61" t="s">
        <v>6788</v>
      </c>
      <c r="B1438" t="s">
        <v>5145</v>
      </c>
      <c r="C1438">
        <v>8713</v>
      </c>
      <c r="D1438" t="s">
        <v>6359</v>
      </c>
      <c r="E1438" t="s">
        <v>6372</v>
      </c>
      <c r="F1438" t="s">
        <v>6361</v>
      </c>
      <c r="G1438" s="43">
        <v>0</v>
      </c>
      <c r="H1438" s="63">
        <v>0.9</v>
      </c>
    </row>
    <row r="1439" spans="1:8" x14ac:dyDescent="0.55000000000000004">
      <c r="A1439" s="61" t="s">
        <v>6788</v>
      </c>
      <c r="B1439" t="s">
        <v>5145</v>
      </c>
      <c r="C1439">
        <v>8713</v>
      </c>
      <c r="D1439" t="s">
        <v>6363</v>
      </c>
      <c r="E1439" t="s">
        <v>6364</v>
      </c>
      <c r="F1439" t="s">
        <v>6361</v>
      </c>
      <c r="G1439" s="43">
        <v>0</v>
      </c>
      <c r="H1439" s="63">
        <v>0.1</v>
      </c>
    </row>
    <row r="1440" spans="1:8" x14ac:dyDescent="0.55000000000000004">
      <c r="A1440" s="61" t="s">
        <v>6788</v>
      </c>
      <c r="B1440" t="s">
        <v>5145</v>
      </c>
      <c r="C1440">
        <v>8713</v>
      </c>
      <c r="D1440" t="s">
        <v>6362</v>
      </c>
      <c r="E1440" t="s">
        <v>6358</v>
      </c>
      <c r="F1440" t="s">
        <v>6358</v>
      </c>
      <c r="G1440" s="43">
        <v>8.2199999999999995E-2</v>
      </c>
      <c r="H1440" s="63">
        <v>1</v>
      </c>
    </row>
    <row r="1441" spans="1:8" x14ac:dyDescent="0.55000000000000004">
      <c r="A1441" s="61" t="s">
        <v>6788</v>
      </c>
      <c r="B1441" t="s">
        <v>5145</v>
      </c>
      <c r="C1441">
        <v>8713</v>
      </c>
      <c r="D1441" t="s">
        <v>6365</v>
      </c>
      <c r="E1441" t="s">
        <v>6366</v>
      </c>
      <c r="F1441" t="s">
        <v>6361</v>
      </c>
      <c r="G1441" s="43">
        <v>0</v>
      </c>
      <c r="H1441" s="63">
        <v>-0.1</v>
      </c>
    </row>
    <row r="1442" spans="1:8" x14ac:dyDescent="0.55000000000000004">
      <c r="A1442" s="61" t="s">
        <v>6789</v>
      </c>
      <c r="B1442" t="s">
        <v>5145</v>
      </c>
      <c r="C1442">
        <v>9305</v>
      </c>
      <c r="D1442" t="s">
        <v>6359</v>
      </c>
      <c r="E1442" t="s">
        <v>6371</v>
      </c>
      <c r="F1442" t="s">
        <v>6361</v>
      </c>
      <c r="G1442" s="43">
        <v>0</v>
      </c>
      <c r="H1442" s="63">
        <v>0.9</v>
      </c>
    </row>
    <row r="1443" spans="1:8" x14ac:dyDescent="0.55000000000000004">
      <c r="A1443" s="61" t="s">
        <v>6789</v>
      </c>
      <c r="B1443" t="s">
        <v>5145</v>
      </c>
      <c r="C1443">
        <v>9305</v>
      </c>
      <c r="D1443" t="s">
        <v>6363</v>
      </c>
      <c r="E1443" t="s">
        <v>6364</v>
      </c>
      <c r="F1443" t="s">
        <v>6361</v>
      </c>
      <c r="G1443" s="43">
        <v>0</v>
      </c>
      <c r="H1443" s="63">
        <v>0.1</v>
      </c>
    </row>
    <row r="1444" spans="1:8" x14ac:dyDescent="0.55000000000000004">
      <c r="A1444" s="61" t="s">
        <v>6789</v>
      </c>
      <c r="B1444" t="s">
        <v>5145</v>
      </c>
      <c r="C1444">
        <v>9305</v>
      </c>
      <c r="D1444" t="s">
        <v>6362</v>
      </c>
      <c r="E1444" t="s">
        <v>6358</v>
      </c>
      <c r="F1444" t="s">
        <v>6358</v>
      </c>
      <c r="G1444" s="43">
        <v>8.2199999999999995E-2</v>
      </c>
      <c r="H1444" s="63">
        <v>1</v>
      </c>
    </row>
    <row r="1445" spans="1:8" x14ac:dyDescent="0.55000000000000004">
      <c r="A1445" s="61" t="s">
        <v>6789</v>
      </c>
      <c r="B1445" t="s">
        <v>5145</v>
      </c>
      <c r="C1445">
        <v>9305</v>
      </c>
      <c r="D1445" t="s">
        <v>6365</v>
      </c>
      <c r="E1445" t="s">
        <v>6366</v>
      </c>
      <c r="F1445" t="s">
        <v>6361</v>
      </c>
      <c r="G1445" s="43">
        <v>0</v>
      </c>
      <c r="H1445" s="63">
        <v>-0.1</v>
      </c>
    </row>
    <row r="1446" spans="1:8" x14ac:dyDescent="0.55000000000000004">
      <c r="A1446" s="61" t="s">
        <v>6790</v>
      </c>
      <c r="B1446" t="s">
        <v>5145</v>
      </c>
      <c r="C1446">
        <v>9307</v>
      </c>
      <c r="D1446" t="s">
        <v>6359</v>
      </c>
      <c r="E1446" t="s">
        <v>6373</v>
      </c>
      <c r="F1446" t="s">
        <v>6361</v>
      </c>
      <c r="G1446" s="43">
        <v>0</v>
      </c>
      <c r="H1446" s="63">
        <v>0.9</v>
      </c>
    </row>
    <row r="1447" spans="1:8" x14ac:dyDescent="0.55000000000000004">
      <c r="A1447" s="61" t="s">
        <v>6790</v>
      </c>
      <c r="B1447" t="s">
        <v>5145</v>
      </c>
      <c r="C1447">
        <v>9307</v>
      </c>
      <c r="D1447" t="s">
        <v>6363</v>
      </c>
      <c r="E1447" t="s">
        <v>6364</v>
      </c>
      <c r="F1447" t="s">
        <v>6361</v>
      </c>
      <c r="G1447" s="43">
        <v>0</v>
      </c>
      <c r="H1447" s="63">
        <v>0.1</v>
      </c>
    </row>
    <row r="1448" spans="1:8" x14ac:dyDescent="0.55000000000000004">
      <c r="A1448" s="61" t="s">
        <v>6790</v>
      </c>
      <c r="B1448" t="s">
        <v>5145</v>
      </c>
      <c r="C1448">
        <v>9307</v>
      </c>
      <c r="D1448" t="s">
        <v>6362</v>
      </c>
      <c r="E1448" t="s">
        <v>6358</v>
      </c>
      <c r="F1448" t="s">
        <v>6358</v>
      </c>
      <c r="G1448" s="43">
        <v>8.2199999999999995E-2</v>
      </c>
      <c r="H1448" s="63">
        <v>1</v>
      </c>
    </row>
    <row r="1449" spans="1:8" x14ac:dyDescent="0.55000000000000004">
      <c r="A1449" s="61" t="s">
        <v>6790</v>
      </c>
      <c r="B1449" t="s">
        <v>5145</v>
      </c>
      <c r="C1449">
        <v>9307</v>
      </c>
      <c r="D1449" t="s">
        <v>6365</v>
      </c>
      <c r="E1449" t="s">
        <v>6366</v>
      </c>
      <c r="F1449" t="s">
        <v>6361</v>
      </c>
      <c r="G1449" s="43">
        <v>0</v>
      </c>
      <c r="H1449" s="63">
        <v>-0.1</v>
      </c>
    </row>
    <row r="1450" spans="1:8" x14ac:dyDescent="0.55000000000000004">
      <c r="A1450" s="61" t="s">
        <v>6791</v>
      </c>
      <c r="B1450" t="s">
        <v>5145</v>
      </c>
      <c r="C1450">
        <v>9309</v>
      </c>
      <c r="D1450" t="s">
        <v>6359</v>
      </c>
      <c r="E1450" t="s">
        <v>6373</v>
      </c>
      <c r="F1450" t="s">
        <v>6361</v>
      </c>
      <c r="G1450" s="43">
        <v>0</v>
      </c>
      <c r="H1450" s="63">
        <v>0.9</v>
      </c>
    </row>
    <row r="1451" spans="1:8" x14ac:dyDescent="0.55000000000000004">
      <c r="A1451" s="61" t="s">
        <v>6791</v>
      </c>
      <c r="B1451" t="s">
        <v>5145</v>
      </c>
      <c r="C1451">
        <v>9309</v>
      </c>
      <c r="D1451" t="s">
        <v>6363</v>
      </c>
      <c r="E1451" t="s">
        <v>6364</v>
      </c>
      <c r="F1451" t="s">
        <v>6361</v>
      </c>
      <c r="G1451" s="43">
        <v>0</v>
      </c>
      <c r="H1451" s="63">
        <v>0.1</v>
      </c>
    </row>
    <row r="1452" spans="1:8" x14ac:dyDescent="0.55000000000000004">
      <c r="A1452" s="61" t="s">
        <v>6791</v>
      </c>
      <c r="B1452" t="s">
        <v>5145</v>
      </c>
      <c r="C1452">
        <v>9309</v>
      </c>
      <c r="D1452" t="s">
        <v>6362</v>
      </c>
      <c r="E1452" t="s">
        <v>6358</v>
      </c>
      <c r="F1452" t="s">
        <v>6358</v>
      </c>
      <c r="G1452" s="43">
        <v>8.2199999999999995E-2</v>
      </c>
      <c r="H1452" s="63">
        <v>1</v>
      </c>
    </row>
    <row r="1453" spans="1:8" x14ac:dyDescent="0.55000000000000004">
      <c r="A1453" s="61" t="s">
        <v>6791</v>
      </c>
      <c r="B1453" t="s">
        <v>5145</v>
      </c>
      <c r="C1453">
        <v>9309</v>
      </c>
      <c r="D1453" t="s">
        <v>6365</v>
      </c>
      <c r="E1453" t="s">
        <v>6366</v>
      </c>
      <c r="F1453" t="s">
        <v>6361</v>
      </c>
      <c r="G1453" s="43">
        <v>0</v>
      </c>
      <c r="H1453" s="63">
        <v>-0.1</v>
      </c>
    </row>
    <row r="1454" spans="1:8" x14ac:dyDescent="0.55000000000000004">
      <c r="A1454" s="61" t="s">
        <v>6792</v>
      </c>
      <c r="B1454" t="s">
        <v>5145</v>
      </c>
      <c r="C1454">
        <v>9310</v>
      </c>
      <c r="D1454" t="s">
        <v>6359</v>
      </c>
      <c r="E1454" t="s">
        <v>6371</v>
      </c>
      <c r="F1454" t="s">
        <v>6361</v>
      </c>
      <c r="G1454" s="43">
        <v>0</v>
      </c>
      <c r="H1454" s="63">
        <v>0.9</v>
      </c>
    </row>
    <row r="1455" spans="1:8" x14ac:dyDescent="0.55000000000000004">
      <c r="A1455" s="61" t="s">
        <v>6792</v>
      </c>
      <c r="B1455" t="s">
        <v>5145</v>
      </c>
      <c r="C1455">
        <v>9310</v>
      </c>
      <c r="D1455" t="s">
        <v>6363</v>
      </c>
      <c r="E1455" t="s">
        <v>6364</v>
      </c>
      <c r="F1455" t="s">
        <v>6361</v>
      </c>
      <c r="G1455" s="43">
        <v>0</v>
      </c>
      <c r="H1455" s="63">
        <v>0.1</v>
      </c>
    </row>
    <row r="1456" spans="1:8" x14ac:dyDescent="0.55000000000000004">
      <c r="A1456" s="61" t="s">
        <v>6792</v>
      </c>
      <c r="B1456" t="s">
        <v>5145</v>
      </c>
      <c r="C1456">
        <v>9310</v>
      </c>
      <c r="D1456" t="s">
        <v>6362</v>
      </c>
      <c r="E1456" t="s">
        <v>6358</v>
      </c>
      <c r="F1456" t="s">
        <v>6358</v>
      </c>
      <c r="G1456" s="43">
        <v>8.2199999999999995E-2</v>
      </c>
      <c r="H1456" s="63">
        <v>1</v>
      </c>
    </row>
    <row r="1457" spans="1:8" x14ac:dyDescent="0.55000000000000004">
      <c r="A1457" s="61" t="s">
        <v>6792</v>
      </c>
      <c r="B1457" t="s">
        <v>5145</v>
      </c>
      <c r="C1457">
        <v>9310</v>
      </c>
      <c r="D1457" t="s">
        <v>6365</v>
      </c>
      <c r="E1457" t="s">
        <v>6366</v>
      </c>
      <c r="F1457" t="s">
        <v>6361</v>
      </c>
      <c r="G1457" s="43">
        <v>0</v>
      </c>
      <c r="H1457" s="63">
        <v>-0.1</v>
      </c>
    </row>
    <row r="1458" spans="1:8" x14ac:dyDescent="0.55000000000000004">
      <c r="A1458" s="61" t="s">
        <v>6793</v>
      </c>
      <c r="B1458" t="s">
        <v>2503</v>
      </c>
      <c r="C1458">
        <v>8710</v>
      </c>
      <c r="D1458" t="s">
        <v>6359</v>
      </c>
      <c r="E1458" t="s">
        <v>6368</v>
      </c>
      <c r="F1458" t="s">
        <v>6361</v>
      </c>
      <c r="G1458" s="43">
        <v>0</v>
      </c>
      <c r="H1458" s="63">
        <v>0.9</v>
      </c>
    </row>
    <row r="1459" spans="1:8" x14ac:dyDescent="0.55000000000000004">
      <c r="A1459" s="61" t="s">
        <v>6793</v>
      </c>
      <c r="B1459" t="s">
        <v>2503</v>
      </c>
      <c r="C1459">
        <v>8710</v>
      </c>
      <c r="D1459" t="s">
        <v>6363</v>
      </c>
      <c r="E1459" t="s">
        <v>6364</v>
      </c>
      <c r="F1459" t="s">
        <v>6361</v>
      </c>
      <c r="G1459" s="43">
        <v>0</v>
      </c>
      <c r="H1459" s="63">
        <v>0.1</v>
      </c>
    </row>
    <row r="1460" spans="1:8" x14ac:dyDescent="0.55000000000000004">
      <c r="A1460" s="61" t="s">
        <v>6793</v>
      </c>
      <c r="B1460" t="s">
        <v>2503</v>
      </c>
      <c r="C1460">
        <v>8710</v>
      </c>
      <c r="D1460" t="s">
        <v>6362</v>
      </c>
      <c r="E1460" t="s">
        <v>6358</v>
      </c>
      <c r="F1460" t="s">
        <v>6358</v>
      </c>
      <c r="G1460" s="43">
        <v>5.8000000000000003E-2</v>
      </c>
      <c r="H1460" s="63">
        <v>1</v>
      </c>
    </row>
    <row r="1461" spans="1:8" x14ac:dyDescent="0.55000000000000004">
      <c r="A1461" s="61" t="s">
        <v>6793</v>
      </c>
      <c r="B1461" t="s">
        <v>2503</v>
      </c>
      <c r="C1461">
        <v>8710</v>
      </c>
      <c r="D1461" t="s">
        <v>6365</v>
      </c>
      <c r="E1461" t="s">
        <v>6366</v>
      </c>
      <c r="F1461" t="s">
        <v>6361</v>
      </c>
      <c r="G1461" s="43">
        <v>0</v>
      </c>
      <c r="H1461" s="63">
        <v>-0.1</v>
      </c>
    </row>
    <row r="1462" spans="1:8" x14ac:dyDescent="0.55000000000000004">
      <c r="A1462" s="61" t="s">
        <v>6794</v>
      </c>
      <c r="B1462" t="s">
        <v>2503</v>
      </c>
      <c r="C1462">
        <v>9204</v>
      </c>
      <c r="D1462" t="s">
        <v>6359</v>
      </c>
      <c r="E1462" t="s">
        <v>6369</v>
      </c>
      <c r="F1462" t="s">
        <v>6361</v>
      </c>
      <c r="G1462" s="43">
        <v>0</v>
      </c>
      <c r="H1462" s="63">
        <v>0.9</v>
      </c>
    </row>
    <row r="1463" spans="1:8" x14ac:dyDescent="0.55000000000000004">
      <c r="A1463" s="61" t="s">
        <v>6794</v>
      </c>
      <c r="B1463" t="s">
        <v>2503</v>
      </c>
      <c r="C1463">
        <v>9204</v>
      </c>
      <c r="D1463" t="s">
        <v>6363</v>
      </c>
      <c r="E1463" t="s">
        <v>6364</v>
      </c>
      <c r="F1463" t="s">
        <v>6361</v>
      </c>
      <c r="G1463" s="43">
        <v>0</v>
      </c>
      <c r="H1463" s="63">
        <v>0.1</v>
      </c>
    </row>
    <row r="1464" spans="1:8" x14ac:dyDescent="0.55000000000000004">
      <c r="A1464" s="61" t="s">
        <v>6794</v>
      </c>
      <c r="B1464" t="s">
        <v>2503</v>
      </c>
      <c r="C1464">
        <v>9204</v>
      </c>
      <c r="D1464" t="s">
        <v>6362</v>
      </c>
      <c r="E1464" t="s">
        <v>6358</v>
      </c>
      <c r="F1464" t="s">
        <v>6358</v>
      </c>
      <c r="G1464" s="43">
        <v>5.8000000000000003E-2</v>
      </c>
      <c r="H1464" s="63">
        <v>1</v>
      </c>
    </row>
    <row r="1465" spans="1:8" x14ac:dyDescent="0.55000000000000004">
      <c r="A1465" s="61" t="s">
        <v>6794</v>
      </c>
      <c r="B1465" t="s">
        <v>2503</v>
      </c>
      <c r="C1465">
        <v>9204</v>
      </c>
      <c r="D1465" t="s">
        <v>6365</v>
      </c>
      <c r="E1465" t="s">
        <v>6366</v>
      </c>
      <c r="F1465" t="s">
        <v>6361</v>
      </c>
      <c r="G1465" s="43">
        <v>0</v>
      </c>
      <c r="H1465" s="63">
        <v>-0.1</v>
      </c>
    </row>
    <row r="1466" spans="1:8" x14ac:dyDescent="0.55000000000000004">
      <c r="A1466" s="61" t="s">
        <v>6795</v>
      </c>
      <c r="B1466" t="s">
        <v>2503</v>
      </c>
      <c r="C1466">
        <v>9310</v>
      </c>
      <c r="D1466" t="s">
        <v>6359</v>
      </c>
      <c r="E1466" t="s">
        <v>6369</v>
      </c>
      <c r="F1466" t="s">
        <v>6361</v>
      </c>
      <c r="G1466" s="43">
        <v>0</v>
      </c>
      <c r="H1466" s="63">
        <v>0.9</v>
      </c>
    </row>
    <row r="1467" spans="1:8" x14ac:dyDescent="0.55000000000000004">
      <c r="A1467" s="61" t="s">
        <v>6795</v>
      </c>
      <c r="B1467" t="s">
        <v>2503</v>
      </c>
      <c r="C1467">
        <v>9310</v>
      </c>
      <c r="D1467" t="s">
        <v>6363</v>
      </c>
      <c r="E1467" t="s">
        <v>6364</v>
      </c>
      <c r="F1467" t="s">
        <v>6361</v>
      </c>
      <c r="G1467" s="43">
        <v>0</v>
      </c>
      <c r="H1467" s="63">
        <v>0.1</v>
      </c>
    </row>
    <row r="1468" spans="1:8" x14ac:dyDescent="0.55000000000000004">
      <c r="A1468" s="61" t="s">
        <v>6795</v>
      </c>
      <c r="B1468" t="s">
        <v>2503</v>
      </c>
      <c r="C1468">
        <v>9310</v>
      </c>
      <c r="D1468" t="s">
        <v>6362</v>
      </c>
      <c r="E1468" t="s">
        <v>6358</v>
      </c>
      <c r="F1468" t="s">
        <v>6358</v>
      </c>
      <c r="G1468" s="43">
        <v>5.8000000000000003E-2</v>
      </c>
      <c r="H1468" s="63">
        <v>1</v>
      </c>
    </row>
    <row r="1469" spans="1:8" x14ac:dyDescent="0.55000000000000004">
      <c r="A1469" s="61" t="s">
        <v>6795</v>
      </c>
      <c r="B1469" t="s">
        <v>2503</v>
      </c>
      <c r="C1469">
        <v>9310</v>
      </c>
      <c r="D1469" t="s">
        <v>6365</v>
      </c>
      <c r="E1469" t="s">
        <v>6366</v>
      </c>
      <c r="F1469" t="s">
        <v>6361</v>
      </c>
      <c r="G1469" s="43">
        <v>0</v>
      </c>
      <c r="H1469" s="63">
        <v>-0.1</v>
      </c>
    </row>
    <row r="1470" spans="1:8" x14ac:dyDescent="0.55000000000000004">
      <c r="A1470" s="61" t="s">
        <v>6796</v>
      </c>
      <c r="B1470" t="s">
        <v>906</v>
      </c>
      <c r="C1470">
        <v>8701</v>
      </c>
      <c r="D1470" t="s">
        <v>6359</v>
      </c>
      <c r="E1470" t="s">
        <v>6370</v>
      </c>
      <c r="F1470" t="s">
        <v>6361</v>
      </c>
      <c r="G1470" s="43">
        <v>0</v>
      </c>
      <c r="H1470" s="63">
        <v>1</v>
      </c>
    </row>
    <row r="1471" spans="1:8" x14ac:dyDescent="0.55000000000000004">
      <c r="A1471" s="61" t="s">
        <v>6796</v>
      </c>
      <c r="B1471" t="s">
        <v>906</v>
      </c>
      <c r="C1471">
        <v>8701</v>
      </c>
      <c r="D1471" t="s">
        <v>6362</v>
      </c>
      <c r="E1471" t="s">
        <v>6358</v>
      </c>
      <c r="F1471" t="s">
        <v>6358</v>
      </c>
      <c r="G1471" s="43">
        <v>0.20150000000000001</v>
      </c>
      <c r="H1471" s="63">
        <v>1</v>
      </c>
    </row>
    <row r="1472" spans="1:8" x14ac:dyDescent="0.55000000000000004">
      <c r="A1472" s="61" t="s">
        <v>6797</v>
      </c>
      <c r="B1472" t="s">
        <v>906</v>
      </c>
      <c r="C1472">
        <v>8710</v>
      </c>
      <c r="D1472" t="s">
        <v>6359</v>
      </c>
      <c r="E1472" t="s">
        <v>6370</v>
      </c>
      <c r="F1472" t="s">
        <v>6361</v>
      </c>
      <c r="G1472" s="43">
        <v>0</v>
      </c>
      <c r="H1472" s="63">
        <v>0.9</v>
      </c>
    </row>
    <row r="1473" spans="1:8" x14ac:dyDescent="0.55000000000000004">
      <c r="A1473" s="61" t="s">
        <v>6797</v>
      </c>
      <c r="B1473" t="s">
        <v>906</v>
      </c>
      <c r="C1473">
        <v>8710</v>
      </c>
      <c r="D1473" t="s">
        <v>6363</v>
      </c>
      <c r="E1473" t="s">
        <v>6364</v>
      </c>
      <c r="F1473" t="s">
        <v>6361</v>
      </c>
      <c r="G1473" s="43">
        <v>0</v>
      </c>
      <c r="H1473" s="63">
        <v>0.1</v>
      </c>
    </row>
    <row r="1474" spans="1:8" x14ac:dyDescent="0.55000000000000004">
      <c r="A1474" s="61" t="s">
        <v>6797</v>
      </c>
      <c r="B1474" t="s">
        <v>906</v>
      </c>
      <c r="C1474">
        <v>8710</v>
      </c>
      <c r="D1474" t="s">
        <v>6362</v>
      </c>
      <c r="E1474" t="s">
        <v>6358</v>
      </c>
      <c r="F1474" t="s">
        <v>6358</v>
      </c>
      <c r="G1474" s="62">
        <v>0.20610000000000001</v>
      </c>
      <c r="H1474" s="63">
        <v>1</v>
      </c>
    </row>
    <row r="1475" spans="1:8" x14ac:dyDescent="0.55000000000000004">
      <c r="A1475" s="61" t="s">
        <v>6797</v>
      </c>
      <c r="B1475" t="s">
        <v>906</v>
      </c>
      <c r="C1475">
        <v>8710</v>
      </c>
      <c r="D1475" t="s">
        <v>6365</v>
      </c>
      <c r="E1475" t="s">
        <v>6366</v>
      </c>
      <c r="F1475" t="s">
        <v>6361</v>
      </c>
      <c r="G1475" s="43">
        <v>0</v>
      </c>
      <c r="H1475" s="63">
        <v>-0.1</v>
      </c>
    </row>
    <row r="1476" spans="1:8" x14ac:dyDescent="0.55000000000000004">
      <c r="A1476" s="61" t="s">
        <v>6798</v>
      </c>
      <c r="B1476" t="s">
        <v>906</v>
      </c>
      <c r="C1476">
        <v>9204</v>
      </c>
      <c r="D1476" t="s">
        <v>6359</v>
      </c>
      <c r="E1476" t="s">
        <v>6371</v>
      </c>
      <c r="F1476" t="s">
        <v>6361</v>
      </c>
      <c r="G1476" s="43">
        <v>0</v>
      </c>
      <c r="H1476" s="63">
        <v>0.9</v>
      </c>
    </row>
    <row r="1477" spans="1:8" x14ac:dyDescent="0.55000000000000004">
      <c r="A1477" s="61" t="s">
        <v>6798</v>
      </c>
      <c r="B1477" t="s">
        <v>906</v>
      </c>
      <c r="C1477">
        <v>9204</v>
      </c>
      <c r="D1477" t="s">
        <v>6363</v>
      </c>
      <c r="E1477" t="s">
        <v>6364</v>
      </c>
      <c r="F1477" t="s">
        <v>6361</v>
      </c>
      <c r="G1477" s="43">
        <v>0</v>
      </c>
      <c r="H1477" s="63">
        <v>0.1</v>
      </c>
    </row>
    <row r="1478" spans="1:8" x14ac:dyDescent="0.55000000000000004">
      <c r="A1478" s="61" t="s">
        <v>6798</v>
      </c>
      <c r="B1478" t="s">
        <v>906</v>
      </c>
      <c r="C1478">
        <v>9204</v>
      </c>
      <c r="D1478" t="s">
        <v>6362</v>
      </c>
      <c r="E1478" t="s">
        <v>6358</v>
      </c>
      <c r="F1478" t="s">
        <v>6358</v>
      </c>
      <c r="G1478" s="62">
        <v>0.20610000000000001</v>
      </c>
      <c r="H1478" s="63">
        <v>1</v>
      </c>
    </row>
    <row r="1479" spans="1:8" x14ac:dyDescent="0.55000000000000004">
      <c r="A1479" s="61" t="s">
        <v>6798</v>
      </c>
      <c r="B1479" t="s">
        <v>906</v>
      </c>
      <c r="C1479">
        <v>9204</v>
      </c>
      <c r="D1479" t="s">
        <v>6365</v>
      </c>
      <c r="E1479" t="s">
        <v>6366</v>
      </c>
      <c r="F1479" t="s">
        <v>6361</v>
      </c>
      <c r="G1479" s="43">
        <v>0</v>
      </c>
      <c r="H1479" s="63">
        <v>-0.1</v>
      </c>
    </row>
    <row r="1480" spans="1:8" x14ac:dyDescent="0.55000000000000004">
      <c r="A1480" s="61" t="s">
        <v>6799</v>
      </c>
      <c r="B1480" t="s">
        <v>906</v>
      </c>
      <c r="C1480">
        <v>9310</v>
      </c>
      <c r="D1480" t="s">
        <v>6359</v>
      </c>
      <c r="E1480" t="s">
        <v>6371</v>
      </c>
      <c r="F1480" t="s">
        <v>6361</v>
      </c>
      <c r="G1480" s="43">
        <v>0</v>
      </c>
      <c r="H1480" s="63">
        <v>0.9</v>
      </c>
    </row>
    <row r="1481" spans="1:8" x14ac:dyDescent="0.55000000000000004">
      <c r="A1481" s="61" t="s">
        <v>6799</v>
      </c>
      <c r="B1481" t="s">
        <v>906</v>
      </c>
      <c r="C1481">
        <v>9310</v>
      </c>
      <c r="D1481" t="s">
        <v>6363</v>
      </c>
      <c r="E1481" t="s">
        <v>6364</v>
      </c>
      <c r="F1481" t="s">
        <v>6361</v>
      </c>
      <c r="G1481" s="43">
        <v>0</v>
      </c>
      <c r="H1481" s="63">
        <v>0.1</v>
      </c>
    </row>
    <row r="1482" spans="1:8" x14ac:dyDescent="0.55000000000000004">
      <c r="A1482" s="61" t="s">
        <v>6799</v>
      </c>
      <c r="B1482" t="s">
        <v>906</v>
      </c>
      <c r="C1482">
        <v>9310</v>
      </c>
      <c r="D1482" t="s">
        <v>6362</v>
      </c>
      <c r="E1482" t="s">
        <v>6358</v>
      </c>
      <c r="F1482" t="s">
        <v>6358</v>
      </c>
      <c r="G1482" s="62">
        <v>0.20610000000000001</v>
      </c>
      <c r="H1482" s="63">
        <v>1</v>
      </c>
    </row>
    <row r="1483" spans="1:8" x14ac:dyDescent="0.55000000000000004">
      <c r="A1483" s="61" t="s">
        <v>6799</v>
      </c>
      <c r="B1483" t="s">
        <v>906</v>
      </c>
      <c r="C1483">
        <v>9310</v>
      </c>
      <c r="D1483" t="s">
        <v>6365</v>
      </c>
      <c r="E1483" t="s">
        <v>6366</v>
      </c>
      <c r="F1483" t="s">
        <v>6361</v>
      </c>
      <c r="G1483" s="43">
        <v>0</v>
      </c>
      <c r="H1483" s="63">
        <v>-0.1</v>
      </c>
    </row>
    <row r="1484" spans="1:8" x14ac:dyDescent="0.55000000000000004">
      <c r="A1484" s="61" t="s">
        <v>6800</v>
      </c>
      <c r="B1484" t="s">
        <v>2880</v>
      </c>
      <c r="C1484">
        <v>8701</v>
      </c>
      <c r="D1484" t="s">
        <v>6359</v>
      </c>
      <c r="E1484" t="s">
        <v>6360</v>
      </c>
      <c r="F1484" t="s">
        <v>6361</v>
      </c>
      <c r="G1484" s="43">
        <v>0</v>
      </c>
      <c r="H1484" s="63">
        <v>1</v>
      </c>
    </row>
    <row r="1485" spans="1:8" x14ac:dyDescent="0.55000000000000004">
      <c r="A1485" s="61" t="s">
        <v>6800</v>
      </c>
      <c r="B1485" t="s">
        <v>2880</v>
      </c>
      <c r="C1485">
        <v>8701</v>
      </c>
      <c r="D1485" t="s">
        <v>6362</v>
      </c>
      <c r="E1485" t="s">
        <v>6358</v>
      </c>
      <c r="F1485" t="s">
        <v>6358</v>
      </c>
      <c r="G1485" s="43">
        <v>0.10589999999999999</v>
      </c>
      <c r="H1485" s="63">
        <v>1</v>
      </c>
    </row>
    <row r="1486" spans="1:8" x14ac:dyDescent="0.55000000000000004">
      <c r="A1486" s="61" t="s">
        <v>6801</v>
      </c>
      <c r="B1486" t="s">
        <v>2880</v>
      </c>
      <c r="C1486">
        <v>8710</v>
      </c>
      <c r="D1486" t="s">
        <v>6359</v>
      </c>
      <c r="E1486" t="s">
        <v>6360</v>
      </c>
      <c r="F1486" t="s">
        <v>6361</v>
      </c>
      <c r="G1486" s="43">
        <v>0</v>
      </c>
      <c r="H1486" s="63">
        <v>0.9</v>
      </c>
    </row>
    <row r="1487" spans="1:8" x14ac:dyDescent="0.55000000000000004">
      <c r="A1487" s="61" t="s">
        <v>6801</v>
      </c>
      <c r="B1487" t="s">
        <v>2880</v>
      </c>
      <c r="C1487">
        <v>8710</v>
      </c>
      <c r="D1487" t="s">
        <v>6363</v>
      </c>
      <c r="E1487" t="s">
        <v>6364</v>
      </c>
      <c r="F1487" t="s">
        <v>6361</v>
      </c>
      <c r="G1487" s="43">
        <v>0</v>
      </c>
      <c r="H1487" s="63">
        <v>0.1</v>
      </c>
    </row>
    <row r="1488" spans="1:8" x14ac:dyDescent="0.55000000000000004">
      <c r="A1488" s="61" t="s">
        <v>6801</v>
      </c>
      <c r="B1488" t="s">
        <v>2880</v>
      </c>
      <c r="C1488">
        <v>8710</v>
      </c>
      <c r="D1488" t="s">
        <v>6362</v>
      </c>
      <c r="E1488" t="s">
        <v>6358</v>
      </c>
      <c r="F1488" t="s">
        <v>6358</v>
      </c>
      <c r="G1488" s="43">
        <v>0.1128</v>
      </c>
      <c r="H1488" s="63">
        <v>1</v>
      </c>
    </row>
    <row r="1489" spans="1:8" x14ac:dyDescent="0.55000000000000004">
      <c r="A1489" s="61" t="s">
        <v>6801</v>
      </c>
      <c r="B1489" t="s">
        <v>2880</v>
      </c>
      <c r="C1489">
        <v>8710</v>
      </c>
      <c r="D1489" t="s">
        <v>6365</v>
      </c>
      <c r="E1489" t="s">
        <v>6366</v>
      </c>
      <c r="F1489" t="s">
        <v>6361</v>
      </c>
      <c r="G1489" s="43">
        <v>0</v>
      </c>
      <c r="H1489" s="63">
        <v>-0.1</v>
      </c>
    </row>
    <row r="1490" spans="1:8" x14ac:dyDescent="0.55000000000000004">
      <c r="A1490" s="61" t="s">
        <v>6802</v>
      </c>
      <c r="B1490" t="s">
        <v>2880</v>
      </c>
      <c r="C1490">
        <v>9101</v>
      </c>
      <c r="D1490" t="s">
        <v>6359</v>
      </c>
      <c r="E1490" t="s">
        <v>6367</v>
      </c>
      <c r="F1490" t="s">
        <v>6361</v>
      </c>
      <c r="G1490" s="43">
        <v>0</v>
      </c>
      <c r="H1490" s="63">
        <v>1</v>
      </c>
    </row>
    <row r="1491" spans="1:8" x14ac:dyDescent="0.55000000000000004">
      <c r="A1491" s="61" t="s">
        <v>6802</v>
      </c>
      <c r="B1491" t="s">
        <v>2880</v>
      </c>
      <c r="C1491">
        <v>9101</v>
      </c>
      <c r="D1491" t="s">
        <v>6362</v>
      </c>
      <c r="E1491" t="s">
        <v>6358</v>
      </c>
      <c r="F1491" t="s">
        <v>6358</v>
      </c>
      <c r="G1491" s="43">
        <v>0.10589999999999999</v>
      </c>
      <c r="H1491" s="63">
        <v>1</v>
      </c>
    </row>
    <row r="1492" spans="1:8" x14ac:dyDescent="0.55000000000000004">
      <c r="A1492" s="61" t="s">
        <v>6803</v>
      </c>
      <c r="B1492" t="s">
        <v>2880</v>
      </c>
      <c r="C1492">
        <v>9110</v>
      </c>
      <c r="D1492" t="s">
        <v>6359</v>
      </c>
      <c r="E1492" t="s">
        <v>6367</v>
      </c>
      <c r="F1492" t="s">
        <v>6361</v>
      </c>
      <c r="G1492" s="43">
        <v>0</v>
      </c>
      <c r="H1492" s="63">
        <v>0.9</v>
      </c>
    </row>
    <row r="1493" spans="1:8" x14ac:dyDescent="0.55000000000000004">
      <c r="A1493" s="61" t="s">
        <v>6803</v>
      </c>
      <c r="B1493" t="s">
        <v>2880</v>
      </c>
      <c r="C1493">
        <v>9110</v>
      </c>
      <c r="D1493" t="s">
        <v>6363</v>
      </c>
      <c r="E1493" t="s">
        <v>6364</v>
      </c>
      <c r="F1493" t="s">
        <v>6361</v>
      </c>
      <c r="G1493" s="43">
        <v>0</v>
      </c>
      <c r="H1493" s="63">
        <v>0.1</v>
      </c>
    </row>
    <row r="1494" spans="1:8" x14ac:dyDescent="0.55000000000000004">
      <c r="A1494" s="61" t="s">
        <v>6803</v>
      </c>
      <c r="B1494" t="s">
        <v>2880</v>
      </c>
      <c r="C1494">
        <v>9110</v>
      </c>
      <c r="D1494" t="s">
        <v>6362</v>
      </c>
      <c r="E1494" t="s">
        <v>6358</v>
      </c>
      <c r="F1494" t="s">
        <v>6358</v>
      </c>
      <c r="G1494" s="43">
        <v>0.1128</v>
      </c>
      <c r="H1494" s="63">
        <v>1</v>
      </c>
    </row>
    <row r="1495" spans="1:8" x14ac:dyDescent="0.55000000000000004">
      <c r="A1495" s="61" t="s">
        <v>6803</v>
      </c>
      <c r="B1495" t="s">
        <v>2880</v>
      </c>
      <c r="C1495">
        <v>9110</v>
      </c>
      <c r="D1495" t="s">
        <v>6365</v>
      </c>
      <c r="E1495" t="s">
        <v>6366</v>
      </c>
      <c r="F1495" t="s">
        <v>6361</v>
      </c>
      <c r="G1495" s="43">
        <v>0</v>
      </c>
      <c r="H1495" s="63">
        <v>-0.1</v>
      </c>
    </row>
    <row r="1496" spans="1:8" x14ac:dyDescent="0.55000000000000004">
      <c r="A1496" s="61" t="s">
        <v>6804</v>
      </c>
      <c r="B1496" t="s">
        <v>4110</v>
      </c>
      <c r="C1496">
        <v>8710</v>
      </c>
      <c r="D1496" t="s">
        <v>6359</v>
      </c>
      <c r="E1496" t="s">
        <v>6370</v>
      </c>
      <c r="F1496" t="s">
        <v>6361</v>
      </c>
      <c r="G1496" s="43">
        <v>0</v>
      </c>
      <c r="H1496" s="63">
        <v>0.9</v>
      </c>
    </row>
    <row r="1497" spans="1:8" x14ac:dyDescent="0.55000000000000004">
      <c r="A1497" s="61" t="s">
        <v>6804</v>
      </c>
      <c r="B1497" t="s">
        <v>4110</v>
      </c>
      <c r="C1497">
        <v>8710</v>
      </c>
      <c r="D1497" t="s">
        <v>6363</v>
      </c>
      <c r="E1497" t="s">
        <v>6364</v>
      </c>
      <c r="F1497" t="s">
        <v>6361</v>
      </c>
      <c r="G1497" s="43">
        <v>0</v>
      </c>
      <c r="H1497" s="63">
        <v>0.1</v>
      </c>
    </row>
    <row r="1498" spans="1:8" x14ac:dyDescent="0.55000000000000004">
      <c r="A1498" s="61" t="s">
        <v>6804</v>
      </c>
      <c r="B1498" t="s">
        <v>4110</v>
      </c>
      <c r="C1498">
        <v>8710</v>
      </c>
      <c r="D1498" t="s">
        <v>6362</v>
      </c>
      <c r="E1498" t="s">
        <v>6358</v>
      </c>
      <c r="F1498" t="s">
        <v>6358</v>
      </c>
      <c r="G1498" s="43">
        <v>9.1700000000000004E-2</v>
      </c>
      <c r="H1498" s="63">
        <v>1</v>
      </c>
    </row>
    <row r="1499" spans="1:8" x14ac:dyDescent="0.55000000000000004">
      <c r="A1499" s="61" t="s">
        <v>6804</v>
      </c>
      <c r="B1499" t="s">
        <v>4110</v>
      </c>
      <c r="C1499">
        <v>8710</v>
      </c>
      <c r="D1499" t="s">
        <v>6365</v>
      </c>
      <c r="E1499" t="s">
        <v>6366</v>
      </c>
      <c r="F1499" t="s">
        <v>6361</v>
      </c>
      <c r="G1499" s="43">
        <v>0</v>
      </c>
      <c r="H1499" s="63">
        <v>-0.1</v>
      </c>
    </row>
    <row r="1500" spans="1:8" x14ac:dyDescent="0.55000000000000004">
      <c r="A1500" s="61" t="s">
        <v>6805</v>
      </c>
      <c r="B1500" t="s">
        <v>4110</v>
      </c>
      <c r="C1500">
        <v>9110</v>
      </c>
      <c r="D1500" t="s">
        <v>6359</v>
      </c>
      <c r="E1500" t="s">
        <v>6371</v>
      </c>
      <c r="F1500" t="s">
        <v>6361</v>
      </c>
      <c r="G1500" s="43">
        <v>0</v>
      </c>
      <c r="H1500" s="63">
        <v>0.9</v>
      </c>
    </row>
    <row r="1501" spans="1:8" x14ac:dyDescent="0.55000000000000004">
      <c r="A1501" s="61" t="s">
        <v>6805</v>
      </c>
      <c r="B1501" t="s">
        <v>4110</v>
      </c>
      <c r="C1501">
        <v>9110</v>
      </c>
      <c r="D1501" t="s">
        <v>6363</v>
      </c>
      <c r="E1501" t="s">
        <v>6364</v>
      </c>
      <c r="F1501" t="s">
        <v>6361</v>
      </c>
      <c r="G1501" s="43">
        <v>0</v>
      </c>
      <c r="H1501" s="63">
        <v>0.1</v>
      </c>
    </row>
    <row r="1502" spans="1:8" x14ac:dyDescent="0.55000000000000004">
      <c r="A1502" s="61" t="s">
        <v>6805</v>
      </c>
      <c r="B1502" t="s">
        <v>4110</v>
      </c>
      <c r="C1502">
        <v>9110</v>
      </c>
      <c r="D1502" t="s">
        <v>6362</v>
      </c>
      <c r="E1502" t="s">
        <v>6358</v>
      </c>
      <c r="F1502" t="s">
        <v>6358</v>
      </c>
      <c r="G1502" s="43">
        <v>9.1700000000000004E-2</v>
      </c>
      <c r="H1502" s="63">
        <v>1</v>
      </c>
    </row>
    <row r="1503" spans="1:8" x14ac:dyDescent="0.55000000000000004">
      <c r="A1503" s="61" t="s">
        <v>6805</v>
      </c>
      <c r="B1503" t="s">
        <v>4110</v>
      </c>
      <c r="C1503">
        <v>9110</v>
      </c>
      <c r="D1503" t="s">
        <v>6365</v>
      </c>
      <c r="E1503" t="s">
        <v>6366</v>
      </c>
      <c r="F1503" t="s">
        <v>6361</v>
      </c>
      <c r="G1503" s="43">
        <v>0</v>
      </c>
      <c r="H1503" s="63">
        <v>-0.1</v>
      </c>
    </row>
    <row r="1504" spans="1:8" x14ac:dyDescent="0.55000000000000004">
      <c r="A1504" s="61" t="s">
        <v>6806</v>
      </c>
      <c r="B1504" t="s">
        <v>2027</v>
      </c>
      <c r="C1504">
        <v>8701</v>
      </c>
      <c r="D1504" t="s">
        <v>6359</v>
      </c>
      <c r="E1504" t="s">
        <v>6360</v>
      </c>
      <c r="F1504" t="s">
        <v>6361</v>
      </c>
      <c r="G1504" s="43">
        <v>0</v>
      </c>
      <c r="H1504" s="63">
        <v>1</v>
      </c>
    </row>
    <row r="1505" spans="1:8" x14ac:dyDescent="0.55000000000000004">
      <c r="A1505" s="61" t="s">
        <v>6806</v>
      </c>
      <c r="B1505" t="s">
        <v>2027</v>
      </c>
      <c r="C1505">
        <v>8701</v>
      </c>
      <c r="D1505" t="s">
        <v>6362</v>
      </c>
      <c r="E1505" t="s">
        <v>6358</v>
      </c>
      <c r="F1505" t="s">
        <v>6358</v>
      </c>
      <c r="G1505" s="43">
        <v>8.1299999999999997E-2</v>
      </c>
      <c r="H1505" s="63">
        <v>1</v>
      </c>
    </row>
    <row r="1506" spans="1:8" x14ac:dyDescent="0.55000000000000004">
      <c r="A1506" s="61" t="s">
        <v>6807</v>
      </c>
      <c r="B1506" t="s">
        <v>2027</v>
      </c>
      <c r="C1506">
        <v>8707</v>
      </c>
      <c r="D1506" t="s">
        <v>6359</v>
      </c>
      <c r="E1506" t="s">
        <v>6360</v>
      </c>
      <c r="F1506" t="s">
        <v>6361</v>
      </c>
      <c r="G1506" s="43">
        <v>0</v>
      </c>
      <c r="H1506" s="63">
        <v>0.9</v>
      </c>
    </row>
    <row r="1507" spans="1:8" x14ac:dyDescent="0.55000000000000004">
      <c r="A1507" s="61" t="s">
        <v>6807</v>
      </c>
      <c r="B1507" t="s">
        <v>2027</v>
      </c>
      <c r="C1507">
        <v>8707</v>
      </c>
      <c r="D1507" t="s">
        <v>6363</v>
      </c>
      <c r="E1507" t="s">
        <v>6364</v>
      </c>
      <c r="F1507" t="s">
        <v>6361</v>
      </c>
      <c r="G1507" s="43">
        <v>0</v>
      </c>
      <c r="H1507" s="63">
        <v>0.1</v>
      </c>
    </row>
    <row r="1508" spans="1:8" x14ac:dyDescent="0.55000000000000004">
      <c r="A1508" s="61" t="s">
        <v>6807</v>
      </c>
      <c r="B1508" t="s">
        <v>2027</v>
      </c>
      <c r="C1508">
        <v>8707</v>
      </c>
      <c r="D1508" t="s">
        <v>6362</v>
      </c>
      <c r="E1508" t="s">
        <v>6358</v>
      </c>
      <c r="F1508" t="s">
        <v>6358</v>
      </c>
      <c r="G1508" s="43">
        <v>8.5400000000000004E-2</v>
      </c>
      <c r="H1508" s="63">
        <v>1</v>
      </c>
    </row>
    <row r="1509" spans="1:8" x14ac:dyDescent="0.55000000000000004">
      <c r="A1509" s="61" t="s">
        <v>6807</v>
      </c>
      <c r="B1509" t="s">
        <v>2027</v>
      </c>
      <c r="C1509">
        <v>8707</v>
      </c>
      <c r="D1509" t="s">
        <v>6365</v>
      </c>
      <c r="E1509" t="s">
        <v>6366</v>
      </c>
      <c r="F1509" t="s">
        <v>6361</v>
      </c>
      <c r="G1509" s="43">
        <v>0</v>
      </c>
      <c r="H1509" s="63">
        <v>-0.1</v>
      </c>
    </row>
    <row r="1510" spans="1:8" x14ac:dyDescent="0.55000000000000004">
      <c r="A1510" s="61" t="s">
        <v>6808</v>
      </c>
      <c r="B1510" t="s">
        <v>2027</v>
      </c>
      <c r="C1510">
        <v>8710</v>
      </c>
      <c r="D1510" t="s">
        <v>6359</v>
      </c>
      <c r="E1510" t="s">
        <v>6360</v>
      </c>
      <c r="F1510" t="s">
        <v>6361</v>
      </c>
      <c r="G1510" s="43">
        <v>0</v>
      </c>
      <c r="H1510" s="63">
        <v>0.9</v>
      </c>
    </row>
    <row r="1511" spans="1:8" x14ac:dyDescent="0.55000000000000004">
      <c r="A1511" s="61" t="s">
        <v>6808</v>
      </c>
      <c r="B1511" t="s">
        <v>2027</v>
      </c>
      <c r="C1511">
        <v>8710</v>
      </c>
      <c r="D1511" t="s">
        <v>6363</v>
      </c>
      <c r="E1511" t="s">
        <v>6364</v>
      </c>
      <c r="F1511" t="s">
        <v>6361</v>
      </c>
      <c r="G1511" s="43">
        <v>0</v>
      </c>
      <c r="H1511" s="63">
        <v>0.1</v>
      </c>
    </row>
    <row r="1512" spans="1:8" x14ac:dyDescent="0.55000000000000004">
      <c r="A1512" s="61" t="s">
        <v>6808</v>
      </c>
      <c r="B1512" t="s">
        <v>2027</v>
      </c>
      <c r="C1512">
        <v>8710</v>
      </c>
      <c r="D1512" t="s">
        <v>6362</v>
      </c>
      <c r="E1512" t="s">
        <v>6358</v>
      </c>
      <c r="F1512" t="s">
        <v>6358</v>
      </c>
      <c r="G1512" s="43">
        <v>8.5400000000000004E-2</v>
      </c>
      <c r="H1512" s="63">
        <v>1</v>
      </c>
    </row>
    <row r="1513" spans="1:8" x14ac:dyDescent="0.55000000000000004">
      <c r="A1513" s="61" t="s">
        <v>6808</v>
      </c>
      <c r="B1513" t="s">
        <v>2027</v>
      </c>
      <c r="C1513">
        <v>8710</v>
      </c>
      <c r="D1513" t="s">
        <v>6365</v>
      </c>
      <c r="E1513" t="s">
        <v>6366</v>
      </c>
      <c r="F1513" t="s">
        <v>6361</v>
      </c>
      <c r="G1513" s="43">
        <v>0</v>
      </c>
      <c r="H1513" s="63">
        <v>-0.1</v>
      </c>
    </row>
    <row r="1514" spans="1:8" x14ac:dyDescent="0.55000000000000004">
      <c r="A1514" s="61" t="s">
        <v>6809</v>
      </c>
      <c r="B1514" t="s">
        <v>2027</v>
      </c>
      <c r="C1514">
        <v>9101</v>
      </c>
      <c r="D1514" t="s">
        <v>6359</v>
      </c>
      <c r="E1514" t="s">
        <v>6367</v>
      </c>
      <c r="F1514" t="s">
        <v>6361</v>
      </c>
      <c r="G1514" s="43">
        <v>0</v>
      </c>
      <c r="H1514" s="63">
        <v>1</v>
      </c>
    </row>
    <row r="1515" spans="1:8" x14ac:dyDescent="0.55000000000000004">
      <c r="A1515" s="61" t="s">
        <v>6809</v>
      </c>
      <c r="B1515" t="s">
        <v>2027</v>
      </c>
      <c r="C1515">
        <v>9101</v>
      </c>
      <c r="D1515" t="s">
        <v>6362</v>
      </c>
      <c r="E1515" t="s">
        <v>6358</v>
      </c>
      <c r="F1515" t="s">
        <v>6358</v>
      </c>
      <c r="G1515" s="43">
        <v>8.1299999999999997E-2</v>
      </c>
      <c r="H1515" s="63">
        <v>1</v>
      </c>
    </row>
    <row r="1516" spans="1:8" x14ac:dyDescent="0.55000000000000004">
      <c r="A1516" s="61" t="s">
        <v>6810</v>
      </c>
      <c r="B1516" t="s">
        <v>2027</v>
      </c>
      <c r="C1516">
        <v>9106</v>
      </c>
      <c r="D1516" t="s">
        <v>6359</v>
      </c>
      <c r="E1516" t="s">
        <v>6367</v>
      </c>
      <c r="F1516" t="s">
        <v>6361</v>
      </c>
      <c r="G1516" s="43">
        <v>0</v>
      </c>
      <c r="H1516" s="63">
        <v>0.9</v>
      </c>
    </row>
    <row r="1517" spans="1:8" x14ac:dyDescent="0.55000000000000004">
      <c r="A1517" s="61" t="s">
        <v>6810</v>
      </c>
      <c r="B1517" t="s">
        <v>2027</v>
      </c>
      <c r="C1517">
        <v>9106</v>
      </c>
      <c r="D1517" t="s">
        <v>6363</v>
      </c>
      <c r="E1517" t="s">
        <v>6364</v>
      </c>
      <c r="F1517" t="s">
        <v>6361</v>
      </c>
      <c r="G1517" s="43">
        <v>0</v>
      </c>
      <c r="H1517" s="63">
        <v>0.1</v>
      </c>
    </row>
    <row r="1518" spans="1:8" x14ac:dyDescent="0.55000000000000004">
      <c r="A1518" s="61" t="s">
        <v>6810</v>
      </c>
      <c r="B1518" t="s">
        <v>2027</v>
      </c>
      <c r="C1518">
        <v>9106</v>
      </c>
      <c r="D1518" t="s">
        <v>6362</v>
      </c>
      <c r="E1518" t="s">
        <v>6358</v>
      </c>
      <c r="F1518" t="s">
        <v>6358</v>
      </c>
      <c r="G1518" s="43">
        <v>8.5400000000000004E-2</v>
      </c>
      <c r="H1518" s="63">
        <v>1</v>
      </c>
    </row>
    <row r="1519" spans="1:8" x14ac:dyDescent="0.55000000000000004">
      <c r="A1519" s="61" t="s">
        <v>6810</v>
      </c>
      <c r="B1519" t="s">
        <v>2027</v>
      </c>
      <c r="C1519">
        <v>9106</v>
      </c>
      <c r="D1519" t="s">
        <v>6365</v>
      </c>
      <c r="E1519" t="s">
        <v>6366</v>
      </c>
      <c r="F1519" t="s">
        <v>6361</v>
      </c>
      <c r="G1519" s="43">
        <v>0</v>
      </c>
      <c r="H1519" s="63">
        <v>-0.1</v>
      </c>
    </row>
    <row r="1520" spans="1:8" x14ac:dyDescent="0.55000000000000004">
      <c r="A1520" s="61" t="s">
        <v>6811</v>
      </c>
      <c r="B1520" t="s">
        <v>2027</v>
      </c>
      <c r="C1520">
        <v>9110</v>
      </c>
      <c r="D1520" t="s">
        <v>6359</v>
      </c>
      <c r="E1520" t="s">
        <v>6367</v>
      </c>
      <c r="F1520" t="s">
        <v>6361</v>
      </c>
      <c r="G1520" s="43">
        <v>0</v>
      </c>
      <c r="H1520" s="63">
        <v>0.9</v>
      </c>
    </row>
    <row r="1521" spans="1:8" x14ac:dyDescent="0.55000000000000004">
      <c r="A1521" s="61" t="s">
        <v>6811</v>
      </c>
      <c r="B1521" t="s">
        <v>2027</v>
      </c>
      <c r="C1521">
        <v>9110</v>
      </c>
      <c r="D1521" t="s">
        <v>6363</v>
      </c>
      <c r="E1521" t="s">
        <v>6364</v>
      </c>
      <c r="F1521" t="s">
        <v>6361</v>
      </c>
      <c r="G1521" s="43">
        <v>0</v>
      </c>
      <c r="H1521" s="63">
        <v>0.1</v>
      </c>
    </row>
    <row r="1522" spans="1:8" x14ac:dyDescent="0.55000000000000004">
      <c r="A1522" s="61" t="s">
        <v>6811</v>
      </c>
      <c r="B1522" t="s">
        <v>2027</v>
      </c>
      <c r="C1522">
        <v>9110</v>
      </c>
      <c r="D1522" t="s">
        <v>6362</v>
      </c>
      <c r="E1522" t="s">
        <v>6358</v>
      </c>
      <c r="F1522" t="s">
        <v>6358</v>
      </c>
      <c r="G1522" s="43">
        <v>8.5400000000000004E-2</v>
      </c>
      <c r="H1522" s="63">
        <v>1</v>
      </c>
    </row>
    <row r="1523" spans="1:8" x14ac:dyDescent="0.55000000000000004">
      <c r="A1523" s="61" t="s">
        <v>6811</v>
      </c>
      <c r="B1523" t="s">
        <v>2027</v>
      </c>
      <c r="C1523">
        <v>9110</v>
      </c>
      <c r="D1523" t="s">
        <v>6365</v>
      </c>
      <c r="E1523" t="s">
        <v>6366</v>
      </c>
      <c r="F1523" t="s">
        <v>6361</v>
      </c>
      <c r="G1523" s="43">
        <v>0</v>
      </c>
      <c r="H1523" s="63">
        <v>-0.1</v>
      </c>
    </row>
    <row r="1524" spans="1:8" x14ac:dyDescent="0.55000000000000004">
      <c r="A1524" s="61" t="s">
        <v>6812</v>
      </c>
      <c r="B1524" t="s">
        <v>2027</v>
      </c>
      <c r="C1524">
        <v>9310</v>
      </c>
      <c r="D1524" t="s">
        <v>6359</v>
      </c>
      <c r="E1524" t="s">
        <v>6367</v>
      </c>
      <c r="F1524" t="s">
        <v>6361</v>
      </c>
      <c r="G1524" s="43">
        <v>0</v>
      </c>
      <c r="H1524" s="63">
        <v>0.9</v>
      </c>
    </row>
    <row r="1525" spans="1:8" x14ac:dyDescent="0.55000000000000004">
      <c r="A1525" s="61" t="s">
        <v>6812</v>
      </c>
      <c r="B1525" t="s">
        <v>2027</v>
      </c>
      <c r="C1525">
        <v>9310</v>
      </c>
      <c r="D1525" t="s">
        <v>6363</v>
      </c>
      <c r="E1525" t="s">
        <v>6364</v>
      </c>
      <c r="F1525" t="s">
        <v>6361</v>
      </c>
      <c r="G1525" s="43">
        <v>0</v>
      </c>
      <c r="H1525" s="63">
        <v>0.1</v>
      </c>
    </row>
    <row r="1526" spans="1:8" x14ac:dyDescent="0.55000000000000004">
      <c r="A1526" s="61" t="s">
        <v>6812</v>
      </c>
      <c r="B1526" t="s">
        <v>2027</v>
      </c>
      <c r="C1526">
        <v>9310</v>
      </c>
      <c r="D1526" t="s">
        <v>6362</v>
      </c>
      <c r="E1526" t="s">
        <v>6358</v>
      </c>
      <c r="F1526" t="s">
        <v>6358</v>
      </c>
      <c r="G1526" s="43">
        <v>8.5400000000000004E-2</v>
      </c>
      <c r="H1526" s="63">
        <v>1</v>
      </c>
    </row>
    <row r="1527" spans="1:8" x14ac:dyDescent="0.55000000000000004">
      <c r="A1527" s="61" t="s">
        <v>6812</v>
      </c>
      <c r="B1527" t="s">
        <v>2027</v>
      </c>
      <c r="C1527">
        <v>9310</v>
      </c>
      <c r="D1527" t="s">
        <v>6365</v>
      </c>
      <c r="E1527" t="s">
        <v>6366</v>
      </c>
      <c r="F1527" t="s">
        <v>6361</v>
      </c>
      <c r="G1527" s="43">
        <v>0</v>
      </c>
      <c r="H1527" s="63">
        <v>-0.1</v>
      </c>
    </row>
    <row r="1528" spans="1:8" x14ac:dyDescent="0.55000000000000004">
      <c r="A1528" s="61" t="s">
        <v>6813</v>
      </c>
      <c r="B1528" t="s">
        <v>4746</v>
      </c>
      <c r="C1528">
        <v>8701</v>
      </c>
      <c r="D1528" t="s">
        <v>6359</v>
      </c>
      <c r="E1528" t="s">
        <v>6370</v>
      </c>
      <c r="F1528" t="s">
        <v>6361</v>
      </c>
      <c r="G1528" s="43">
        <v>0</v>
      </c>
      <c r="H1528" s="63">
        <v>1</v>
      </c>
    </row>
    <row r="1529" spans="1:8" x14ac:dyDescent="0.55000000000000004">
      <c r="A1529" s="61" t="s">
        <v>6813</v>
      </c>
      <c r="B1529" t="s">
        <v>4746</v>
      </c>
      <c r="C1529">
        <v>8701</v>
      </c>
      <c r="D1529" t="s">
        <v>6362</v>
      </c>
      <c r="E1529" t="s">
        <v>6358</v>
      </c>
      <c r="F1529" t="s">
        <v>6358</v>
      </c>
      <c r="G1529" s="43">
        <v>0.06</v>
      </c>
      <c r="H1529" s="63">
        <v>1</v>
      </c>
    </row>
    <row r="1530" spans="1:8" x14ac:dyDescent="0.55000000000000004">
      <c r="A1530" s="61" t="s">
        <v>6814</v>
      </c>
      <c r="B1530" t="s">
        <v>4746</v>
      </c>
      <c r="C1530">
        <v>8710</v>
      </c>
      <c r="D1530" t="s">
        <v>6359</v>
      </c>
      <c r="E1530" t="s">
        <v>6370</v>
      </c>
      <c r="F1530" t="s">
        <v>6361</v>
      </c>
      <c r="G1530" s="43">
        <v>0</v>
      </c>
      <c r="H1530" s="63">
        <v>0.9</v>
      </c>
    </row>
    <row r="1531" spans="1:8" x14ac:dyDescent="0.55000000000000004">
      <c r="A1531" s="61" t="s">
        <v>6814</v>
      </c>
      <c r="B1531" t="s">
        <v>4746</v>
      </c>
      <c r="C1531">
        <v>8710</v>
      </c>
      <c r="D1531" t="s">
        <v>6363</v>
      </c>
      <c r="E1531" t="s">
        <v>6364</v>
      </c>
      <c r="F1531" t="s">
        <v>6361</v>
      </c>
      <c r="G1531" s="43">
        <v>0</v>
      </c>
      <c r="H1531" s="63">
        <v>0.1</v>
      </c>
    </row>
    <row r="1532" spans="1:8" x14ac:dyDescent="0.55000000000000004">
      <c r="A1532" s="61" t="s">
        <v>6814</v>
      </c>
      <c r="B1532" t="s">
        <v>4746</v>
      </c>
      <c r="C1532">
        <v>8710</v>
      </c>
      <c r="D1532" t="s">
        <v>6362</v>
      </c>
      <c r="E1532" t="s">
        <v>6358</v>
      </c>
      <c r="F1532" t="s">
        <v>6358</v>
      </c>
      <c r="G1532" s="43">
        <v>7.4899999999999994E-2</v>
      </c>
      <c r="H1532" s="63">
        <v>1</v>
      </c>
    </row>
    <row r="1533" spans="1:8" x14ac:dyDescent="0.55000000000000004">
      <c r="A1533" s="61" t="s">
        <v>6814</v>
      </c>
      <c r="B1533" t="s">
        <v>4746</v>
      </c>
      <c r="C1533">
        <v>8710</v>
      </c>
      <c r="D1533" t="s">
        <v>6365</v>
      </c>
      <c r="E1533" t="s">
        <v>6366</v>
      </c>
      <c r="F1533" t="s">
        <v>6361</v>
      </c>
      <c r="G1533" s="43">
        <v>0</v>
      </c>
      <c r="H1533" s="63">
        <v>-0.1</v>
      </c>
    </row>
    <row r="1534" spans="1:8" x14ac:dyDescent="0.55000000000000004">
      <c r="A1534" s="61" t="s">
        <v>6815</v>
      </c>
      <c r="B1534" t="s">
        <v>4746</v>
      </c>
      <c r="C1534">
        <v>9101</v>
      </c>
      <c r="D1534" t="s">
        <v>6359</v>
      </c>
      <c r="E1534" t="s">
        <v>6371</v>
      </c>
      <c r="F1534" t="s">
        <v>6361</v>
      </c>
      <c r="G1534" s="43">
        <v>0</v>
      </c>
      <c r="H1534" s="63">
        <v>1</v>
      </c>
    </row>
    <row r="1535" spans="1:8" x14ac:dyDescent="0.55000000000000004">
      <c r="A1535" s="61" t="s">
        <v>6815</v>
      </c>
      <c r="B1535" t="s">
        <v>4746</v>
      </c>
      <c r="C1535">
        <v>9101</v>
      </c>
      <c r="D1535" t="s">
        <v>6362</v>
      </c>
      <c r="E1535" t="s">
        <v>6358</v>
      </c>
      <c r="F1535" t="s">
        <v>6358</v>
      </c>
      <c r="G1535" s="43">
        <v>0.06</v>
      </c>
      <c r="H1535" s="63">
        <v>1</v>
      </c>
    </row>
    <row r="1536" spans="1:8" x14ac:dyDescent="0.55000000000000004">
      <c r="A1536" s="61" t="s">
        <v>6816</v>
      </c>
      <c r="B1536" t="s">
        <v>4746</v>
      </c>
      <c r="C1536">
        <v>9204</v>
      </c>
      <c r="D1536" t="s">
        <v>6359</v>
      </c>
      <c r="E1536" t="s">
        <v>6371</v>
      </c>
      <c r="F1536" t="s">
        <v>6361</v>
      </c>
      <c r="G1536" s="43">
        <v>0</v>
      </c>
      <c r="H1536" s="63">
        <v>0.9</v>
      </c>
    </row>
    <row r="1537" spans="1:8" x14ac:dyDescent="0.55000000000000004">
      <c r="A1537" s="61" t="s">
        <v>6816</v>
      </c>
      <c r="B1537" t="s">
        <v>4746</v>
      </c>
      <c r="C1537">
        <v>9204</v>
      </c>
      <c r="D1537" t="s">
        <v>6363</v>
      </c>
      <c r="E1537" t="s">
        <v>6364</v>
      </c>
      <c r="F1537" t="s">
        <v>6361</v>
      </c>
      <c r="G1537" s="43">
        <v>0</v>
      </c>
      <c r="H1537" s="63">
        <v>0.1</v>
      </c>
    </row>
    <row r="1538" spans="1:8" x14ac:dyDescent="0.55000000000000004">
      <c r="A1538" s="61" t="s">
        <v>6816</v>
      </c>
      <c r="B1538" t="s">
        <v>4746</v>
      </c>
      <c r="C1538">
        <v>9204</v>
      </c>
      <c r="D1538" t="s">
        <v>6362</v>
      </c>
      <c r="E1538" t="s">
        <v>6358</v>
      </c>
      <c r="F1538" t="s">
        <v>6358</v>
      </c>
      <c r="G1538" s="43">
        <v>7.4899999999999994E-2</v>
      </c>
      <c r="H1538" s="63">
        <v>1</v>
      </c>
    </row>
    <row r="1539" spans="1:8" x14ac:dyDescent="0.55000000000000004">
      <c r="A1539" s="61" t="s">
        <v>6816</v>
      </c>
      <c r="B1539" t="s">
        <v>4746</v>
      </c>
      <c r="C1539">
        <v>9204</v>
      </c>
      <c r="D1539" t="s">
        <v>6365</v>
      </c>
      <c r="E1539" t="s">
        <v>6366</v>
      </c>
      <c r="F1539" t="s">
        <v>6361</v>
      </c>
      <c r="G1539" s="43">
        <v>0</v>
      </c>
      <c r="H1539" s="63">
        <v>-0.1</v>
      </c>
    </row>
    <row r="1540" spans="1:8" x14ac:dyDescent="0.55000000000000004">
      <c r="A1540" s="61" t="s">
        <v>6817</v>
      </c>
      <c r="B1540" t="s">
        <v>4746</v>
      </c>
      <c r="C1540">
        <v>9300</v>
      </c>
      <c r="D1540" t="s">
        <v>6359</v>
      </c>
      <c r="E1540" t="s">
        <v>6371</v>
      </c>
      <c r="F1540" t="s">
        <v>6361</v>
      </c>
      <c r="G1540" s="43">
        <v>0</v>
      </c>
      <c r="H1540" s="63">
        <v>1</v>
      </c>
    </row>
    <row r="1541" spans="1:8" x14ac:dyDescent="0.55000000000000004">
      <c r="A1541" s="61" t="s">
        <v>6817</v>
      </c>
      <c r="B1541" t="s">
        <v>4746</v>
      </c>
      <c r="C1541">
        <v>9300</v>
      </c>
      <c r="D1541" t="s">
        <v>6362</v>
      </c>
      <c r="E1541" t="s">
        <v>6358</v>
      </c>
      <c r="F1541" t="s">
        <v>6358</v>
      </c>
      <c r="G1541" s="43">
        <v>0.06</v>
      </c>
      <c r="H1541" s="63">
        <v>1</v>
      </c>
    </row>
    <row r="1542" spans="1:8" x14ac:dyDescent="0.55000000000000004">
      <c r="A1542" s="61" t="s">
        <v>6818</v>
      </c>
      <c r="B1542" t="s">
        <v>4746</v>
      </c>
      <c r="C1542">
        <v>9310</v>
      </c>
      <c r="D1542" t="s">
        <v>6359</v>
      </c>
      <c r="E1542" t="s">
        <v>6371</v>
      </c>
      <c r="F1542" t="s">
        <v>6361</v>
      </c>
      <c r="G1542" s="43">
        <v>0</v>
      </c>
      <c r="H1542" s="63">
        <v>0.9</v>
      </c>
    </row>
    <row r="1543" spans="1:8" x14ac:dyDescent="0.55000000000000004">
      <c r="A1543" s="61" t="s">
        <v>6818</v>
      </c>
      <c r="B1543" t="s">
        <v>4746</v>
      </c>
      <c r="C1543">
        <v>9310</v>
      </c>
      <c r="D1543" t="s">
        <v>6363</v>
      </c>
      <c r="E1543" t="s">
        <v>6364</v>
      </c>
      <c r="F1543" t="s">
        <v>6361</v>
      </c>
      <c r="G1543" s="43">
        <v>0</v>
      </c>
      <c r="H1543" s="63">
        <v>0.1</v>
      </c>
    </row>
    <row r="1544" spans="1:8" x14ac:dyDescent="0.55000000000000004">
      <c r="A1544" s="61" t="s">
        <v>6818</v>
      </c>
      <c r="B1544" t="s">
        <v>4746</v>
      </c>
      <c r="C1544">
        <v>9310</v>
      </c>
      <c r="D1544" t="s">
        <v>6362</v>
      </c>
      <c r="E1544" t="s">
        <v>6358</v>
      </c>
      <c r="F1544" t="s">
        <v>6358</v>
      </c>
      <c r="G1544" s="43">
        <v>7.4899999999999994E-2</v>
      </c>
      <c r="H1544" s="63">
        <v>1</v>
      </c>
    </row>
    <row r="1545" spans="1:8" x14ac:dyDescent="0.55000000000000004">
      <c r="A1545" s="61" t="s">
        <v>6818</v>
      </c>
      <c r="B1545" t="s">
        <v>4746</v>
      </c>
      <c r="C1545">
        <v>9310</v>
      </c>
      <c r="D1545" t="s">
        <v>6365</v>
      </c>
      <c r="E1545" t="s">
        <v>6366</v>
      </c>
      <c r="F1545" t="s">
        <v>6361</v>
      </c>
      <c r="G1545" s="43">
        <v>0</v>
      </c>
      <c r="H1545" s="63">
        <v>-0.1</v>
      </c>
    </row>
    <row r="1546" spans="1:8" x14ac:dyDescent="0.55000000000000004">
      <c r="A1546" s="61" t="s">
        <v>6819</v>
      </c>
      <c r="B1546" t="s">
        <v>2514</v>
      </c>
      <c r="C1546">
        <v>8710</v>
      </c>
      <c r="D1546" t="s">
        <v>6359</v>
      </c>
      <c r="E1546" t="s">
        <v>6368</v>
      </c>
      <c r="F1546" t="s">
        <v>6361</v>
      </c>
      <c r="G1546" s="43">
        <v>0</v>
      </c>
      <c r="H1546" s="63">
        <v>0.9</v>
      </c>
    </row>
    <row r="1547" spans="1:8" x14ac:dyDescent="0.55000000000000004">
      <c r="A1547" s="61" t="s">
        <v>6819</v>
      </c>
      <c r="B1547" t="s">
        <v>2514</v>
      </c>
      <c r="C1547">
        <v>8710</v>
      </c>
      <c r="D1547" t="s">
        <v>6363</v>
      </c>
      <c r="E1547" t="s">
        <v>6364</v>
      </c>
      <c r="F1547" t="s">
        <v>6361</v>
      </c>
      <c r="G1547" s="43">
        <v>0</v>
      </c>
      <c r="H1547" s="63">
        <v>0.1</v>
      </c>
    </row>
    <row r="1548" spans="1:8" x14ac:dyDescent="0.55000000000000004">
      <c r="A1548" s="61" t="s">
        <v>6819</v>
      </c>
      <c r="B1548" t="s">
        <v>2514</v>
      </c>
      <c r="C1548">
        <v>8710</v>
      </c>
      <c r="D1548" t="s">
        <v>6362</v>
      </c>
      <c r="E1548" t="s">
        <v>6358</v>
      </c>
      <c r="F1548" t="s">
        <v>6358</v>
      </c>
      <c r="G1548" s="43">
        <v>7.6399999999999996E-2</v>
      </c>
      <c r="H1548" s="63">
        <v>1</v>
      </c>
    </row>
    <row r="1549" spans="1:8" x14ac:dyDescent="0.55000000000000004">
      <c r="A1549" s="61" t="s">
        <v>6819</v>
      </c>
      <c r="B1549" t="s">
        <v>2514</v>
      </c>
      <c r="C1549">
        <v>8710</v>
      </c>
      <c r="D1549" t="s">
        <v>6365</v>
      </c>
      <c r="E1549" t="s">
        <v>6366</v>
      </c>
      <c r="F1549" t="s">
        <v>6361</v>
      </c>
      <c r="G1549" s="43">
        <v>0</v>
      </c>
      <c r="H1549" s="63">
        <v>-0.1</v>
      </c>
    </row>
    <row r="1550" spans="1:8" x14ac:dyDescent="0.55000000000000004">
      <c r="A1550" s="61" t="s">
        <v>6820</v>
      </c>
      <c r="B1550" t="s">
        <v>2514</v>
      </c>
      <c r="C1550">
        <v>9204</v>
      </c>
      <c r="D1550" t="s">
        <v>6359</v>
      </c>
      <c r="E1550" t="s">
        <v>6369</v>
      </c>
      <c r="F1550" t="s">
        <v>6361</v>
      </c>
      <c r="G1550" s="43">
        <v>0</v>
      </c>
      <c r="H1550" s="63">
        <v>0.9</v>
      </c>
    </row>
    <row r="1551" spans="1:8" x14ac:dyDescent="0.55000000000000004">
      <c r="A1551" s="61" t="s">
        <v>6820</v>
      </c>
      <c r="B1551" t="s">
        <v>2514</v>
      </c>
      <c r="C1551">
        <v>9204</v>
      </c>
      <c r="D1551" t="s">
        <v>6363</v>
      </c>
      <c r="E1551" t="s">
        <v>6364</v>
      </c>
      <c r="F1551" t="s">
        <v>6361</v>
      </c>
      <c r="G1551" s="43">
        <v>0</v>
      </c>
      <c r="H1551" s="63">
        <v>0.1</v>
      </c>
    </row>
    <row r="1552" spans="1:8" x14ac:dyDescent="0.55000000000000004">
      <c r="A1552" s="61" t="s">
        <v>6820</v>
      </c>
      <c r="B1552" t="s">
        <v>2514</v>
      </c>
      <c r="C1552">
        <v>9204</v>
      </c>
      <c r="D1552" t="s">
        <v>6362</v>
      </c>
      <c r="E1552" t="s">
        <v>6358</v>
      </c>
      <c r="F1552" t="s">
        <v>6358</v>
      </c>
      <c r="G1552" s="43">
        <v>7.6399999999999996E-2</v>
      </c>
      <c r="H1552" s="63">
        <v>1</v>
      </c>
    </row>
    <row r="1553" spans="1:8" x14ac:dyDescent="0.55000000000000004">
      <c r="A1553" s="61" t="s">
        <v>6820</v>
      </c>
      <c r="B1553" t="s">
        <v>2514</v>
      </c>
      <c r="C1553">
        <v>9204</v>
      </c>
      <c r="D1553" t="s">
        <v>6365</v>
      </c>
      <c r="E1553" t="s">
        <v>6366</v>
      </c>
      <c r="F1553" t="s">
        <v>6361</v>
      </c>
      <c r="G1553" s="43">
        <v>0</v>
      </c>
      <c r="H1553" s="63">
        <v>-0.1</v>
      </c>
    </row>
    <row r="1554" spans="1:8" x14ac:dyDescent="0.55000000000000004">
      <c r="A1554" s="61" t="s">
        <v>6821</v>
      </c>
      <c r="B1554" t="s">
        <v>2514</v>
      </c>
      <c r="C1554">
        <v>9310</v>
      </c>
      <c r="D1554" t="s">
        <v>6359</v>
      </c>
      <c r="E1554" t="s">
        <v>6369</v>
      </c>
      <c r="F1554" t="s">
        <v>6361</v>
      </c>
      <c r="G1554" s="43">
        <v>0</v>
      </c>
      <c r="H1554" s="63">
        <v>0.9</v>
      </c>
    </row>
    <row r="1555" spans="1:8" x14ac:dyDescent="0.55000000000000004">
      <c r="A1555" s="61" t="s">
        <v>6821</v>
      </c>
      <c r="B1555" t="s">
        <v>2514</v>
      </c>
      <c r="C1555">
        <v>9310</v>
      </c>
      <c r="D1555" t="s">
        <v>6363</v>
      </c>
      <c r="E1555" t="s">
        <v>6364</v>
      </c>
      <c r="F1555" t="s">
        <v>6361</v>
      </c>
      <c r="G1555" s="43">
        <v>0</v>
      </c>
      <c r="H1555" s="63">
        <v>0.1</v>
      </c>
    </row>
    <row r="1556" spans="1:8" x14ac:dyDescent="0.55000000000000004">
      <c r="A1556" s="61" t="s">
        <v>6821</v>
      </c>
      <c r="B1556" t="s">
        <v>2514</v>
      </c>
      <c r="C1556">
        <v>9310</v>
      </c>
      <c r="D1556" t="s">
        <v>6362</v>
      </c>
      <c r="E1556" t="s">
        <v>6358</v>
      </c>
      <c r="F1556" t="s">
        <v>6358</v>
      </c>
      <c r="G1556" s="43">
        <v>7.6399999999999996E-2</v>
      </c>
      <c r="H1556" s="63">
        <v>1</v>
      </c>
    </row>
    <row r="1557" spans="1:8" x14ac:dyDescent="0.55000000000000004">
      <c r="A1557" s="61" t="s">
        <v>6821</v>
      </c>
      <c r="B1557" t="s">
        <v>2514</v>
      </c>
      <c r="C1557">
        <v>9310</v>
      </c>
      <c r="D1557" t="s">
        <v>6365</v>
      </c>
      <c r="E1557" t="s">
        <v>6366</v>
      </c>
      <c r="F1557" t="s">
        <v>6361</v>
      </c>
      <c r="G1557" s="43">
        <v>0</v>
      </c>
      <c r="H1557" s="63">
        <v>-0.1</v>
      </c>
    </row>
    <row r="1558" spans="1:8" x14ac:dyDescent="0.55000000000000004">
      <c r="A1558" s="61" t="s">
        <v>6822</v>
      </c>
      <c r="B1558" t="s">
        <v>3597</v>
      </c>
      <c r="C1558">
        <v>8710</v>
      </c>
      <c r="D1558" t="s">
        <v>6359</v>
      </c>
      <c r="E1558" t="s">
        <v>6383</v>
      </c>
      <c r="F1558" t="s">
        <v>6361</v>
      </c>
      <c r="G1558" s="43">
        <v>0</v>
      </c>
      <c r="H1558" s="63">
        <v>0.9</v>
      </c>
    </row>
    <row r="1559" spans="1:8" x14ac:dyDescent="0.55000000000000004">
      <c r="A1559" s="61" t="s">
        <v>6822</v>
      </c>
      <c r="B1559" t="s">
        <v>3597</v>
      </c>
      <c r="C1559">
        <v>8710</v>
      </c>
      <c r="D1559" t="s">
        <v>6363</v>
      </c>
      <c r="E1559" t="s">
        <v>6364</v>
      </c>
      <c r="F1559" t="s">
        <v>6361</v>
      </c>
      <c r="G1559" s="43">
        <v>0</v>
      </c>
      <c r="H1559" s="63">
        <v>0.1</v>
      </c>
    </row>
    <row r="1560" spans="1:8" x14ac:dyDescent="0.55000000000000004">
      <c r="A1560" s="61" t="s">
        <v>6822</v>
      </c>
      <c r="B1560" t="s">
        <v>3597</v>
      </c>
      <c r="C1560">
        <v>8710</v>
      </c>
      <c r="D1560" t="s">
        <v>6362</v>
      </c>
      <c r="E1560" t="s">
        <v>6358</v>
      </c>
      <c r="F1560" t="s">
        <v>6358</v>
      </c>
      <c r="G1560" s="43">
        <v>8.5199999999999998E-2</v>
      </c>
      <c r="H1560" s="63">
        <v>1</v>
      </c>
    </row>
    <row r="1561" spans="1:8" x14ac:dyDescent="0.55000000000000004">
      <c r="A1561" s="61" t="s">
        <v>6822</v>
      </c>
      <c r="B1561" t="s">
        <v>3597</v>
      </c>
      <c r="C1561">
        <v>8710</v>
      </c>
      <c r="D1561" t="s">
        <v>6365</v>
      </c>
      <c r="E1561" t="s">
        <v>6366</v>
      </c>
      <c r="F1561" t="s">
        <v>6361</v>
      </c>
      <c r="G1561" s="43">
        <v>0</v>
      </c>
      <c r="H1561" s="63">
        <v>-0.1</v>
      </c>
    </row>
    <row r="1562" spans="1:8" x14ac:dyDescent="0.55000000000000004">
      <c r="A1562" s="61" t="s">
        <v>6823</v>
      </c>
      <c r="B1562" t="s">
        <v>3597</v>
      </c>
      <c r="C1562">
        <v>9110</v>
      </c>
      <c r="D1562" t="s">
        <v>6359</v>
      </c>
      <c r="E1562" t="s">
        <v>6388</v>
      </c>
      <c r="F1562" t="s">
        <v>6361</v>
      </c>
      <c r="G1562" s="43">
        <v>0</v>
      </c>
      <c r="H1562" s="63">
        <v>0.9</v>
      </c>
    </row>
    <row r="1563" spans="1:8" x14ac:dyDescent="0.55000000000000004">
      <c r="A1563" s="61" t="s">
        <v>6823</v>
      </c>
      <c r="B1563" t="s">
        <v>3597</v>
      </c>
      <c r="C1563">
        <v>9110</v>
      </c>
      <c r="D1563" t="s">
        <v>6363</v>
      </c>
      <c r="E1563" t="s">
        <v>6364</v>
      </c>
      <c r="F1563" t="s">
        <v>6361</v>
      </c>
      <c r="G1563" s="43">
        <v>0</v>
      </c>
      <c r="H1563" s="63">
        <v>0.1</v>
      </c>
    </row>
    <row r="1564" spans="1:8" x14ac:dyDescent="0.55000000000000004">
      <c r="A1564" s="61" t="s">
        <v>6823</v>
      </c>
      <c r="B1564" t="s">
        <v>3597</v>
      </c>
      <c r="C1564">
        <v>9110</v>
      </c>
      <c r="D1564" t="s">
        <v>6362</v>
      </c>
      <c r="E1564" t="s">
        <v>6358</v>
      </c>
      <c r="F1564" t="s">
        <v>6358</v>
      </c>
      <c r="G1564" s="43">
        <v>8.5199999999999998E-2</v>
      </c>
      <c r="H1564" s="63">
        <v>1</v>
      </c>
    </row>
    <row r="1565" spans="1:8" x14ac:dyDescent="0.55000000000000004">
      <c r="A1565" s="61" t="s">
        <v>6823</v>
      </c>
      <c r="B1565" t="s">
        <v>3597</v>
      </c>
      <c r="C1565">
        <v>9110</v>
      </c>
      <c r="D1565" t="s">
        <v>6365</v>
      </c>
      <c r="E1565" t="s">
        <v>6366</v>
      </c>
      <c r="F1565" t="s">
        <v>6361</v>
      </c>
      <c r="G1565" s="43">
        <v>0</v>
      </c>
      <c r="H1565" s="63">
        <v>-0.1</v>
      </c>
    </row>
    <row r="1566" spans="1:8" x14ac:dyDescent="0.55000000000000004">
      <c r="A1566" s="61" t="s">
        <v>6824</v>
      </c>
      <c r="B1566" t="s">
        <v>1349</v>
      </c>
      <c r="C1566">
        <v>8710</v>
      </c>
      <c r="D1566" t="s">
        <v>6359</v>
      </c>
      <c r="E1566" t="s">
        <v>6360</v>
      </c>
      <c r="F1566" t="s">
        <v>6361</v>
      </c>
      <c r="G1566" s="43">
        <v>0</v>
      </c>
      <c r="H1566" s="63">
        <v>0.9</v>
      </c>
    </row>
    <row r="1567" spans="1:8" x14ac:dyDescent="0.55000000000000004">
      <c r="A1567" s="61" t="s">
        <v>6824</v>
      </c>
      <c r="B1567" t="s">
        <v>1349</v>
      </c>
      <c r="C1567">
        <v>8710</v>
      </c>
      <c r="D1567" t="s">
        <v>6363</v>
      </c>
      <c r="E1567" t="s">
        <v>6364</v>
      </c>
      <c r="F1567" t="s">
        <v>6361</v>
      </c>
      <c r="G1567" s="43">
        <v>0</v>
      </c>
      <c r="H1567" s="63">
        <v>0.1</v>
      </c>
    </row>
    <row r="1568" spans="1:8" x14ac:dyDescent="0.55000000000000004">
      <c r="A1568" s="61" t="s">
        <v>6824</v>
      </c>
      <c r="B1568" t="s">
        <v>1349</v>
      </c>
      <c r="C1568">
        <v>8710</v>
      </c>
      <c r="D1568" t="s">
        <v>6362</v>
      </c>
      <c r="E1568" t="s">
        <v>6358</v>
      </c>
      <c r="F1568" t="s">
        <v>6358</v>
      </c>
      <c r="G1568" s="43">
        <v>6.4699999999999994E-2</v>
      </c>
      <c r="H1568" s="63">
        <v>1</v>
      </c>
    </row>
    <row r="1569" spans="1:8" x14ac:dyDescent="0.55000000000000004">
      <c r="A1569" s="61" t="s">
        <v>6824</v>
      </c>
      <c r="B1569" t="s">
        <v>1349</v>
      </c>
      <c r="C1569">
        <v>8710</v>
      </c>
      <c r="D1569" t="s">
        <v>6365</v>
      </c>
      <c r="E1569" t="s">
        <v>6366</v>
      </c>
      <c r="F1569" t="s">
        <v>6361</v>
      </c>
      <c r="G1569" s="43">
        <v>0</v>
      </c>
      <c r="H1569" s="63">
        <v>-0.1</v>
      </c>
    </row>
    <row r="1570" spans="1:8" x14ac:dyDescent="0.55000000000000004">
      <c r="A1570" s="61" t="s">
        <v>6825</v>
      </c>
      <c r="B1570" t="s">
        <v>1349</v>
      </c>
      <c r="C1570">
        <v>9110</v>
      </c>
      <c r="D1570" t="s">
        <v>6359</v>
      </c>
      <c r="E1570" t="s">
        <v>6367</v>
      </c>
      <c r="F1570" t="s">
        <v>6361</v>
      </c>
      <c r="G1570" s="43">
        <v>0</v>
      </c>
      <c r="H1570" s="63">
        <v>0.9</v>
      </c>
    </row>
    <row r="1571" spans="1:8" x14ac:dyDescent="0.55000000000000004">
      <c r="A1571" s="61" t="s">
        <v>6825</v>
      </c>
      <c r="B1571" t="s">
        <v>1349</v>
      </c>
      <c r="C1571">
        <v>9110</v>
      </c>
      <c r="D1571" t="s">
        <v>6363</v>
      </c>
      <c r="E1571" t="s">
        <v>6364</v>
      </c>
      <c r="F1571" t="s">
        <v>6361</v>
      </c>
      <c r="G1571" s="43">
        <v>0</v>
      </c>
      <c r="H1571" s="63">
        <v>0.1</v>
      </c>
    </row>
    <row r="1572" spans="1:8" x14ac:dyDescent="0.55000000000000004">
      <c r="A1572" s="61" t="s">
        <v>6825</v>
      </c>
      <c r="B1572" t="s">
        <v>1349</v>
      </c>
      <c r="C1572">
        <v>9110</v>
      </c>
      <c r="D1572" t="s">
        <v>6362</v>
      </c>
      <c r="E1572" t="s">
        <v>6358</v>
      </c>
      <c r="F1572" t="s">
        <v>6358</v>
      </c>
      <c r="G1572" s="43">
        <v>6.4699999999999994E-2</v>
      </c>
      <c r="H1572" s="63">
        <v>1</v>
      </c>
    </row>
    <row r="1573" spans="1:8" x14ac:dyDescent="0.55000000000000004">
      <c r="A1573" s="61" t="s">
        <v>6825</v>
      </c>
      <c r="B1573" t="s">
        <v>1349</v>
      </c>
      <c r="C1573">
        <v>9110</v>
      </c>
      <c r="D1573" t="s">
        <v>6365</v>
      </c>
      <c r="E1573" t="s">
        <v>6366</v>
      </c>
      <c r="F1573" t="s">
        <v>6361</v>
      </c>
      <c r="G1573" s="43">
        <v>0</v>
      </c>
      <c r="H1573" s="63">
        <v>-0.1</v>
      </c>
    </row>
    <row r="1574" spans="1:8" x14ac:dyDescent="0.55000000000000004">
      <c r="A1574" s="61" t="s">
        <v>6826</v>
      </c>
      <c r="B1574" t="s">
        <v>4020</v>
      </c>
      <c r="C1574">
        <v>8701</v>
      </c>
      <c r="D1574" t="s">
        <v>6359</v>
      </c>
      <c r="E1574" t="s">
        <v>6368</v>
      </c>
      <c r="F1574" t="s">
        <v>6361</v>
      </c>
      <c r="G1574" s="43">
        <v>0</v>
      </c>
      <c r="H1574" s="63">
        <v>1</v>
      </c>
    </row>
    <row r="1575" spans="1:8" x14ac:dyDescent="0.55000000000000004">
      <c r="A1575" s="61" t="s">
        <v>6826</v>
      </c>
      <c r="B1575" t="s">
        <v>4020</v>
      </c>
      <c r="C1575">
        <v>8701</v>
      </c>
      <c r="D1575" t="s">
        <v>6362</v>
      </c>
      <c r="E1575" t="s">
        <v>6358</v>
      </c>
      <c r="F1575" t="s">
        <v>6358</v>
      </c>
      <c r="G1575" s="43">
        <v>4.4900000000000002E-2</v>
      </c>
      <c r="H1575" s="63">
        <v>1</v>
      </c>
    </row>
    <row r="1576" spans="1:8" x14ac:dyDescent="0.55000000000000004">
      <c r="A1576" s="61" t="s">
        <v>6827</v>
      </c>
      <c r="B1576" t="s">
        <v>4020</v>
      </c>
      <c r="C1576">
        <v>8710</v>
      </c>
      <c r="D1576" t="s">
        <v>6359</v>
      </c>
      <c r="E1576" t="s">
        <v>6368</v>
      </c>
      <c r="F1576" t="s">
        <v>6361</v>
      </c>
      <c r="G1576" s="43">
        <v>0</v>
      </c>
      <c r="H1576" s="63">
        <v>0.9</v>
      </c>
    </row>
    <row r="1577" spans="1:8" x14ac:dyDescent="0.55000000000000004">
      <c r="A1577" s="61" t="s">
        <v>6827</v>
      </c>
      <c r="B1577" t="s">
        <v>4020</v>
      </c>
      <c r="C1577">
        <v>8710</v>
      </c>
      <c r="D1577" t="s">
        <v>6363</v>
      </c>
      <c r="E1577" t="s">
        <v>6364</v>
      </c>
      <c r="F1577" t="s">
        <v>6361</v>
      </c>
      <c r="G1577" s="43">
        <v>0</v>
      </c>
      <c r="H1577" s="63">
        <v>0.1</v>
      </c>
    </row>
    <row r="1578" spans="1:8" x14ac:dyDescent="0.55000000000000004">
      <c r="A1578" s="61" t="s">
        <v>6827</v>
      </c>
      <c r="B1578" t="s">
        <v>4020</v>
      </c>
      <c r="C1578">
        <v>8710</v>
      </c>
      <c r="D1578" t="s">
        <v>6362</v>
      </c>
      <c r="E1578" t="s">
        <v>6358</v>
      </c>
      <c r="F1578" t="s">
        <v>6358</v>
      </c>
      <c r="G1578" s="43">
        <v>4.4999999999999998E-2</v>
      </c>
      <c r="H1578" s="63">
        <v>1</v>
      </c>
    </row>
    <row r="1579" spans="1:8" x14ac:dyDescent="0.55000000000000004">
      <c r="A1579" s="61" t="s">
        <v>6827</v>
      </c>
      <c r="B1579" t="s">
        <v>4020</v>
      </c>
      <c r="C1579">
        <v>8710</v>
      </c>
      <c r="D1579" t="s">
        <v>6365</v>
      </c>
      <c r="E1579" t="s">
        <v>6366</v>
      </c>
      <c r="F1579" t="s">
        <v>6361</v>
      </c>
      <c r="G1579" s="43">
        <v>0</v>
      </c>
      <c r="H1579" s="63">
        <v>-0.1</v>
      </c>
    </row>
    <row r="1580" spans="1:8" x14ac:dyDescent="0.55000000000000004">
      <c r="A1580" s="61" t="s">
        <v>6828</v>
      </c>
      <c r="B1580" t="s">
        <v>4020</v>
      </c>
      <c r="C1580">
        <v>9204</v>
      </c>
      <c r="D1580" t="s">
        <v>6359</v>
      </c>
      <c r="E1580" t="s">
        <v>6369</v>
      </c>
      <c r="F1580" t="s">
        <v>6361</v>
      </c>
      <c r="G1580" s="43">
        <v>0</v>
      </c>
      <c r="H1580" s="63">
        <v>0.9</v>
      </c>
    </row>
    <row r="1581" spans="1:8" x14ac:dyDescent="0.55000000000000004">
      <c r="A1581" s="61" t="s">
        <v>6828</v>
      </c>
      <c r="B1581" t="s">
        <v>4020</v>
      </c>
      <c r="C1581">
        <v>9204</v>
      </c>
      <c r="D1581" t="s">
        <v>6363</v>
      </c>
      <c r="E1581" t="s">
        <v>6364</v>
      </c>
      <c r="F1581" t="s">
        <v>6361</v>
      </c>
      <c r="G1581" s="43">
        <v>0</v>
      </c>
      <c r="H1581" s="63">
        <v>0.1</v>
      </c>
    </row>
    <row r="1582" spans="1:8" x14ac:dyDescent="0.55000000000000004">
      <c r="A1582" s="61" t="s">
        <v>6828</v>
      </c>
      <c r="B1582" t="s">
        <v>4020</v>
      </c>
      <c r="C1582">
        <v>9204</v>
      </c>
      <c r="D1582" t="s">
        <v>6362</v>
      </c>
      <c r="E1582" t="s">
        <v>6358</v>
      </c>
      <c r="F1582" t="s">
        <v>6358</v>
      </c>
      <c r="G1582" s="43">
        <v>4.4999999999999998E-2</v>
      </c>
      <c r="H1582" s="63">
        <v>1</v>
      </c>
    </row>
    <row r="1583" spans="1:8" x14ac:dyDescent="0.55000000000000004">
      <c r="A1583" s="61" t="s">
        <v>6828</v>
      </c>
      <c r="B1583" t="s">
        <v>4020</v>
      </c>
      <c r="C1583">
        <v>9204</v>
      </c>
      <c r="D1583" t="s">
        <v>6365</v>
      </c>
      <c r="E1583" t="s">
        <v>6366</v>
      </c>
      <c r="F1583" t="s">
        <v>6361</v>
      </c>
      <c r="G1583" s="43">
        <v>0</v>
      </c>
      <c r="H1583" s="63">
        <v>-0.1</v>
      </c>
    </row>
    <row r="1584" spans="1:8" x14ac:dyDescent="0.55000000000000004">
      <c r="A1584" s="61" t="s">
        <v>6829</v>
      </c>
      <c r="B1584" t="s">
        <v>4020</v>
      </c>
      <c r="C1584">
        <v>9310</v>
      </c>
      <c r="D1584" t="s">
        <v>6359</v>
      </c>
      <c r="E1584" t="s">
        <v>6369</v>
      </c>
      <c r="F1584" t="s">
        <v>6361</v>
      </c>
      <c r="G1584" s="43">
        <v>0</v>
      </c>
      <c r="H1584" s="63">
        <v>0.9</v>
      </c>
    </row>
    <row r="1585" spans="1:8" x14ac:dyDescent="0.55000000000000004">
      <c r="A1585" s="61" t="s">
        <v>6829</v>
      </c>
      <c r="B1585" t="s">
        <v>4020</v>
      </c>
      <c r="C1585">
        <v>9310</v>
      </c>
      <c r="D1585" t="s">
        <v>6363</v>
      </c>
      <c r="E1585" t="s">
        <v>6364</v>
      </c>
      <c r="F1585" t="s">
        <v>6361</v>
      </c>
      <c r="G1585" s="43">
        <v>0</v>
      </c>
      <c r="H1585" s="63">
        <v>0.1</v>
      </c>
    </row>
    <row r="1586" spans="1:8" x14ac:dyDescent="0.55000000000000004">
      <c r="A1586" s="61" t="s">
        <v>6829</v>
      </c>
      <c r="B1586" t="s">
        <v>4020</v>
      </c>
      <c r="C1586">
        <v>9310</v>
      </c>
      <c r="D1586" t="s">
        <v>6362</v>
      </c>
      <c r="E1586" t="s">
        <v>6358</v>
      </c>
      <c r="F1586" t="s">
        <v>6358</v>
      </c>
      <c r="G1586" s="43">
        <v>4.4999999999999998E-2</v>
      </c>
      <c r="H1586" s="63">
        <v>1</v>
      </c>
    </row>
    <row r="1587" spans="1:8" x14ac:dyDescent="0.55000000000000004">
      <c r="A1587" s="61" t="s">
        <v>6829</v>
      </c>
      <c r="B1587" t="s">
        <v>4020</v>
      </c>
      <c r="C1587">
        <v>9310</v>
      </c>
      <c r="D1587" t="s">
        <v>6365</v>
      </c>
      <c r="E1587" t="s">
        <v>6366</v>
      </c>
      <c r="F1587" t="s">
        <v>6361</v>
      </c>
      <c r="G1587" s="43">
        <v>0</v>
      </c>
      <c r="H1587" s="63">
        <v>-0.1</v>
      </c>
    </row>
    <row r="1588" spans="1:8" x14ac:dyDescent="0.55000000000000004">
      <c r="A1588" s="61" t="s">
        <v>6830</v>
      </c>
      <c r="B1588" t="s">
        <v>3338</v>
      </c>
      <c r="C1588">
        <v>8701</v>
      </c>
      <c r="D1588" t="s">
        <v>6359</v>
      </c>
      <c r="E1588" t="s">
        <v>6360</v>
      </c>
      <c r="F1588" t="s">
        <v>6361</v>
      </c>
      <c r="G1588" s="43">
        <v>0</v>
      </c>
      <c r="H1588" s="63">
        <v>1</v>
      </c>
    </row>
    <row r="1589" spans="1:8" x14ac:dyDescent="0.55000000000000004">
      <c r="A1589" s="61" t="s">
        <v>6830</v>
      </c>
      <c r="B1589" t="s">
        <v>3338</v>
      </c>
      <c r="C1589">
        <v>8701</v>
      </c>
      <c r="D1589" t="s">
        <v>6362</v>
      </c>
      <c r="E1589" t="s">
        <v>6358</v>
      </c>
      <c r="F1589" t="s">
        <v>6358</v>
      </c>
      <c r="G1589" s="43">
        <v>9.2299999999999993E-2</v>
      </c>
      <c r="H1589" s="63">
        <v>1</v>
      </c>
    </row>
    <row r="1590" spans="1:8" x14ac:dyDescent="0.55000000000000004">
      <c r="A1590" s="61" t="s">
        <v>6831</v>
      </c>
      <c r="B1590" t="s">
        <v>3338</v>
      </c>
      <c r="C1590">
        <v>8710</v>
      </c>
      <c r="D1590" t="s">
        <v>6359</v>
      </c>
      <c r="E1590" t="s">
        <v>6360</v>
      </c>
      <c r="F1590" t="s">
        <v>6361</v>
      </c>
      <c r="G1590" s="43">
        <v>0</v>
      </c>
      <c r="H1590" s="63">
        <v>0.9</v>
      </c>
    </row>
    <row r="1591" spans="1:8" x14ac:dyDescent="0.55000000000000004">
      <c r="A1591" s="61" t="s">
        <v>6831</v>
      </c>
      <c r="B1591" t="s">
        <v>3338</v>
      </c>
      <c r="C1591">
        <v>8710</v>
      </c>
      <c r="D1591" t="s">
        <v>6363</v>
      </c>
      <c r="E1591" t="s">
        <v>6364</v>
      </c>
      <c r="F1591" t="s">
        <v>6361</v>
      </c>
      <c r="G1591" s="43">
        <v>0</v>
      </c>
      <c r="H1591" s="63">
        <v>0.1</v>
      </c>
    </row>
    <row r="1592" spans="1:8" x14ac:dyDescent="0.55000000000000004">
      <c r="A1592" s="61" t="s">
        <v>6831</v>
      </c>
      <c r="B1592" t="s">
        <v>3338</v>
      </c>
      <c r="C1592">
        <v>8710</v>
      </c>
      <c r="D1592" t="s">
        <v>6362</v>
      </c>
      <c r="E1592" t="s">
        <v>6358</v>
      </c>
      <c r="F1592" t="s">
        <v>6358</v>
      </c>
      <c r="G1592" s="43">
        <v>7.5200000000000003E-2</v>
      </c>
      <c r="H1592" s="63">
        <v>1</v>
      </c>
    </row>
    <row r="1593" spans="1:8" x14ac:dyDescent="0.55000000000000004">
      <c r="A1593" s="61" t="s">
        <v>6831</v>
      </c>
      <c r="B1593" t="s">
        <v>3338</v>
      </c>
      <c r="C1593">
        <v>8710</v>
      </c>
      <c r="D1593" t="s">
        <v>6365</v>
      </c>
      <c r="E1593" t="s">
        <v>6366</v>
      </c>
      <c r="F1593" t="s">
        <v>6361</v>
      </c>
      <c r="G1593" s="43">
        <v>0</v>
      </c>
      <c r="H1593" s="63">
        <v>-0.1</v>
      </c>
    </row>
    <row r="1594" spans="1:8" x14ac:dyDescent="0.55000000000000004">
      <c r="A1594" s="61" t="s">
        <v>6832</v>
      </c>
      <c r="B1594" t="s">
        <v>3338</v>
      </c>
      <c r="C1594">
        <v>9101</v>
      </c>
      <c r="D1594" t="s">
        <v>6359</v>
      </c>
      <c r="E1594" t="s">
        <v>6367</v>
      </c>
      <c r="F1594" t="s">
        <v>6361</v>
      </c>
      <c r="G1594" s="43">
        <v>0</v>
      </c>
      <c r="H1594" s="63">
        <v>1</v>
      </c>
    </row>
    <row r="1595" spans="1:8" x14ac:dyDescent="0.55000000000000004">
      <c r="A1595" s="61" t="s">
        <v>6832</v>
      </c>
      <c r="B1595" t="s">
        <v>3338</v>
      </c>
      <c r="C1595">
        <v>9101</v>
      </c>
      <c r="D1595" t="s">
        <v>6362</v>
      </c>
      <c r="E1595" t="s">
        <v>6358</v>
      </c>
      <c r="F1595" t="s">
        <v>6358</v>
      </c>
      <c r="G1595" s="43">
        <v>9.2299999999999993E-2</v>
      </c>
      <c r="H1595" s="63">
        <v>1</v>
      </c>
    </row>
    <row r="1596" spans="1:8" x14ac:dyDescent="0.55000000000000004">
      <c r="A1596" s="61" t="s">
        <v>6833</v>
      </c>
      <c r="B1596" t="s">
        <v>3338</v>
      </c>
      <c r="C1596">
        <v>9110</v>
      </c>
      <c r="D1596" t="s">
        <v>6359</v>
      </c>
      <c r="E1596" t="s">
        <v>6367</v>
      </c>
      <c r="F1596" t="s">
        <v>6361</v>
      </c>
      <c r="G1596" s="43">
        <v>0</v>
      </c>
      <c r="H1596" s="63">
        <v>0.9</v>
      </c>
    </row>
    <row r="1597" spans="1:8" x14ac:dyDescent="0.55000000000000004">
      <c r="A1597" s="61" t="s">
        <v>6833</v>
      </c>
      <c r="B1597" t="s">
        <v>3338</v>
      </c>
      <c r="C1597">
        <v>9110</v>
      </c>
      <c r="D1597" t="s">
        <v>6363</v>
      </c>
      <c r="E1597" t="s">
        <v>6364</v>
      </c>
      <c r="F1597" t="s">
        <v>6361</v>
      </c>
      <c r="G1597" s="43">
        <v>0</v>
      </c>
      <c r="H1597" s="63">
        <v>0.1</v>
      </c>
    </row>
    <row r="1598" spans="1:8" x14ac:dyDescent="0.55000000000000004">
      <c r="A1598" s="61" t="s">
        <v>6833</v>
      </c>
      <c r="B1598" t="s">
        <v>3338</v>
      </c>
      <c r="C1598">
        <v>9110</v>
      </c>
      <c r="D1598" t="s">
        <v>6362</v>
      </c>
      <c r="E1598" t="s">
        <v>6358</v>
      </c>
      <c r="F1598" t="s">
        <v>6358</v>
      </c>
      <c r="G1598" s="43">
        <v>7.5200000000000003E-2</v>
      </c>
      <c r="H1598" s="63">
        <v>1</v>
      </c>
    </row>
    <row r="1599" spans="1:8" x14ac:dyDescent="0.55000000000000004">
      <c r="A1599" s="61" t="s">
        <v>6833</v>
      </c>
      <c r="B1599" t="s">
        <v>3338</v>
      </c>
      <c r="C1599">
        <v>9110</v>
      </c>
      <c r="D1599" t="s">
        <v>6365</v>
      </c>
      <c r="E1599" t="s">
        <v>6366</v>
      </c>
      <c r="F1599" t="s">
        <v>6361</v>
      </c>
      <c r="G1599" s="43">
        <v>0</v>
      </c>
      <c r="H1599" s="63">
        <v>-0.1</v>
      </c>
    </row>
    <row r="1600" spans="1:8" x14ac:dyDescent="0.55000000000000004">
      <c r="A1600" s="61" t="s">
        <v>6834</v>
      </c>
      <c r="B1600" t="s">
        <v>3338</v>
      </c>
      <c r="C1600">
        <v>9310</v>
      </c>
      <c r="D1600" t="s">
        <v>6359</v>
      </c>
      <c r="E1600" t="s">
        <v>6367</v>
      </c>
      <c r="F1600" t="s">
        <v>6361</v>
      </c>
      <c r="G1600" s="43">
        <v>0</v>
      </c>
      <c r="H1600" s="63">
        <v>0.9</v>
      </c>
    </row>
    <row r="1601" spans="1:8" x14ac:dyDescent="0.55000000000000004">
      <c r="A1601" s="61" t="s">
        <v>6834</v>
      </c>
      <c r="B1601" t="s">
        <v>3338</v>
      </c>
      <c r="C1601">
        <v>9310</v>
      </c>
      <c r="D1601" t="s">
        <v>6363</v>
      </c>
      <c r="E1601" t="s">
        <v>6364</v>
      </c>
      <c r="F1601" t="s">
        <v>6361</v>
      </c>
      <c r="G1601" s="43">
        <v>0</v>
      </c>
      <c r="H1601" s="63">
        <v>0.1</v>
      </c>
    </row>
    <row r="1602" spans="1:8" x14ac:dyDescent="0.55000000000000004">
      <c r="A1602" s="61" t="s">
        <v>6834</v>
      </c>
      <c r="B1602" t="s">
        <v>3338</v>
      </c>
      <c r="C1602">
        <v>9310</v>
      </c>
      <c r="D1602" t="s">
        <v>6362</v>
      </c>
      <c r="E1602" t="s">
        <v>6358</v>
      </c>
      <c r="F1602" t="s">
        <v>6358</v>
      </c>
      <c r="G1602" s="43">
        <v>7.5200000000000003E-2</v>
      </c>
      <c r="H1602" s="63">
        <v>1</v>
      </c>
    </row>
    <row r="1603" spans="1:8" x14ac:dyDescent="0.55000000000000004">
      <c r="A1603" s="61" t="s">
        <v>6834</v>
      </c>
      <c r="B1603" t="s">
        <v>3338</v>
      </c>
      <c r="C1603">
        <v>9310</v>
      </c>
      <c r="D1603" t="s">
        <v>6365</v>
      </c>
      <c r="E1603" t="s">
        <v>6366</v>
      </c>
      <c r="F1603" t="s">
        <v>6361</v>
      </c>
      <c r="G1603" s="43">
        <v>0</v>
      </c>
      <c r="H1603" s="63">
        <v>-0.1</v>
      </c>
    </row>
    <row r="1604" spans="1:8" x14ac:dyDescent="0.55000000000000004">
      <c r="A1604" s="61" t="s">
        <v>6835</v>
      </c>
      <c r="B1604" t="s">
        <v>227</v>
      </c>
      <c r="C1604">
        <v>8300</v>
      </c>
      <c r="D1604" t="s">
        <v>6359</v>
      </c>
      <c r="E1604" t="s">
        <v>6370</v>
      </c>
      <c r="F1604" t="s">
        <v>6361</v>
      </c>
      <c r="G1604" s="43">
        <v>0</v>
      </c>
      <c r="H1604" s="63">
        <v>1</v>
      </c>
    </row>
    <row r="1605" spans="1:8" x14ac:dyDescent="0.55000000000000004">
      <c r="A1605" s="61" t="s">
        <v>6835</v>
      </c>
      <c r="B1605" t="s">
        <v>227</v>
      </c>
      <c r="C1605">
        <v>8300</v>
      </c>
      <c r="D1605" t="s">
        <v>6362</v>
      </c>
      <c r="E1605" t="s">
        <v>6358</v>
      </c>
      <c r="F1605" t="s">
        <v>6358</v>
      </c>
      <c r="G1605" s="43">
        <v>0.1043</v>
      </c>
      <c r="H1605" s="63">
        <v>1</v>
      </c>
    </row>
    <row r="1606" spans="1:8" x14ac:dyDescent="0.55000000000000004">
      <c r="A1606" s="61" t="s">
        <v>6836</v>
      </c>
      <c r="B1606" t="s">
        <v>227</v>
      </c>
      <c r="C1606">
        <v>8701</v>
      </c>
      <c r="D1606" t="s">
        <v>6359</v>
      </c>
      <c r="E1606" t="s">
        <v>6370</v>
      </c>
      <c r="F1606" t="s">
        <v>6361</v>
      </c>
      <c r="G1606" s="43">
        <v>0</v>
      </c>
      <c r="H1606" s="63">
        <v>1</v>
      </c>
    </row>
    <row r="1607" spans="1:8" x14ac:dyDescent="0.55000000000000004">
      <c r="A1607" s="61" t="s">
        <v>6836</v>
      </c>
      <c r="B1607" t="s">
        <v>227</v>
      </c>
      <c r="C1607">
        <v>8701</v>
      </c>
      <c r="D1607" t="s">
        <v>6362</v>
      </c>
      <c r="E1607" t="s">
        <v>6358</v>
      </c>
      <c r="F1607" t="s">
        <v>6358</v>
      </c>
      <c r="G1607" s="43">
        <v>0.1043</v>
      </c>
      <c r="H1607" s="63">
        <v>1</v>
      </c>
    </row>
    <row r="1608" spans="1:8" x14ac:dyDescent="0.55000000000000004">
      <c r="A1608" s="61" t="s">
        <v>6837</v>
      </c>
      <c r="B1608" t="s">
        <v>227</v>
      </c>
      <c r="C1608">
        <v>8710</v>
      </c>
      <c r="D1608" t="s">
        <v>6359</v>
      </c>
      <c r="E1608" t="s">
        <v>6370</v>
      </c>
      <c r="F1608" t="s">
        <v>6361</v>
      </c>
      <c r="G1608" s="43">
        <v>0</v>
      </c>
      <c r="H1608" s="63">
        <v>0.9</v>
      </c>
    </row>
    <row r="1609" spans="1:8" x14ac:dyDescent="0.55000000000000004">
      <c r="A1609" s="61" t="s">
        <v>6837</v>
      </c>
      <c r="B1609" t="s">
        <v>227</v>
      </c>
      <c r="C1609">
        <v>8710</v>
      </c>
      <c r="D1609" t="s">
        <v>6363</v>
      </c>
      <c r="E1609" t="s">
        <v>6364</v>
      </c>
      <c r="F1609" t="s">
        <v>6361</v>
      </c>
      <c r="G1609" s="43">
        <v>0</v>
      </c>
      <c r="H1609" s="63">
        <v>0.1</v>
      </c>
    </row>
    <row r="1610" spans="1:8" x14ac:dyDescent="0.55000000000000004">
      <c r="A1610" s="61" t="s">
        <v>6837</v>
      </c>
      <c r="B1610" t="s">
        <v>227</v>
      </c>
      <c r="C1610">
        <v>8710</v>
      </c>
      <c r="D1610" t="s">
        <v>6362</v>
      </c>
      <c r="E1610" t="s">
        <v>6358</v>
      </c>
      <c r="F1610" t="s">
        <v>6358</v>
      </c>
      <c r="G1610" s="62">
        <v>0.1091</v>
      </c>
      <c r="H1610" s="63">
        <v>1</v>
      </c>
    </row>
    <row r="1611" spans="1:8" x14ac:dyDescent="0.55000000000000004">
      <c r="A1611" s="61" t="s">
        <v>6837</v>
      </c>
      <c r="B1611" t="s">
        <v>227</v>
      </c>
      <c r="C1611">
        <v>8710</v>
      </c>
      <c r="D1611" t="s">
        <v>6365</v>
      </c>
      <c r="E1611" t="s">
        <v>6366</v>
      </c>
      <c r="F1611" t="s">
        <v>6361</v>
      </c>
      <c r="G1611" s="43">
        <v>0</v>
      </c>
      <c r="H1611" s="63">
        <v>-0.1</v>
      </c>
    </row>
    <row r="1612" spans="1:8" x14ac:dyDescent="0.55000000000000004">
      <c r="A1612" s="61" t="s">
        <v>6838</v>
      </c>
      <c r="B1612" t="s">
        <v>227</v>
      </c>
      <c r="C1612">
        <v>9101</v>
      </c>
      <c r="D1612" t="s">
        <v>6359</v>
      </c>
      <c r="E1612" t="s">
        <v>6371</v>
      </c>
      <c r="F1612" t="s">
        <v>6361</v>
      </c>
      <c r="G1612" s="43">
        <v>0</v>
      </c>
      <c r="H1612" s="63">
        <v>1</v>
      </c>
    </row>
    <row r="1613" spans="1:8" x14ac:dyDescent="0.55000000000000004">
      <c r="A1613" s="61" t="s">
        <v>6838</v>
      </c>
      <c r="B1613" t="s">
        <v>227</v>
      </c>
      <c r="C1613">
        <v>9101</v>
      </c>
      <c r="D1613" t="s">
        <v>6362</v>
      </c>
      <c r="E1613" t="s">
        <v>6358</v>
      </c>
      <c r="F1613" t="s">
        <v>6358</v>
      </c>
      <c r="G1613" s="43">
        <v>0.1043</v>
      </c>
      <c r="H1613" s="63">
        <v>1</v>
      </c>
    </row>
    <row r="1614" spans="1:8" x14ac:dyDescent="0.55000000000000004">
      <c r="A1614" s="61" t="s">
        <v>6839</v>
      </c>
      <c r="B1614" t="s">
        <v>227</v>
      </c>
      <c r="C1614">
        <v>9110</v>
      </c>
      <c r="D1614" t="s">
        <v>6359</v>
      </c>
      <c r="E1614" t="s">
        <v>6371</v>
      </c>
      <c r="F1614" t="s">
        <v>6361</v>
      </c>
      <c r="G1614" s="43">
        <v>0</v>
      </c>
      <c r="H1614" s="63">
        <v>0.9</v>
      </c>
    </row>
    <row r="1615" spans="1:8" x14ac:dyDescent="0.55000000000000004">
      <c r="A1615" s="61" t="s">
        <v>6839</v>
      </c>
      <c r="B1615" t="s">
        <v>227</v>
      </c>
      <c r="C1615">
        <v>9110</v>
      </c>
      <c r="D1615" t="s">
        <v>6363</v>
      </c>
      <c r="E1615" t="s">
        <v>6364</v>
      </c>
      <c r="F1615" t="s">
        <v>6361</v>
      </c>
      <c r="G1615" s="43">
        <v>0</v>
      </c>
      <c r="H1615" s="63">
        <v>0.1</v>
      </c>
    </row>
    <row r="1616" spans="1:8" x14ac:dyDescent="0.55000000000000004">
      <c r="A1616" s="61" t="s">
        <v>6839</v>
      </c>
      <c r="B1616" t="s">
        <v>227</v>
      </c>
      <c r="C1616">
        <v>9110</v>
      </c>
      <c r="D1616" t="s">
        <v>6362</v>
      </c>
      <c r="E1616" t="s">
        <v>6358</v>
      </c>
      <c r="F1616" t="s">
        <v>6358</v>
      </c>
      <c r="G1616" s="62">
        <v>0.1091</v>
      </c>
      <c r="H1616" s="63">
        <v>1</v>
      </c>
    </row>
    <row r="1617" spans="1:8" x14ac:dyDescent="0.55000000000000004">
      <c r="A1617" s="61" t="s">
        <v>6839</v>
      </c>
      <c r="B1617" t="s">
        <v>227</v>
      </c>
      <c r="C1617">
        <v>9110</v>
      </c>
      <c r="D1617" t="s">
        <v>6365</v>
      </c>
      <c r="E1617" t="s">
        <v>6366</v>
      </c>
      <c r="F1617" t="s">
        <v>6361</v>
      </c>
      <c r="G1617" s="43">
        <v>0</v>
      </c>
      <c r="H1617" s="63">
        <v>-0.1</v>
      </c>
    </row>
    <row r="1618" spans="1:8" x14ac:dyDescent="0.55000000000000004">
      <c r="A1618" s="61" t="s">
        <v>6840</v>
      </c>
      <c r="B1618" t="s">
        <v>227</v>
      </c>
      <c r="C1618">
        <v>9200</v>
      </c>
      <c r="D1618" t="s">
        <v>6359</v>
      </c>
      <c r="E1618" t="s">
        <v>6371</v>
      </c>
      <c r="F1618" t="s">
        <v>6361</v>
      </c>
      <c r="G1618" s="43">
        <v>0</v>
      </c>
      <c r="H1618" s="63">
        <v>1</v>
      </c>
    </row>
    <row r="1619" spans="1:8" x14ac:dyDescent="0.55000000000000004">
      <c r="A1619" s="61" t="s">
        <v>6840</v>
      </c>
      <c r="B1619" t="s">
        <v>227</v>
      </c>
      <c r="C1619">
        <v>9200</v>
      </c>
      <c r="D1619" t="s">
        <v>6362</v>
      </c>
      <c r="E1619" t="s">
        <v>6358</v>
      </c>
      <c r="F1619" t="s">
        <v>6358</v>
      </c>
      <c r="G1619" s="43">
        <v>0.1043</v>
      </c>
      <c r="H1619" s="63">
        <v>1</v>
      </c>
    </row>
    <row r="1620" spans="1:8" x14ac:dyDescent="0.55000000000000004">
      <c r="A1620" s="61" t="s">
        <v>6841</v>
      </c>
      <c r="B1620" t="s">
        <v>227</v>
      </c>
      <c r="C1620">
        <v>9204</v>
      </c>
      <c r="D1620" t="s">
        <v>6359</v>
      </c>
      <c r="E1620" t="s">
        <v>6371</v>
      </c>
      <c r="F1620" t="s">
        <v>6361</v>
      </c>
      <c r="G1620" s="43">
        <v>0</v>
      </c>
      <c r="H1620" s="63">
        <v>0.9</v>
      </c>
    </row>
    <row r="1621" spans="1:8" x14ac:dyDescent="0.55000000000000004">
      <c r="A1621" s="61" t="s">
        <v>6841</v>
      </c>
      <c r="B1621" t="s">
        <v>227</v>
      </c>
      <c r="C1621">
        <v>9204</v>
      </c>
      <c r="D1621" t="s">
        <v>6363</v>
      </c>
      <c r="E1621" t="s">
        <v>6364</v>
      </c>
      <c r="F1621" t="s">
        <v>6361</v>
      </c>
      <c r="G1621" s="43">
        <v>0</v>
      </c>
      <c r="H1621" s="63">
        <v>0.1</v>
      </c>
    </row>
    <row r="1622" spans="1:8" x14ac:dyDescent="0.55000000000000004">
      <c r="A1622" s="61" t="s">
        <v>6841</v>
      </c>
      <c r="B1622" t="s">
        <v>227</v>
      </c>
      <c r="C1622">
        <v>9204</v>
      </c>
      <c r="D1622" t="s">
        <v>6362</v>
      </c>
      <c r="E1622" t="s">
        <v>6358</v>
      </c>
      <c r="F1622" t="s">
        <v>6358</v>
      </c>
      <c r="G1622" s="62">
        <v>0.1091</v>
      </c>
      <c r="H1622" s="63">
        <v>1</v>
      </c>
    </row>
    <row r="1623" spans="1:8" x14ac:dyDescent="0.55000000000000004">
      <c r="A1623" s="61" t="s">
        <v>6841</v>
      </c>
      <c r="B1623" t="s">
        <v>227</v>
      </c>
      <c r="C1623">
        <v>9204</v>
      </c>
      <c r="D1623" t="s">
        <v>6365</v>
      </c>
      <c r="E1623" t="s">
        <v>6366</v>
      </c>
      <c r="F1623" t="s">
        <v>6361</v>
      </c>
      <c r="G1623" s="43">
        <v>0</v>
      </c>
      <c r="H1623" s="63">
        <v>-0.1</v>
      </c>
    </row>
    <row r="1624" spans="1:8" x14ac:dyDescent="0.55000000000000004">
      <c r="A1624" s="61" t="s">
        <v>6842</v>
      </c>
      <c r="B1624" t="s">
        <v>227</v>
      </c>
      <c r="C1624">
        <v>9300</v>
      </c>
      <c r="D1624" t="s">
        <v>6359</v>
      </c>
      <c r="E1624" t="s">
        <v>6371</v>
      </c>
      <c r="F1624" t="s">
        <v>6361</v>
      </c>
      <c r="G1624" s="43">
        <v>0</v>
      </c>
      <c r="H1624" s="63">
        <v>1</v>
      </c>
    </row>
    <row r="1625" spans="1:8" x14ac:dyDescent="0.55000000000000004">
      <c r="A1625" s="61" t="s">
        <v>6842</v>
      </c>
      <c r="B1625" t="s">
        <v>227</v>
      </c>
      <c r="C1625">
        <v>9300</v>
      </c>
      <c r="D1625" t="s">
        <v>6362</v>
      </c>
      <c r="E1625" t="s">
        <v>6358</v>
      </c>
      <c r="F1625" t="s">
        <v>6358</v>
      </c>
      <c r="G1625" s="43">
        <v>0.1043</v>
      </c>
      <c r="H1625" s="63">
        <v>1</v>
      </c>
    </row>
    <row r="1626" spans="1:8" x14ac:dyDescent="0.55000000000000004">
      <c r="A1626" s="61" t="s">
        <v>6843</v>
      </c>
      <c r="B1626" t="s">
        <v>227</v>
      </c>
      <c r="C1626">
        <v>9310</v>
      </c>
      <c r="D1626" t="s">
        <v>6359</v>
      </c>
      <c r="E1626" t="s">
        <v>6371</v>
      </c>
      <c r="F1626" t="s">
        <v>6361</v>
      </c>
      <c r="G1626" s="43">
        <v>0</v>
      </c>
      <c r="H1626" s="63">
        <v>0.9</v>
      </c>
    </row>
    <row r="1627" spans="1:8" x14ac:dyDescent="0.55000000000000004">
      <c r="A1627" s="61" t="s">
        <v>6843</v>
      </c>
      <c r="B1627" t="s">
        <v>227</v>
      </c>
      <c r="C1627">
        <v>9310</v>
      </c>
      <c r="D1627" t="s">
        <v>6363</v>
      </c>
      <c r="E1627" t="s">
        <v>6364</v>
      </c>
      <c r="F1627" t="s">
        <v>6361</v>
      </c>
      <c r="G1627" s="43">
        <v>0</v>
      </c>
      <c r="H1627" s="63">
        <v>0.1</v>
      </c>
    </row>
    <row r="1628" spans="1:8" x14ac:dyDescent="0.55000000000000004">
      <c r="A1628" s="61" t="s">
        <v>6843</v>
      </c>
      <c r="B1628" t="s">
        <v>227</v>
      </c>
      <c r="C1628">
        <v>9310</v>
      </c>
      <c r="D1628" t="s">
        <v>6362</v>
      </c>
      <c r="E1628" t="s">
        <v>6358</v>
      </c>
      <c r="F1628" t="s">
        <v>6358</v>
      </c>
      <c r="G1628" s="62">
        <v>0.1091</v>
      </c>
      <c r="H1628" s="63">
        <v>1</v>
      </c>
    </row>
    <row r="1629" spans="1:8" x14ac:dyDescent="0.55000000000000004">
      <c r="A1629" s="61" t="s">
        <v>6843</v>
      </c>
      <c r="B1629" t="s">
        <v>227</v>
      </c>
      <c r="C1629">
        <v>9310</v>
      </c>
      <c r="D1629" t="s">
        <v>6365</v>
      </c>
      <c r="E1629" t="s">
        <v>6366</v>
      </c>
      <c r="F1629" t="s">
        <v>6361</v>
      </c>
      <c r="G1629" s="43">
        <v>0</v>
      </c>
      <c r="H1629" s="63">
        <v>-0.1</v>
      </c>
    </row>
    <row r="1630" spans="1:8" x14ac:dyDescent="0.55000000000000004">
      <c r="A1630" s="61" t="s">
        <v>6844</v>
      </c>
      <c r="B1630" t="s">
        <v>3736</v>
      </c>
      <c r="C1630">
        <v>8712</v>
      </c>
      <c r="D1630" t="s">
        <v>6359</v>
      </c>
      <c r="E1630" t="s">
        <v>6391</v>
      </c>
      <c r="F1630" t="s">
        <v>6361</v>
      </c>
      <c r="G1630" s="43">
        <v>0</v>
      </c>
      <c r="H1630" s="63">
        <v>0.9</v>
      </c>
    </row>
    <row r="1631" spans="1:8" x14ac:dyDescent="0.55000000000000004">
      <c r="A1631" s="61" t="s">
        <v>6844</v>
      </c>
      <c r="B1631" t="s">
        <v>3736</v>
      </c>
      <c r="C1631">
        <v>8712</v>
      </c>
      <c r="D1631" t="s">
        <v>6363</v>
      </c>
      <c r="E1631" t="s">
        <v>6364</v>
      </c>
      <c r="F1631" t="s">
        <v>6361</v>
      </c>
      <c r="G1631" s="43">
        <v>0</v>
      </c>
      <c r="H1631" s="63">
        <v>0.1</v>
      </c>
    </row>
    <row r="1632" spans="1:8" x14ac:dyDescent="0.55000000000000004">
      <c r="A1632" s="61" t="s">
        <v>6844</v>
      </c>
      <c r="B1632" t="s">
        <v>3736</v>
      </c>
      <c r="C1632">
        <v>8712</v>
      </c>
      <c r="D1632" t="s">
        <v>6362</v>
      </c>
      <c r="E1632" t="s">
        <v>6358</v>
      </c>
      <c r="F1632" t="s">
        <v>6358</v>
      </c>
      <c r="G1632" s="62">
        <v>5.7700000000000001E-2</v>
      </c>
      <c r="H1632" s="63">
        <v>1</v>
      </c>
    </row>
    <row r="1633" spans="1:8" x14ac:dyDescent="0.55000000000000004">
      <c r="A1633" s="61" t="s">
        <v>6844</v>
      </c>
      <c r="B1633" t="s">
        <v>3736</v>
      </c>
      <c r="C1633">
        <v>8712</v>
      </c>
      <c r="D1633" t="s">
        <v>6365</v>
      </c>
      <c r="E1633" t="s">
        <v>6366</v>
      </c>
      <c r="F1633" t="s">
        <v>6361</v>
      </c>
      <c r="G1633" s="43">
        <v>0</v>
      </c>
      <c r="H1633" s="63">
        <v>-0.1</v>
      </c>
    </row>
    <row r="1634" spans="1:8" x14ac:dyDescent="0.55000000000000004">
      <c r="A1634" s="61" t="s">
        <v>6845</v>
      </c>
      <c r="B1634" t="s">
        <v>3736</v>
      </c>
      <c r="C1634">
        <v>9308</v>
      </c>
      <c r="D1634" t="s">
        <v>6359</v>
      </c>
      <c r="E1634" t="s">
        <v>6392</v>
      </c>
      <c r="F1634" t="s">
        <v>6361</v>
      </c>
      <c r="G1634" s="43">
        <v>0</v>
      </c>
      <c r="H1634" s="63">
        <v>0.9</v>
      </c>
    </row>
    <row r="1635" spans="1:8" x14ac:dyDescent="0.55000000000000004">
      <c r="A1635" s="61" t="s">
        <v>6845</v>
      </c>
      <c r="B1635" t="s">
        <v>3736</v>
      </c>
      <c r="C1635">
        <v>9308</v>
      </c>
      <c r="D1635" t="s">
        <v>6363</v>
      </c>
      <c r="E1635" t="s">
        <v>6364</v>
      </c>
      <c r="F1635" t="s">
        <v>6361</v>
      </c>
      <c r="G1635" s="43">
        <v>0</v>
      </c>
      <c r="H1635" s="63">
        <v>0.1</v>
      </c>
    </row>
    <row r="1636" spans="1:8" x14ac:dyDescent="0.55000000000000004">
      <c r="A1636" s="61" t="s">
        <v>6845</v>
      </c>
      <c r="B1636" t="s">
        <v>3736</v>
      </c>
      <c r="C1636">
        <v>9308</v>
      </c>
      <c r="D1636" t="s">
        <v>6362</v>
      </c>
      <c r="E1636" t="s">
        <v>6358</v>
      </c>
      <c r="F1636" t="s">
        <v>6358</v>
      </c>
      <c r="G1636" s="62">
        <v>5.7700000000000001E-2</v>
      </c>
      <c r="H1636" s="63">
        <v>1</v>
      </c>
    </row>
    <row r="1637" spans="1:8" x14ac:dyDescent="0.55000000000000004">
      <c r="A1637" s="61" t="s">
        <v>6845</v>
      </c>
      <c r="B1637" t="s">
        <v>3736</v>
      </c>
      <c r="C1637">
        <v>9308</v>
      </c>
      <c r="D1637" t="s">
        <v>6365</v>
      </c>
      <c r="E1637" t="s">
        <v>6366</v>
      </c>
      <c r="F1637" t="s">
        <v>6361</v>
      </c>
      <c r="G1637" s="43">
        <v>0</v>
      </c>
      <c r="H1637" s="63">
        <v>-0.1</v>
      </c>
    </row>
    <row r="1638" spans="1:8" x14ac:dyDescent="0.55000000000000004">
      <c r="A1638" s="61" t="s">
        <v>6846</v>
      </c>
      <c r="B1638" t="s">
        <v>1138</v>
      </c>
      <c r="C1638">
        <v>8701</v>
      </c>
      <c r="D1638" t="s">
        <v>6359</v>
      </c>
      <c r="E1638" t="s">
        <v>6370</v>
      </c>
      <c r="F1638" t="s">
        <v>6361</v>
      </c>
      <c r="G1638" s="43">
        <v>0</v>
      </c>
      <c r="H1638" s="63">
        <v>1</v>
      </c>
    </row>
    <row r="1639" spans="1:8" x14ac:dyDescent="0.55000000000000004">
      <c r="A1639" s="61" t="s">
        <v>6846</v>
      </c>
      <c r="B1639" t="s">
        <v>1138</v>
      </c>
      <c r="C1639">
        <v>8701</v>
      </c>
      <c r="D1639" t="s">
        <v>6362</v>
      </c>
      <c r="E1639" t="s">
        <v>6358</v>
      </c>
      <c r="F1639" t="s">
        <v>6358</v>
      </c>
      <c r="G1639" s="43">
        <v>5.8000000000000003E-2</v>
      </c>
      <c r="H1639" s="63">
        <v>1</v>
      </c>
    </row>
    <row r="1640" spans="1:8" x14ac:dyDescent="0.55000000000000004">
      <c r="A1640" s="61" t="s">
        <v>6847</v>
      </c>
      <c r="B1640" t="s">
        <v>1138</v>
      </c>
      <c r="C1640">
        <v>8710</v>
      </c>
      <c r="D1640" t="s">
        <v>6359</v>
      </c>
      <c r="E1640" t="s">
        <v>6370</v>
      </c>
      <c r="F1640" t="s">
        <v>6361</v>
      </c>
      <c r="G1640" s="43">
        <v>0</v>
      </c>
      <c r="H1640" s="63">
        <v>0.9</v>
      </c>
    </row>
    <row r="1641" spans="1:8" x14ac:dyDescent="0.55000000000000004">
      <c r="A1641" s="61" t="s">
        <v>6847</v>
      </c>
      <c r="B1641" t="s">
        <v>1138</v>
      </c>
      <c r="C1641">
        <v>8710</v>
      </c>
      <c r="D1641" t="s">
        <v>6363</v>
      </c>
      <c r="E1641" t="s">
        <v>6364</v>
      </c>
      <c r="F1641" t="s">
        <v>6361</v>
      </c>
      <c r="G1641" s="43">
        <v>0</v>
      </c>
      <c r="H1641" s="63">
        <v>0.1</v>
      </c>
    </row>
    <row r="1642" spans="1:8" x14ac:dyDescent="0.55000000000000004">
      <c r="A1642" s="61" t="s">
        <v>6847</v>
      </c>
      <c r="B1642" t="s">
        <v>1138</v>
      </c>
      <c r="C1642">
        <v>8710</v>
      </c>
      <c r="D1642" t="s">
        <v>6362</v>
      </c>
      <c r="E1642" t="s">
        <v>6358</v>
      </c>
      <c r="F1642" t="s">
        <v>6358</v>
      </c>
      <c r="G1642" s="43">
        <v>7.3499999999999996E-2</v>
      </c>
      <c r="H1642" s="63">
        <v>1</v>
      </c>
    </row>
    <row r="1643" spans="1:8" x14ac:dyDescent="0.55000000000000004">
      <c r="A1643" s="61" t="s">
        <v>6847</v>
      </c>
      <c r="B1643" t="s">
        <v>1138</v>
      </c>
      <c r="C1643">
        <v>8710</v>
      </c>
      <c r="D1643" t="s">
        <v>6365</v>
      </c>
      <c r="E1643" t="s">
        <v>6366</v>
      </c>
      <c r="F1643" t="s">
        <v>6361</v>
      </c>
      <c r="G1643" s="43">
        <v>0</v>
      </c>
      <c r="H1643" s="63">
        <v>-0.1</v>
      </c>
    </row>
    <row r="1644" spans="1:8" x14ac:dyDescent="0.55000000000000004">
      <c r="A1644" s="61" t="s">
        <v>6848</v>
      </c>
      <c r="B1644" t="s">
        <v>1138</v>
      </c>
      <c r="C1644">
        <v>9300</v>
      </c>
      <c r="D1644" t="s">
        <v>6359</v>
      </c>
      <c r="E1644" t="s">
        <v>6371</v>
      </c>
      <c r="F1644" t="s">
        <v>6361</v>
      </c>
      <c r="G1644" s="43">
        <v>0</v>
      </c>
      <c r="H1644" s="63">
        <v>1</v>
      </c>
    </row>
    <row r="1645" spans="1:8" x14ac:dyDescent="0.55000000000000004">
      <c r="A1645" s="61" t="s">
        <v>6848</v>
      </c>
      <c r="B1645" t="s">
        <v>1138</v>
      </c>
      <c r="C1645">
        <v>9300</v>
      </c>
      <c r="D1645" t="s">
        <v>6362</v>
      </c>
      <c r="E1645" t="s">
        <v>6358</v>
      </c>
      <c r="F1645" t="s">
        <v>6358</v>
      </c>
      <c r="G1645" s="43">
        <v>5.8000000000000003E-2</v>
      </c>
      <c r="H1645" s="63">
        <v>1</v>
      </c>
    </row>
    <row r="1646" spans="1:8" x14ac:dyDescent="0.55000000000000004">
      <c r="A1646" s="61" t="s">
        <v>6849</v>
      </c>
      <c r="B1646" t="s">
        <v>1138</v>
      </c>
      <c r="C1646">
        <v>9310</v>
      </c>
      <c r="D1646" t="s">
        <v>6359</v>
      </c>
      <c r="E1646" t="s">
        <v>6371</v>
      </c>
      <c r="F1646" t="s">
        <v>6361</v>
      </c>
      <c r="G1646" s="43">
        <v>0</v>
      </c>
      <c r="H1646" s="63">
        <v>0.9</v>
      </c>
    </row>
    <row r="1647" spans="1:8" x14ac:dyDescent="0.55000000000000004">
      <c r="A1647" s="61" t="s">
        <v>6849</v>
      </c>
      <c r="B1647" t="s">
        <v>1138</v>
      </c>
      <c r="C1647">
        <v>9310</v>
      </c>
      <c r="D1647" t="s">
        <v>6363</v>
      </c>
      <c r="E1647" t="s">
        <v>6364</v>
      </c>
      <c r="F1647" t="s">
        <v>6361</v>
      </c>
      <c r="G1647" s="43">
        <v>0</v>
      </c>
      <c r="H1647" s="63">
        <v>0.1</v>
      </c>
    </row>
    <row r="1648" spans="1:8" x14ac:dyDescent="0.55000000000000004">
      <c r="A1648" s="61" t="s">
        <v>6849</v>
      </c>
      <c r="B1648" t="s">
        <v>1138</v>
      </c>
      <c r="C1648">
        <v>9310</v>
      </c>
      <c r="D1648" t="s">
        <v>6362</v>
      </c>
      <c r="E1648" t="s">
        <v>6358</v>
      </c>
      <c r="F1648" t="s">
        <v>6358</v>
      </c>
      <c r="G1648" s="43">
        <v>7.3499999999999996E-2</v>
      </c>
      <c r="H1648" s="63">
        <v>1</v>
      </c>
    </row>
    <row r="1649" spans="1:8" x14ac:dyDescent="0.55000000000000004">
      <c r="A1649" s="61" t="s">
        <v>6849</v>
      </c>
      <c r="B1649" t="s">
        <v>1138</v>
      </c>
      <c r="C1649">
        <v>9310</v>
      </c>
      <c r="D1649" t="s">
        <v>6365</v>
      </c>
      <c r="E1649" t="s">
        <v>6366</v>
      </c>
      <c r="F1649" t="s">
        <v>6361</v>
      </c>
      <c r="G1649" s="43">
        <v>0</v>
      </c>
      <c r="H1649" s="63">
        <v>-0.1</v>
      </c>
    </row>
    <row r="1650" spans="1:8" x14ac:dyDescent="0.55000000000000004">
      <c r="A1650" s="61" t="s">
        <v>6850</v>
      </c>
      <c r="B1650" t="s">
        <v>4031</v>
      </c>
      <c r="C1650">
        <v>8710</v>
      </c>
      <c r="D1650" t="s">
        <v>6359</v>
      </c>
      <c r="E1650" t="s">
        <v>6368</v>
      </c>
      <c r="F1650" t="s">
        <v>6361</v>
      </c>
      <c r="G1650" s="43">
        <v>0</v>
      </c>
      <c r="H1650" s="63">
        <v>0.9</v>
      </c>
    </row>
    <row r="1651" spans="1:8" x14ac:dyDescent="0.55000000000000004">
      <c r="A1651" s="61" t="s">
        <v>6850</v>
      </c>
      <c r="B1651" t="s">
        <v>4031</v>
      </c>
      <c r="C1651">
        <v>8710</v>
      </c>
      <c r="D1651" t="s">
        <v>6363</v>
      </c>
      <c r="E1651" t="s">
        <v>6364</v>
      </c>
      <c r="F1651" t="s">
        <v>6361</v>
      </c>
      <c r="G1651" s="43">
        <v>0</v>
      </c>
      <c r="H1651" s="63">
        <v>0.1</v>
      </c>
    </row>
    <row r="1652" spans="1:8" x14ac:dyDescent="0.55000000000000004">
      <c r="A1652" s="61" t="s">
        <v>6850</v>
      </c>
      <c r="B1652" t="s">
        <v>4031</v>
      </c>
      <c r="C1652">
        <v>8710</v>
      </c>
      <c r="D1652" t="s">
        <v>6362</v>
      </c>
      <c r="E1652" t="s">
        <v>6358</v>
      </c>
      <c r="F1652" t="s">
        <v>6358</v>
      </c>
      <c r="G1652" s="43">
        <v>4.9500000000000002E-2</v>
      </c>
      <c r="H1652" s="63">
        <v>1</v>
      </c>
    </row>
    <row r="1653" spans="1:8" x14ac:dyDescent="0.55000000000000004">
      <c r="A1653" s="61" t="s">
        <v>6850</v>
      </c>
      <c r="B1653" t="s">
        <v>4031</v>
      </c>
      <c r="C1653">
        <v>8710</v>
      </c>
      <c r="D1653" t="s">
        <v>6365</v>
      </c>
      <c r="E1653" t="s">
        <v>6366</v>
      </c>
      <c r="F1653" t="s">
        <v>6361</v>
      </c>
      <c r="G1653" s="43">
        <v>0</v>
      </c>
      <c r="H1653" s="63">
        <v>-0.1</v>
      </c>
    </row>
    <row r="1654" spans="1:8" x14ac:dyDescent="0.55000000000000004">
      <c r="A1654" s="61" t="s">
        <v>6851</v>
      </c>
      <c r="B1654" t="s">
        <v>4031</v>
      </c>
      <c r="C1654">
        <v>9310</v>
      </c>
      <c r="D1654" t="s">
        <v>6359</v>
      </c>
      <c r="E1654" t="s">
        <v>6369</v>
      </c>
      <c r="F1654" t="s">
        <v>6361</v>
      </c>
      <c r="G1654" s="43">
        <v>0</v>
      </c>
      <c r="H1654" s="63">
        <v>0.9</v>
      </c>
    </row>
    <row r="1655" spans="1:8" x14ac:dyDescent="0.55000000000000004">
      <c r="A1655" s="61" t="s">
        <v>6851</v>
      </c>
      <c r="B1655" t="s">
        <v>4031</v>
      </c>
      <c r="C1655">
        <v>9310</v>
      </c>
      <c r="D1655" t="s">
        <v>6363</v>
      </c>
      <c r="E1655" t="s">
        <v>6364</v>
      </c>
      <c r="F1655" t="s">
        <v>6361</v>
      </c>
      <c r="G1655" s="43">
        <v>0</v>
      </c>
      <c r="H1655" s="63">
        <v>0.1</v>
      </c>
    </row>
    <row r="1656" spans="1:8" x14ac:dyDescent="0.55000000000000004">
      <c r="A1656" s="61" t="s">
        <v>6851</v>
      </c>
      <c r="B1656" t="s">
        <v>4031</v>
      </c>
      <c r="C1656">
        <v>9310</v>
      </c>
      <c r="D1656" t="s">
        <v>6362</v>
      </c>
      <c r="E1656" t="s">
        <v>6358</v>
      </c>
      <c r="F1656" t="s">
        <v>6358</v>
      </c>
      <c r="G1656" s="43">
        <v>4.9500000000000002E-2</v>
      </c>
      <c r="H1656" s="63">
        <v>1</v>
      </c>
    </row>
    <row r="1657" spans="1:8" x14ac:dyDescent="0.55000000000000004">
      <c r="A1657" s="61" t="s">
        <v>6851</v>
      </c>
      <c r="B1657" t="s">
        <v>4031</v>
      </c>
      <c r="C1657">
        <v>9310</v>
      </c>
      <c r="D1657" t="s">
        <v>6365</v>
      </c>
      <c r="E1657" t="s">
        <v>6366</v>
      </c>
      <c r="F1657" t="s">
        <v>6361</v>
      </c>
      <c r="G1657" s="43">
        <v>0</v>
      </c>
      <c r="H1657" s="63">
        <v>-0.1</v>
      </c>
    </row>
    <row r="1658" spans="1:8" x14ac:dyDescent="0.55000000000000004">
      <c r="A1658" s="61" t="s">
        <v>6852</v>
      </c>
      <c r="B1658" t="s">
        <v>2193</v>
      </c>
      <c r="C1658">
        <v>8708</v>
      </c>
      <c r="D1658" t="s">
        <v>6359</v>
      </c>
      <c r="E1658" t="s">
        <v>6368</v>
      </c>
      <c r="F1658" t="s">
        <v>6361</v>
      </c>
      <c r="G1658" s="43">
        <v>0</v>
      </c>
      <c r="H1658" s="63">
        <v>0.9</v>
      </c>
    </row>
    <row r="1659" spans="1:8" x14ac:dyDescent="0.55000000000000004">
      <c r="A1659" s="61" t="s">
        <v>6852</v>
      </c>
      <c r="B1659" t="s">
        <v>2193</v>
      </c>
      <c r="C1659">
        <v>8708</v>
      </c>
      <c r="D1659" t="s">
        <v>6363</v>
      </c>
      <c r="E1659" t="s">
        <v>6364</v>
      </c>
      <c r="F1659" t="s">
        <v>6361</v>
      </c>
      <c r="G1659" s="43">
        <v>0</v>
      </c>
      <c r="H1659" s="63">
        <v>0.1</v>
      </c>
    </row>
    <row r="1660" spans="1:8" x14ac:dyDescent="0.55000000000000004">
      <c r="A1660" s="61" t="s">
        <v>6852</v>
      </c>
      <c r="B1660" t="s">
        <v>2193</v>
      </c>
      <c r="C1660">
        <v>8708</v>
      </c>
      <c r="D1660" t="s">
        <v>6362</v>
      </c>
      <c r="E1660" t="s">
        <v>6358</v>
      </c>
      <c r="F1660" t="s">
        <v>6358</v>
      </c>
      <c r="G1660" s="43">
        <v>6.3899999999999998E-2</v>
      </c>
      <c r="H1660" s="63">
        <v>1</v>
      </c>
    </row>
    <row r="1661" spans="1:8" x14ac:dyDescent="0.55000000000000004">
      <c r="A1661" s="61" t="s">
        <v>6852</v>
      </c>
      <c r="B1661" t="s">
        <v>2193</v>
      </c>
      <c r="C1661">
        <v>8708</v>
      </c>
      <c r="D1661" t="s">
        <v>6365</v>
      </c>
      <c r="E1661" t="s">
        <v>6366</v>
      </c>
      <c r="F1661" t="s">
        <v>6361</v>
      </c>
      <c r="G1661" s="43">
        <v>0</v>
      </c>
      <c r="H1661" s="63">
        <v>-0.1</v>
      </c>
    </row>
    <row r="1662" spans="1:8" x14ac:dyDescent="0.55000000000000004">
      <c r="A1662" s="61" t="s">
        <v>6853</v>
      </c>
      <c r="B1662" t="s">
        <v>2193</v>
      </c>
      <c r="C1662">
        <v>8710</v>
      </c>
      <c r="D1662" t="s">
        <v>6359</v>
      </c>
      <c r="E1662" t="s">
        <v>6368</v>
      </c>
      <c r="F1662" t="s">
        <v>6361</v>
      </c>
      <c r="G1662" s="43">
        <v>0</v>
      </c>
      <c r="H1662" s="63">
        <v>0.9</v>
      </c>
    </row>
    <row r="1663" spans="1:8" x14ac:dyDescent="0.55000000000000004">
      <c r="A1663" s="61" t="s">
        <v>6853</v>
      </c>
      <c r="B1663" t="s">
        <v>2193</v>
      </c>
      <c r="C1663">
        <v>8710</v>
      </c>
      <c r="D1663" t="s">
        <v>6363</v>
      </c>
      <c r="E1663" t="s">
        <v>6364</v>
      </c>
      <c r="F1663" t="s">
        <v>6361</v>
      </c>
      <c r="G1663" s="43">
        <v>0</v>
      </c>
      <c r="H1663" s="63">
        <v>0.1</v>
      </c>
    </row>
    <row r="1664" spans="1:8" x14ac:dyDescent="0.55000000000000004">
      <c r="A1664" s="61" t="s">
        <v>6853</v>
      </c>
      <c r="B1664" t="s">
        <v>2193</v>
      </c>
      <c r="C1664">
        <v>8710</v>
      </c>
      <c r="D1664" t="s">
        <v>6362</v>
      </c>
      <c r="E1664" t="s">
        <v>6358</v>
      </c>
      <c r="F1664" t="s">
        <v>6358</v>
      </c>
      <c r="G1664" s="43">
        <v>6.3899999999999998E-2</v>
      </c>
      <c r="H1664" s="63">
        <v>1</v>
      </c>
    </row>
    <row r="1665" spans="1:8" x14ac:dyDescent="0.55000000000000004">
      <c r="A1665" s="61" t="s">
        <v>6853</v>
      </c>
      <c r="B1665" t="s">
        <v>2193</v>
      </c>
      <c r="C1665">
        <v>8710</v>
      </c>
      <c r="D1665" t="s">
        <v>6365</v>
      </c>
      <c r="E1665" t="s">
        <v>6366</v>
      </c>
      <c r="F1665" t="s">
        <v>6361</v>
      </c>
      <c r="G1665" s="43">
        <v>0</v>
      </c>
      <c r="H1665" s="63">
        <v>-0.1</v>
      </c>
    </row>
    <row r="1666" spans="1:8" x14ac:dyDescent="0.55000000000000004">
      <c r="A1666" s="61" t="s">
        <v>6854</v>
      </c>
      <c r="B1666" t="s">
        <v>2193</v>
      </c>
      <c r="C1666">
        <v>8711</v>
      </c>
      <c r="D1666" t="s">
        <v>6359</v>
      </c>
      <c r="E1666" t="s">
        <v>6378</v>
      </c>
      <c r="F1666" t="s">
        <v>6361</v>
      </c>
      <c r="G1666" s="43">
        <v>0</v>
      </c>
      <c r="H1666" s="63">
        <v>0.9</v>
      </c>
    </row>
    <row r="1667" spans="1:8" x14ac:dyDescent="0.55000000000000004">
      <c r="A1667" s="61" t="s">
        <v>6854</v>
      </c>
      <c r="B1667" t="s">
        <v>2193</v>
      </c>
      <c r="C1667">
        <v>8711</v>
      </c>
      <c r="D1667" t="s">
        <v>6363</v>
      </c>
      <c r="E1667" t="s">
        <v>6364</v>
      </c>
      <c r="F1667" t="s">
        <v>6361</v>
      </c>
      <c r="G1667" s="43">
        <v>0</v>
      </c>
      <c r="H1667" s="63">
        <v>0.1</v>
      </c>
    </row>
    <row r="1668" spans="1:8" x14ac:dyDescent="0.55000000000000004">
      <c r="A1668" s="61" t="s">
        <v>6854</v>
      </c>
      <c r="B1668" t="s">
        <v>2193</v>
      </c>
      <c r="C1668">
        <v>8711</v>
      </c>
      <c r="D1668" t="s">
        <v>6362</v>
      </c>
      <c r="E1668" t="s">
        <v>6358</v>
      </c>
      <c r="F1668" t="s">
        <v>6358</v>
      </c>
      <c r="G1668" s="43">
        <v>6.3899999999999998E-2</v>
      </c>
      <c r="H1668" s="63">
        <v>1</v>
      </c>
    </row>
    <row r="1669" spans="1:8" x14ac:dyDescent="0.55000000000000004">
      <c r="A1669" s="61" t="s">
        <v>6854</v>
      </c>
      <c r="B1669" t="s">
        <v>2193</v>
      </c>
      <c r="C1669">
        <v>8711</v>
      </c>
      <c r="D1669" t="s">
        <v>6365</v>
      </c>
      <c r="E1669" t="s">
        <v>6366</v>
      </c>
      <c r="F1669" t="s">
        <v>6361</v>
      </c>
      <c r="G1669" s="43">
        <v>0</v>
      </c>
      <c r="H1669" s="63">
        <v>-0.1</v>
      </c>
    </row>
    <row r="1670" spans="1:8" x14ac:dyDescent="0.55000000000000004">
      <c r="A1670" s="61" t="s">
        <v>6855</v>
      </c>
      <c r="B1670" t="s">
        <v>2193</v>
      </c>
      <c r="C1670">
        <v>8712</v>
      </c>
      <c r="D1670" t="s">
        <v>6359</v>
      </c>
      <c r="E1670" t="s">
        <v>6378</v>
      </c>
      <c r="F1670" t="s">
        <v>6361</v>
      </c>
      <c r="G1670" s="43">
        <v>0</v>
      </c>
      <c r="H1670" s="63">
        <v>0.9</v>
      </c>
    </row>
    <row r="1671" spans="1:8" x14ac:dyDescent="0.55000000000000004">
      <c r="A1671" s="61" t="s">
        <v>6855</v>
      </c>
      <c r="B1671" t="s">
        <v>2193</v>
      </c>
      <c r="C1671">
        <v>8712</v>
      </c>
      <c r="D1671" t="s">
        <v>6363</v>
      </c>
      <c r="E1671" t="s">
        <v>6364</v>
      </c>
      <c r="F1671" t="s">
        <v>6361</v>
      </c>
      <c r="G1671" s="43">
        <v>0</v>
      </c>
      <c r="H1671" s="63">
        <v>0.1</v>
      </c>
    </row>
    <row r="1672" spans="1:8" x14ac:dyDescent="0.55000000000000004">
      <c r="A1672" s="61" t="s">
        <v>6855</v>
      </c>
      <c r="B1672" t="s">
        <v>2193</v>
      </c>
      <c r="C1672">
        <v>8712</v>
      </c>
      <c r="D1672" t="s">
        <v>6362</v>
      </c>
      <c r="E1672" t="s">
        <v>6358</v>
      </c>
      <c r="F1672" t="s">
        <v>6358</v>
      </c>
      <c r="G1672" s="43">
        <v>6.3899999999999998E-2</v>
      </c>
      <c r="H1672" s="63">
        <v>1</v>
      </c>
    </row>
    <row r="1673" spans="1:8" x14ac:dyDescent="0.55000000000000004">
      <c r="A1673" s="61" t="s">
        <v>6855</v>
      </c>
      <c r="B1673" t="s">
        <v>2193</v>
      </c>
      <c r="C1673">
        <v>8712</v>
      </c>
      <c r="D1673" t="s">
        <v>6365</v>
      </c>
      <c r="E1673" t="s">
        <v>6366</v>
      </c>
      <c r="F1673" t="s">
        <v>6361</v>
      </c>
      <c r="G1673" s="43">
        <v>0</v>
      </c>
      <c r="H1673" s="63">
        <v>-0.1</v>
      </c>
    </row>
    <row r="1674" spans="1:8" x14ac:dyDescent="0.55000000000000004">
      <c r="A1674" s="61" t="s">
        <v>6856</v>
      </c>
      <c r="B1674" t="s">
        <v>2193</v>
      </c>
      <c r="C1674">
        <v>8713</v>
      </c>
      <c r="D1674" t="s">
        <v>6359</v>
      </c>
      <c r="E1674" t="s">
        <v>6378</v>
      </c>
      <c r="F1674" t="s">
        <v>6361</v>
      </c>
      <c r="G1674" s="43">
        <v>0</v>
      </c>
      <c r="H1674" s="63">
        <v>0.9</v>
      </c>
    </row>
    <row r="1675" spans="1:8" x14ac:dyDescent="0.55000000000000004">
      <c r="A1675" s="61" t="s">
        <v>6856</v>
      </c>
      <c r="B1675" t="s">
        <v>2193</v>
      </c>
      <c r="C1675">
        <v>8713</v>
      </c>
      <c r="D1675" t="s">
        <v>6363</v>
      </c>
      <c r="E1675" t="s">
        <v>6364</v>
      </c>
      <c r="F1675" t="s">
        <v>6361</v>
      </c>
      <c r="G1675" s="43">
        <v>0</v>
      </c>
      <c r="H1675" s="63">
        <v>0.1</v>
      </c>
    </row>
    <row r="1676" spans="1:8" x14ac:dyDescent="0.55000000000000004">
      <c r="A1676" s="61" t="s">
        <v>6856</v>
      </c>
      <c r="B1676" t="s">
        <v>2193</v>
      </c>
      <c r="C1676">
        <v>8713</v>
      </c>
      <c r="D1676" t="s">
        <v>6362</v>
      </c>
      <c r="E1676" t="s">
        <v>6358</v>
      </c>
      <c r="F1676" t="s">
        <v>6358</v>
      </c>
      <c r="G1676" s="43">
        <v>6.3899999999999998E-2</v>
      </c>
      <c r="H1676" s="63">
        <v>1</v>
      </c>
    </row>
    <row r="1677" spans="1:8" x14ac:dyDescent="0.55000000000000004">
      <c r="A1677" s="61" t="s">
        <v>6856</v>
      </c>
      <c r="B1677" t="s">
        <v>2193</v>
      </c>
      <c r="C1677">
        <v>8713</v>
      </c>
      <c r="D1677" t="s">
        <v>6365</v>
      </c>
      <c r="E1677" t="s">
        <v>6366</v>
      </c>
      <c r="F1677" t="s">
        <v>6361</v>
      </c>
      <c r="G1677" s="43">
        <v>0</v>
      </c>
      <c r="H1677" s="63">
        <v>-0.1</v>
      </c>
    </row>
    <row r="1678" spans="1:8" x14ac:dyDescent="0.55000000000000004">
      <c r="A1678" s="61" t="s">
        <v>6857</v>
      </c>
      <c r="B1678" t="s">
        <v>2193</v>
      </c>
      <c r="C1678">
        <v>9204</v>
      </c>
      <c r="D1678" t="s">
        <v>6359</v>
      </c>
      <c r="E1678" t="s">
        <v>6369</v>
      </c>
      <c r="F1678" t="s">
        <v>6361</v>
      </c>
      <c r="G1678" s="43">
        <v>0</v>
      </c>
      <c r="H1678" s="63">
        <v>0.9</v>
      </c>
    </row>
    <row r="1679" spans="1:8" x14ac:dyDescent="0.55000000000000004">
      <c r="A1679" s="61" t="s">
        <v>6857</v>
      </c>
      <c r="B1679" t="s">
        <v>2193</v>
      </c>
      <c r="C1679">
        <v>9204</v>
      </c>
      <c r="D1679" t="s">
        <v>6363</v>
      </c>
      <c r="E1679" t="s">
        <v>6364</v>
      </c>
      <c r="F1679" t="s">
        <v>6361</v>
      </c>
      <c r="G1679" s="43">
        <v>0</v>
      </c>
      <c r="H1679" s="63">
        <v>0.1</v>
      </c>
    </row>
    <row r="1680" spans="1:8" x14ac:dyDescent="0.55000000000000004">
      <c r="A1680" s="61" t="s">
        <v>6857</v>
      </c>
      <c r="B1680" t="s">
        <v>2193</v>
      </c>
      <c r="C1680">
        <v>9204</v>
      </c>
      <c r="D1680" t="s">
        <v>6362</v>
      </c>
      <c r="E1680" t="s">
        <v>6358</v>
      </c>
      <c r="F1680" t="s">
        <v>6358</v>
      </c>
      <c r="G1680" s="43">
        <v>6.3899999999999998E-2</v>
      </c>
      <c r="H1680" s="63">
        <v>1</v>
      </c>
    </row>
    <row r="1681" spans="1:8" x14ac:dyDescent="0.55000000000000004">
      <c r="A1681" s="61" t="s">
        <v>6857</v>
      </c>
      <c r="B1681" t="s">
        <v>2193</v>
      </c>
      <c r="C1681">
        <v>9204</v>
      </c>
      <c r="D1681" t="s">
        <v>6365</v>
      </c>
      <c r="E1681" t="s">
        <v>6366</v>
      </c>
      <c r="F1681" t="s">
        <v>6361</v>
      </c>
      <c r="G1681" s="43">
        <v>0</v>
      </c>
      <c r="H1681" s="63">
        <v>-0.1</v>
      </c>
    </row>
    <row r="1682" spans="1:8" x14ac:dyDescent="0.55000000000000004">
      <c r="A1682" s="61" t="s">
        <v>6858</v>
      </c>
      <c r="B1682" t="s">
        <v>2193</v>
      </c>
      <c r="C1682">
        <v>9205</v>
      </c>
      <c r="D1682" t="s">
        <v>6359</v>
      </c>
      <c r="E1682" t="s">
        <v>6379</v>
      </c>
      <c r="F1682" t="s">
        <v>6361</v>
      </c>
      <c r="G1682" s="43">
        <v>0</v>
      </c>
      <c r="H1682" s="63">
        <v>0.9</v>
      </c>
    </row>
    <row r="1683" spans="1:8" x14ac:dyDescent="0.55000000000000004">
      <c r="A1683" s="61" t="s">
        <v>6858</v>
      </c>
      <c r="B1683" t="s">
        <v>2193</v>
      </c>
      <c r="C1683">
        <v>9205</v>
      </c>
      <c r="D1683" t="s">
        <v>6363</v>
      </c>
      <c r="E1683" t="s">
        <v>6364</v>
      </c>
      <c r="F1683" t="s">
        <v>6361</v>
      </c>
      <c r="G1683" s="43">
        <v>0</v>
      </c>
      <c r="H1683" s="63">
        <v>0.1</v>
      </c>
    </row>
    <row r="1684" spans="1:8" x14ac:dyDescent="0.55000000000000004">
      <c r="A1684" s="61" t="s">
        <v>6858</v>
      </c>
      <c r="B1684" t="s">
        <v>2193</v>
      </c>
      <c r="C1684">
        <v>9205</v>
      </c>
      <c r="D1684" t="s">
        <v>6362</v>
      </c>
      <c r="E1684" t="s">
        <v>6358</v>
      </c>
      <c r="F1684" t="s">
        <v>6358</v>
      </c>
      <c r="G1684" s="43">
        <v>6.3899999999999998E-2</v>
      </c>
      <c r="H1684" s="63">
        <v>1</v>
      </c>
    </row>
    <row r="1685" spans="1:8" x14ac:dyDescent="0.55000000000000004">
      <c r="A1685" s="61" t="s">
        <v>6858</v>
      </c>
      <c r="B1685" t="s">
        <v>2193</v>
      </c>
      <c r="C1685">
        <v>9205</v>
      </c>
      <c r="D1685" t="s">
        <v>6365</v>
      </c>
      <c r="E1685" t="s">
        <v>6366</v>
      </c>
      <c r="F1685" t="s">
        <v>6361</v>
      </c>
      <c r="G1685" s="43">
        <v>0</v>
      </c>
      <c r="H1685" s="63">
        <v>-0.1</v>
      </c>
    </row>
    <row r="1686" spans="1:8" x14ac:dyDescent="0.55000000000000004">
      <c r="A1686" s="61" t="s">
        <v>6859</v>
      </c>
      <c r="B1686" t="s">
        <v>2193</v>
      </c>
      <c r="C1686">
        <v>9206</v>
      </c>
      <c r="D1686" t="s">
        <v>6359</v>
      </c>
      <c r="E1686" t="s">
        <v>6379</v>
      </c>
      <c r="F1686" t="s">
        <v>6361</v>
      </c>
      <c r="G1686" s="43">
        <v>0</v>
      </c>
      <c r="H1686" s="63">
        <v>0.9</v>
      </c>
    </row>
    <row r="1687" spans="1:8" x14ac:dyDescent="0.55000000000000004">
      <c r="A1687" s="61" t="s">
        <v>6859</v>
      </c>
      <c r="B1687" t="s">
        <v>2193</v>
      </c>
      <c r="C1687">
        <v>9206</v>
      </c>
      <c r="D1687" t="s">
        <v>6363</v>
      </c>
      <c r="E1687" t="s">
        <v>6364</v>
      </c>
      <c r="F1687" t="s">
        <v>6361</v>
      </c>
      <c r="G1687" s="43">
        <v>0</v>
      </c>
      <c r="H1687" s="63">
        <v>0.1</v>
      </c>
    </row>
    <row r="1688" spans="1:8" x14ac:dyDescent="0.55000000000000004">
      <c r="A1688" s="61" t="s">
        <v>6859</v>
      </c>
      <c r="B1688" t="s">
        <v>2193</v>
      </c>
      <c r="C1688">
        <v>9206</v>
      </c>
      <c r="D1688" t="s">
        <v>6362</v>
      </c>
      <c r="E1688" t="s">
        <v>6358</v>
      </c>
      <c r="F1688" t="s">
        <v>6358</v>
      </c>
      <c r="G1688" s="43">
        <v>6.3899999999999998E-2</v>
      </c>
      <c r="H1688" s="63">
        <v>1</v>
      </c>
    </row>
    <row r="1689" spans="1:8" x14ac:dyDescent="0.55000000000000004">
      <c r="A1689" s="61" t="s">
        <v>6859</v>
      </c>
      <c r="B1689" t="s">
        <v>2193</v>
      </c>
      <c r="C1689">
        <v>9206</v>
      </c>
      <c r="D1689" t="s">
        <v>6365</v>
      </c>
      <c r="E1689" t="s">
        <v>6366</v>
      </c>
      <c r="F1689" t="s">
        <v>6361</v>
      </c>
      <c r="G1689" s="43">
        <v>0</v>
      </c>
      <c r="H1689" s="63">
        <v>-0.1</v>
      </c>
    </row>
    <row r="1690" spans="1:8" x14ac:dyDescent="0.55000000000000004">
      <c r="A1690" s="61" t="s">
        <v>6860</v>
      </c>
      <c r="B1690" t="s">
        <v>2193</v>
      </c>
      <c r="C1690">
        <v>9307</v>
      </c>
      <c r="D1690" t="s">
        <v>6359</v>
      </c>
      <c r="E1690" t="s">
        <v>6379</v>
      </c>
      <c r="F1690" t="s">
        <v>6361</v>
      </c>
      <c r="G1690" s="43">
        <v>0</v>
      </c>
      <c r="H1690" s="63">
        <v>0.9</v>
      </c>
    </row>
    <row r="1691" spans="1:8" x14ac:dyDescent="0.55000000000000004">
      <c r="A1691" s="61" t="s">
        <v>6860</v>
      </c>
      <c r="B1691" t="s">
        <v>2193</v>
      </c>
      <c r="C1691">
        <v>9307</v>
      </c>
      <c r="D1691" t="s">
        <v>6363</v>
      </c>
      <c r="E1691" t="s">
        <v>6364</v>
      </c>
      <c r="F1691" t="s">
        <v>6361</v>
      </c>
      <c r="G1691" s="43">
        <v>0</v>
      </c>
      <c r="H1691" s="63">
        <v>0.1</v>
      </c>
    </row>
    <row r="1692" spans="1:8" x14ac:dyDescent="0.55000000000000004">
      <c r="A1692" s="61" t="s">
        <v>6860</v>
      </c>
      <c r="B1692" t="s">
        <v>2193</v>
      </c>
      <c r="C1692">
        <v>9307</v>
      </c>
      <c r="D1692" t="s">
        <v>6362</v>
      </c>
      <c r="E1692" t="s">
        <v>6358</v>
      </c>
      <c r="F1692" t="s">
        <v>6358</v>
      </c>
      <c r="G1692" s="43">
        <v>6.3899999999999998E-2</v>
      </c>
      <c r="H1692" s="63">
        <v>1</v>
      </c>
    </row>
    <row r="1693" spans="1:8" x14ac:dyDescent="0.55000000000000004">
      <c r="A1693" s="61" t="s">
        <v>6860</v>
      </c>
      <c r="B1693" t="s">
        <v>2193</v>
      </c>
      <c r="C1693">
        <v>9307</v>
      </c>
      <c r="D1693" t="s">
        <v>6365</v>
      </c>
      <c r="E1693" t="s">
        <v>6366</v>
      </c>
      <c r="F1693" t="s">
        <v>6361</v>
      </c>
      <c r="G1693" s="43">
        <v>0</v>
      </c>
      <c r="H1693" s="63">
        <v>-0.1</v>
      </c>
    </row>
    <row r="1694" spans="1:8" x14ac:dyDescent="0.55000000000000004">
      <c r="A1694" s="61" t="s">
        <v>6861</v>
      </c>
      <c r="B1694" t="s">
        <v>2193</v>
      </c>
      <c r="C1694">
        <v>9308</v>
      </c>
      <c r="D1694" t="s">
        <v>6359</v>
      </c>
      <c r="E1694" t="s">
        <v>6379</v>
      </c>
      <c r="F1694" t="s">
        <v>6361</v>
      </c>
      <c r="G1694" s="43">
        <v>0</v>
      </c>
      <c r="H1694" s="63">
        <v>0.9</v>
      </c>
    </row>
    <row r="1695" spans="1:8" x14ac:dyDescent="0.55000000000000004">
      <c r="A1695" s="61" t="s">
        <v>6861</v>
      </c>
      <c r="B1695" t="s">
        <v>2193</v>
      </c>
      <c r="C1695">
        <v>9308</v>
      </c>
      <c r="D1695" t="s">
        <v>6363</v>
      </c>
      <c r="E1695" t="s">
        <v>6364</v>
      </c>
      <c r="F1695" t="s">
        <v>6361</v>
      </c>
      <c r="G1695" s="43">
        <v>0</v>
      </c>
      <c r="H1695" s="63">
        <v>0.1</v>
      </c>
    </row>
    <row r="1696" spans="1:8" x14ac:dyDescent="0.55000000000000004">
      <c r="A1696" s="61" t="s">
        <v>6861</v>
      </c>
      <c r="B1696" t="s">
        <v>2193</v>
      </c>
      <c r="C1696">
        <v>9308</v>
      </c>
      <c r="D1696" t="s">
        <v>6362</v>
      </c>
      <c r="E1696" t="s">
        <v>6358</v>
      </c>
      <c r="F1696" t="s">
        <v>6358</v>
      </c>
      <c r="G1696" s="43">
        <v>6.3899999999999998E-2</v>
      </c>
      <c r="H1696" s="63">
        <v>1</v>
      </c>
    </row>
    <row r="1697" spans="1:8" x14ac:dyDescent="0.55000000000000004">
      <c r="A1697" s="61" t="s">
        <v>6861</v>
      </c>
      <c r="B1697" t="s">
        <v>2193</v>
      </c>
      <c r="C1697">
        <v>9308</v>
      </c>
      <c r="D1697" t="s">
        <v>6365</v>
      </c>
      <c r="E1697" t="s">
        <v>6366</v>
      </c>
      <c r="F1697" t="s">
        <v>6361</v>
      </c>
      <c r="G1697" s="43">
        <v>0</v>
      </c>
      <c r="H1697" s="63">
        <v>-0.1</v>
      </c>
    </row>
    <row r="1698" spans="1:8" x14ac:dyDescent="0.55000000000000004">
      <c r="A1698" s="61" t="s">
        <v>6862</v>
      </c>
      <c r="B1698" t="s">
        <v>2193</v>
      </c>
      <c r="C1698">
        <v>9309</v>
      </c>
      <c r="D1698" t="s">
        <v>6359</v>
      </c>
      <c r="E1698" t="s">
        <v>6379</v>
      </c>
      <c r="F1698" t="s">
        <v>6361</v>
      </c>
      <c r="G1698" s="43">
        <v>0</v>
      </c>
      <c r="H1698" s="63">
        <v>0.9</v>
      </c>
    </row>
    <row r="1699" spans="1:8" x14ac:dyDescent="0.55000000000000004">
      <c r="A1699" s="61" t="s">
        <v>6862</v>
      </c>
      <c r="B1699" t="s">
        <v>2193</v>
      </c>
      <c r="C1699">
        <v>9309</v>
      </c>
      <c r="D1699" t="s">
        <v>6363</v>
      </c>
      <c r="E1699" t="s">
        <v>6364</v>
      </c>
      <c r="F1699" t="s">
        <v>6361</v>
      </c>
      <c r="G1699" s="43">
        <v>0</v>
      </c>
      <c r="H1699" s="63">
        <v>0.1</v>
      </c>
    </row>
    <row r="1700" spans="1:8" x14ac:dyDescent="0.55000000000000004">
      <c r="A1700" s="61" t="s">
        <v>6862</v>
      </c>
      <c r="B1700" t="s">
        <v>2193</v>
      </c>
      <c r="C1700">
        <v>9309</v>
      </c>
      <c r="D1700" t="s">
        <v>6362</v>
      </c>
      <c r="E1700" t="s">
        <v>6358</v>
      </c>
      <c r="F1700" t="s">
        <v>6358</v>
      </c>
      <c r="G1700" s="43">
        <v>6.3899999999999998E-2</v>
      </c>
      <c r="H1700" s="63">
        <v>1</v>
      </c>
    </row>
    <row r="1701" spans="1:8" x14ac:dyDescent="0.55000000000000004">
      <c r="A1701" s="61" t="s">
        <v>6862</v>
      </c>
      <c r="B1701" t="s">
        <v>2193</v>
      </c>
      <c r="C1701">
        <v>9309</v>
      </c>
      <c r="D1701" t="s">
        <v>6365</v>
      </c>
      <c r="E1701" t="s">
        <v>6366</v>
      </c>
      <c r="F1701" t="s">
        <v>6361</v>
      </c>
      <c r="G1701" s="43">
        <v>0</v>
      </c>
      <c r="H1701" s="63">
        <v>-0.1</v>
      </c>
    </row>
    <row r="1702" spans="1:8" x14ac:dyDescent="0.55000000000000004">
      <c r="A1702" s="61" t="s">
        <v>6863</v>
      </c>
      <c r="B1702" t="s">
        <v>2193</v>
      </c>
      <c r="C1702">
        <v>9310</v>
      </c>
      <c r="D1702" t="s">
        <v>6359</v>
      </c>
      <c r="E1702" t="s">
        <v>6369</v>
      </c>
      <c r="F1702" t="s">
        <v>6361</v>
      </c>
      <c r="G1702" s="43">
        <v>0</v>
      </c>
      <c r="H1702" s="63">
        <v>0.9</v>
      </c>
    </row>
    <row r="1703" spans="1:8" x14ac:dyDescent="0.55000000000000004">
      <c r="A1703" s="61" t="s">
        <v>6863</v>
      </c>
      <c r="B1703" t="s">
        <v>2193</v>
      </c>
      <c r="C1703">
        <v>9310</v>
      </c>
      <c r="D1703" t="s">
        <v>6363</v>
      </c>
      <c r="E1703" t="s">
        <v>6364</v>
      </c>
      <c r="F1703" t="s">
        <v>6361</v>
      </c>
      <c r="G1703" s="43">
        <v>0</v>
      </c>
      <c r="H1703" s="63">
        <v>0.1</v>
      </c>
    </row>
    <row r="1704" spans="1:8" x14ac:dyDescent="0.55000000000000004">
      <c r="A1704" s="61" t="s">
        <v>6863</v>
      </c>
      <c r="B1704" t="s">
        <v>2193</v>
      </c>
      <c r="C1704">
        <v>9310</v>
      </c>
      <c r="D1704" t="s">
        <v>6362</v>
      </c>
      <c r="E1704" t="s">
        <v>6358</v>
      </c>
      <c r="F1704" t="s">
        <v>6358</v>
      </c>
      <c r="G1704" s="43">
        <v>6.3899999999999998E-2</v>
      </c>
      <c r="H1704" s="63">
        <v>1</v>
      </c>
    </row>
    <row r="1705" spans="1:8" x14ac:dyDescent="0.55000000000000004">
      <c r="A1705" s="61" t="s">
        <v>6863</v>
      </c>
      <c r="B1705" t="s">
        <v>2193</v>
      </c>
      <c r="C1705">
        <v>9310</v>
      </c>
      <c r="D1705" t="s">
        <v>6365</v>
      </c>
      <c r="E1705" t="s">
        <v>6366</v>
      </c>
      <c r="F1705" t="s">
        <v>6361</v>
      </c>
      <c r="G1705" s="43">
        <v>0</v>
      </c>
      <c r="H1705" s="63">
        <v>-0.1</v>
      </c>
    </row>
    <row r="1706" spans="1:8" x14ac:dyDescent="0.55000000000000004">
      <c r="A1706" s="61" t="s">
        <v>6864</v>
      </c>
      <c r="B1706" t="s">
        <v>5161</v>
      </c>
      <c r="C1706">
        <v>8610</v>
      </c>
      <c r="D1706" t="s">
        <v>6359</v>
      </c>
      <c r="E1706" t="s">
        <v>6360</v>
      </c>
      <c r="F1706" t="s">
        <v>6361</v>
      </c>
      <c r="G1706" s="43">
        <v>0</v>
      </c>
      <c r="H1706" s="63">
        <v>0.9</v>
      </c>
    </row>
    <row r="1707" spans="1:8" x14ac:dyDescent="0.55000000000000004">
      <c r="A1707" s="61" t="s">
        <v>6864</v>
      </c>
      <c r="B1707" t="s">
        <v>5161</v>
      </c>
      <c r="C1707">
        <v>8610</v>
      </c>
      <c r="D1707" t="s">
        <v>6363</v>
      </c>
      <c r="E1707" t="s">
        <v>6364</v>
      </c>
      <c r="F1707" t="s">
        <v>6361</v>
      </c>
      <c r="G1707" s="43">
        <v>0</v>
      </c>
      <c r="H1707" s="63">
        <v>0.1</v>
      </c>
    </row>
    <row r="1708" spans="1:8" x14ac:dyDescent="0.55000000000000004">
      <c r="A1708" s="61" t="s">
        <v>6864</v>
      </c>
      <c r="B1708" t="s">
        <v>5161</v>
      </c>
      <c r="C1708">
        <v>8610</v>
      </c>
      <c r="D1708" t="s">
        <v>6362</v>
      </c>
      <c r="E1708" t="s">
        <v>6358</v>
      </c>
      <c r="F1708" t="s">
        <v>6358</v>
      </c>
      <c r="G1708" s="43">
        <v>6.2799999999999995E-2</v>
      </c>
      <c r="H1708" s="63">
        <v>1</v>
      </c>
    </row>
    <row r="1709" spans="1:8" x14ac:dyDescent="0.55000000000000004">
      <c r="A1709" s="61" t="s">
        <v>6864</v>
      </c>
      <c r="B1709" t="s">
        <v>5161</v>
      </c>
      <c r="C1709">
        <v>8610</v>
      </c>
      <c r="D1709" t="s">
        <v>6365</v>
      </c>
      <c r="E1709" t="s">
        <v>6366</v>
      </c>
      <c r="F1709" t="s">
        <v>6361</v>
      </c>
      <c r="G1709" s="43">
        <v>0</v>
      </c>
      <c r="H1709" s="63">
        <v>-0.1</v>
      </c>
    </row>
    <row r="1710" spans="1:8" x14ac:dyDescent="0.55000000000000004">
      <c r="A1710" s="61" t="s">
        <v>6865</v>
      </c>
      <c r="B1710" t="s">
        <v>5161</v>
      </c>
      <c r="C1710">
        <v>8710</v>
      </c>
      <c r="D1710" t="s">
        <v>6359</v>
      </c>
      <c r="E1710" t="s">
        <v>6360</v>
      </c>
      <c r="F1710" t="s">
        <v>6361</v>
      </c>
      <c r="G1710" s="43">
        <v>0</v>
      </c>
      <c r="H1710" s="63">
        <v>0.9</v>
      </c>
    </row>
    <row r="1711" spans="1:8" x14ac:dyDescent="0.55000000000000004">
      <c r="A1711" s="61" t="s">
        <v>6865</v>
      </c>
      <c r="B1711" t="s">
        <v>5161</v>
      </c>
      <c r="C1711">
        <v>8710</v>
      </c>
      <c r="D1711" t="s">
        <v>6363</v>
      </c>
      <c r="E1711" t="s">
        <v>6364</v>
      </c>
      <c r="F1711" t="s">
        <v>6361</v>
      </c>
      <c r="G1711" s="43">
        <v>0</v>
      </c>
      <c r="H1711" s="63">
        <v>0.1</v>
      </c>
    </row>
    <row r="1712" spans="1:8" x14ac:dyDescent="0.55000000000000004">
      <c r="A1712" s="61" t="s">
        <v>6865</v>
      </c>
      <c r="B1712" t="s">
        <v>5161</v>
      </c>
      <c r="C1712">
        <v>8710</v>
      </c>
      <c r="D1712" t="s">
        <v>6362</v>
      </c>
      <c r="E1712" t="s">
        <v>6358</v>
      </c>
      <c r="F1712" t="s">
        <v>6358</v>
      </c>
      <c r="G1712" s="43">
        <v>6.2799999999999995E-2</v>
      </c>
      <c r="H1712" s="63">
        <v>1</v>
      </c>
    </row>
    <row r="1713" spans="1:8" x14ac:dyDescent="0.55000000000000004">
      <c r="A1713" s="61" t="s">
        <v>6865</v>
      </c>
      <c r="B1713" t="s">
        <v>5161</v>
      </c>
      <c r="C1713">
        <v>8710</v>
      </c>
      <c r="D1713" t="s">
        <v>6365</v>
      </c>
      <c r="E1713" t="s">
        <v>6366</v>
      </c>
      <c r="F1713" t="s">
        <v>6361</v>
      </c>
      <c r="G1713" s="43">
        <v>0</v>
      </c>
      <c r="H1713" s="63">
        <v>-0.1</v>
      </c>
    </row>
    <row r="1714" spans="1:8" x14ac:dyDescent="0.55000000000000004">
      <c r="A1714" s="61" t="s">
        <v>6866</v>
      </c>
      <c r="B1714" t="s">
        <v>5161</v>
      </c>
      <c r="C1714">
        <v>9110</v>
      </c>
      <c r="D1714" t="s">
        <v>6359</v>
      </c>
      <c r="E1714" t="s">
        <v>6367</v>
      </c>
      <c r="F1714" t="s">
        <v>6361</v>
      </c>
      <c r="G1714" s="43">
        <v>0</v>
      </c>
      <c r="H1714" s="63">
        <v>0.9</v>
      </c>
    </row>
    <row r="1715" spans="1:8" x14ac:dyDescent="0.55000000000000004">
      <c r="A1715" s="61" t="s">
        <v>6866</v>
      </c>
      <c r="B1715" t="s">
        <v>5161</v>
      </c>
      <c r="C1715">
        <v>9110</v>
      </c>
      <c r="D1715" t="s">
        <v>6363</v>
      </c>
      <c r="E1715" t="s">
        <v>6364</v>
      </c>
      <c r="F1715" t="s">
        <v>6361</v>
      </c>
      <c r="G1715" s="43">
        <v>0</v>
      </c>
      <c r="H1715" s="63">
        <v>0.1</v>
      </c>
    </row>
    <row r="1716" spans="1:8" x14ac:dyDescent="0.55000000000000004">
      <c r="A1716" s="61" t="s">
        <v>6866</v>
      </c>
      <c r="B1716" t="s">
        <v>5161</v>
      </c>
      <c r="C1716">
        <v>9110</v>
      </c>
      <c r="D1716" t="s">
        <v>6362</v>
      </c>
      <c r="E1716" t="s">
        <v>6358</v>
      </c>
      <c r="F1716" t="s">
        <v>6358</v>
      </c>
      <c r="G1716" s="43">
        <v>6.2799999999999995E-2</v>
      </c>
      <c r="H1716" s="63">
        <v>1</v>
      </c>
    </row>
    <row r="1717" spans="1:8" x14ac:dyDescent="0.55000000000000004">
      <c r="A1717" s="61" t="s">
        <v>6866</v>
      </c>
      <c r="B1717" t="s">
        <v>5161</v>
      </c>
      <c r="C1717">
        <v>9110</v>
      </c>
      <c r="D1717" t="s">
        <v>6365</v>
      </c>
      <c r="E1717" t="s">
        <v>6366</v>
      </c>
      <c r="F1717" t="s">
        <v>6361</v>
      </c>
      <c r="G1717" s="43">
        <v>0</v>
      </c>
      <c r="H1717" s="63">
        <v>-0.1</v>
      </c>
    </row>
    <row r="1718" spans="1:8" x14ac:dyDescent="0.55000000000000004">
      <c r="A1718" s="61" t="s">
        <v>6867</v>
      </c>
      <c r="B1718" t="s">
        <v>1166</v>
      </c>
      <c r="C1718">
        <v>8701</v>
      </c>
      <c r="D1718" t="s">
        <v>6359</v>
      </c>
      <c r="E1718" t="s">
        <v>6370</v>
      </c>
      <c r="F1718" t="s">
        <v>6361</v>
      </c>
      <c r="G1718" s="43">
        <v>0</v>
      </c>
      <c r="H1718" s="63">
        <v>1</v>
      </c>
    </row>
    <row r="1719" spans="1:8" x14ac:dyDescent="0.55000000000000004">
      <c r="A1719" s="61" t="s">
        <v>6867</v>
      </c>
      <c r="B1719" t="s">
        <v>1166</v>
      </c>
      <c r="C1719">
        <v>8701</v>
      </c>
      <c r="D1719" t="s">
        <v>6362</v>
      </c>
      <c r="E1719" t="s">
        <v>6358</v>
      </c>
      <c r="F1719" t="s">
        <v>6358</v>
      </c>
      <c r="G1719" s="43">
        <v>5.8099999999999999E-2</v>
      </c>
      <c r="H1719" s="63">
        <v>1</v>
      </c>
    </row>
    <row r="1720" spans="1:8" x14ac:dyDescent="0.55000000000000004">
      <c r="A1720" s="61" t="s">
        <v>6868</v>
      </c>
      <c r="B1720" t="s">
        <v>1166</v>
      </c>
      <c r="C1720">
        <v>8710</v>
      </c>
      <c r="D1720" t="s">
        <v>6359</v>
      </c>
      <c r="E1720" t="s">
        <v>6370</v>
      </c>
      <c r="F1720" t="s">
        <v>6361</v>
      </c>
      <c r="G1720" s="43">
        <v>0</v>
      </c>
      <c r="H1720" s="63">
        <v>0.9</v>
      </c>
    </row>
    <row r="1721" spans="1:8" x14ac:dyDescent="0.55000000000000004">
      <c r="A1721" s="61" t="s">
        <v>6868</v>
      </c>
      <c r="B1721" t="s">
        <v>1166</v>
      </c>
      <c r="C1721">
        <v>8710</v>
      </c>
      <c r="D1721" t="s">
        <v>6363</v>
      </c>
      <c r="E1721" t="s">
        <v>6364</v>
      </c>
      <c r="F1721" t="s">
        <v>6361</v>
      </c>
      <c r="G1721" s="43">
        <v>0</v>
      </c>
      <c r="H1721" s="63">
        <v>0.1</v>
      </c>
    </row>
    <row r="1722" spans="1:8" x14ac:dyDescent="0.55000000000000004">
      <c r="A1722" s="61" t="s">
        <v>6868</v>
      </c>
      <c r="B1722" t="s">
        <v>1166</v>
      </c>
      <c r="C1722">
        <v>8710</v>
      </c>
      <c r="D1722" t="s">
        <v>6362</v>
      </c>
      <c r="E1722" t="s">
        <v>6358</v>
      </c>
      <c r="F1722" t="s">
        <v>6358</v>
      </c>
      <c r="G1722" s="43">
        <v>7.6399999999999996E-2</v>
      </c>
      <c r="H1722" s="63">
        <v>1</v>
      </c>
    </row>
    <row r="1723" spans="1:8" x14ac:dyDescent="0.55000000000000004">
      <c r="A1723" s="61" t="s">
        <v>6868</v>
      </c>
      <c r="B1723" t="s">
        <v>1166</v>
      </c>
      <c r="C1723">
        <v>8710</v>
      </c>
      <c r="D1723" t="s">
        <v>6365</v>
      </c>
      <c r="E1723" t="s">
        <v>6366</v>
      </c>
      <c r="F1723" t="s">
        <v>6361</v>
      </c>
      <c r="G1723" s="43">
        <v>0</v>
      </c>
      <c r="H1723" s="63">
        <v>-0.1</v>
      </c>
    </row>
    <row r="1724" spans="1:8" x14ac:dyDescent="0.55000000000000004">
      <c r="A1724" s="61" t="s">
        <v>6869</v>
      </c>
      <c r="B1724" t="s">
        <v>1166</v>
      </c>
      <c r="C1724">
        <v>9101</v>
      </c>
      <c r="D1724" t="s">
        <v>6359</v>
      </c>
      <c r="E1724" t="s">
        <v>6371</v>
      </c>
      <c r="F1724" t="s">
        <v>6361</v>
      </c>
      <c r="G1724" s="43">
        <v>0</v>
      </c>
      <c r="H1724" s="63">
        <v>1</v>
      </c>
    </row>
    <row r="1725" spans="1:8" x14ac:dyDescent="0.55000000000000004">
      <c r="A1725" s="61" t="s">
        <v>6869</v>
      </c>
      <c r="B1725" t="s">
        <v>1166</v>
      </c>
      <c r="C1725">
        <v>9101</v>
      </c>
      <c r="D1725" t="s">
        <v>6362</v>
      </c>
      <c r="E1725" t="s">
        <v>6358</v>
      </c>
      <c r="F1725" t="s">
        <v>6358</v>
      </c>
      <c r="G1725" s="43">
        <v>5.8099999999999999E-2</v>
      </c>
      <c r="H1725" s="63">
        <v>1</v>
      </c>
    </row>
    <row r="1726" spans="1:8" x14ac:dyDescent="0.55000000000000004">
      <c r="A1726" s="61" t="s">
        <v>6870</v>
      </c>
      <c r="B1726" t="s">
        <v>1166</v>
      </c>
      <c r="C1726">
        <v>9204</v>
      </c>
      <c r="D1726" t="s">
        <v>6359</v>
      </c>
      <c r="E1726" t="s">
        <v>6371</v>
      </c>
      <c r="F1726" t="s">
        <v>6361</v>
      </c>
      <c r="G1726" s="43">
        <v>0</v>
      </c>
      <c r="H1726" s="63">
        <v>0.9</v>
      </c>
    </row>
    <row r="1727" spans="1:8" x14ac:dyDescent="0.55000000000000004">
      <c r="A1727" s="61" t="s">
        <v>6870</v>
      </c>
      <c r="B1727" t="s">
        <v>1166</v>
      </c>
      <c r="C1727">
        <v>9204</v>
      </c>
      <c r="D1727" t="s">
        <v>6363</v>
      </c>
      <c r="E1727" t="s">
        <v>6364</v>
      </c>
      <c r="F1727" t="s">
        <v>6361</v>
      </c>
      <c r="G1727" s="43">
        <v>0</v>
      </c>
      <c r="H1727" s="63">
        <v>0.1</v>
      </c>
    </row>
    <row r="1728" spans="1:8" x14ac:dyDescent="0.55000000000000004">
      <c r="A1728" s="61" t="s">
        <v>6870</v>
      </c>
      <c r="B1728" t="s">
        <v>1166</v>
      </c>
      <c r="C1728">
        <v>9204</v>
      </c>
      <c r="D1728" t="s">
        <v>6362</v>
      </c>
      <c r="E1728" t="s">
        <v>6358</v>
      </c>
      <c r="F1728" t="s">
        <v>6358</v>
      </c>
      <c r="G1728" s="43">
        <v>7.6399999999999996E-2</v>
      </c>
      <c r="H1728" s="63">
        <v>1</v>
      </c>
    </row>
    <row r="1729" spans="1:8" x14ac:dyDescent="0.55000000000000004">
      <c r="A1729" s="61" t="s">
        <v>6870</v>
      </c>
      <c r="B1729" t="s">
        <v>1166</v>
      </c>
      <c r="C1729">
        <v>9204</v>
      </c>
      <c r="D1729" t="s">
        <v>6365</v>
      </c>
      <c r="E1729" t="s">
        <v>6366</v>
      </c>
      <c r="F1729" t="s">
        <v>6361</v>
      </c>
      <c r="G1729" s="43">
        <v>0</v>
      </c>
      <c r="H1729" s="63">
        <v>-0.1</v>
      </c>
    </row>
    <row r="1730" spans="1:8" x14ac:dyDescent="0.55000000000000004">
      <c r="A1730" s="61" t="s">
        <v>6871</v>
      </c>
      <c r="B1730" t="s">
        <v>1166</v>
      </c>
      <c r="C1730">
        <v>9300</v>
      </c>
      <c r="D1730" t="s">
        <v>6359</v>
      </c>
      <c r="E1730" t="s">
        <v>6371</v>
      </c>
      <c r="F1730" t="s">
        <v>6361</v>
      </c>
      <c r="G1730" s="43">
        <v>0</v>
      </c>
      <c r="H1730" s="63">
        <v>1</v>
      </c>
    </row>
    <row r="1731" spans="1:8" x14ac:dyDescent="0.55000000000000004">
      <c r="A1731" s="61" t="s">
        <v>6871</v>
      </c>
      <c r="B1731" t="s">
        <v>1166</v>
      </c>
      <c r="C1731">
        <v>9300</v>
      </c>
      <c r="D1731" t="s">
        <v>6362</v>
      </c>
      <c r="E1731" t="s">
        <v>6358</v>
      </c>
      <c r="F1731" t="s">
        <v>6358</v>
      </c>
      <c r="G1731" s="43">
        <v>5.8099999999999999E-2</v>
      </c>
      <c r="H1731" s="63">
        <v>1</v>
      </c>
    </row>
    <row r="1732" spans="1:8" x14ac:dyDescent="0.55000000000000004">
      <c r="A1732" s="61" t="s">
        <v>6872</v>
      </c>
      <c r="B1732" t="s">
        <v>1166</v>
      </c>
      <c r="C1732">
        <v>9310</v>
      </c>
      <c r="D1732" t="s">
        <v>6359</v>
      </c>
      <c r="E1732" t="s">
        <v>6371</v>
      </c>
      <c r="F1732" t="s">
        <v>6361</v>
      </c>
      <c r="G1732" s="43">
        <v>0</v>
      </c>
      <c r="H1732" s="63">
        <v>0.9</v>
      </c>
    </row>
    <row r="1733" spans="1:8" x14ac:dyDescent="0.55000000000000004">
      <c r="A1733" s="61" t="s">
        <v>6872</v>
      </c>
      <c r="B1733" t="s">
        <v>1166</v>
      </c>
      <c r="C1733">
        <v>9310</v>
      </c>
      <c r="D1733" t="s">
        <v>6363</v>
      </c>
      <c r="E1733" t="s">
        <v>6364</v>
      </c>
      <c r="F1733" t="s">
        <v>6361</v>
      </c>
      <c r="G1733" s="43">
        <v>0</v>
      </c>
      <c r="H1733" s="63">
        <v>0.1</v>
      </c>
    </row>
    <row r="1734" spans="1:8" x14ac:dyDescent="0.55000000000000004">
      <c r="A1734" s="61" t="s">
        <v>6872</v>
      </c>
      <c r="B1734" t="s">
        <v>1166</v>
      </c>
      <c r="C1734">
        <v>9310</v>
      </c>
      <c r="D1734" t="s">
        <v>6362</v>
      </c>
      <c r="E1734" t="s">
        <v>6358</v>
      </c>
      <c r="F1734" t="s">
        <v>6358</v>
      </c>
      <c r="G1734" s="43">
        <v>7.6399999999999996E-2</v>
      </c>
      <c r="H1734" s="63">
        <v>1</v>
      </c>
    </row>
    <row r="1735" spans="1:8" x14ac:dyDescent="0.55000000000000004">
      <c r="A1735" s="61" t="s">
        <v>6872</v>
      </c>
      <c r="B1735" t="s">
        <v>1166</v>
      </c>
      <c r="C1735">
        <v>9310</v>
      </c>
      <c r="D1735" t="s">
        <v>6365</v>
      </c>
      <c r="E1735" t="s">
        <v>6366</v>
      </c>
      <c r="F1735" t="s">
        <v>6361</v>
      </c>
      <c r="G1735" s="43">
        <v>0</v>
      </c>
      <c r="H1735" s="63">
        <v>-0.1</v>
      </c>
    </row>
    <row r="1736" spans="1:8" x14ac:dyDescent="0.55000000000000004">
      <c r="A1736" s="61" t="s">
        <v>6873</v>
      </c>
      <c r="B1736" t="s">
        <v>4358</v>
      </c>
      <c r="C1736">
        <v>8710</v>
      </c>
      <c r="D1736" t="s">
        <v>6359</v>
      </c>
      <c r="E1736" t="s">
        <v>6374</v>
      </c>
      <c r="F1736" t="s">
        <v>6361</v>
      </c>
      <c r="G1736" s="43">
        <v>0</v>
      </c>
      <c r="H1736" s="63">
        <v>0.9</v>
      </c>
    </row>
    <row r="1737" spans="1:8" x14ac:dyDescent="0.55000000000000004">
      <c r="A1737" s="61" t="s">
        <v>6873</v>
      </c>
      <c r="B1737" t="s">
        <v>4358</v>
      </c>
      <c r="C1737">
        <v>8710</v>
      </c>
      <c r="D1737" t="s">
        <v>6363</v>
      </c>
      <c r="E1737" t="s">
        <v>6364</v>
      </c>
      <c r="F1737" t="s">
        <v>6361</v>
      </c>
      <c r="G1737" s="43">
        <v>0</v>
      </c>
      <c r="H1737" s="63">
        <v>0.1</v>
      </c>
    </row>
    <row r="1738" spans="1:8" x14ac:dyDescent="0.55000000000000004">
      <c r="A1738" s="61" t="s">
        <v>6873</v>
      </c>
      <c r="B1738" t="s">
        <v>4358</v>
      </c>
      <c r="C1738">
        <v>8710</v>
      </c>
      <c r="D1738" t="s">
        <v>6362</v>
      </c>
      <c r="E1738" t="s">
        <v>6358</v>
      </c>
      <c r="F1738" t="s">
        <v>6358</v>
      </c>
      <c r="G1738" s="43">
        <v>7.2099999999999997E-2</v>
      </c>
      <c r="H1738" s="63">
        <v>1</v>
      </c>
    </row>
    <row r="1739" spans="1:8" x14ac:dyDescent="0.55000000000000004">
      <c r="A1739" s="61" t="s">
        <v>6873</v>
      </c>
      <c r="B1739" t="s">
        <v>4358</v>
      </c>
      <c r="C1739">
        <v>8710</v>
      </c>
      <c r="D1739" t="s">
        <v>6365</v>
      </c>
      <c r="E1739" t="s">
        <v>6366</v>
      </c>
      <c r="F1739" t="s">
        <v>6361</v>
      </c>
      <c r="G1739" s="43">
        <v>0</v>
      </c>
      <c r="H1739" s="63">
        <v>-0.1</v>
      </c>
    </row>
    <row r="1740" spans="1:8" x14ac:dyDescent="0.55000000000000004">
      <c r="A1740" s="61" t="s">
        <v>6874</v>
      </c>
      <c r="B1740" t="s">
        <v>4358</v>
      </c>
      <c r="C1740">
        <v>9310</v>
      </c>
      <c r="D1740" t="s">
        <v>6359</v>
      </c>
      <c r="E1740" t="s">
        <v>6375</v>
      </c>
      <c r="F1740" t="s">
        <v>6361</v>
      </c>
      <c r="G1740" s="43">
        <v>0</v>
      </c>
      <c r="H1740" s="63">
        <v>0.9</v>
      </c>
    </row>
    <row r="1741" spans="1:8" x14ac:dyDescent="0.55000000000000004">
      <c r="A1741" s="61" t="s">
        <v>6874</v>
      </c>
      <c r="B1741" t="s">
        <v>4358</v>
      </c>
      <c r="C1741">
        <v>9310</v>
      </c>
      <c r="D1741" t="s">
        <v>6363</v>
      </c>
      <c r="E1741" t="s">
        <v>6364</v>
      </c>
      <c r="F1741" t="s">
        <v>6361</v>
      </c>
      <c r="G1741" s="43">
        <v>0</v>
      </c>
      <c r="H1741" s="63">
        <v>0.1</v>
      </c>
    </row>
    <row r="1742" spans="1:8" x14ac:dyDescent="0.55000000000000004">
      <c r="A1742" s="61" t="s">
        <v>6874</v>
      </c>
      <c r="B1742" t="s">
        <v>4358</v>
      </c>
      <c r="C1742">
        <v>9310</v>
      </c>
      <c r="D1742" t="s">
        <v>6362</v>
      </c>
      <c r="E1742" t="s">
        <v>6358</v>
      </c>
      <c r="F1742" t="s">
        <v>6358</v>
      </c>
      <c r="G1742" s="43">
        <v>7.2099999999999997E-2</v>
      </c>
      <c r="H1742" s="63">
        <v>1</v>
      </c>
    </row>
    <row r="1743" spans="1:8" x14ac:dyDescent="0.55000000000000004">
      <c r="A1743" s="61" t="s">
        <v>6874</v>
      </c>
      <c r="B1743" t="s">
        <v>4358</v>
      </c>
      <c r="C1743">
        <v>9310</v>
      </c>
      <c r="D1743" t="s">
        <v>6365</v>
      </c>
      <c r="E1743" t="s">
        <v>6366</v>
      </c>
      <c r="F1743" t="s">
        <v>6361</v>
      </c>
      <c r="G1743" s="43">
        <v>0</v>
      </c>
      <c r="H1743" s="63">
        <v>-0.1</v>
      </c>
    </row>
    <row r="1744" spans="1:8" x14ac:dyDescent="0.55000000000000004">
      <c r="A1744" s="61" t="s">
        <v>6875</v>
      </c>
      <c r="B1744" t="s">
        <v>5707</v>
      </c>
      <c r="C1744">
        <v>8701</v>
      </c>
      <c r="D1744" t="s">
        <v>6359</v>
      </c>
      <c r="E1744" t="s">
        <v>6368</v>
      </c>
      <c r="F1744" t="s">
        <v>6361</v>
      </c>
      <c r="G1744" s="43">
        <v>0</v>
      </c>
      <c r="H1744" s="63">
        <v>1</v>
      </c>
    </row>
    <row r="1745" spans="1:8" x14ac:dyDescent="0.55000000000000004">
      <c r="A1745" s="61" t="s">
        <v>6875</v>
      </c>
      <c r="B1745" t="s">
        <v>5707</v>
      </c>
      <c r="C1745">
        <v>8701</v>
      </c>
      <c r="D1745" t="s">
        <v>6362</v>
      </c>
      <c r="E1745" t="s">
        <v>6358</v>
      </c>
      <c r="F1745" t="s">
        <v>6358</v>
      </c>
      <c r="G1745" s="43">
        <v>4.7500000000000001E-2</v>
      </c>
      <c r="H1745" s="63">
        <v>1</v>
      </c>
    </row>
    <row r="1746" spans="1:8" x14ac:dyDescent="0.55000000000000004">
      <c r="A1746" s="61" t="s">
        <v>6876</v>
      </c>
      <c r="B1746" t="s">
        <v>5707</v>
      </c>
      <c r="C1746">
        <v>8710</v>
      </c>
      <c r="D1746" t="s">
        <v>6359</v>
      </c>
      <c r="E1746" t="s">
        <v>6368</v>
      </c>
      <c r="F1746" t="s">
        <v>6361</v>
      </c>
      <c r="G1746" s="43">
        <v>0</v>
      </c>
      <c r="H1746" s="63">
        <v>0.9</v>
      </c>
    </row>
    <row r="1747" spans="1:8" x14ac:dyDescent="0.55000000000000004">
      <c r="A1747" s="61" t="s">
        <v>6876</v>
      </c>
      <c r="B1747" t="s">
        <v>5707</v>
      </c>
      <c r="C1747">
        <v>8710</v>
      </c>
      <c r="D1747" t="s">
        <v>6363</v>
      </c>
      <c r="E1747" t="s">
        <v>6364</v>
      </c>
      <c r="F1747" t="s">
        <v>6361</v>
      </c>
      <c r="G1747" s="43">
        <v>0</v>
      </c>
      <c r="H1747" s="63">
        <v>0.1</v>
      </c>
    </row>
    <row r="1748" spans="1:8" x14ac:dyDescent="0.55000000000000004">
      <c r="A1748" s="61" t="s">
        <v>6876</v>
      </c>
      <c r="B1748" t="s">
        <v>5707</v>
      </c>
      <c r="C1748">
        <v>8710</v>
      </c>
      <c r="D1748" t="s">
        <v>6362</v>
      </c>
      <c r="E1748" t="s">
        <v>6358</v>
      </c>
      <c r="F1748" t="s">
        <v>6358</v>
      </c>
      <c r="G1748" s="62">
        <v>4.19E-2</v>
      </c>
      <c r="H1748" s="63">
        <v>1</v>
      </c>
    </row>
    <row r="1749" spans="1:8" x14ac:dyDescent="0.55000000000000004">
      <c r="A1749" s="61" t="s">
        <v>6876</v>
      </c>
      <c r="B1749" t="s">
        <v>5707</v>
      </c>
      <c r="C1749">
        <v>8710</v>
      </c>
      <c r="D1749" t="s">
        <v>6365</v>
      </c>
      <c r="E1749" t="s">
        <v>6366</v>
      </c>
      <c r="F1749" t="s">
        <v>6361</v>
      </c>
      <c r="G1749" s="43">
        <v>0</v>
      </c>
      <c r="H1749" s="63">
        <v>-0.1</v>
      </c>
    </row>
    <row r="1750" spans="1:8" x14ac:dyDescent="0.55000000000000004">
      <c r="A1750" s="61" t="s">
        <v>6877</v>
      </c>
      <c r="B1750" t="s">
        <v>5707</v>
      </c>
      <c r="C1750">
        <v>9101</v>
      </c>
      <c r="D1750" t="s">
        <v>6359</v>
      </c>
      <c r="E1750" t="s">
        <v>6369</v>
      </c>
      <c r="F1750" t="s">
        <v>6361</v>
      </c>
      <c r="G1750" s="43">
        <v>0</v>
      </c>
      <c r="H1750" s="63">
        <v>1</v>
      </c>
    </row>
    <row r="1751" spans="1:8" x14ac:dyDescent="0.55000000000000004">
      <c r="A1751" s="61" t="s">
        <v>6877</v>
      </c>
      <c r="B1751" t="s">
        <v>5707</v>
      </c>
      <c r="C1751">
        <v>9101</v>
      </c>
      <c r="D1751" t="s">
        <v>6362</v>
      </c>
      <c r="E1751" t="s">
        <v>6358</v>
      </c>
      <c r="F1751" t="s">
        <v>6358</v>
      </c>
      <c r="G1751" s="43">
        <v>4.7500000000000001E-2</v>
      </c>
      <c r="H1751" s="63">
        <v>1</v>
      </c>
    </row>
    <row r="1752" spans="1:8" x14ac:dyDescent="0.55000000000000004">
      <c r="A1752" s="61" t="s">
        <v>6878</v>
      </c>
      <c r="B1752" t="s">
        <v>5707</v>
      </c>
      <c r="C1752">
        <v>9204</v>
      </c>
      <c r="D1752" t="s">
        <v>6359</v>
      </c>
      <c r="E1752" t="s">
        <v>6369</v>
      </c>
      <c r="F1752" t="s">
        <v>6361</v>
      </c>
      <c r="G1752" s="43">
        <v>0</v>
      </c>
      <c r="H1752" s="63">
        <v>0.9</v>
      </c>
    </row>
    <row r="1753" spans="1:8" x14ac:dyDescent="0.55000000000000004">
      <c r="A1753" s="61" t="s">
        <v>6878</v>
      </c>
      <c r="B1753" t="s">
        <v>5707</v>
      </c>
      <c r="C1753">
        <v>9204</v>
      </c>
      <c r="D1753" t="s">
        <v>6363</v>
      </c>
      <c r="E1753" t="s">
        <v>6364</v>
      </c>
      <c r="F1753" t="s">
        <v>6361</v>
      </c>
      <c r="G1753" s="43">
        <v>0</v>
      </c>
      <c r="H1753" s="63">
        <v>0.1</v>
      </c>
    </row>
    <row r="1754" spans="1:8" x14ac:dyDescent="0.55000000000000004">
      <c r="A1754" s="61" t="s">
        <v>6878</v>
      </c>
      <c r="B1754" t="s">
        <v>5707</v>
      </c>
      <c r="C1754">
        <v>9204</v>
      </c>
      <c r="D1754" t="s">
        <v>6362</v>
      </c>
      <c r="E1754" t="s">
        <v>6358</v>
      </c>
      <c r="F1754" t="s">
        <v>6358</v>
      </c>
      <c r="G1754" s="62">
        <v>4.19E-2</v>
      </c>
      <c r="H1754" s="63">
        <v>1</v>
      </c>
    </row>
    <row r="1755" spans="1:8" x14ac:dyDescent="0.55000000000000004">
      <c r="A1755" s="61" t="s">
        <v>6878</v>
      </c>
      <c r="B1755" t="s">
        <v>5707</v>
      </c>
      <c r="C1755">
        <v>9204</v>
      </c>
      <c r="D1755" t="s">
        <v>6365</v>
      </c>
      <c r="E1755" t="s">
        <v>6366</v>
      </c>
      <c r="F1755" t="s">
        <v>6361</v>
      </c>
      <c r="G1755" s="43">
        <v>0</v>
      </c>
      <c r="H1755" s="63">
        <v>-0.1</v>
      </c>
    </row>
    <row r="1756" spans="1:8" x14ac:dyDescent="0.55000000000000004">
      <c r="A1756" s="61" t="s">
        <v>6879</v>
      </c>
      <c r="B1756" t="s">
        <v>5707</v>
      </c>
      <c r="C1756">
        <v>9310</v>
      </c>
      <c r="D1756" t="s">
        <v>6359</v>
      </c>
      <c r="E1756" t="s">
        <v>6369</v>
      </c>
      <c r="F1756" t="s">
        <v>6361</v>
      </c>
      <c r="G1756" s="43">
        <v>0</v>
      </c>
      <c r="H1756" s="63">
        <v>0.9</v>
      </c>
    </row>
    <row r="1757" spans="1:8" x14ac:dyDescent="0.55000000000000004">
      <c r="A1757" s="61" t="s">
        <v>6879</v>
      </c>
      <c r="B1757" t="s">
        <v>5707</v>
      </c>
      <c r="C1757">
        <v>9310</v>
      </c>
      <c r="D1757" t="s">
        <v>6363</v>
      </c>
      <c r="E1757" t="s">
        <v>6364</v>
      </c>
      <c r="F1757" t="s">
        <v>6361</v>
      </c>
      <c r="G1757" s="43">
        <v>0</v>
      </c>
      <c r="H1757" s="63">
        <v>0.1</v>
      </c>
    </row>
    <row r="1758" spans="1:8" x14ac:dyDescent="0.55000000000000004">
      <c r="A1758" s="61" t="s">
        <v>6879</v>
      </c>
      <c r="B1758" t="s">
        <v>5707</v>
      </c>
      <c r="C1758">
        <v>9310</v>
      </c>
      <c r="D1758" t="s">
        <v>6362</v>
      </c>
      <c r="E1758" t="s">
        <v>6358</v>
      </c>
      <c r="F1758" t="s">
        <v>6358</v>
      </c>
      <c r="G1758" s="62">
        <v>4.19E-2</v>
      </c>
      <c r="H1758" s="63">
        <v>1</v>
      </c>
    </row>
    <row r="1759" spans="1:8" x14ac:dyDescent="0.55000000000000004">
      <c r="A1759" s="61" t="s">
        <v>6879</v>
      </c>
      <c r="B1759" t="s">
        <v>5707</v>
      </c>
      <c r="C1759">
        <v>9310</v>
      </c>
      <c r="D1759" t="s">
        <v>6365</v>
      </c>
      <c r="E1759" t="s">
        <v>6366</v>
      </c>
      <c r="F1759" t="s">
        <v>6361</v>
      </c>
      <c r="G1759" s="43">
        <v>0</v>
      </c>
      <c r="H1759" s="63">
        <v>-0.1</v>
      </c>
    </row>
    <row r="1760" spans="1:8" x14ac:dyDescent="0.55000000000000004">
      <c r="A1760" s="61" t="s">
        <v>6880</v>
      </c>
      <c r="B1760" t="s">
        <v>4370</v>
      </c>
      <c r="C1760">
        <v>8710</v>
      </c>
      <c r="D1760" t="s">
        <v>6359</v>
      </c>
      <c r="E1760" t="s">
        <v>6374</v>
      </c>
      <c r="F1760" t="s">
        <v>6361</v>
      </c>
      <c r="G1760" s="43">
        <v>0</v>
      </c>
      <c r="H1760" s="63">
        <v>0.9</v>
      </c>
    </row>
    <row r="1761" spans="1:8" x14ac:dyDescent="0.55000000000000004">
      <c r="A1761" s="61" t="s">
        <v>6880</v>
      </c>
      <c r="B1761" t="s">
        <v>4370</v>
      </c>
      <c r="C1761">
        <v>8710</v>
      </c>
      <c r="D1761" t="s">
        <v>6363</v>
      </c>
      <c r="E1761" t="s">
        <v>6364</v>
      </c>
      <c r="F1761" t="s">
        <v>6361</v>
      </c>
      <c r="G1761" s="43">
        <v>0</v>
      </c>
      <c r="H1761" s="63">
        <v>0.1</v>
      </c>
    </row>
    <row r="1762" spans="1:8" x14ac:dyDescent="0.55000000000000004">
      <c r="A1762" s="61" t="s">
        <v>6880</v>
      </c>
      <c r="B1762" t="s">
        <v>4370</v>
      </c>
      <c r="C1762">
        <v>8710</v>
      </c>
      <c r="D1762" t="s">
        <v>6362</v>
      </c>
      <c r="E1762" t="s">
        <v>6358</v>
      </c>
      <c r="F1762" t="s">
        <v>6358</v>
      </c>
      <c r="G1762" s="43">
        <v>4.0399999999999998E-2</v>
      </c>
      <c r="H1762" s="63">
        <v>1</v>
      </c>
    </row>
    <row r="1763" spans="1:8" x14ac:dyDescent="0.55000000000000004">
      <c r="A1763" s="61" t="s">
        <v>6880</v>
      </c>
      <c r="B1763" t="s">
        <v>4370</v>
      </c>
      <c r="C1763">
        <v>8710</v>
      </c>
      <c r="D1763" t="s">
        <v>6365</v>
      </c>
      <c r="E1763" t="s">
        <v>6366</v>
      </c>
      <c r="F1763" t="s">
        <v>6361</v>
      </c>
      <c r="G1763" s="43">
        <v>0</v>
      </c>
      <c r="H1763" s="63">
        <v>-0.1</v>
      </c>
    </row>
    <row r="1764" spans="1:8" x14ac:dyDescent="0.55000000000000004">
      <c r="A1764" s="61" t="s">
        <v>6881</v>
      </c>
      <c r="B1764" t="s">
        <v>4370</v>
      </c>
      <c r="C1764">
        <v>8712</v>
      </c>
      <c r="D1764" t="s">
        <v>6359</v>
      </c>
      <c r="E1764" t="s">
        <v>6391</v>
      </c>
      <c r="F1764" t="s">
        <v>6361</v>
      </c>
      <c r="G1764" s="43">
        <v>0</v>
      </c>
      <c r="H1764" s="63">
        <v>0.9</v>
      </c>
    </row>
    <row r="1765" spans="1:8" x14ac:dyDescent="0.55000000000000004">
      <c r="A1765" s="61" t="s">
        <v>6881</v>
      </c>
      <c r="B1765" t="s">
        <v>4370</v>
      </c>
      <c r="C1765">
        <v>8712</v>
      </c>
      <c r="D1765" t="s">
        <v>6363</v>
      </c>
      <c r="E1765" t="s">
        <v>6364</v>
      </c>
      <c r="F1765" t="s">
        <v>6361</v>
      </c>
      <c r="G1765" s="43">
        <v>0</v>
      </c>
      <c r="H1765" s="63">
        <v>0.1</v>
      </c>
    </row>
    <row r="1766" spans="1:8" x14ac:dyDescent="0.55000000000000004">
      <c r="A1766" s="61" t="s">
        <v>6881</v>
      </c>
      <c r="B1766" t="s">
        <v>4370</v>
      </c>
      <c r="C1766">
        <v>8712</v>
      </c>
      <c r="D1766" t="s">
        <v>6362</v>
      </c>
      <c r="E1766" t="s">
        <v>6358</v>
      </c>
      <c r="F1766" t="s">
        <v>6358</v>
      </c>
      <c r="G1766" s="43">
        <v>4.0399999999999998E-2</v>
      </c>
      <c r="H1766" s="63">
        <v>1</v>
      </c>
    </row>
    <row r="1767" spans="1:8" x14ac:dyDescent="0.55000000000000004">
      <c r="A1767" s="61" t="s">
        <v>6881</v>
      </c>
      <c r="B1767" t="s">
        <v>4370</v>
      </c>
      <c r="C1767">
        <v>8712</v>
      </c>
      <c r="D1767" t="s">
        <v>6365</v>
      </c>
      <c r="E1767" t="s">
        <v>6366</v>
      </c>
      <c r="F1767" t="s">
        <v>6361</v>
      </c>
      <c r="G1767" s="43">
        <v>0</v>
      </c>
      <c r="H1767" s="63">
        <v>-0.1</v>
      </c>
    </row>
    <row r="1768" spans="1:8" x14ac:dyDescent="0.55000000000000004">
      <c r="A1768" s="61" t="s">
        <v>6882</v>
      </c>
      <c r="B1768" t="s">
        <v>4370</v>
      </c>
      <c r="C1768">
        <v>8713</v>
      </c>
      <c r="D1768" t="s">
        <v>6359</v>
      </c>
      <c r="E1768" t="s">
        <v>6391</v>
      </c>
      <c r="F1768" t="s">
        <v>6361</v>
      </c>
      <c r="G1768" s="43">
        <v>0</v>
      </c>
      <c r="H1768" s="63">
        <v>0.9</v>
      </c>
    </row>
    <row r="1769" spans="1:8" x14ac:dyDescent="0.55000000000000004">
      <c r="A1769" s="61" t="s">
        <v>6882</v>
      </c>
      <c r="B1769" t="s">
        <v>4370</v>
      </c>
      <c r="C1769">
        <v>8713</v>
      </c>
      <c r="D1769" t="s">
        <v>6363</v>
      </c>
      <c r="E1769" t="s">
        <v>6364</v>
      </c>
      <c r="F1769" t="s">
        <v>6361</v>
      </c>
      <c r="G1769" s="43">
        <v>0</v>
      </c>
      <c r="H1769" s="63">
        <v>0.1</v>
      </c>
    </row>
    <row r="1770" spans="1:8" x14ac:dyDescent="0.55000000000000004">
      <c r="A1770" s="61" t="s">
        <v>6882</v>
      </c>
      <c r="B1770" t="s">
        <v>4370</v>
      </c>
      <c r="C1770">
        <v>8713</v>
      </c>
      <c r="D1770" t="s">
        <v>6362</v>
      </c>
      <c r="E1770" t="s">
        <v>6358</v>
      </c>
      <c r="F1770" t="s">
        <v>6358</v>
      </c>
      <c r="G1770" s="43">
        <v>4.0399999999999998E-2</v>
      </c>
      <c r="H1770" s="63">
        <v>1</v>
      </c>
    </row>
    <row r="1771" spans="1:8" x14ac:dyDescent="0.55000000000000004">
      <c r="A1771" s="61" t="s">
        <v>6882</v>
      </c>
      <c r="B1771" t="s">
        <v>4370</v>
      </c>
      <c r="C1771">
        <v>8713</v>
      </c>
      <c r="D1771" t="s">
        <v>6365</v>
      </c>
      <c r="E1771" t="s">
        <v>6366</v>
      </c>
      <c r="F1771" t="s">
        <v>6361</v>
      </c>
      <c r="G1771" s="43">
        <v>0</v>
      </c>
      <c r="H1771" s="63">
        <v>-0.1</v>
      </c>
    </row>
    <row r="1772" spans="1:8" x14ac:dyDescent="0.55000000000000004">
      <c r="A1772" s="61" t="s">
        <v>6883</v>
      </c>
      <c r="B1772" t="s">
        <v>4370</v>
      </c>
      <c r="C1772">
        <v>9308</v>
      </c>
      <c r="D1772" t="s">
        <v>6359</v>
      </c>
      <c r="E1772" t="s">
        <v>6392</v>
      </c>
      <c r="F1772" t="s">
        <v>6361</v>
      </c>
      <c r="G1772" s="43">
        <v>0</v>
      </c>
      <c r="H1772" s="63">
        <v>0.9</v>
      </c>
    </row>
    <row r="1773" spans="1:8" x14ac:dyDescent="0.55000000000000004">
      <c r="A1773" s="61" t="s">
        <v>6883</v>
      </c>
      <c r="B1773" t="s">
        <v>4370</v>
      </c>
      <c r="C1773">
        <v>9308</v>
      </c>
      <c r="D1773" t="s">
        <v>6363</v>
      </c>
      <c r="E1773" t="s">
        <v>6364</v>
      </c>
      <c r="F1773" t="s">
        <v>6361</v>
      </c>
      <c r="G1773" s="43">
        <v>0</v>
      </c>
      <c r="H1773" s="63">
        <v>0.1</v>
      </c>
    </row>
    <row r="1774" spans="1:8" x14ac:dyDescent="0.55000000000000004">
      <c r="A1774" s="61" t="s">
        <v>6883</v>
      </c>
      <c r="B1774" t="s">
        <v>4370</v>
      </c>
      <c r="C1774">
        <v>9308</v>
      </c>
      <c r="D1774" t="s">
        <v>6362</v>
      </c>
      <c r="E1774" t="s">
        <v>6358</v>
      </c>
      <c r="F1774" t="s">
        <v>6358</v>
      </c>
      <c r="G1774" s="43">
        <v>4.0399999999999998E-2</v>
      </c>
      <c r="H1774" s="63">
        <v>1</v>
      </c>
    </row>
    <row r="1775" spans="1:8" x14ac:dyDescent="0.55000000000000004">
      <c r="A1775" s="61" t="s">
        <v>6883</v>
      </c>
      <c r="B1775" t="s">
        <v>4370</v>
      </c>
      <c r="C1775">
        <v>9308</v>
      </c>
      <c r="D1775" t="s">
        <v>6365</v>
      </c>
      <c r="E1775" t="s">
        <v>6366</v>
      </c>
      <c r="F1775" t="s">
        <v>6361</v>
      </c>
      <c r="G1775" s="43">
        <v>0</v>
      </c>
      <c r="H1775" s="63">
        <v>-0.1</v>
      </c>
    </row>
    <row r="1776" spans="1:8" x14ac:dyDescent="0.55000000000000004">
      <c r="A1776" s="61" t="s">
        <v>6884</v>
      </c>
      <c r="B1776" t="s">
        <v>4370</v>
      </c>
      <c r="C1776">
        <v>9309</v>
      </c>
      <c r="D1776" t="s">
        <v>6359</v>
      </c>
      <c r="E1776" t="s">
        <v>6392</v>
      </c>
      <c r="F1776" t="s">
        <v>6361</v>
      </c>
      <c r="G1776" s="43">
        <v>0</v>
      </c>
      <c r="H1776" s="63">
        <v>0.9</v>
      </c>
    </row>
    <row r="1777" spans="1:8" x14ac:dyDescent="0.55000000000000004">
      <c r="A1777" s="61" t="s">
        <v>6884</v>
      </c>
      <c r="B1777" t="s">
        <v>4370</v>
      </c>
      <c r="C1777">
        <v>9309</v>
      </c>
      <c r="D1777" t="s">
        <v>6363</v>
      </c>
      <c r="E1777" t="s">
        <v>6364</v>
      </c>
      <c r="F1777" t="s">
        <v>6361</v>
      </c>
      <c r="G1777" s="43">
        <v>0</v>
      </c>
      <c r="H1777" s="63">
        <v>0.1</v>
      </c>
    </row>
    <row r="1778" spans="1:8" x14ac:dyDescent="0.55000000000000004">
      <c r="A1778" s="61" t="s">
        <v>6884</v>
      </c>
      <c r="B1778" t="s">
        <v>4370</v>
      </c>
      <c r="C1778">
        <v>9309</v>
      </c>
      <c r="D1778" t="s">
        <v>6362</v>
      </c>
      <c r="E1778" t="s">
        <v>6358</v>
      </c>
      <c r="F1778" t="s">
        <v>6358</v>
      </c>
      <c r="G1778" s="43">
        <v>4.0399999999999998E-2</v>
      </c>
      <c r="H1778" s="63">
        <v>1</v>
      </c>
    </row>
    <row r="1779" spans="1:8" x14ac:dyDescent="0.55000000000000004">
      <c r="A1779" s="61" t="s">
        <v>6884</v>
      </c>
      <c r="B1779" t="s">
        <v>4370</v>
      </c>
      <c r="C1779">
        <v>9309</v>
      </c>
      <c r="D1779" t="s">
        <v>6365</v>
      </c>
      <c r="E1779" t="s">
        <v>6366</v>
      </c>
      <c r="F1779" t="s">
        <v>6361</v>
      </c>
      <c r="G1779" s="43">
        <v>0</v>
      </c>
      <c r="H1779" s="63">
        <v>-0.1</v>
      </c>
    </row>
    <row r="1780" spans="1:8" x14ac:dyDescent="0.55000000000000004">
      <c r="A1780" s="61" t="s">
        <v>6885</v>
      </c>
      <c r="B1780" t="s">
        <v>5395</v>
      </c>
      <c r="C1780">
        <v>8711</v>
      </c>
      <c r="D1780" t="s">
        <v>6359</v>
      </c>
      <c r="E1780" t="s">
        <v>6372</v>
      </c>
      <c r="F1780" t="s">
        <v>6361</v>
      </c>
      <c r="G1780" s="43">
        <v>0</v>
      </c>
      <c r="H1780" s="63">
        <v>0.9</v>
      </c>
    </row>
    <row r="1781" spans="1:8" x14ac:dyDescent="0.55000000000000004">
      <c r="A1781" s="61" t="s">
        <v>6885</v>
      </c>
      <c r="B1781" t="s">
        <v>5395</v>
      </c>
      <c r="C1781">
        <v>8711</v>
      </c>
      <c r="D1781" t="s">
        <v>6363</v>
      </c>
      <c r="E1781" t="s">
        <v>6364</v>
      </c>
      <c r="F1781" t="s">
        <v>6361</v>
      </c>
      <c r="G1781" s="43">
        <v>0</v>
      </c>
      <c r="H1781" s="63">
        <v>0.1</v>
      </c>
    </row>
    <row r="1782" spans="1:8" x14ac:dyDescent="0.55000000000000004">
      <c r="A1782" s="61" t="s">
        <v>6885</v>
      </c>
      <c r="B1782" t="s">
        <v>5395</v>
      </c>
      <c r="C1782">
        <v>8711</v>
      </c>
      <c r="D1782" t="s">
        <v>6362</v>
      </c>
      <c r="E1782" t="s">
        <v>6358</v>
      </c>
      <c r="F1782" t="s">
        <v>6358</v>
      </c>
      <c r="G1782" s="43">
        <v>8.7900000000000006E-2</v>
      </c>
      <c r="H1782" s="63">
        <v>1</v>
      </c>
    </row>
    <row r="1783" spans="1:8" x14ac:dyDescent="0.55000000000000004">
      <c r="A1783" s="61" t="s">
        <v>6885</v>
      </c>
      <c r="B1783" t="s">
        <v>5395</v>
      </c>
      <c r="C1783">
        <v>8711</v>
      </c>
      <c r="D1783" t="s">
        <v>6365</v>
      </c>
      <c r="E1783" t="s">
        <v>6366</v>
      </c>
      <c r="F1783" t="s">
        <v>6361</v>
      </c>
      <c r="G1783" s="43">
        <v>0</v>
      </c>
      <c r="H1783" s="63">
        <v>-0.1</v>
      </c>
    </row>
    <row r="1784" spans="1:8" x14ac:dyDescent="0.55000000000000004">
      <c r="A1784" s="61" t="s">
        <v>6886</v>
      </c>
      <c r="B1784" t="s">
        <v>5395</v>
      </c>
      <c r="C1784">
        <v>8713</v>
      </c>
      <c r="D1784" t="s">
        <v>6359</v>
      </c>
      <c r="E1784" t="s">
        <v>6372</v>
      </c>
      <c r="F1784" t="s">
        <v>6361</v>
      </c>
      <c r="G1784" s="43">
        <v>0</v>
      </c>
      <c r="H1784" s="63">
        <v>0.9</v>
      </c>
    </row>
    <row r="1785" spans="1:8" x14ac:dyDescent="0.55000000000000004">
      <c r="A1785" s="61" t="s">
        <v>6886</v>
      </c>
      <c r="B1785" t="s">
        <v>5395</v>
      </c>
      <c r="C1785">
        <v>8713</v>
      </c>
      <c r="D1785" t="s">
        <v>6363</v>
      </c>
      <c r="E1785" t="s">
        <v>6364</v>
      </c>
      <c r="F1785" t="s">
        <v>6361</v>
      </c>
      <c r="G1785" s="43">
        <v>0</v>
      </c>
      <c r="H1785" s="63">
        <v>0.1</v>
      </c>
    </row>
    <row r="1786" spans="1:8" x14ac:dyDescent="0.55000000000000004">
      <c r="A1786" s="61" t="s">
        <v>6886</v>
      </c>
      <c r="B1786" t="s">
        <v>5395</v>
      </c>
      <c r="C1786">
        <v>8713</v>
      </c>
      <c r="D1786" t="s">
        <v>6362</v>
      </c>
      <c r="E1786" t="s">
        <v>6358</v>
      </c>
      <c r="F1786" t="s">
        <v>6358</v>
      </c>
      <c r="G1786" s="43">
        <v>8.7900000000000006E-2</v>
      </c>
      <c r="H1786" s="63">
        <v>1</v>
      </c>
    </row>
    <row r="1787" spans="1:8" x14ac:dyDescent="0.55000000000000004">
      <c r="A1787" s="61" t="s">
        <v>6886</v>
      </c>
      <c r="B1787" t="s">
        <v>5395</v>
      </c>
      <c r="C1787">
        <v>8713</v>
      </c>
      <c r="D1787" t="s">
        <v>6365</v>
      </c>
      <c r="E1787" t="s">
        <v>6366</v>
      </c>
      <c r="F1787" t="s">
        <v>6361</v>
      </c>
      <c r="G1787" s="43">
        <v>0</v>
      </c>
      <c r="H1787" s="63">
        <v>-0.1</v>
      </c>
    </row>
    <row r="1788" spans="1:8" x14ac:dyDescent="0.55000000000000004">
      <c r="A1788" s="61" t="s">
        <v>6887</v>
      </c>
      <c r="B1788" t="s">
        <v>5395</v>
      </c>
      <c r="C1788">
        <v>9307</v>
      </c>
      <c r="D1788" t="s">
        <v>6359</v>
      </c>
      <c r="E1788" t="s">
        <v>6373</v>
      </c>
      <c r="F1788" t="s">
        <v>6361</v>
      </c>
      <c r="G1788" s="43">
        <v>0</v>
      </c>
      <c r="H1788" s="63">
        <v>0.9</v>
      </c>
    </row>
    <row r="1789" spans="1:8" x14ac:dyDescent="0.55000000000000004">
      <c r="A1789" s="61" t="s">
        <v>6887</v>
      </c>
      <c r="B1789" t="s">
        <v>5395</v>
      </c>
      <c r="C1789">
        <v>9307</v>
      </c>
      <c r="D1789" t="s">
        <v>6363</v>
      </c>
      <c r="E1789" t="s">
        <v>6364</v>
      </c>
      <c r="F1789" t="s">
        <v>6361</v>
      </c>
      <c r="G1789" s="43">
        <v>0</v>
      </c>
      <c r="H1789" s="63">
        <v>0.1</v>
      </c>
    </row>
    <row r="1790" spans="1:8" x14ac:dyDescent="0.55000000000000004">
      <c r="A1790" s="61" t="s">
        <v>6887</v>
      </c>
      <c r="B1790" t="s">
        <v>5395</v>
      </c>
      <c r="C1790">
        <v>9307</v>
      </c>
      <c r="D1790" t="s">
        <v>6362</v>
      </c>
      <c r="E1790" t="s">
        <v>6358</v>
      </c>
      <c r="F1790" t="s">
        <v>6358</v>
      </c>
      <c r="G1790" s="43">
        <v>8.7900000000000006E-2</v>
      </c>
      <c r="H1790" s="63">
        <v>1</v>
      </c>
    </row>
    <row r="1791" spans="1:8" x14ac:dyDescent="0.55000000000000004">
      <c r="A1791" s="61" t="s">
        <v>6887</v>
      </c>
      <c r="B1791" t="s">
        <v>5395</v>
      </c>
      <c r="C1791">
        <v>9307</v>
      </c>
      <c r="D1791" t="s">
        <v>6365</v>
      </c>
      <c r="E1791" t="s">
        <v>6366</v>
      </c>
      <c r="F1791" t="s">
        <v>6361</v>
      </c>
      <c r="G1791" s="43">
        <v>0</v>
      </c>
      <c r="H1791" s="63">
        <v>-0.1</v>
      </c>
    </row>
    <row r="1792" spans="1:8" x14ac:dyDescent="0.55000000000000004">
      <c r="A1792" s="61" t="s">
        <v>6888</v>
      </c>
      <c r="B1792" t="s">
        <v>5395</v>
      </c>
      <c r="C1792">
        <v>9309</v>
      </c>
      <c r="D1792" t="s">
        <v>6359</v>
      </c>
      <c r="E1792" t="s">
        <v>6373</v>
      </c>
      <c r="F1792" t="s">
        <v>6361</v>
      </c>
      <c r="G1792" s="43">
        <v>0</v>
      </c>
      <c r="H1792" s="63">
        <v>0.9</v>
      </c>
    </row>
    <row r="1793" spans="1:8" x14ac:dyDescent="0.55000000000000004">
      <c r="A1793" s="61" t="s">
        <v>6888</v>
      </c>
      <c r="B1793" t="s">
        <v>5395</v>
      </c>
      <c r="C1793">
        <v>9309</v>
      </c>
      <c r="D1793" t="s">
        <v>6363</v>
      </c>
      <c r="E1793" t="s">
        <v>6364</v>
      </c>
      <c r="F1793" t="s">
        <v>6361</v>
      </c>
      <c r="G1793" s="43">
        <v>0</v>
      </c>
      <c r="H1793" s="63">
        <v>0.1</v>
      </c>
    </row>
    <row r="1794" spans="1:8" x14ac:dyDescent="0.55000000000000004">
      <c r="A1794" s="61" t="s">
        <v>6888</v>
      </c>
      <c r="B1794" t="s">
        <v>5395</v>
      </c>
      <c r="C1794">
        <v>9309</v>
      </c>
      <c r="D1794" t="s">
        <v>6362</v>
      </c>
      <c r="E1794" t="s">
        <v>6358</v>
      </c>
      <c r="F1794" t="s">
        <v>6358</v>
      </c>
      <c r="G1794" s="43">
        <v>8.7900000000000006E-2</v>
      </c>
      <c r="H1794" s="63">
        <v>1</v>
      </c>
    </row>
    <row r="1795" spans="1:8" x14ac:dyDescent="0.55000000000000004">
      <c r="A1795" s="61" t="s">
        <v>6888</v>
      </c>
      <c r="B1795" t="s">
        <v>5395</v>
      </c>
      <c r="C1795">
        <v>9309</v>
      </c>
      <c r="D1795" t="s">
        <v>6365</v>
      </c>
      <c r="E1795" t="s">
        <v>6366</v>
      </c>
      <c r="F1795" t="s">
        <v>6361</v>
      </c>
      <c r="G1795" s="43">
        <v>0</v>
      </c>
      <c r="H1795" s="63">
        <v>-0.1</v>
      </c>
    </row>
    <row r="1796" spans="1:8" x14ac:dyDescent="0.55000000000000004">
      <c r="A1796" s="61" t="s">
        <v>6889</v>
      </c>
      <c r="B1796" t="s">
        <v>2704</v>
      </c>
      <c r="C1796">
        <v>8701</v>
      </c>
      <c r="D1796" t="s">
        <v>6359</v>
      </c>
      <c r="E1796" t="s">
        <v>6360</v>
      </c>
      <c r="F1796" t="s">
        <v>6361</v>
      </c>
      <c r="G1796" s="43">
        <v>0</v>
      </c>
      <c r="H1796" s="63">
        <v>1</v>
      </c>
    </row>
    <row r="1797" spans="1:8" x14ac:dyDescent="0.55000000000000004">
      <c r="A1797" s="61" t="s">
        <v>6889</v>
      </c>
      <c r="B1797" t="s">
        <v>2704</v>
      </c>
      <c r="C1797">
        <v>8701</v>
      </c>
      <c r="D1797" t="s">
        <v>6362</v>
      </c>
      <c r="E1797" t="s">
        <v>6358</v>
      </c>
      <c r="F1797" t="s">
        <v>6358</v>
      </c>
      <c r="G1797" s="43">
        <v>5.4199999999999998E-2</v>
      </c>
      <c r="H1797" s="63">
        <v>1</v>
      </c>
    </row>
    <row r="1798" spans="1:8" x14ac:dyDescent="0.55000000000000004">
      <c r="A1798" s="61" t="s">
        <v>6890</v>
      </c>
      <c r="B1798" t="s">
        <v>2704</v>
      </c>
      <c r="C1798">
        <v>8710</v>
      </c>
      <c r="D1798" t="s">
        <v>6359</v>
      </c>
      <c r="E1798" t="s">
        <v>6360</v>
      </c>
      <c r="F1798" t="s">
        <v>6361</v>
      </c>
      <c r="G1798" s="43">
        <v>0</v>
      </c>
      <c r="H1798" s="63">
        <v>0.9</v>
      </c>
    </row>
    <row r="1799" spans="1:8" x14ac:dyDescent="0.55000000000000004">
      <c r="A1799" s="61" t="s">
        <v>6890</v>
      </c>
      <c r="B1799" t="s">
        <v>2704</v>
      </c>
      <c r="C1799">
        <v>8710</v>
      </c>
      <c r="D1799" t="s">
        <v>6363</v>
      </c>
      <c r="E1799" t="s">
        <v>6364</v>
      </c>
      <c r="F1799" t="s">
        <v>6361</v>
      </c>
      <c r="G1799" s="43">
        <v>0</v>
      </c>
      <c r="H1799" s="63">
        <v>0.1</v>
      </c>
    </row>
    <row r="1800" spans="1:8" x14ac:dyDescent="0.55000000000000004">
      <c r="A1800" s="61" t="s">
        <v>6890</v>
      </c>
      <c r="B1800" t="s">
        <v>2704</v>
      </c>
      <c r="C1800">
        <v>8710</v>
      </c>
      <c r="D1800" t="s">
        <v>6362</v>
      </c>
      <c r="E1800" t="s">
        <v>6358</v>
      </c>
      <c r="F1800" t="s">
        <v>6358</v>
      </c>
      <c r="G1800" s="43">
        <v>4.0899999999999999E-2</v>
      </c>
      <c r="H1800" s="63">
        <v>1</v>
      </c>
    </row>
    <row r="1801" spans="1:8" x14ac:dyDescent="0.55000000000000004">
      <c r="A1801" s="61" t="s">
        <v>6890</v>
      </c>
      <c r="B1801" t="s">
        <v>2704</v>
      </c>
      <c r="C1801">
        <v>8710</v>
      </c>
      <c r="D1801" t="s">
        <v>6365</v>
      </c>
      <c r="E1801" t="s">
        <v>6366</v>
      </c>
      <c r="F1801" t="s">
        <v>6361</v>
      </c>
      <c r="G1801" s="43">
        <v>0</v>
      </c>
      <c r="H1801" s="63">
        <v>-0.1</v>
      </c>
    </row>
    <row r="1802" spans="1:8" x14ac:dyDescent="0.55000000000000004">
      <c r="A1802" s="61" t="s">
        <v>6891</v>
      </c>
      <c r="B1802" t="s">
        <v>2704</v>
      </c>
      <c r="C1802">
        <v>9101</v>
      </c>
      <c r="D1802" t="s">
        <v>6359</v>
      </c>
      <c r="E1802" t="s">
        <v>6367</v>
      </c>
      <c r="F1802" t="s">
        <v>6361</v>
      </c>
      <c r="G1802" s="43">
        <v>0</v>
      </c>
      <c r="H1802" s="63">
        <v>1</v>
      </c>
    </row>
    <row r="1803" spans="1:8" x14ac:dyDescent="0.55000000000000004">
      <c r="A1803" s="61" t="s">
        <v>6891</v>
      </c>
      <c r="B1803" t="s">
        <v>2704</v>
      </c>
      <c r="C1803">
        <v>9101</v>
      </c>
      <c r="D1803" t="s">
        <v>6362</v>
      </c>
      <c r="E1803" t="s">
        <v>6358</v>
      </c>
      <c r="F1803" t="s">
        <v>6358</v>
      </c>
      <c r="G1803" s="43">
        <v>5.4199999999999998E-2</v>
      </c>
      <c r="H1803" s="63">
        <v>1</v>
      </c>
    </row>
    <row r="1804" spans="1:8" x14ac:dyDescent="0.55000000000000004">
      <c r="A1804" s="61" t="s">
        <v>6892</v>
      </c>
      <c r="B1804" t="s">
        <v>2704</v>
      </c>
      <c r="C1804">
        <v>9110</v>
      </c>
      <c r="D1804" t="s">
        <v>6359</v>
      </c>
      <c r="E1804" t="s">
        <v>6367</v>
      </c>
      <c r="F1804" t="s">
        <v>6361</v>
      </c>
      <c r="G1804" s="43">
        <v>0</v>
      </c>
      <c r="H1804" s="63">
        <v>0.9</v>
      </c>
    </row>
    <row r="1805" spans="1:8" x14ac:dyDescent="0.55000000000000004">
      <c r="A1805" s="61" t="s">
        <v>6892</v>
      </c>
      <c r="B1805" t="s">
        <v>2704</v>
      </c>
      <c r="C1805">
        <v>9110</v>
      </c>
      <c r="D1805" t="s">
        <v>6363</v>
      </c>
      <c r="E1805" t="s">
        <v>6364</v>
      </c>
      <c r="F1805" t="s">
        <v>6361</v>
      </c>
      <c r="G1805" s="43">
        <v>0</v>
      </c>
      <c r="H1805" s="63">
        <v>0.1</v>
      </c>
    </row>
    <row r="1806" spans="1:8" x14ac:dyDescent="0.55000000000000004">
      <c r="A1806" s="61" t="s">
        <v>6892</v>
      </c>
      <c r="B1806" t="s">
        <v>2704</v>
      </c>
      <c r="C1806">
        <v>9110</v>
      </c>
      <c r="D1806" t="s">
        <v>6362</v>
      </c>
      <c r="E1806" t="s">
        <v>6358</v>
      </c>
      <c r="F1806" t="s">
        <v>6358</v>
      </c>
      <c r="G1806" s="43">
        <v>4.0899999999999999E-2</v>
      </c>
      <c r="H1806" s="63">
        <v>1</v>
      </c>
    </row>
    <row r="1807" spans="1:8" x14ac:dyDescent="0.55000000000000004">
      <c r="A1807" s="61" t="s">
        <v>6892</v>
      </c>
      <c r="B1807" t="s">
        <v>2704</v>
      </c>
      <c r="C1807">
        <v>9110</v>
      </c>
      <c r="D1807" t="s">
        <v>6365</v>
      </c>
      <c r="E1807" t="s">
        <v>6366</v>
      </c>
      <c r="F1807" t="s">
        <v>6361</v>
      </c>
      <c r="G1807" s="43">
        <v>0</v>
      </c>
      <c r="H1807" s="63">
        <v>-0.1</v>
      </c>
    </row>
    <row r="1808" spans="1:8" x14ac:dyDescent="0.55000000000000004">
      <c r="A1808" s="61" t="s">
        <v>6893</v>
      </c>
      <c r="B1808" t="s">
        <v>2704</v>
      </c>
      <c r="C1808">
        <v>9204</v>
      </c>
      <c r="D1808" t="s">
        <v>6359</v>
      </c>
      <c r="E1808" t="s">
        <v>6367</v>
      </c>
      <c r="F1808" t="s">
        <v>6361</v>
      </c>
      <c r="G1808" s="43">
        <v>0</v>
      </c>
      <c r="H1808" s="63">
        <v>0.9</v>
      </c>
    </row>
    <row r="1809" spans="1:8" x14ac:dyDescent="0.55000000000000004">
      <c r="A1809" s="61" t="s">
        <v>6893</v>
      </c>
      <c r="B1809" t="s">
        <v>2704</v>
      </c>
      <c r="C1809">
        <v>9204</v>
      </c>
      <c r="D1809" t="s">
        <v>6363</v>
      </c>
      <c r="E1809" t="s">
        <v>6364</v>
      </c>
      <c r="F1809" t="s">
        <v>6361</v>
      </c>
      <c r="G1809" s="43">
        <v>0</v>
      </c>
      <c r="H1809" s="63">
        <v>0.1</v>
      </c>
    </row>
    <row r="1810" spans="1:8" x14ac:dyDescent="0.55000000000000004">
      <c r="A1810" s="61" t="s">
        <v>6893</v>
      </c>
      <c r="B1810" t="s">
        <v>2704</v>
      </c>
      <c r="C1810">
        <v>9204</v>
      </c>
      <c r="D1810" t="s">
        <v>6362</v>
      </c>
      <c r="E1810" t="s">
        <v>6358</v>
      </c>
      <c r="F1810" t="s">
        <v>6358</v>
      </c>
      <c r="G1810" s="43">
        <v>4.0899999999999999E-2</v>
      </c>
      <c r="H1810" s="63">
        <v>1</v>
      </c>
    </row>
    <row r="1811" spans="1:8" x14ac:dyDescent="0.55000000000000004">
      <c r="A1811" s="61" t="s">
        <v>6893</v>
      </c>
      <c r="B1811" t="s">
        <v>2704</v>
      </c>
      <c r="C1811">
        <v>9204</v>
      </c>
      <c r="D1811" t="s">
        <v>6365</v>
      </c>
      <c r="E1811" t="s">
        <v>6366</v>
      </c>
      <c r="F1811" t="s">
        <v>6361</v>
      </c>
      <c r="G1811" s="43">
        <v>0</v>
      </c>
      <c r="H1811" s="63">
        <v>-0.1</v>
      </c>
    </row>
    <row r="1812" spans="1:8" x14ac:dyDescent="0.55000000000000004">
      <c r="A1812" s="61" t="s">
        <v>6894</v>
      </c>
      <c r="B1812" t="s">
        <v>2704</v>
      </c>
      <c r="C1812">
        <v>9310</v>
      </c>
      <c r="D1812" t="s">
        <v>6359</v>
      </c>
      <c r="E1812" t="s">
        <v>6367</v>
      </c>
      <c r="F1812" t="s">
        <v>6361</v>
      </c>
      <c r="G1812" s="43">
        <v>0</v>
      </c>
      <c r="H1812" s="63">
        <v>0.9</v>
      </c>
    </row>
    <row r="1813" spans="1:8" x14ac:dyDescent="0.55000000000000004">
      <c r="A1813" s="61" t="s">
        <v>6894</v>
      </c>
      <c r="B1813" t="s">
        <v>2704</v>
      </c>
      <c r="C1813">
        <v>9310</v>
      </c>
      <c r="D1813" t="s">
        <v>6363</v>
      </c>
      <c r="E1813" t="s">
        <v>6364</v>
      </c>
      <c r="F1813" t="s">
        <v>6361</v>
      </c>
      <c r="G1813" s="43">
        <v>0</v>
      </c>
      <c r="H1813" s="63">
        <v>0.1</v>
      </c>
    </row>
    <row r="1814" spans="1:8" x14ac:dyDescent="0.55000000000000004">
      <c r="A1814" s="61" t="s">
        <v>6894</v>
      </c>
      <c r="B1814" t="s">
        <v>2704</v>
      </c>
      <c r="C1814">
        <v>9310</v>
      </c>
      <c r="D1814" t="s">
        <v>6362</v>
      </c>
      <c r="E1814" t="s">
        <v>6358</v>
      </c>
      <c r="F1814" t="s">
        <v>6358</v>
      </c>
      <c r="G1814" s="43">
        <v>4.0899999999999999E-2</v>
      </c>
      <c r="H1814" s="63">
        <v>1</v>
      </c>
    </row>
    <row r="1815" spans="1:8" x14ac:dyDescent="0.55000000000000004">
      <c r="A1815" s="61" t="s">
        <v>6894</v>
      </c>
      <c r="B1815" t="s">
        <v>2704</v>
      </c>
      <c r="C1815">
        <v>9310</v>
      </c>
      <c r="D1815" t="s">
        <v>6365</v>
      </c>
      <c r="E1815" t="s">
        <v>6366</v>
      </c>
      <c r="F1815" t="s">
        <v>6361</v>
      </c>
      <c r="G1815" s="43">
        <v>0</v>
      </c>
      <c r="H1815" s="63">
        <v>-0.1</v>
      </c>
    </row>
    <row r="1816" spans="1:8" x14ac:dyDescent="0.55000000000000004">
      <c r="A1816" s="61" t="s">
        <v>6895</v>
      </c>
      <c r="B1816" t="s">
        <v>2527</v>
      </c>
      <c r="C1816">
        <v>8710</v>
      </c>
      <c r="D1816" t="s">
        <v>6359</v>
      </c>
      <c r="E1816" t="s">
        <v>6368</v>
      </c>
      <c r="F1816" t="s">
        <v>6361</v>
      </c>
      <c r="G1816" s="43">
        <v>0</v>
      </c>
      <c r="H1816" s="63">
        <v>0.9</v>
      </c>
    </row>
    <row r="1817" spans="1:8" x14ac:dyDescent="0.55000000000000004">
      <c r="A1817" s="61" t="s">
        <v>6895</v>
      </c>
      <c r="B1817" t="s">
        <v>2527</v>
      </c>
      <c r="C1817">
        <v>8710</v>
      </c>
      <c r="D1817" t="s">
        <v>6363</v>
      </c>
      <c r="E1817" t="s">
        <v>6364</v>
      </c>
      <c r="F1817" t="s">
        <v>6361</v>
      </c>
      <c r="G1817" s="43">
        <v>0</v>
      </c>
      <c r="H1817" s="63">
        <v>0.1</v>
      </c>
    </row>
    <row r="1818" spans="1:8" x14ac:dyDescent="0.55000000000000004">
      <c r="A1818" s="61" t="s">
        <v>6895</v>
      </c>
      <c r="B1818" t="s">
        <v>2527</v>
      </c>
      <c r="C1818">
        <v>8710</v>
      </c>
      <c r="D1818" t="s">
        <v>6362</v>
      </c>
      <c r="E1818" t="s">
        <v>6358</v>
      </c>
      <c r="F1818" t="s">
        <v>6358</v>
      </c>
      <c r="G1818" s="62">
        <v>3.9300000000000002E-2</v>
      </c>
      <c r="H1818" s="63">
        <v>1</v>
      </c>
    </row>
    <row r="1819" spans="1:8" x14ac:dyDescent="0.55000000000000004">
      <c r="A1819" s="61" t="s">
        <v>6895</v>
      </c>
      <c r="B1819" t="s">
        <v>2527</v>
      </c>
      <c r="C1819">
        <v>8710</v>
      </c>
      <c r="D1819" t="s">
        <v>6365</v>
      </c>
      <c r="E1819" t="s">
        <v>6366</v>
      </c>
      <c r="F1819" t="s">
        <v>6361</v>
      </c>
      <c r="G1819" s="43">
        <v>0</v>
      </c>
      <c r="H1819" s="63">
        <v>-0.1</v>
      </c>
    </row>
    <row r="1820" spans="1:8" x14ac:dyDescent="0.55000000000000004">
      <c r="A1820" s="61" t="s">
        <v>6896</v>
      </c>
      <c r="B1820" t="s">
        <v>2527</v>
      </c>
      <c r="C1820">
        <v>9310</v>
      </c>
      <c r="D1820" t="s">
        <v>6359</v>
      </c>
      <c r="E1820" t="s">
        <v>6369</v>
      </c>
      <c r="F1820" t="s">
        <v>6361</v>
      </c>
      <c r="G1820" s="43">
        <v>0</v>
      </c>
      <c r="H1820" s="63">
        <v>0.9</v>
      </c>
    </row>
    <row r="1821" spans="1:8" x14ac:dyDescent="0.55000000000000004">
      <c r="A1821" s="61" t="s">
        <v>6896</v>
      </c>
      <c r="B1821" t="s">
        <v>2527</v>
      </c>
      <c r="C1821">
        <v>9310</v>
      </c>
      <c r="D1821" t="s">
        <v>6363</v>
      </c>
      <c r="E1821" t="s">
        <v>6364</v>
      </c>
      <c r="F1821" t="s">
        <v>6361</v>
      </c>
      <c r="G1821" s="43">
        <v>0</v>
      </c>
      <c r="H1821" s="63">
        <v>0.1</v>
      </c>
    </row>
    <row r="1822" spans="1:8" x14ac:dyDescent="0.55000000000000004">
      <c r="A1822" s="61" t="s">
        <v>6896</v>
      </c>
      <c r="B1822" t="s">
        <v>2527</v>
      </c>
      <c r="C1822">
        <v>9310</v>
      </c>
      <c r="D1822" t="s">
        <v>6362</v>
      </c>
      <c r="E1822" t="s">
        <v>6358</v>
      </c>
      <c r="F1822" t="s">
        <v>6358</v>
      </c>
      <c r="G1822" s="62">
        <v>3.9300000000000002E-2</v>
      </c>
      <c r="H1822" s="63">
        <v>1</v>
      </c>
    </row>
    <row r="1823" spans="1:8" x14ac:dyDescent="0.55000000000000004">
      <c r="A1823" s="61" t="s">
        <v>6896</v>
      </c>
      <c r="B1823" t="s">
        <v>2527</v>
      </c>
      <c r="C1823">
        <v>9310</v>
      </c>
      <c r="D1823" t="s">
        <v>6365</v>
      </c>
      <c r="E1823" t="s">
        <v>6366</v>
      </c>
      <c r="F1823" t="s">
        <v>6361</v>
      </c>
      <c r="G1823" s="43">
        <v>0</v>
      </c>
      <c r="H1823" s="63">
        <v>-0.1</v>
      </c>
    </row>
    <row r="1824" spans="1:8" x14ac:dyDescent="0.55000000000000004">
      <c r="A1824" s="61" t="s">
        <v>6897</v>
      </c>
      <c r="B1824" t="s">
        <v>2725</v>
      </c>
      <c r="C1824">
        <v>8701</v>
      </c>
      <c r="D1824" t="s">
        <v>6359</v>
      </c>
      <c r="E1824" t="s">
        <v>6360</v>
      </c>
      <c r="F1824" t="s">
        <v>6361</v>
      </c>
      <c r="G1824" s="43">
        <v>0</v>
      </c>
      <c r="H1824" s="63">
        <v>1</v>
      </c>
    </row>
    <row r="1825" spans="1:8" x14ac:dyDescent="0.55000000000000004">
      <c r="A1825" s="61" t="s">
        <v>6897</v>
      </c>
      <c r="B1825" t="s">
        <v>2725</v>
      </c>
      <c r="C1825">
        <v>8701</v>
      </c>
      <c r="D1825" t="s">
        <v>6362</v>
      </c>
      <c r="E1825" t="s">
        <v>6358</v>
      </c>
      <c r="F1825" t="s">
        <v>6358</v>
      </c>
      <c r="G1825" s="43">
        <v>6.5699999999999995E-2</v>
      </c>
      <c r="H1825" s="63">
        <v>1</v>
      </c>
    </row>
    <row r="1826" spans="1:8" x14ac:dyDescent="0.55000000000000004">
      <c r="A1826" s="61" t="s">
        <v>6898</v>
      </c>
      <c r="B1826" t="s">
        <v>2725</v>
      </c>
      <c r="C1826">
        <v>9101</v>
      </c>
      <c r="D1826" t="s">
        <v>6359</v>
      </c>
      <c r="E1826" t="s">
        <v>6367</v>
      </c>
      <c r="F1826" t="s">
        <v>6361</v>
      </c>
      <c r="G1826" s="43">
        <v>0</v>
      </c>
      <c r="H1826" s="63">
        <v>1</v>
      </c>
    </row>
    <row r="1827" spans="1:8" x14ac:dyDescent="0.55000000000000004">
      <c r="A1827" s="61" t="s">
        <v>6898</v>
      </c>
      <c r="B1827" t="s">
        <v>2725</v>
      </c>
      <c r="C1827">
        <v>9101</v>
      </c>
      <c r="D1827" t="s">
        <v>6362</v>
      </c>
      <c r="E1827" t="s">
        <v>6358</v>
      </c>
      <c r="F1827" t="s">
        <v>6358</v>
      </c>
      <c r="G1827" s="43">
        <v>6.5699999999999995E-2</v>
      </c>
      <c r="H1827" s="63">
        <v>1</v>
      </c>
    </row>
    <row r="1828" spans="1:8" x14ac:dyDescent="0.55000000000000004">
      <c r="A1828" s="61" t="s">
        <v>6899</v>
      </c>
      <c r="B1828" t="s">
        <v>2725</v>
      </c>
      <c r="C1828">
        <v>9110</v>
      </c>
      <c r="D1828" t="s">
        <v>6359</v>
      </c>
      <c r="E1828" t="s">
        <v>6367</v>
      </c>
      <c r="F1828" t="s">
        <v>6361</v>
      </c>
      <c r="G1828" s="43">
        <v>0</v>
      </c>
      <c r="H1828" s="63">
        <v>0.9</v>
      </c>
    </row>
    <row r="1829" spans="1:8" x14ac:dyDescent="0.55000000000000004">
      <c r="A1829" s="61" t="s">
        <v>6899</v>
      </c>
      <c r="B1829" t="s">
        <v>2725</v>
      </c>
      <c r="C1829">
        <v>9110</v>
      </c>
      <c r="D1829" t="s">
        <v>6363</v>
      </c>
      <c r="E1829" t="s">
        <v>6364</v>
      </c>
      <c r="F1829" t="s">
        <v>6361</v>
      </c>
      <c r="G1829" s="43">
        <v>0</v>
      </c>
      <c r="H1829" s="63">
        <v>0.1</v>
      </c>
    </row>
    <row r="1830" spans="1:8" x14ac:dyDescent="0.55000000000000004">
      <c r="A1830" s="61" t="s">
        <v>6899</v>
      </c>
      <c r="B1830" t="s">
        <v>2725</v>
      </c>
      <c r="C1830">
        <v>9110</v>
      </c>
      <c r="D1830" t="s">
        <v>6362</v>
      </c>
      <c r="E1830" t="s">
        <v>6358</v>
      </c>
      <c r="F1830" t="s">
        <v>6358</v>
      </c>
      <c r="G1830" s="43">
        <v>5.1299999999999998E-2</v>
      </c>
      <c r="H1830" s="63">
        <v>1</v>
      </c>
    </row>
    <row r="1831" spans="1:8" x14ac:dyDescent="0.55000000000000004">
      <c r="A1831" s="61" t="s">
        <v>6899</v>
      </c>
      <c r="B1831" t="s">
        <v>2725</v>
      </c>
      <c r="C1831">
        <v>9110</v>
      </c>
      <c r="D1831" t="s">
        <v>6365</v>
      </c>
      <c r="E1831" t="s">
        <v>6366</v>
      </c>
      <c r="F1831" t="s">
        <v>6361</v>
      </c>
      <c r="G1831" s="43">
        <v>0</v>
      </c>
      <c r="H1831" s="63">
        <v>-0.1</v>
      </c>
    </row>
    <row r="1832" spans="1:8" x14ac:dyDescent="0.55000000000000004">
      <c r="A1832" s="61" t="s">
        <v>6900</v>
      </c>
      <c r="B1832" t="s">
        <v>4378</v>
      </c>
      <c r="C1832">
        <v>8701</v>
      </c>
      <c r="D1832" t="s">
        <v>6359</v>
      </c>
      <c r="E1832" t="s">
        <v>6376</v>
      </c>
      <c r="F1832" t="s">
        <v>6361</v>
      </c>
      <c r="G1832" s="43">
        <v>0</v>
      </c>
      <c r="H1832" s="63">
        <v>1</v>
      </c>
    </row>
    <row r="1833" spans="1:8" x14ac:dyDescent="0.55000000000000004">
      <c r="A1833" s="61" t="s">
        <v>6900</v>
      </c>
      <c r="B1833" t="s">
        <v>4378</v>
      </c>
      <c r="C1833">
        <v>8701</v>
      </c>
      <c r="D1833" t="s">
        <v>6362</v>
      </c>
      <c r="E1833" t="s">
        <v>6358</v>
      </c>
      <c r="F1833" t="s">
        <v>6358</v>
      </c>
      <c r="G1833" s="43">
        <v>4.0899999999999999E-2</v>
      </c>
      <c r="H1833" s="63">
        <v>1</v>
      </c>
    </row>
    <row r="1834" spans="1:8" x14ac:dyDescent="0.55000000000000004">
      <c r="A1834" s="61" t="s">
        <v>6901</v>
      </c>
      <c r="B1834" t="s">
        <v>4378</v>
      </c>
      <c r="C1834">
        <v>8710</v>
      </c>
      <c r="D1834" t="s">
        <v>6359</v>
      </c>
      <c r="E1834" t="s">
        <v>6376</v>
      </c>
      <c r="F1834" t="s">
        <v>6361</v>
      </c>
      <c r="G1834" s="43">
        <v>0</v>
      </c>
      <c r="H1834" s="63">
        <v>0.9</v>
      </c>
    </row>
    <row r="1835" spans="1:8" x14ac:dyDescent="0.55000000000000004">
      <c r="A1835" s="61" t="s">
        <v>6901</v>
      </c>
      <c r="B1835" t="s">
        <v>4378</v>
      </c>
      <c r="C1835">
        <v>8710</v>
      </c>
      <c r="D1835" t="s">
        <v>6363</v>
      </c>
      <c r="E1835" t="s">
        <v>6364</v>
      </c>
      <c r="F1835" t="s">
        <v>6361</v>
      </c>
      <c r="G1835" s="43">
        <v>0</v>
      </c>
      <c r="H1835" s="63">
        <v>0.1</v>
      </c>
    </row>
    <row r="1836" spans="1:8" x14ac:dyDescent="0.55000000000000004">
      <c r="A1836" s="61" t="s">
        <v>6901</v>
      </c>
      <c r="B1836" t="s">
        <v>4378</v>
      </c>
      <c r="C1836">
        <v>8710</v>
      </c>
      <c r="D1836" t="s">
        <v>6362</v>
      </c>
      <c r="E1836" t="s">
        <v>6358</v>
      </c>
      <c r="F1836" t="s">
        <v>6358</v>
      </c>
      <c r="G1836" s="43">
        <v>6.0100000000000001E-2</v>
      </c>
      <c r="H1836" s="63">
        <v>1</v>
      </c>
    </row>
    <row r="1837" spans="1:8" x14ac:dyDescent="0.55000000000000004">
      <c r="A1837" s="61" t="s">
        <v>6901</v>
      </c>
      <c r="B1837" t="s">
        <v>4378</v>
      </c>
      <c r="C1837">
        <v>8710</v>
      </c>
      <c r="D1837" t="s">
        <v>6365</v>
      </c>
      <c r="E1837" t="s">
        <v>6366</v>
      </c>
      <c r="F1837" t="s">
        <v>6361</v>
      </c>
      <c r="G1837" s="43">
        <v>0</v>
      </c>
      <c r="H1837" s="63">
        <v>-0.1</v>
      </c>
    </row>
    <row r="1838" spans="1:8" x14ac:dyDescent="0.55000000000000004">
      <c r="A1838" s="61" t="s">
        <v>6902</v>
      </c>
      <c r="B1838" t="s">
        <v>4378</v>
      </c>
      <c r="C1838">
        <v>9204</v>
      </c>
      <c r="D1838" t="s">
        <v>6359</v>
      </c>
      <c r="E1838" t="s">
        <v>6377</v>
      </c>
      <c r="F1838" t="s">
        <v>6361</v>
      </c>
      <c r="G1838" s="43">
        <v>0</v>
      </c>
      <c r="H1838" s="63">
        <v>0.9</v>
      </c>
    </row>
    <row r="1839" spans="1:8" x14ac:dyDescent="0.55000000000000004">
      <c r="A1839" s="61" t="s">
        <v>6902</v>
      </c>
      <c r="B1839" t="s">
        <v>4378</v>
      </c>
      <c r="C1839">
        <v>9204</v>
      </c>
      <c r="D1839" t="s">
        <v>6363</v>
      </c>
      <c r="E1839" t="s">
        <v>6364</v>
      </c>
      <c r="F1839" t="s">
        <v>6361</v>
      </c>
      <c r="G1839" s="43">
        <v>0</v>
      </c>
      <c r="H1839" s="63">
        <v>0.1</v>
      </c>
    </row>
    <row r="1840" spans="1:8" x14ac:dyDescent="0.55000000000000004">
      <c r="A1840" s="61" t="s">
        <v>6902</v>
      </c>
      <c r="B1840" t="s">
        <v>4378</v>
      </c>
      <c r="C1840">
        <v>9204</v>
      </c>
      <c r="D1840" t="s">
        <v>6362</v>
      </c>
      <c r="E1840" t="s">
        <v>6358</v>
      </c>
      <c r="F1840" t="s">
        <v>6358</v>
      </c>
      <c r="G1840" s="43">
        <v>6.0100000000000001E-2</v>
      </c>
      <c r="H1840" s="63">
        <v>1</v>
      </c>
    </row>
    <row r="1841" spans="1:8" x14ac:dyDescent="0.55000000000000004">
      <c r="A1841" s="61" t="s">
        <v>6902</v>
      </c>
      <c r="B1841" t="s">
        <v>4378</v>
      </c>
      <c r="C1841">
        <v>9204</v>
      </c>
      <c r="D1841" t="s">
        <v>6365</v>
      </c>
      <c r="E1841" t="s">
        <v>6366</v>
      </c>
      <c r="F1841" t="s">
        <v>6361</v>
      </c>
      <c r="G1841" s="43">
        <v>0</v>
      </c>
      <c r="H1841" s="63">
        <v>-0.1</v>
      </c>
    </row>
    <row r="1842" spans="1:8" x14ac:dyDescent="0.55000000000000004">
      <c r="A1842" s="61" t="s">
        <v>6903</v>
      </c>
      <c r="B1842" t="s">
        <v>4378</v>
      </c>
      <c r="C1842">
        <v>9310</v>
      </c>
      <c r="D1842" t="s">
        <v>6359</v>
      </c>
      <c r="E1842" t="s">
        <v>6377</v>
      </c>
      <c r="F1842" t="s">
        <v>6361</v>
      </c>
      <c r="G1842" s="43">
        <v>0</v>
      </c>
      <c r="H1842" s="63">
        <v>0.9</v>
      </c>
    </row>
    <row r="1843" spans="1:8" x14ac:dyDescent="0.55000000000000004">
      <c r="A1843" s="61" t="s">
        <v>6903</v>
      </c>
      <c r="B1843" t="s">
        <v>4378</v>
      </c>
      <c r="C1843">
        <v>9310</v>
      </c>
      <c r="D1843" t="s">
        <v>6363</v>
      </c>
      <c r="E1843" t="s">
        <v>6364</v>
      </c>
      <c r="F1843" t="s">
        <v>6361</v>
      </c>
      <c r="G1843" s="43">
        <v>0</v>
      </c>
      <c r="H1843" s="63">
        <v>0.1</v>
      </c>
    </row>
    <row r="1844" spans="1:8" x14ac:dyDescent="0.55000000000000004">
      <c r="A1844" s="61" t="s">
        <v>6903</v>
      </c>
      <c r="B1844" t="s">
        <v>4378</v>
      </c>
      <c r="C1844">
        <v>9310</v>
      </c>
      <c r="D1844" t="s">
        <v>6362</v>
      </c>
      <c r="E1844" t="s">
        <v>6358</v>
      </c>
      <c r="F1844" t="s">
        <v>6358</v>
      </c>
      <c r="G1844" s="43">
        <v>6.0100000000000001E-2</v>
      </c>
      <c r="H1844" s="63">
        <v>1</v>
      </c>
    </row>
    <row r="1845" spans="1:8" x14ac:dyDescent="0.55000000000000004">
      <c r="A1845" s="61" t="s">
        <v>6903</v>
      </c>
      <c r="B1845" t="s">
        <v>4378</v>
      </c>
      <c r="C1845">
        <v>9310</v>
      </c>
      <c r="D1845" t="s">
        <v>6365</v>
      </c>
      <c r="E1845" t="s">
        <v>6366</v>
      </c>
      <c r="F1845" t="s">
        <v>6361</v>
      </c>
      <c r="G1845" s="43">
        <v>0</v>
      </c>
      <c r="H1845" s="63">
        <v>-0.1</v>
      </c>
    </row>
    <row r="1846" spans="1:8" x14ac:dyDescent="0.55000000000000004">
      <c r="A1846" s="61" t="s">
        <v>6904</v>
      </c>
      <c r="B1846" t="s">
        <v>5174</v>
      </c>
      <c r="C1846">
        <v>8711</v>
      </c>
      <c r="D1846" t="s">
        <v>6359</v>
      </c>
      <c r="E1846" t="s">
        <v>6372</v>
      </c>
      <c r="F1846" t="s">
        <v>6361</v>
      </c>
      <c r="G1846" s="43">
        <v>0</v>
      </c>
      <c r="H1846" s="63">
        <v>0.9</v>
      </c>
    </row>
    <row r="1847" spans="1:8" x14ac:dyDescent="0.55000000000000004">
      <c r="A1847" s="61" t="s">
        <v>6904</v>
      </c>
      <c r="B1847" t="s">
        <v>5174</v>
      </c>
      <c r="C1847">
        <v>8711</v>
      </c>
      <c r="D1847" t="s">
        <v>6363</v>
      </c>
      <c r="E1847" t="s">
        <v>6364</v>
      </c>
      <c r="F1847" t="s">
        <v>6361</v>
      </c>
      <c r="G1847" s="43">
        <v>0</v>
      </c>
      <c r="H1847" s="63">
        <v>0.1</v>
      </c>
    </row>
    <row r="1848" spans="1:8" x14ac:dyDescent="0.55000000000000004">
      <c r="A1848" s="61" t="s">
        <v>6904</v>
      </c>
      <c r="B1848" t="s">
        <v>5174</v>
      </c>
      <c r="C1848">
        <v>8711</v>
      </c>
      <c r="D1848" t="s">
        <v>6362</v>
      </c>
      <c r="E1848" t="s">
        <v>6358</v>
      </c>
      <c r="F1848" t="s">
        <v>6358</v>
      </c>
      <c r="G1848" s="43">
        <v>8.9800000000000005E-2</v>
      </c>
      <c r="H1848" s="63">
        <v>1</v>
      </c>
    </row>
    <row r="1849" spans="1:8" x14ac:dyDescent="0.55000000000000004">
      <c r="A1849" s="61" t="s">
        <v>6904</v>
      </c>
      <c r="B1849" t="s">
        <v>5174</v>
      </c>
      <c r="C1849">
        <v>8711</v>
      </c>
      <c r="D1849" t="s">
        <v>6365</v>
      </c>
      <c r="E1849" t="s">
        <v>6366</v>
      </c>
      <c r="F1849" t="s">
        <v>6361</v>
      </c>
      <c r="G1849" s="43">
        <v>0</v>
      </c>
      <c r="H1849" s="63">
        <v>-0.1</v>
      </c>
    </row>
    <row r="1850" spans="1:8" x14ac:dyDescent="0.55000000000000004">
      <c r="A1850" s="61" t="s">
        <v>6905</v>
      </c>
      <c r="B1850" t="s">
        <v>5174</v>
      </c>
      <c r="C1850">
        <v>8713</v>
      </c>
      <c r="D1850" t="s">
        <v>6359</v>
      </c>
      <c r="E1850" t="s">
        <v>6372</v>
      </c>
      <c r="F1850" t="s">
        <v>6361</v>
      </c>
      <c r="G1850" s="43">
        <v>0</v>
      </c>
      <c r="H1850" s="63">
        <v>0.9</v>
      </c>
    </row>
    <row r="1851" spans="1:8" x14ac:dyDescent="0.55000000000000004">
      <c r="A1851" s="61" t="s">
        <v>6905</v>
      </c>
      <c r="B1851" t="s">
        <v>5174</v>
      </c>
      <c r="C1851">
        <v>8713</v>
      </c>
      <c r="D1851" t="s">
        <v>6363</v>
      </c>
      <c r="E1851" t="s">
        <v>6364</v>
      </c>
      <c r="F1851" t="s">
        <v>6361</v>
      </c>
      <c r="G1851" s="43">
        <v>0</v>
      </c>
      <c r="H1851" s="63">
        <v>0.1</v>
      </c>
    </row>
    <row r="1852" spans="1:8" x14ac:dyDescent="0.55000000000000004">
      <c r="A1852" s="61" t="s">
        <v>6905</v>
      </c>
      <c r="B1852" t="s">
        <v>5174</v>
      </c>
      <c r="C1852">
        <v>8713</v>
      </c>
      <c r="D1852" t="s">
        <v>6362</v>
      </c>
      <c r="E1852" t="s">
        <v>6358</v>
      </c>
      <c r="F1852" t="s">
        <v>6358</v>
      </c>
      <c r="G1852" s="43">
        <v>8.9800000000000005E-2</v>
      </c>
      <c r="H1852" s="63">
        <v>1</v>
      </c>
    </row>
    <row r="1853" spans="1:8" x14ac:dyDescent="0.55000000000000004">
      <c r="A1853" s="61" t="s">
        <v>6905</v>
      </c>
      <c r="B1853" t="s">
        <v>5174</v>
      </c>
      <c r="C1853">
        <v>8713</v>
      </c>
      <c r="D1853" t="s">
        <v>6365</v>
      </c>
      <c r="E1853" t="s">
        <v>6366</v>
      </c>
      <c r="F1853" t="s">
        <v>6361</v>
      </c>
      <c r="G1853" s="43">
        <v>0</v>
      </c>
      <c r="H1853" s="63">
        <v>-0.1</v>
      </c>
    </row>
    <row r="1854" spans="1:8" x14ac:dyDescent="0.55000000000000004">
      <c r="A1854" s="61" t="s">
        <v>6906</v>
      </c>
      <c r="B1854" t="s">
        <v>5174</v>
      </c>
      <c r="C1854">
        <v>9307</v>
      </c>
      <c r="D1854" t="s">
        <v>6359</v>
      </c>
      <c r="E1854" t="s">
        <v>6373</v>
      </c>
      <c r="F1854" t="s">
        <v>6361</v>
      </c>
      <c r="G1854" s="43">
        <v>0</v>
      </c>
      <c r="H1854" s="63">
        <v>0.9</v>
      </c>
    </row>
    <row r="1855" spans="1:8" x14ac:dyDescent="0.55000000000000004">
      <c r="A1855" s="61" t="s">
        <v>6906</v>
      </c>
      <c r="B1855" t="s">
        <v>5174</v>
      </c>
      <c r="C1855">
        <v>9307</v>
      </c>
      <c r="D1855" t="s">
        <v>6363</v>
      </c>
      <c r="E1855" t="s">
        <v>6364</v>
      </c>
      <c r="F1855" t="s">
        <v>6361</v>
      </c>
      <c r="G1855" s="43">
        <v>0</v>
      </c>
      <c r="H1855" s="63">
        <v>0.1</v>
      </c>
    </row>
    <row r="1856" spans="1:8" x14ac:dyDescent="0.55000000000000004">
      <c r="A1856" s="61" t="s">
        <v>6906</v>
      </c>
      <c r="B1856" t="s">
        <v>5174</v>
      </c>
      <c r="C1856">
        <v>9307</v>
      </c>
      <c r="D1856" t="s">
        <v>6362</v>
      </c>
      <c r="E1856" t="s">
        <v>6358</v>
      </c>
      <c r="F1856" t="s">
        <v>6358</v>
      </c>
      <c r="G1856" s="43">
        <v>8.9800000000000005E-2</v>
      </c>
      <c r="H1856" s="63">
        <v>1</v>
      </c>
    </row>
    <row r="1857" spans="1:8" x14ac:dyDescent="0.55000000000000004">
      <c r="A1857" s="61" t="s">
        <v>6906</v>
      </c>
      <c r="B1857" t="s">
        <v>5174</v>
      </c>
      <c r="C1857">
        <v>9307</v>
      </c>
      <c r="D1857" t="s">
        <v>6365</v>
      </c>
      <c r="E1857" t="s">
        <v>6366</v>
      </c>
      <c r="F1857" t="s">
        <v>6361</v>
      </c>
      <c r="G1857" s="43">
        <v>0</v>
      </c>
      <c r="H1857" s="63">
        <v>-0.1</v>
      </c>
    </row>
    <row r="1858" spans="1:8" x14ac:dyDescent="0.55000000000000004">
      <c r="A1858" s="61" t="s">
        <v>6907</v>
      </c>
      <c r="B1858" t="s">
        <v>5174</v>
      </c>
      <c r="C1858">
        <v>9309</v>
      </c>
      <c r="D1858" t="s">
        <v>6359</v>
      </c>
      <c r="E1858" t="s">
        <v>6373</v>
      </c>
      <c r="F1858" t="s">
        <v>6361</v>
      </c>
      <c r="G1858" s="43">
        <v>0</v>
      </c>
      <c r="H1858" s="63">
        <v>0.9</v>
      </c>
    </row>
    <row r="1859" spans="1:8" x14ac:dyDescent="0.55000000000000004">
      <c r="A1859" s="61" t="s">
        <v>6907</v>
      </c>
      <c r="B1859" t="s">
        <v>5174</v>
      </c>
      <c r="C1859">
        <v>9309</v>
      </c>
      <c r="D1859" t="s">
        <v>6363</v>
      </c>
      <c r="E1859" t="s">
        <v>6364</v>
      </c>
      <c r="F1859" t="s">
        <v>6361</v>
      </c>
      <c r="G1859" s="43">
        <v>0</v>
      </c>
      <c r="H1859" s="63">
        <v>0.1</v>
      </c>
    </row>
    <row r="1860" spans="1:8" x14ac:dyDescent="0.55000000000000004">
      <c r="A1860" s="61" t="s">
        <v>6907</v>
      </c>
      <c r="B1860" t="s">
        <v>5174</v>
      </c>
      <c r="C1860">
        <v>9309</v>
      </c>
      <c r="D1860" t="s">
        <v>6362</v>
      </c>
      <c r="E1860" t="s">
        <v>6358</v>
      </c>
      <c r="F1860" t="s">
        <v>6358</v>
      </c>
      <c r="G1860" s="43">
        <v>8.9800000000000005E-2</v>
      </c>
      <c r="H1860" s="63">
        <v>1</v>
      </c>
    </row>
    <row r="1861" spans="1:8" x14ac:dyDescent="0.55000000000000004">
      <c r="A1861" s="61" t="s">
        <v>6907</v>
      </c>
      <c r="B1861" t="s">
        <v>5174</v>
      </c>
      <c r="C1861">
        <v>9309</v>
      </c>
      <c r="D1861" t="s">
        <v>6365</v>
      </c>
      <c r="E1861" t="s">
        <v>6366</v>
      </c>
      <c r="F1861" t="s">
        <v>6361</v>
      </c>
      <c r="G1861" s="43">
        <v>0</v>
      </c>
      <c r="H1861" s="63">
        <v>-0.1</v>
      </c>
    </row>
    <row r="1862" spans="1:8" x14ac:dyDescent="0.55000000000000004">
      <c r="A1862" s="61" t="s">
        <v>6908</v>
      </c>
      <c r="B1862" t="s">
        <v>4777</v>
      </c>
      <c r="C1862">
        <v>8701</v>
      </c>
      <c r="D1862" t="s">
        <v>6359</v>
      </c>
      <c r="E1862" t="s">
        <v>6370</v>
      </c>
      <c r="F1862" t="s">
        <v>6361</v>
      </c>
      <c r="G1862" s="43">
        <v>0</v>
      </c>
      <c r="H1862" s="63">
        <v>1</v>
      </c>
    </row>
    <row r="1863" spans="1:8" x14ac:dyDescent="0.55000000000000004">
      <c r="A1863" s="61" t="s">
        <v>6908</v>
      </c>
      <c r="B1863" t="s">
        <v>4777</v>
      </c>
      <c r="C1863">
        <v>8701</v>
      </c>
      <c r="D1863" t="s">
        <v>6362</v>
      </c>
      <c r="E1863" t="s">
        <v>6358</v>
      </c>
      <c r="F1863" t="s">
        <v>6358</v>
      </c>
      <c r="G1863" s="43">
        <v>9.7500000000000003E-2</v>
      </c>
      <c r="H1863" s="63">
        <v>1</v>
      </c>
    </row>
    <row r="1864" spans="1:8" x14ac:dyDescent="0.55000000000000004">
      <c r="A1864" s="61" t="s">
        <v>6909</v>
      </c>
      <c r="B1864" t="s">
        <v>4777</v>
      </c>
      <c r="C1864">
        <v>8710</v>
      </c>
      <c r="D1864" t="s">
        <v>6359</v>
      </c>
      <c r="E1864" t="s">
        <v>6370</v>
      </c>
      <c r="F1864" t="s">
        <v>6361</v>
      </c>
      <c r="G1864" s="43">
        <v>0</v>
      </c>
      <c r="H1864" s="63">
        <v>0.9</v>
      </c>
    </row>
    <row r="1865" spans="1:8" x14ac:dyDescent="0.55000000000000004">
      <c r="A1865" s="61" t="s">
        <v>6909</v>
      </c>
      <c r="B1865" t="s">
        <v>4777</v>
      </c>
      <c r="C1865">
        <v>8710</v>
      </c>
      <c r="D1865" t="s">
        <v>6363</v>
      </c>
      <c r="E1865" t="s">
        <v>6364</v>
      </c>
      <c r="F1865" t="s">
        <v>6361</v>
      </c>
      <c r="G1865" s="43">
        <v>0</v>
      </c>
      <c r="H1865" s="63">
        <v>0.1</v>
      </c>
    </row>
    <row r="1866" spans="1:8" x14ac:dyDescent="0.55000000000000004">
      <c r="A1866" s="61" t="s">
        <v>6909</v>
      </c>
      <c r="B1866" t="s">
        <v>4777</v>
      </c>
      <c r="C1866">
        <v>8710</v>
      </c>
      <c r="D1866" t="s">
        <v>6362</v>
      </c>
      <c r="E1866" t="s">
        <v>6358</v>
      </c>
      <c r="F1866" t="s">
        <v>6358</v>
      </c>
      <c r="G1866" s="62">
        <v>0.1036</v>
      </c>
      <c r="H1866" s="63">
        <v>1</v>
      </c>
    </row>
    <row r="1867" spans="1:8" x14ac:dyDescent="0.55000000000000004">
      <c r="A1867" s="61" t="s">
        <v>6909</v>
      </c>
      <c r="B1867" t="s">
        <v>4777</v>
      </c>
      <c r="C1867">
        <v>8710</v>
      </c>
      <c r="D1867" t="s">
        <v>6365</v>
      </c>
      <c r="E1867" t="s">
        <v>6366</v>
      </c>
      <c r="F1867" t="s">
        <v>6361</v>
      </c>
      <c r="G1867" s="43">
        <v>0</v>
      </c>
      <c r="H1867" s="63">
        <v>-0.1</v>
      </c>
    </row>
    <row r="1868" spans="1:8" x14ac:dyDescent="0.55000000000000004">
      <c r="A1868" s="61" t="s">
        <v>6910</v>
      </c>
      <c r="B1868" t="s">
        <v>4777</v>
      </c>
      <c r="C1868">
        <v>9101</v>
      </c>
      <c r="D1868" t="s">
        <v>6359</v>
      </c>
      <c r="E1868" t="s">
        <v>6371</v>
      </c>
      <c r="F1868" t="s">
        <v>6361</v>
      </c>
      <c r="G1868" s="43">
        <v>0</v>
      </c>
      <c r="H1868" s="63">
        <v>1</v>
      </c>
    </row>
    <row r="1869" spans="1:8" x14ac:dyDescent="0.55000000000000004">
      <c r="A1869" s="61" t="s">
        <v>6910</v>
      </c>
      <c r="B1869" t="s">
        <v>4777</v>
      </c>
      <c r="C1869">
        <v>9101</v>
      </c>
      <c r="D1869" t="s">
        <v>6362</v>
      </c>
      <c r="E1869" t="s">
        <v>6358</v>
      </c>
      <c r="F1869" t="s">
        <v>6358</v>
      </c>
      <c r="G1869" s="43">
        <v>9.7500000000000003E-2</v>
      </c>
      <c r="H1869" s="63">
        <v>1</v>
      </c>
    </row>
    <row r="1870" spans="1:8" x14ac:dyDescent="0.55000000000000004">
      <c r="A1870" s="61" t="s">
        <v>6911</v>
      </c>
      <c r="B1870" t="s">
        <v>4777</v>
      </c>
      <c r="C1870">
        <v>9110</v>
      </c>
      <c r="D1870" t="s">
        <v>6359</v>
      </c>
      <c r="E1870" t="s">
        <v>6371</v>
      </c>
      <c r="F1870" t="s">
        <v>6361</v>
      </c>
      <c r="G1870" s="43">
        <v>0</v>
      </c>
      <c r="H1870" s="63">
        <v>0.9</v>
      </c>
    </row>
    <row r="1871" spans="1:8" x14ac:dyDescent="0.55000000000000004">
      <c r="A1871" s="61" t="s">
        <v>6911</v>
      </c>
      <c r="B1871" t="s">
        <v>4777</v>
      </c>
      <c r="C1871">
        <v>9110</v>
      </c>
      <c r="D1871" t="s">
        <v>6363</v>
      </c>
      <c r="E1871" t="s">
        <v>6364</v>
      </c>
      <c r="F1871" t="s">
        <v>6361</v>
      </c>
      <c r="G1871" s="43">
        <v>0</v>
      </c>
      <c r="H1871" s="63">
        <v>0.1</v>
      </c>
    </row>
    <row r="1872" spans="1:8" x14ac:dyDescent="0.55000000000000004">
      <c r="A1872" s="61" t="s">
        <v>6911</v>
      </c>
      <c r="B1872" t="s">
        <v>4777</v>
      </c>
      <c r="C1872">
        <v>9110</v>
      </c>
      <c r="D1872" t="s">
        <v>6362</v>
      </c>
      <c r="E1872" t="s">
        <v>6358</v>
      </c>
      <c r="F1872" t="s">
        <v>6358</v>
      </c>
      <c r="G1872" s="62">
        <v>0.1036</v>
      </c>
      <c r="H1872" s="63">
        <v>1</v>
      </c>
    </row>
    <row r="1873" spans="1:8" x14ac:dyDescent="0.55000000000000004">
      <c r="A1873" s="61" t="s">
        <v>6911</v>
      </c>
      <c r="B1873" t="s">
        <v>4777</v>
      </c>
      <c r="C1873">
        <v>9110</v>
      </c>
      <c r="D1873" t="s">
        <v>6365</v>
      </c>
      <c r="E1873" t="s">
        <v>6366</v>
      </c>
      <c r="F1873" t="s">
        <v>6361</v>
      </c>
      <c r="G1873" s="43">
        <v>0</v>
      </c>
      <c r="H1873" s="63">
        <v>-0.1</v>
      </c>
    </row>
    <row r="1874" spans="1:8" x14ac:dyDescent="0.55000000000000004">
      <c r="A1874" s="61" t="s">
        <v>6912</v>
      </c>
      <c r="B1874" t="s">
        <v>4777</v>
      </c>
      <c r="C1874">
        <v>9204</v>
      </c>
      <c r="D1874" t="s">
        <v>6359</v>
      </c>
      <c r="E1874" t="s">
        <v>6371</v>
      </c>
      <c r="F1874" t="s">
        <v>6361</v>
      </c>
      <c r="G1874" s="43">
        <v>0</v>
      </c>
      <c r="H1874" s="63">
        <v>0.9</v>
      </c>
    </row>
    <row r="1875" spans="1:8" x14ac:dyDescent="0.55000000000000004">
      <c r="A1875" s="61" t="s">
        <v>6912</v>
      </c>
      <c r="B1875" t="s">
        <v>4777</v>
      </c>
      <c r="C1875">
        <v>9204</v>
      </c>
      <c r="D1875" t="s">
        <v>6363</v>
      </c>
      <c r="E1875" t="s">
        <v>6364</v>
      </c>
      <c r="F1875" t="s">
        <v>6361</v>
      </c>
      <c r="G1875" s="43">
        <v>0</v>
      </c>
      <c r="H1875" s="63">
        <v>0.1</v>
      </c>
    </row>
    <row r="1876" spans="1:8" x14ac:dyDescent="0.55000000000000004">
      <c r="A1876" s="61" t="s">
        <v>6912</v>
      </c>
      <c r="B1876" t="s">
        <v>4777</v>
      </c>
      <c r="C1876">
        <v>9204</v>
      </c>
      <c r="D1876" t="s">
        <v>6362</v>
      </c>
      <c r="E1876" t="s">
        <v>6358</v>
      </c>
      <c r="F1876" t="s">
        <v>6358</v>
      </c>
      <c r="G1876" s="62">
        <v>0.1036</v>
      </c>
      <c r="H1876" s="63">
        <v>1</v>
      </c>
    </row>
    <row r="1877" spans="1:8" x14ac:dyDescent="0.55000000000000004">
      <c r="A1877" s="61" t="s">
        <v>6912</v>
      </c>
      <c r="B1877" t="s">
        <v>4777</v>
      </c>
      <c r="C1877">
        <v>9204</v>
      </c>
      <c r="D1877" t="s">
        <v>6365</v>
      </c>
      <c r="E1877" t="s">
        <v>6366</v>
      </c>
      <c r="F1877" t="s">
        <v>6361</v>
      </c>
      <c r="G1877" s="43">
        <v>0</v>
      </c>
      <c r="H1877" s="63">
        <v>-0.1</v>
      </c>
    </row>
    <row r="1878" spans="1:8" x14ac:dyDescent="0.55000000000000004">
      <c r="A1878" s="61" t="s">
        <v>6913</v>
      </c>
      <c r="B1878" t="s">
        <v>4777</v>
      </c>
      <c r="C1878">
        <v>9300</v>
      </c>
      <c r="D1878" t="s">
        <v>6359</v>
      </c>
      <c r="E1878" t="s">
        <v>6371</v>
      </c>
      <c r="F1878" t="s">
        <v>6361</v>
      </c>
      <c r="G1878" s="43">
        <v>0</v>
      </c>
      <c r="H1878" s="63">
        <v>1</v>
      </c>
    </row>
    <row r="1879" spans="1:8" x14ac:dyDescent="0.55000000000000004">
      <c r="A1879" s="61" t="s">
        <v>6913</v>
      </c>
      <c r="B1879" t="s">
        <v>4777</v>
      </c>
      <c r="C1879">
        <v>9300</v>
      </c>
      <c r="D1879" t="s">
        <v>6362</v>
      </c>
      <c r="E1879" t="s">
        <v>6358</v>
      </c>
      <c r="F1879" t="s">
        <v>6358</v>
      </c>
      <c r="G1879" s="43">
        <v>9.7500000000000003E-2</v>
      </c>
      <c r="H1879" s="63">
        <v>1</v>
      </c>
    </row>
    <row r="1880" spans="1:8" x14ac:dyDescent="0.55000000000000004">
      <c r="A1880" s="61" t="s">
        <v>6914</v>
      </c>
      <c r="B1880" t="s">
        <v>4777</v>
      </c>
      <c r="C1880">
        <v>9310</v>
      </c>
      <c r="D1880" t="s">
        <v>6359</v>
      </c>
      <c r="E1880" t="s">
        <v>6371</v>
      </c>
      <c r="F1880" t="s">
        <v>6361</v>
      </c>
      <c r="G1880" s="43">
        <v>0</v>
      </c>
      <c r="H1880" s="63">
        <v>0.9</v>
      </c>
    </row>
    <row r="1881" spans="1:8" x14ac:dyDescent="0.55000000000000004">
      <c r="A1881" s="61" t="s">
        <v>6914</v>
      </c>
      <c r="B1881" t="s">
        <v>4777</v>
      </c>
      <c r="C1881">
        <v>9310</v>
      </c>
      <c r="D1881" t="s">
        <v>6363</v>
      </c>
      <c r="E1881" t="s">
        <v>6364</v>
      </c>
      <c r="F1881" t="s">
        <v>6361</v>
      </c>
      <c r="G1881" s="43">
        <v>0</v>
      </c>
      <c r="H1881" s="63">
        <v>0.1</v>
      </c>
    </row>
    <row r="1882" spans="1:8" x14ac:dyDescent="0.55000000000000004">
      <c r="A1882" s="61" t="s">
        <v>6914</v>
      </c>
      <c r="B1882" t="s">
        <v>4777</v>
      </c>
      <c r="C1882">
        <v>9310</v>
      </c>
      <c r="D1882" t="s">
        <v>6362</v>
      </c>
      <c r="E1882" t="s">
        <v>6358</v>
      </c>
      <c r="F1882" t="s">
        <v>6358</v>
      </c>
      <c r="G1882" s="62">
        <v>0.1036</v>
      </c>
      <c r="H1882" s="63">
        <v>1</v>
      </c>
    </row>
    <row r="1883" spans="1:8" x14ac:dyDescent="0.55000000000000004">
      <c r="A1883" s="61" t="s">
        <v>6914</v>
      </c>
      <c r="B1883" t="s">
        <v>4777</v>
      </c>
      <c r="C1883">
        <v>9310</v>
      </c>
      <c r="D1883" t="s">
        <v>6365</v>
      </c>
      <c r="E1883" t="s">
        <v>6366</v>
      </c>
      <c r="F1883" t="s">
        <v>6361</v>
      </c>
      <c r="G1883" s="43">
        <v>0</v>
      </c>
      <c r="H1883" s="63">
        <v>-0.1</v>
      </c>
    </row>
    <row r="1884" spans="1:8" x14ac:dyDescent="0.55000000000000004">
      <c r="A1884" s="61" t="s">
        <v>6915</v>
      </c>
      <c r="B1884" t="s">
        <v>3018</v>
      </c>
      <c r="C1884">
        <v>8701</v>
      </c>
      <c r="D1884" t="s">
        <v>6359</v>
      </c>
      <c r="E1884" t="s">
        <v>6370</v>
      </c>
      <c r="F1884" t="s">
        <v>6361</v>
      </c>
      <c r="G1884" s="43">
        <v>0</v>
      </c>
      <c r="H1884" s="63">
        <v>1</v>
      </c>
    </row>
    <row r="1885" spans="1:8" x14ac:dyDescent="0.55000000000000004">
      <c r="A1885" s="61" t="s">
        <v>6915</v>
      </c>
      <c r="B1885" t="s">
        <v>3018</v>
      </c>
      <c r="C1885">
        <v>8701</v>
      </c>
      <c r="D1885" t="s">
        <v>6362</v>
      </c>
      <c r="E1885" t="s">
        <v>6358</v>
      </c>
      <c r="F1885" t="s">
        <v>6358</v>
      </c>
      <c r="G1885" s="43">
        <v>4.6100000000000002E-2</v>
      </c>
      <c r="H1885" s="63">
        <v>1</v>
      </c>
    </row>
    <row r="1886" spans="1:8" x14ac:dyDescent="0.55000000000000004">
      <c r="A1886" s="61" t="s">
        <v>6916</v>
      </c>
      <c r="B1886" t="s">
        <v>3018</v>
      </c>
      <c r="C1886">
        <v>8710</v>
      </c>
      <c r="D1886" t="s">
        <v>6359</v>
      </c>
      <c r="E1886" t="s">
        <v>6370</v>
      </c>
      <c r="F1886" t="s">
        <v>6361</v>
      </c>
      <c r="G1886" s="43">
        <v>0</v>
      </c>
      <c r="H1886" s="63">
        <v>0.9</v>
      </c>
    </row>
    <row r="1887" spans="1:8" x14ac:dyDescent="0.55000000000000004">
      <c r="A1887" s="61" t="s">
        <v>6916</v>
      </c>
      <c r="B1887" t="s">
        <v>3018</v>
      </c>
      <c r="C1887">
        <v>8710</v>
      </c>
      <c r="D1887" t="s">
        <v>6363</v>
      </c>
      <c r="E1887" t="s">
        <v>6364</v>
      </c>
      <c r="F1887" t="s">
        <v>6361</v>
      </c>
      <c r="G1887" s="43">
        <v>0</v>
      </c>
      <c r="H1887" s="63">
        <v>0.1</v>
      </c>
    </row>
    <row r="1888" spans="1:8" x14ac:dyDescent="0.55000000000000004">
      <c r="A1888" s="61" t="s">
        <v>6916</v>
      </c>
      <c r="B1888" t="s">
        <v>3018</v>
      </c>
      <c r="C1888">
        <v>8710</v>
      </c>
      <c r="D1888" t="s">
        <v>6362</v>
      </c>
      <c r="E1888" t="s">
        <v>6358</v>
      </c>
      <c r="F1888" t="s">
        <v>6358</v>
      </c>
      <c r="G1888" s="43">
        <v>6.4299999999999996E-2</v>
      </c>
      <c r="H1888" s="63">
        <v>1</v>
      </c>
    </row>
    <row r="1889" spans="1:8" x14ac:dyDescent="0.55000000000000004">
      <c r="A1889" s="61" t="s">
        <v>6916</v>
      </c>
      <c r="B1889" t="s">
        <v>3018</v>
      </c>
      <c r="C1889">
        <v>8710</v>
      </c>
      <c r="D1889" t="s">
        <v>6365</v>
      </c>
      <c r="E1889" t="s">
        <v>6366</v>
      </c>
      <c r="F1889" t="s">
        <v>6361</v>
      </c>
      <c r="G1889" s="43">
        <v>0</v>
      </c>
      <c r="H1889" s="63">
        <v>-0.1</v>
      </c>
    </row>
    <row r="1890" spans="1:8" x14ac:dyDescent="0.55000000000000004">
      <c r="A1890" s="61" t="s">
        <v>6917</v>
      </c>
      <c r="B1890" t="s">
        <v>3018</v>
      </c>
      <c r="C1890">
        <v>9200</v>
      </c>
      <c r="D1890" t="s">
        <v>6359</v>
      </c>
      <c r="E1890" t="s">
        <v>6371</v>
      </c>
      <c r="F1890" t="s">
        <v>6361</v>
      </c>
      <c r="G1890" s="43">
        <v>0</v>
      </c>
      <c r="H1890" s="63">
        <v>1</v>
      </c>
    </row>
    <row r="1891" spans="1:8" x14ac:dyDescent="0.55000000000000004">
      <c r="A1891" s="61" t="s">
        <v>6917</v>
      </c>
      <c r="B1891" t="s">
        <v>3018</v>
      </c>
      <c r="C1891">
        <v>9200</v>
      </c>
      <c r="D1891" t="s">
        <v>6362</v>
      </c>
      <c r="E1891" t="s">
        <v>6358</v>
      </c>
      <c r="F1891" t="s">
        <v>6358</v>
      </c>
      <c r="G1891" s="43">
        <v>4.6100000000000002E-2</v>
      </c>
      <c r="H1891" s="63">
        <v>1</v>
      </c>
    </row>
    <row r="1892" spans="1:8" x14ac:dyDescent="0.55000000000000004">
      <c r="A1892" s="61" t="s">
        <v>6918</v>
      </c>
      <c r="B1892" t="s">
        <v>3018</v>
      </c>
      <c r="C1892">
        <v>9300</v>
      </c>
      <c r="D1892" t="s">
        <v>6359</v>
      </c>
      <c r="E1892" t="s">
        <v>6371</v>
      </c>
      <c r="F1892" t="s">
        <v>6361</v>
      </c>
      <c r="G1892" s="43">
        <v>0</v>
      </c>
      <c r="H1892" s="63">
        <v>1</v>
      </c>
    </row>
    <row r="1893" spans="1:8" x14ac:dyDescent="0.55000000000000004">
      <c r="A1893" s="61" t="s">
        <v>6918</v>
      </c>
      <c r="B1893" t="s">
        <v>3018</v>
      </c>
      <c r="C1893">
        <v>9300</v>
      </c>
      <c r="D1893" t="s">
        <v>6362</v>
      </c>
      <c r="E1893" t="s">
        <v>6358</v>
      </c>
      <c r="F1893" t="s">
        <v>6358</v>
      </c>
      <c r="G1893" s="43">
        <v>4.6100000000000002E-2</v>
      </c>
      <c r="H1893" s="63">
        <v>1</v>
      </c>
    </row>
    <row r="1894" spans="1:8" x14ac:dyDescent="0.55000000000000004">
      <c r="A1894" s="61" t="s">
        <v>6919</v>
      </c>
      <c r="B1894" t="s">
        <v>3018</v>
      </c>
      <c r="C1894">
        <v>9310</v>
      </c>
      <c r="D1894" t="s">
        <v>6359</v>
      </c>
      <c r="E1894" t="s">
        <v>6371</v>
      </c>
      <c r="F1894" t="s">
        <v>6361</v>
      </c>
      <c r="G1894" s="43">
        <v>0</v>
      </c>
      <c r="H1894" s="63">
        <v>0.9</v>
      </c>
    </row>
    <row r="1895" spans="1:8" x14ac:dyDescent="0.55000000000000004">
      <c r="A1895" s="61" t="s">
        <v>6919</v>
      </c>
      <c r="B1895" t="s">
        <v>3018</v>
      </c>
      <c r="C1895">
        <v>9310</v>
      </c>
      <c r="D1895" t="s">
        <v>6363</v>
      </c>
      <c r="E1895" t="s">
        <v>6364</v>
      </c>
      <c r="F1895" t="s">
        <v>6361</v>
      </c>
      <c r="G1895" s="43">
        <v>0</v>
      </c>
      <c r="H1895" s="63">
        <v>0.1</v>
      </c>
    </row>
    <row r="1896" spans="1:8" x14ac:dyDescent="0.55000000000000004">
      <c r="A1896" s="61" t="s">
        <v>6919</v>
      </c>
      <c r="B1896" t="s">
        <v>3018</v>
      </c>
      <c r="C1896">
        <v>9310</v>
      </c>
      <c r="D1896" t="s">
        <v>6362</v>
      </c>
      <c r="E1896" t="s">
        <v>6358</v>
      </c>
      <c r="F1896" t="s">
        <v>6358</v>
      </c>
      <c r="G1896" s="43">
        <v>6.4299999999999996E-2</v>
      </c>
      <c r="H1896" s="63">
        <v>1</v>
      </c>
    </row>
    <row r="1897" spans="1:8" x14ac:dyDescent="0.55000000000000004">
      <c r="A1897" s="61" t="s">
        <v>6919</v>
      </c>
      <c r="B1897" t="s">
        <v>3018</v>
      </c>
      <c r="C1897">
        <v>9310</v>
      </c>
      <c r="D1897" t="s">
        <v>6365</v>
      </c>
      <c r="E1897" t="s">
        <v>6366</v>
      </c>
      <c r="F1897" t="s">
        <v>6361</v>
      </c>
      <c r="G1897" s="43">
        <v>0</v>
      </c>
      <c r="H1897" s="63">
        <v>-0.1</v>
      </c>
    </row>
    <row r="1898" spans="1:8" x14ac:dyDescent="0.55000000000000004">
      <c r="A1898" s="61" t="s">
        <v>6920</v>
      </c>
      <c r="B1898" t="s">
        <v>4397</v>
      </c>
      <c r="C1898">
        <v>8708</v>
      </c>
      <c r="D1898" t="s">
        <v>6359</v>
      </c>
      <c r="E1898" t="s">
        <v>6368</v>
      </c>
      <c r="F1898" t="s">
        <v>6361</v>
      </c>
      <c r="G1898" s="43">
        <v>0</v>
      </c>
      <c r="H1898" s="63">
        <v>0.9</v>
      </c>
    </row>
    <row r="1899" spans="1:8" x14ac:dyDescent="0.55000000000000004">
      <c r="A1899" s="61" t="s">
        <v>6920</v>
      </c>
      <c r="B1899" t="s">
        <v>4397</v>
      </c>
      <c r="C1899">
        <v>8708</v>
      </c>
      <c r="D1899" t="s">
        <v>6363</v>
      </c>
      <c r="E1899" t="s">
        <v>6364</v>
      </c>
      <c r="F1899" t="s">
        <v>6361</v>
      </c>
      <c r="G1899" s="43">
        <v>0</v>
      </c>
      <c r="H1899" s="63">
        <v>0.1</v>
      </c>
    </row>
    <row r="1900" spans="1:8" x14ac:dyDescent="0.55000000000000004">
      <c r="A1900" s="61" t="s">
        <v>6920</v>
      </c>
      <c r="B1900" t="s">
        <v>4397</v>
      </c>
      <c r="C1900">
        <v>8708</v>
      </c>
      <c r="D1900" t="s">
        <v>6362</v>
      </c>
      <c r="E1900" t="s">
        <v>6358</v>
      </c>
      <c r="F1900" t="s">
        <v>6358</v>
      </c>
      <c r="G1900" s="43">
        <v>7.9899999999999999E-2</v>
      </c>
      <c r="H1900" s="63">
        <v>1</v>
      </c>
    </row>
    <row r="1901" spans="1:8" x14ac:dyDescent="0.55000000000000004">
      <c r="A1901" s="61" t="s">
        <v>6920</v>
      </c>
      <c r="B1901" t="s">
        <v>4397</v>
      </c>
      <c r="C1901">
        <v>8708</v>
      </c>
      <c r="D1901" t="s">
        <v>6365</v>
      </c>
      <c r="E1901" t="s">
        <v>6366</v>
      </c>
      <c r="F1901" t="s">
        <v>6361</v>
      </c>
      <c r="G1901" s="43">
        <v>0</v>
      </c>
      <c r="H1901" s="63">
        <v>-0.1</v>
      </c>
    </row>
    <row r="1902" spans="1:8" x14ac:dyDescent="0.55000000000000004">
      <c r="A1902" s="61" t="s">
        <v>6921</v>
      </c>
      <c r="B1902" t="s">
        <v>4397</v>
      </c>
      <c r="C1902">
        <v>8710</v>
      </c>
      <c r="D1902" t="s">
        <v>6359</v>
      </c>
      <c r="E1902" t="s">
        <v>6368</v>
      </c>
      <c r="F1902" t="s">
        <v>6361</v>
      </c>
      <c r="G1902" s="43">
        <v>0</v>
      </c>
      <c r="H1902" s="63">
        <v>0.9</v>
      </c>
    </row>
    <row r="1903" spans="1:8" x14ac:dyDescent="0.55000000000000004">
      <c r="A1903" s="61" t="s">
        <v>6921</v>
      </c>
      <c r="B1903" t="s">
        <v>4397</v>
      </c>
      <c r="C1903">
        <v>8710</v>
      </c>
      <c r="D1903" t="s">
        <v>6363</v>
      </c>
      <c r="E1903" t="s">
        <v>6364</v>
      </c>
      <c r="F1903" t="s">
        <v>6361</v>
      </c>
      <c r="G1903" s="43">
        <v>0</v>
      </c>
      <c r="H1903" s="63">
        <v>0.1</v>
      </c>
    </row>
    <row r="1904" spans="1:8" x14ac:dyDescent="0.55000000000000004">
      <c r="A1904" s="61" t="s">
        <v>6921</v>
      </c>
      <c r="B1904" t="s">
        <v>4397</v>
      </c>
      <c r="C1904">
        <v>8710</v>
      </c>
      <c r="D1904" t="s">
        <v>6362</v>
      </c>
      <c r="E1904" t="s">
        <v>6358</v>
      </c>
      <c r="F1904" t="s">
        <v>6358</v>
      </c>
      <c r="G1904" s="43">
        <v>7.9899999999999999E-2</v>
      </c>
      <c r="H1904" s="63">
        <v>1</v>
      </c>
    </row>
    <row r="1905" spans="1:8" x14ac:dyDescent="0.55000000000000004">
      <c r="A1905" s="61" t="s">
        <v>6921</v>
      </c>
      <c r="B1905" t="s">
        <v>4397</v>
      </c>
      <c r="C1905">
        <v>8710</v>
      </c>
      <c r="D1905" t="s">
        <v>6365</v>
      </c>
      <c r="E1905" t="s">
        <v>6366</v>
      </c>
      <c r="F1905" t="s">
        <v>6361</v>
      </c>
      <c r="G1905" s="43">
        <v>0</v>
      </c>
      <c r="H1905" s="63">
        <v>-0.1</v>
      </c>
    </row>
    <row r="1906" spans="1:8" x14ac:dyDescent="0.55000000000000004">
      <c r="A1906" s="61" t="s">
        <v>6922</v>
      </c>
      <c r="B1906" t="s">
        <v>4397</v>
      </c>
      <c r="C1906">
        <v>9204</v>
      </c>
      <c r="D1906" t="s">
        <v>6359</v>
      </c>
      <c r="E1906" t="s">
        <v>6369</v>
      </c>
      <c r="F1906" t="s">
        <v>6361</v>
      </c>
      <c r="G1906" s="43">
        <v>0</v>
      </c>
      <c r="H1906" s="63">
        <v>0.9</v>
      </c>
    </row>
    <row r="1907" spans="1:8" x14ac:dyDescent="0.55000000000000004">
      <c r="A1907" s="61" t="s">
        <v>6922</v>
      </c>
      <c r="B1907" t="s">
        <v>4397</v>
      </c>
      <c r="C1907">
        <v>9204</v>
      </c>
      <c r="D1907" t="s">
        <v>6363</v>
      </c>
      <c r="E1907" t="s">
        <v>6364</v>
      </c>
      <c r="F1907" t="s">
        <v>6361</v>
      </c>
      <c r="G1907" s="43">
        <v>0</v>
      </c>
      <c r="H1907" s="63">
        <v>0.1</v>
      </c>
    </row>
    <row r="1908" spans="1:8" x14ac:dyDescent="0.55000000000000004">
      <c r="A1908" s="61" t="s">
        <v>6922</v>
      </c>
      <c r="B1908" t="s">
        <v>4397</v>
      </c>
      <c r="C1908">
        <v>9204</v>
      </c>
      <c r="D1908" t="s">
        <v>6362</v>
      </c>
      <c r="E1908" t="s">
        <v>6358</v>
      </c>
      <c r="F1908" t="s">
        <v>6358</v>
      </c>
      <c r="G1908" s="43">
        <v>7.9899999999999999E-2</v>
      </c>
      <c r="H1908" s="63">
        <v>1</v>
      </c>
    </row>
    <row r="1909" spans="1:8" x14ac:dyDescent="0.55000000000000004">
      <c r="A1909" s="61" t="s">
        <v>6922</v>
      </c>
      <c r="B1909" t="s">
        <v>4397</v>
      </c>
      <c r="C1909">
        <v>9204</v>
      </c>
      <c r="D1909" t="s">
        <v>6365</v>
      </c>
      <c r="E1909" t="s">
        <v>6366</v>
      </c>
      <c r="F1909" t="s">
        <v>6361</v>
      </c>
      <c r="G1909" s="43">
        <v>0</v>
      </c>
      <c r="H1909" s="63">
        <v>-0.1</v>
      </c>
    </row>
    <row r="1910" spans="1:8" x14ac:dyDescent="0.55000000000000004">
      <c r="A1910" s="61" t="s">
        <v>6923</v>
      </c>
      <c r="B1910" t="s">
        <v>4397</v>
      </c>
      <c r="C1910">
        <v>9305</v>
      </c>
      <c r="D1910" t="s">
        <v>6359</v>
      </c>
      <c r="E1910" t="s">
        <v>6369</v>
      </c>
      <c r="F1910" t="s">
        <v>6361</v>
      </c>
      <c r="G1910" s="43">
        <v>0</v>
      </c>
      <c r="H1910" s="63">
        <v>0.9</v>
      </c>
    </row>
    <row r="1911" spans="1:8" x14ac:dyDescent="0.55000000000000004">
      <c r="A1911" s="61" t="s">
        <v>6923</v>
      </c>
      <c r="B1911" t="s">
        <v>4397</v>
      </c>
      <c r="C1911">
        <v>9305</v>
      </c>
      <c r="D1911" t="s">
        <v>6363</v>
      </c>
      <c r="E1911" t="s">
        <v>6364</v>
      </c>
      <c r="F1911" t="s">
        <v>6361</v>
      </c>
      <c r="G1911" s="43">
        <v>0</v>
      </c>
      <c r="H1911" s="63">
        <v>0.1</v>
      </c>
    </row>
    <row r="1912" spans="1:8" x14ac:dyDescent="0.55000000000000004">
      <c r="A1912" s="61" t="s">
        <v>6923</v>
      </c>
      <c r="B1912" t="s">
        <v>4397</v>
      </c>
      <c r="C1912">
        <v>9305</v>
      </c>
      <c r="D1912" t="s">
        <v>6362</v>
      </c>
      <c r="E1912" t="s">
        <v>6358</v>
      </c>
      <c r="F1912" t="s">
        <v>6358</v>
      </c>
      <c r="G1912" s="43">
        <v>7.9899999999999999E-2</v>
      </c>
      <c r="H1912" s="63">
        <v>1</v>
      </c>
    </row>
    <row r="1913" spans="1:8" x14ac:dyDescent="0.55000000000000004">
      <c r="A1913" s="61" t="s">
        <v>6923</v>
      </c>
      <c r="B1913" t="s">
        <v>4397</v>
      </c>
      <c r="C1913">
        <v>9305</v>
      </c>
      <c r="D1913" t="s">
        <v>6365</v>
      </c>
      <c r="E1913" t="s">
        <v>6366</v>
      </c>
      <c r="F1913" t="s">
        <v>6361</v>
      </c>
      <c r="G1913" s="43">
        <v>0</v>
      </c>
      <c r="H1913" s="63">
        <v>-0.1</v>
      </c>
    </row>
    <row r="1914" spans="1:8" x14ac:dyDescent="0.55000000000000004">
      <c r="A1914" s="61" t="s">
        <v>6924</v>
      </c>
      <c r="B1914" t="s">
        <v>4397</v>
      </c>
      <c r="C1914">
        <v>9310</v>
      </c>
      <c r="D1914" t="s">
        <v>6359</v>
      </c>
      <c r="E1914" t="s">
        <v>6369</v>
      </c>
      <c r="F1914" t="s">
        <v>6361</v>
      </c>
      <c r="G1914" s="43">
        <v>0</v>
      </c>
      <c r="H1914" s="63">
        <v>0.9</v>
      </c>
    </row>
    <row r="1915" spans="1:8" x14ac:dyDescent="0.55000000000000004">
      <c r="A1915" s="61" t="s">
        <v>6924</v>
      </c>
      <c r="B1915" t="s">
        <v>4397</v>
      </c>
      <c r="C1915">
        <v>9310</v>
      </c>
      <c r="D1915" t="s">
        <v>6363</v>
      </c>
      <c r="E1915" t="s">
        <v>6364</v>
      </c>
      <c r="F1915" t="s">
        <v>6361</v>
      </c>
      <c r="G1915" s="43">
        <v>0</v>
      </c>
      <c r="H1915" s="63">
        <v>0.1</v>
      </c>
    </row>
    <row r="1916" spans="1:8" x14ac:dyDescent="0.55000000000000004">
      <c r="A1916" s="61" t="s">
        <v>6924</v>
      </c>
      <c r="B1916" t="s">
        <v>4397</v>
      </c>
      <c r="C1916">
        <v>9310</v>
      </c>
      <c r="D1916" t="s">
        <v>6362</v>
      </c>
      <c r="E1916" t="s">
        <v>6358</v>
      </c>
      <c r="F1916" t="s">
        <v>6358</v>
      </c>
      <c r="G1916" s="43">
        <v>7.9899999999999999E-2</v>
      </c>
      <c r="H1916" s="63">
        <v>1</v>
      </c>
    </row>
    <row r="1917" spans="1:8" x14ac:dyDescent="0.55000000000000004">
      <c r="A1917" s="61" t="s">
        <v>6924</v>
      </c>
      <c r="B1917" t="s">
        <v>4397</v>
      </c>
      <c r="C1917">
        <v>9310</v>
      </c>
      <c r="D1917" t="s">
        <v>6365</v>
      </c>
      <c r="E1917" t="s">
        <v>6366</v>
      </c>
      <c r="F1917" t="s">
        <v>6361</v>
      </c>
      <c r="G1917" s="43">
        <v>0</v>
      </c>
      <c r="H1917" s="63">
        <v>-0.1</v>
      </c>
    </row>
    <row r="1918" spans="1:8" x14ac:dyDescent="0.55000000000000004">
      <c r="A1918" s="61" t="s">
        <v>6925</v>
      </c>
      <c r="B1918" t="s">
        <v>1376</v>
      </c>
      <c r="C1918">
        <v>8701</v>
      </c>
      <c r="D1918" t="s">
        <v>6359</v>
      </c>
      <c r="E1918" t="s">
        <v>6360</v>
      </c>
      <c r="F1918" t="s">
        <v>6361</v>
      </c>
      <c r="G1918" s="43">
        <v>0</v>
      </c>
      <c r="H1918" s="63">
        <v>1</v>
      </c>
    </row>
    <row r="1919" spans="1:8" x14ac:dyDescent="0.55000000000000004">
      <c r="A1919" s="61" t="s">
        <v>6925</v>
      </c>
      <c r="B1919" t="s">
        <v>1376</v>
      </c>
      <c r="C1919">
        <v>8701</v>
      </c>
      <c r="D1919" t="s">
        <v>6362</v>
      </c>
      <c r="E1919" t="s">
        <v>6358</v>
      </c>
      <c r="F1919" t="s">
        <v>6358</v>
      </c>
      <c r="G1919" s="43">
        <v>6.7100000000000007E-2</v>
      </c>
      <c r="H1919" s="63">
        <v>1</v>
      </c>
    </row>
    <row r="1920" spans="1:8" x14ac:dyDescent="0.55000000000000004">
      <c r="A1920" s="61" t="s">
        <v>6926</v>
      </c>
      <c r="B1920" t="s">
        <v>1376</v>
      </c>
      <c r="C1920">
        <v>8710</v>
      </c>
      <c r="D1920" t="s">
        <v>6359</v>
      </c>
      <c r="E1920" t="s">
        <v>6360</v>
      </c>
      <c r="F1920" t="s">
        <v>6361</v>
      </c>
      <c r="G1920" s="43">
        <v>0</v>
      </c>
      <c r="H1920" s="63">
        <v>0.9</v>
      </c>
    </row>
    <row r="1921" spans="1:8" x14ac:dyDescent="0.55000000000000004">
      <c r="A1921" s="61" t="s">
        <v>6926</v>
      </c>
      <c r="B1921" t="s">
        <v>1376</v>
      </c>
      <c r="C1921">
        <v>8710</v>
      </c>
      <c r="D1921" t="s">
        <v>6363</v>
      </c>
      <c r="E1921" t="s">
        <v>6364</v>
      </c>
      <c r="F1921" t="s">
        <v>6361</v>
      </c>
      <c r="G1921" s="43">
        <v>0</v>
      </c>
      <c r="H1921" s="63">
        <v>0.1</v>
      </c>
    </row>
    <row r="1922" spans="1:8" x14ac:dyDescent="0.55000000000000004">
      <c r="A1922" s="61" t="s">
        <v>6926</v>
      </c>
      <c r="B1922" t="s">
        <v>1376</v>
      </c>
      <c r="C1922">
        <v>8710</v>
      </c>
      <c r="D1922" t="s">
        <v>6362</v>
      </c>
      <c r="E1922" t="s">
        <v>6358</v>
      </c>
      <c r="F1922" t="s">
        <v>6358</v>
      </c>
      <c r="G1922" s="43">
        <v>5.2600000000000001E-2</v>
      </c>
      <c r="H1922" s="63">
        <v>1</v>
      </c>
    </row>
    <row r="1923" spans="1:8" x14ac:dyDescent="0.55000000000000004">
      <c r="A1923" s="61" t="s">
        <v>6926</v>
      </c>
      <c r="B1923" t="s">
        <v>1376</v>
      </c>
      <c r="C1923">
        <v>8710</v>
      </c>
      <c r="D1923" t="s">
        <v>6365</v>
      </c>
      <c r="E1923" t="s">
        <v>6366</v>
      </c>
      <c r="F1923" t="s">
        <v>6361</v>
      </c>
      <c r="G1923" s="43">
        <v>0</v>
      </c>
      <c r="H1923" s="63">
        <v>-0.1</v>
      </c>
    </row>
    <row r="1924" spans="1:8" x14ac:dyDescent="0.55000000000000004">
      <c r="A1924" s="61" t="s">
        <v>6927</v>
      </c>
      <c r="B1924" t="s">
        <v>1376</v>
      </c>
      <c r="C1924">
        <v>9101</v>
      </c>
      <c r="D1924" t="s">
        <v>6359</v>
      </c>
      <c r="E1924" t="s">
        <v>6367</v>
      </c>
      <c r="F1924" t="s">
        <v>6361</v>
      </c>
      <c r="G1924" s="43">
        <v>0</v>
      </c>
      <c r="H1924" s="63">
        <v>1</v>
      </c>
    </row>
    <row r="1925" spans="1:8" x14ac:dyDescent="0.55000000000000004">
      <c r="A1925" s="61" t="s">
        <v>6927</v>
      </c>
      <c r="B1925" t="s">
        <v>1376</v>
      </c>
      <c r="C1925">
        <v>9101</v>
      </c>
      <c r="D1925" t="s">
        <v>6362</v>
      </c>
      <c r="E1925" t="s">
        <v>6358</v>
      </c>
      <c r="F1925" t="s">
        <v>6358</v>
      </c>
      <c r="G1925" s="43">
        <v>6.7100000000000007E-2</v>
      </c>
      <c r="H1925" s="63">
        <v>1</v>
      </c>
    </row>
    <row r="1926" spans="1:8" x14ac:dyDescent="0.55000000000000004">
      <c r="A1926" s="61" t="s">
        <v>6928</v>
      </c>
      <c r="B1926" t="s">
        <v>1376</v>
      </c>
      <c r="C1926">
        <v>9110</v>
      </c>
      <c r="D1926" t="s">
        <v>6359</v>
      </c>
      <c r="E1926" t="s">
        <v>6367</v>
      </c>
      <c r="F1926" t="s">
        <v>6361</v>
      </c>
      <c r="G1926" s="43">
        <v>0</v>
      </c>
      <c r="H1926" s="63">
        <v>0.9</v>
      </c>
    </row>
    <row r="1927" spans="1:8" x14ac:dyDescent="0.55000000000000004">
      <c r="A1927" s="61" t="s">
        <v>6928</v>
      </c>
      <c r="B1927" t="s">
        <v>1376</v>
      </c>
      <c r="C1927">
        <v>9110</v>
      </c>
      <c r="D1927" t="s">
        <v>6363</v>
      </c>
      <c r="E1927" t="s">
        <v>6364</v>
      </c>
      <c r="F1927" t="s">
        <v>6361</v>
      </c>
      <c r="G1927" s="43">
        <v>0</v>
      </c>
      <c r="H1927" s="63">
        <v>0.1</v>
      </c>
    </row>
    <row r="1928" spans="1:8" x14ac:dyDescent="0.55000000000000004">
      <c r="A1928" s="61" t="s">
        <v>6928</v>
      </c>
      <c r="B1928" t="s">
        <v>1376</v>
      </c>
      <c r="C1928">
        <v>9110</v>
      </c>
      <c r="D1928" t="s">
        <v>6362</v>
      </c>
      <c r="E1928" t="s">
        <v>6358</v>
      </c>
      <c r="F1928" t="s">
        <v>6358</v>
      </c>
      <c r="G1928" s="43">
        <v>5.2600000000000001E-2</v>
      </c>
      <c r="H1928" s="63">
        <v>1</v>
      </c>
    </row>
    <row r="1929" spans="1:8" x14ac:dyDescent="0.55000000000000004">
      <c r="A1929" s="61" t="s">
        <v>6928</v>
      </c>
      <c r="B1929" t="s">
        <v>1376</v>
      </c>
      <c r="C1929">
        <v>9110</v>
      </c>
      <c r="D1929" t="s">
        <v>6365</v>
      </c>
      <c r="E1929" t="s">
        <v>6366</v>
      </c>
      <c r="F1929" t="s">
        <v>6361</v>
      </c>
      <c r="G1929" s="43">
        <v>0</v>
      </c>
      <c r="H1929" s="63">
        <v>-0.1</v>
      </c>
    </row>
    <row r="1930" spans="1:8" x14ac:dyDescent="0.55000000000000004">
      <c r="A1930" s="61" t="s">
        <v>6929</v>
      </c>
      <c r="B1930" t="s">
        <v>1376</v>
      </c>
      <c r="C1930">
        <v>9310</v>
      </c>
      <c r="D1930" t="s">
        <v>6359</v>
      </c>
      <c r="E1930" t="s">
        <v>6367</v>
      </c>
      <c r="F1930" t="s">
        <v>6361</v>
      </c>
      <c r="G1930" s="43">
        <v>0</v>
      </c>
      <c r="H1930" s="63">
        <v>0.9</v>
      </c>
    </row>
    <row r="1931" spans="1:8" x14ac:dyDescent="0.55000000000000004">
      <c r="A1931" s="61" t="s">
        <v>6929</v>
      </c>
      <c r="B1931" t="s">
        <v>1376</v>
      </c>
      <c r="C1931">
        <v>9310</v>
      </c>
      <c r="D1931" t="s">
        <v>6363</v>
      </c>
      <c r="E1931" t="s">
        <v>6364</v>
      </c>
      <c r="F1931" t="s">
        <v>6361</v>
      </c>
      <c r="G1931" s="43">
        <v>0</v>
      </c>
      <c r="H1931" s="63">
        <v>0.1</v>
      </c>
    </row>
    <row r="1932" spans="1:8" x14ac:dyDescent="0.55000000000000004">
      <c r="A1932" s="61" t="s">
        <v>6929</v>
      </c>
      <c r="B1932" t="s">
        <v>1376</v>
      </c>
      <c r="C1932">
        <v>9310</v>
      </c>
      <c r="D1932" t="s">
        <v>6362</v>
      </c>
      <c r="E1932" t="s">
        <v>6358</v>
      </c>
      <c r="F1932" t="s">
        <v>6358</v>
      </c>
      <c r="G1932" s="43">
        <v>5.2600000000000001E-2</v>
      </c>
      <c r="H1932" s="63">
        <v>1</v>
      </c>
    </row>
    <row r="1933" spans="1:8" x14ac:dyDescent="0.55000000000000004">
      <c r="A1933" s="61" t="s">
        <v>6929</v>
      </c>
      <c r="B1933" t="s">
        <v>1376</v>
      </c>
      <c r="C1933">
        <v>9310</v>
      </c>
      <c r="D1933" t="s">
        <v>6365</v>
      </c>
      <c r="E1933" t="s">
        <v>6366</v>
      </c>
      <c r="F1933" t="s">
        <v>6361</v>
      </c>
      <c r="G1933" s="43">
        <v>0</v>
      </c>
      <c r="H1933" s="63">
        <v>-0.1</v>
      </c>
    </row>
    <row r="1934" spans="1:8" x14ac:dyDescent="0.55000000000000004">
      <c r="A1934" s="61" t="s">
        <v>6930</v>
      </c>
      <c r="B1934" t="s">
        <v>5710</v>
      </c>
      <c r="C1934">
        <v>8710</v>
      </c>
      <c r="D1934" t="s">
        <v>6359</v>
      </c>
      <c r="E1934" t="s">
        <v>6368</v>
      </c>
      <c r="F1934" t="s">
        <v>6361</v>
      </c>
      <c r="G1934" s="43">
        <v>0</v>
      </c>
      <c r="H1934" s="63">
        <v>0.9</v>
      </c>
    </row>
    <row r="1935" spans="1:8" x14ac:dyDescent="0.55000000000000004">
      <c r="A1935" s="61" t="s">
        <v>6930</v>
      </c>
      <c r="B1935" t="s">
        <v>5710</v>
      </c>
      <c r="C1935">
        <v>8710</v>
      </c>
      <c r="D1935" t="s">
        <v>6363</v>
      </c>
      <c r="E1935" t="s">
        <v>6364</v>
      </c>
      <c r="F1935" t="s">
        <v>6361</v>
      </c>
      <c r="G1935" s="43">
        <v>0</v>
      </c>
      <c r="H1935" s="63">
        <v>0.1</v>
      </c>
    </row>
    <row r="1936" spans="1:8" x14ac:dyDescent="0.55000000000000004">
      <c r="A1936" s="61" t="s">
        <v>6930</v>
      </c>
      <c r="B1936" t="s">
        <v>5710</v>
      </c>
      <c r="C1936">
        <v>8710</v>
      </c>
      <c r="D1936" t="s">
        <v>6362</v>
      </c>
      <c r="E1936" t="s">
        <v>6358</v>
      </c>
      <c r="F1936" t="s">
        <v>6358</v>
      </c>
      <c r="G1936" s="62">
        <v>4.2200000000000001E-2</v>
      </c>
      <c r="H1936" s="63">
        <v>1</v>
      </c>
    </row>
    <row r="1937" spans="1:8" x14ac:dyDescent="0.55000000000000004">
      <c r="A1937" s="61" t="s">
        <v>6930</v>
      </c>
      <c r="B1937" t="s">
        <v>5710</v>
      </c>
      <c r="C1937">
        <v>8710</v>
      </c>
      <c r="D1937" t="s">
        <v>6365</v>
      </c>
      <c r="E1937" t="s">
        <v>6366</v>
      </c>
      <c r="F1937" t="s">
        <v>6361</v>
      </c>
      <c r="G1937" s="43">
        <v>0</v>
      </c>
      <c r="H1937" s="63">
        <v>-0.1</v>
      </c>
    </row>
    <row r="1938" spans="1:8" x14ac:dyDescent="0.55000000000000004">
      <c r="A1938" s="61" t="s">
        <v>6931</v>
      </c>
      <c r="B1938" t="s">
        <v>5710</v>
      </c>
      <c r="C1938">
        <v>8711</v>
      </c>
      <c r="D1938" t="s">
        <v>6359</v>
      </c>
      <c r="E1938" t="s">
        <v>6378</v>
      </c>
      <c r="F1938" t="s">
        <v>6361</v>
      </c>
      <c r="G1938" s="43">
        <v>0</v>
      </c>
      <c r="H1938" s="63">
        <v>0.9</v>
      </c>
    </row>
    <row r="1939" spans="1:8" x14ac:dyDescent="0.55000000000000004">
      <c r="A1939" s="61" t="s">
        <v>6931</v>
      </c>
      <c r="B1939" t="s">
        <v>5710</v>
      </c>
      <c r="C1939">
        <v>8711</v>
      </c>
      <c r="D1939" t="s">
        <v>6363</v>
      </c>
      <c r="E1939" t="s">
        <v>6364</v>
      </c>
      <c r="F1939" t="s">
        <v>6361</v>
      </c>
      <c r="G1939" s="43">
        <v>0</v>
      </c>
      <c r="H1939" s="63">
        <v>0.1</v>
      </c>
    </row>
    <row r="1940" spans="1:8" x14ac:dyDescent="0.55000000000000004">
      <c r="A1940" s="61" t="s">
        <v>6931</v>
      </c>
      <c r="B1940" t="s">
        <v>5710</v>
      </c>
      <c r="C1940">
        <v>8711</v>
      </c>
      <c r="D1940" t="s">
        <v>6362</v>
      </c>
      <c r="E1940" t="s">
        <v>6358</v>
      </c>
      <c r="F1940" t="s">
        <v>6358</v>
      </c>
      <c r="G1940" s="62">
        <v>4.2200000000000001E-2</v>
      </c>
      <c r="H1940" s="63">
        <v>1</v>
      </c>
    </row>
    <row r="1941" spans="1:8" x14ac:dyDescent="0.55000000000000004">
      <c r="A1941" s="61" t="s">
        <v>6931</v>
      </c>
      <c r="B1941" t="s">
        <v>5710</v>
      </c>
      <c r="C1941">
        <v>8711</v>
      </c>
      <c r="D1941" t="s">
        <v>6365</v>
      </c>
      <c r="E1941" t="s">
        <v>6366</v>
      </c>
      <c r="F1941" t="s">
        <v>6361</v>
      </c>
      <c r="G1941" s="43">
        <v>0</v>
      </c>
      <c r="H1941" s="63">
        <v>-0.1</v>
      </c>
    </row>
    <row r="1942" spans="1:8" x14ac:dyDescent="0.55000000000000004">
      <c r="A1942" s="61" t="s">
        <v>6932</v>
      </c>
      <c r="B1942" t="s">
        <v>5710</v>
      </c>
      <c r="C1942">
        <v>8712</v>
      </c>
      <c r="D1942" t="s">
        <v>6359</v>
      </c>
      <c r="E1942" t="s">
        <v>6378</v>
      </c>
      <c r="F1942" t="s">
        <v>6361</v>
      </c>
      <c r="G1942" s="43">
        <v>0</v>
      </c>
      <c r="H1942" s="63">
        <v>0.9</v>
      </c>
    </row>
    <row r="1943" spans="1:8" x14ac:dyDescent="0.55000000000000004">
      <c r="A1943" s="61" t="s">
        <v>6932</v>
      </c>
      <c r="B1943" t="s">
        <v>5710</v>
      </c>
      <c r="C1943">
        <v>8712</v>
      </c>
      <c r="D1943" t="s">
        <v>6363</v>
      </c>
      <c r="E1943" t="s">
        <v>6364</v>
      </c>
      <c r="F1943" t="s">
        <v>6361</v>
      </c>
      <c r="G1943" s="43">
        <v>0</v>
      </c>
      <c r="H1943" s="63">
        <v>0.1</v>
      </c>
    </row>
    <row r="1944" spans="1:8" x14ac:dyDescent="0.55000000000000004">
      <c r="A1944" s="61" t="s">
        <v>6932</v>
      </c>
      <c r="B1944" t="s">
        <v>5710</v>
      </c>
      <c r="C1944">
        <v>8712</v>
      </c>
      <c r="D1944" t="s">
        <v>6362</v>
      </c>
      <c r="E1944" t="s">
        <v>6358</v>
      </c>
      <c r="F1944" t="s">
        <v>6358</v>
      </c>
      <c r="G1944" s="62">
        <v>4.2200000000000001E-2</v>
      </c>
      <c r="H1944" s="63">
        <v>1</v>
      </c>
    </row>
    <row r="1945" spans="1:8" x14ac:dyDescent="0.55000000000000004">
      <c r="A1945" s="61" t="s">
        <v>6932</v>
      </c>
      <c r="B1945" t="s">
        <v>5710</v>
      </c>
      <c r="C1945">
        <v>8712</v>
      </c>
      <c r="D1945" t="s">
        <v>6365</v>
      </c>
      <c r="E1945" t="s">
        <v>6366</v>
      </c>
      <c r="F1945" t="s">
        <v>6361</v>
      </c>
      <c r="G1945" s="43">
        <v>0</v>
      </c>
      <c r="H1945" s="63">
        <v>-0.1</v>
      </c>
    </row>
    <row r="1946" spans="1:8" x14ac:dyDescent="0.55000000000000004">
      <c r="A1946" s="61" t="s">
        <v>6933</v>
      </c>
      <c r="B1946" t="s">
        <v>5710</v>
      </c>
      <c r="C1946">
        <v>8713</v>
      </c>
      <c r="D1946" t="s">
        <v>6359</v>
      </c>
      <c r="E1946" t="s">
        <v>6378</v>
      </c>
      <c r="F1946" t="s">
        <v>6361</v>
      </c>
      <c r="G1946" s="43">
        <v>0</v>
      </c>
      <c r="H1946" s="63">
        <v>0.9</v>
      </c>
    </row>
    <row r="1947" spans="1:8" x14ac:dyDescent="0.55000000000000004">
      <c r="A1947" s="61" t="s">
        <v>6933</v>
      </c>
      <c r="B1947" t="s">
        <v>5710</v>
      </c>
      <c r="C1947">
        <v>8713</v>
      </c>
      <c r="D1947" t="s">
        <v>6363</v>
      </c>
      <c r="E1947" t="s">
        <v>6364</v>
      </c>
      <c r="F1947" t="s">
        <v>6361</v>
      </c>
      <c r="G1947" s="43">
        <v>0</v>
      </c>
      <c r="H1947" s="63">
        <v>0.1</v>
      </c>
    </row>
    <row r="1948" spans="1:8" x14ac:dyDescent="0.55000000000000004">
      <c r="A1948" s="61" t="s">
        <v>6933</v>
      </c>
      <c r="B1948" t="s">
        <v>5710</v>
      </c>
      <c r="C1948">
        <v>8713</v>
      </c>
      <c r="D1948" t="s">
        <v>6362</v>
      </c>
      <c r="E1948" t="s">
        <v>6358</v>
      </c>
      <c r="F1948" t="s">
        <v>6358</v>
      </c>
      <c r="G1948" s="62">
        <v>4.2200000000000001E-2</v>
      </c>
      <c r="H1948" s="63">
        <v>1</v>
      </c>
    </row>
    <row r="1949" spans="1:8" x14ac:dyDescent="0.55000000000000004">
      <c r="A1949" s="61" t="s">
        <v>6933</v>
      </c>
      <c r="B1949" t="s">
        <v>5710</v>
      </c>
      <c r="C1949">
        <v>8713</v>
      </c>
      <c r="D1949" t="s">
        <v>6365</v>
      </c>
      <c r="E1949" t="s">
        <v>6366</v>
      </c>
      <c r="F1949" t="s">
        <v>6361</v>
      </c>
      <c r="G1949" s="43">
        <v>0</v>
      </c>
      <c r="H1949" s="63">
        <v>-0.1</v>
      </c>
    </row>
    <row r="1950" spans="1:8" x14ac:dyDescent="0.55000000000000004">
      <c r="A1950" s="61" t="s">
        <v>6934</v>
      </c>
      <c r="B1950" t="s">
        <v>5710</v>
      </c>
      <c r="C1950">
        <v>9204</v>
      </c>
      <c r="D1950" t="s">
        <v>6359</v>
      </c>
      <c r="E1950" t="s">
        <v>6369</v>
      </c>
      <c r="F1950" t="s">
        <v>6361</v>
      </c>
      <c r="G1950" s="43">
        <v>0</v>
      </c>
      <c r="H1950" s="63">
        <v>0.9</v>
      </c>
    </row>
    <row r="1951" spans="1:8" x14ac:dyDescent="0.55000000000000004">
      <c r="A1951" s="61" t="s">
        <v>6934</v>
      </c>
      <c r="B1951" t="s">
        <v>5710</v>
      </c>
      <c r="C1951">
        <v>9204</v>
      </c>
      <c r="D1951" t="s">
        <v>6363</v>
      </c>
      <c r="E1951" t="s">
        <v>6364</v>
      </c>
      <c r="F1951" t="s">
        <v>6361</v>
      </c>
      <c r="G1951" s="43">
        <v>0</v>
      </c>
      <c r="H1951" s="63">
        <v>0.1</v>
      </c>
    </row>
    <row r="1952" spans="1:8" x14ac:dyDescent="0.55000000000000004">
      <c r="A1952" s="61" t="s">
        <v>6934</v>
      </c>
      <c r="B1952" t="s">
        <v>5710</v>
      </c>
      <c r="C1952">
        <v>9204</v>
      </c>
      <c r="D1952" t="s">
        <v>6362</v>
      </c>
      <c r="E1952" t="s">
        <v>6358</v>
      </c>
      <c r="F1952" t="s">
        <v>6358</v>
      </c>
      <c r="G1952" s="62">
        <v>4.2200000000000001E-2</v>
      </c>
      <c r="H1952" s="63">
        <v>1</v>
      </c>
    </row>
    <row r="1953" spans="1:8" x14ac:dyDescent="0.55000000000000004">
      <c r="A1953" s="61" t="s">
        <v>6934</v>
      </c>
      <c r="B1953" t="s">
        <v>5710</v>
      </c>
      <c r="C1953">
        <v>9204</v>
      </c>
      <c r="D1953" t="s">
        <v>6365</v>
      </c>
      <c r="E1953" t="s">
        <v>6366</v>
      </c>
      <c r="F1953" t="s">
        <v>6361</v>
      </c>
      <c r="G1953" s="43">
        <v>0</v>
      </c>
      <c r="H1953" s="63">
        <v>-0.1</v>
      </c>
    </row>
    <row r="1954" spans="1:8" x14ac:dyDescent="0.55000000000000004">
      <c r="A1954" s="61" t="s">
        <v>6935</v>
      </c>
      <c r="B1954" t="s">
        <v>5710</v>
      </c>
      <c r="C1954">
        <v>9205</v>
      </c>
      <c r="D1954" t="s">
        <v>6359</v>
      </c>
      <c r="E1954" t="s">
        <v>6379</v>
      </c>
      <c r="F1954" t="s">
        <v>6361</v>
      </c>
      <c r="G1954" s="43">
        <v>0</v>
      </c>
      <c r="H1954" s="63">
        <v>0.9</v>
      </c>
    </row>
    <row r="1955" spans="1:8" x14ac:dyDescent="0.55000000000000004">
      <c r="A1955" s="61" t="s">
        <v>6935</v>
      </c>
      <c r="B1955" t="s">
        <v>5710</v>
      </c>
      <c r="C1955">
        <v>9205</v>
      </c>
      <c r="D1955" t="s">
        <v>6363</v>
      </c>
      <c r="E1955" t="s">
        <v>6364</v>
      </c>
      <c r="F1955" t="s">
        <v>6361</v>
      </c>
      <c r="G1955" s="43">
        <v>0</v>
      </c>
      <c r="H1955" s="63">
        <v>0.1</v>
      </c>
    </row>
    <row r="1956" spans="1:8" x14ac:dyDescent="0.55000000000000004">
      <c r="A1956" s="61" t="s">
        <v>6935</v>
      </c>
      <c r="B1956" t="s">
        <v>5710</v>
      </c>
      <c r="C1956">
        <v>9205</v>
      </c>
      <c r="D1956" t="s">
        <v>6362</v>
      </c>
      <c r="E1956" t="s">
        <v>6358</v>
      </c>
      <c r="F1956" t="s">
        <v>6358</v>
      </c>
      <c r="G1956" s="62">
        <v>4.2200000000000001E-2</v>
      </c>
      <c r="H1956" s="63">
        <v>1</v>
      </c>
    </row>
    <row r="1957" spans="1:8" x14ac:dyDescent="0.55000000000000004">
      <c r="A1957" s="61" t="s">
        <v>6935</v>
      </c>
      <c r="B1957" t="s">
        <v>5710</v>
      </c>
      <c r="C1957">
        <v>9205</v>
      </c>
      <c r="D1957" t="s">
        <v>6365</v>
      </c>
      <c r="E1957" t="s">
        <v>6366</v>
      </c>
      <c r="F1957" t="s">
        <v>6361</v>
      </c>
      <c r="G1957" s="43">
        <v>0</v>
      </c>
      <c r="H1957" s="63">
        <v>-0.1</v>
      </c>
    </row>
    <row r="1958" spans="1:8" x14ac:dyDescent="0.55000000000000004">
      <c r="A1958" s="61" t="s">
        <v>6936</v>
      </c>
      <c r="B1958" t="s">
        <v>5710</v>
      </c>
      <c r="C1958">
        <v>9307</v>
      </c>
      <c r="D1958" t="s">
        <v>6359</v>
      </c>
      <c r="E1958" t="s">
        <v>6379</v>
      </c>
      <c r="F1958" t="s">
        <v>6361</v>
      </c>
      <c r="G1958" s="43">
        <v>0</v>
      </c>
      <c r="H1958" s="63">
        <v>0.9</v>
      </c>
    </row>
    <row r="1959" spans="1:8" x14ac:dyDescent="0.55000000000000004">
      <c r="A1959" s="61" t="s">
        <v>6936</v>
      </c>
      <c r="B1959" t="s">
        <v>5710</v>
      </c>
      <c r="C1959">
        <v>9307</v>
      </c>
      <c r="D1959" t="s">
        <v>6363</v>
      </c>
      <c r="E1959" t="s">
        <v>6364</v>
      </c>
      <c r="F1959" t="s">
        <v>6361</v>
      </c>
      <c r="G1959" s="43">
        <v>0</v>
      </c>
      <c r="H1959" s="63">
        <v>0.1</v>
      </c>
    </row>
    <row r="1960" spans="1:8" x14ac:dyDescent="0.55000000000000004">
      <c r="A1960" s="61" t="s">
        <v>6936</v>
      </c>
      <c r="B1960" t="s">
        <v>5710</v>
      </c>
      <c r="C1960">
        <v>9307</v>
      </c>
      <c r="D1960" t="s">
        <v>6362</v>
      </c>
      <c r="E1960" t="s">
        <v>6358</v>
      </c>
      <c r="F1960" t="s">
        <v>6358</v>
      </c>
      <c r="G1960" s="62">
        <v>4.2200000000000001E-2</v>
      </c>
      <c r="H1960" s="63">
        <v>1</v>
      </c>
    </row>
    <row r="1961" spans="1:8" x14ac:dyDescent="0.55000000000000004">
      <c r="A1961" s="61" t="s">
        <v>6936</v>
      </c>
      <c r="B1961" t="s">
        <v>5710</v>
      </c>
      <c r="C1961">
        <v>9307</v>
      </c>
      <c r="D1961" t="s">
        <v>6365</v>
      </c>
      <c r="E1961" t="s">
        <v>6366</v>
      </c>
      <c r="F1961" t="s">
        <v>6361</v>
      </c>
      <c r="G1961" s="43">
        <v>0</v>
      </c>
      <c r="H1961" s="63">
        <v>-0.1</v>
      </c>
    </row>
    <row r="1962" spans="1:8" x14ac:dyDescent="0.55000000000000004">
      <c r="A1962" s="61" t="s">
        <v>6937</v>
      </c>
      <c r="B1962" t="s">
        <v>5710</v>
      </c>
      <c r="C1962">
        <v>9308</v>
      </c>
      <c r="D1962" t="s">
        <v>6359</v>
      </c>
      <c r="E1962" t="s">
        <v>6379</v>
      </c>
      <c r="F1962" t="s">
        <v>6361</v>
      </c>
      <c r="G1962" s="43">
        <v>0</v>
      </c>
      <c r="H1962" s="63">
        <v>0.9</v>
      </c>
    </row>
    <row r="1963" spans="1:8" x14ac:dyDescent="0.55000000000000004">
      <c r="A1963" s="61" t="s">
        <v>6937</v>
      </c>
      <c r="B1963" t="s">
        <v>5710</v>
      </c>
      <c r="C1963">
        <v>9308</v>
      </c>
      <c r="D1963" t="s">
        <v>6363</v>
      </c>
      <c r="E1963" t="s">
        <v>6364</v>
      </c>
      <c r="F1963" t="s">
        <v>6361</v>
      </c>
      <c r="G1963" s="43">
        <v>0</v>
      </c>
      <c r="H1963" s="63">
        <v>0.1</v>
      </c>
    </row>
    <row r="1964" spans="1:8" x14ac:dyDescent="0.55000000000000004">
      <c r="A1964" s="61" t="s">
        <v>6937</v>
      </c>
      <c r="B1964" t="s">
        <v>5710</v>
      </c>
      <c r="C1964">
        <v>9308</v>
      </c>
      <c r="D1964" t="s">
        <v>6362</v>
      </c>
      <c r="E1964" t="s">
        <v>6358</v>
      </c>
      <c r="F1964" t="s">
        <v>6358</v>
      </c>
      <c r="G1964" s="62">
        <v>4.2200000000000001E-2</v>
      </c>
      <c r="H1964" s="63">
        <v>1</v>
      </c>
    </row>
    <row r="1965" spans="1:8" x14ac:dyDescent="0.55000000000000004">
      <c r="A1965" s="61" t="s">
        <v>6937</v>
      </c>
      <c r="B1965" t="s">
        <v>5710</v>
      </c>
      <c r="C1965">
        <v>9308</v>
      </c>
      <c r="D1965" t="s">
        <v>6365</v>
      </c>
      <c r="E1965" t="s">
        <v>6366</v>
      </c>
      <c r="F1965" t="s">
        <v>6361</v>
      </c>
      <c r="G1965" s="43">
        <v>0</v>
      </c>
      <c r="H1965" s="63">
        <v>-0.1</v>
      </c>
    </row>
    <row r="1966" spans="1:8" x14ac:dyDescent="0.55000000000000004">
      <c r="A1966" s="61" t="s">
        <v>6938</v>
      </c>
      <c r="B1966" t="s">
        <v>5710</v>
      </c>
      <c r="C1966">
        <v>9309</v>
      </c>
      <c r="D1966" t="s">
        <v>6359</v>
      </c>
      <c r="E1966" t="s">
        <v>6379</v>
      </c>
      <c r="F1966" t="s">
        <v>6361</v>
      </c>
      <c r="G1966" s="43">
        <v>0</v>
      </c>
      <c r="H1966" s="63">
        <v>0.9</v>
      </c>
    </row>
    <row r="1967" spans="1:8" x14ac:dyDescent="0.55000000000000004">
      <c r="A1967" s="61" t="s">
        <v>6938</v>
      </c>
      <c r="B1967" t="s">
        <v>5710</v>
      </c>
      <c r="C1967">
        <v>9309</v>
      </c>
      <c r="D1967" t="s">
        <v>6363</v>
      </c>
      <c r="E1967" t="s">
        <v>6364</v>
      </c>
      <c r="F1967" t="s">
        <v>6361</v>
      </c>
      <c r="G1967" s="43">
        <v>0</v>
      </c>
      <c r="H1967" s="63">
        <v>0.1</v>
      </c>
    </row>
    <row r="1968" spans="1:8" x14ac:dyDescent="0.55000000000000004">
      <c r="A1968" s="61" t="s">
        <v>6938</v>
      </c>
      <c r="B1968" t="s">
        <v>5710</v>
      </c>
      <c r="C1968">
        <v>9309</v>
      </c>
      <c r="D1968" t="s">
        <v>6362</v>
      </c>
      <c r="E1968" t="s">
        <v>6358</v>
      </c>
      <c r="F1968" t="s">
        <v>6358</v>
      </c>
      <c r="G1968" s="62">
        <v>4.2200000000000001E-2</v>
      </c>
      <c r="H1968" s="63">
        <v>1</v>
      </c>
    </row>
    <row r="1969" spans="1:8" x14ac:dyDescent="0.55000000000000004">
      <c r="A1969" s="61" t="s">
        <v>6938</v>
      </c>
      <c r="B1969" t="s">
        <v>5710</v>
      </c>
      <c r="C1969">
        <v>9309</v>
      </c>
      <c r="D1969" t="s">
        <v>6365</v>
      </c>
      <c r="E1969" t="s">
        <v>6366</v>
      </c>
      <c r="F1969" t="s">
        <v>6361</v>
      </c>
      <c r="G1969" s="43">
        <v>0</v>
      </c>
      <c r="H1969" s="63">
        <v>-0.1</v>
      </c>
    </row>
    <row r="1970" spans="1:8" x14ac:dyDescent="0.55000000000000004">
      <c r="A1970" s="61" t="s">
        <v>6939</v>
      </c>
      <c r="B1970" t="s">
        <v>5710</v>
      </c>
      <c r="C1970">
        <v>9310</v>
      </c>
      <c r="D1970" t="s">
        <v>6359</v>
      </c>
      <c r="E1970" t="s">
        <v>6369</v>
      </c>
      <c r="F1970" t="s">
        <v>6361</v>
      </c>
      <c r="G1970" s="43">
        <v>0</v>
      </c>
      <c r="H1970" s="63">
        <v>0.9</v>
      </c>
    </row>
    <row r="1971" spans="1:8" x14ac:dyDescent="0.55000000000000004">
      <c r="A1971" s="61" t="s">
        <v>6939</v>
      </c>
      <c r="B1971" t="s">
        <v>5710</v>
      </c>
      <c r="C1971">
        <v>9310</v>
      </c>
      <c r="D1971" t="s">
        <v>6363</v>
      </c>
      <c r="E1971" t="s">
        <v>6364</v>
      </c>
      <c r="F1971" t="s">
        <v>6361</v>
      </c>
      <c r="G1971" s="43">
        <v>0</v>
      </c>
      <c r="H1971" s="63">
        <v>0.1</v>
      </c>
    </row>
    <row r="1972" spans="1:8" x14ac:dyDescent="0.55000000000000004">
      <c r="A1972" s="61" t="s">
        <v>6939</v>
      </c>
      <c r="B1972" t="s">
        <v>5710</v>
      </c>
      <c r="C1972">
        <v>9310</v>
      </c>
      <c r="D1972" t="s">
        <v>6362</v>
      </c>
      <c r="E1972" t="s">
        <v>6358</v>
      </c>
      <c r="F1972" t="s">
        <v>6358</v>
      </c>
      <c r="G1972" s="62">
        <v>4.2200000000000001E-2</v>
      </c>
      <c r="H1972" s="63">
        <v>1</v>
      </c>
    </row>
    <row r="1973" spans="1:8" x14ac:dyDescent="0.55000000000000004">
      <c r="A1973" s="61" t="s">
        <v>6939</v>
      </c>
      <c r="B1973" t="s">
        <v>5710</v>
      </c>
      <c r="C1973">
        <v>9310</v>
      </c>
      <c r="D1973" t="s">
        <v>6365</v>
      </c>
      <c r="E1973" t="s">
        <v>6366</v>
      </c>
      <c r="F1973" t="s">
        <v>6361</v>
      </c>
      <c r="G1973" s="43">
        <v>0</v>
      </c>
      <c r="H1973" s="63">
        <v>-0.1</v>
      </c>
    </row>
    <row r="1974" spans="1:8" x14ac:dyDescent="0.55000000000000004">
      <c r="A1974" s="61" t="s">
        <v>6940</v>
      </c>
      <c r="B1974" t="s">
        <v>4636</v>
      </c>
      <c r="C1974">
        <v>8701</v>
      </c>
      <c r="D1974" t="s">
        <v>6359</v>
      </c>
      <c r="E1974" t="s">
        <v>6360</v>
      </c>
      <c r="F1974" t="s">
        <v>6361</v>
      </c>
      <c r="G1974" s="43">
        <v>0</v>
      </c>
      <c r="H1974" s="63">
        <v>1</v>
      </c>
    </row>
    <row r="1975" spans="1:8" x14ac:dyDescent="0.55000000000000004">
      <c r="A1975" s="61" t="s">
        <v>6940</v>
      </c>
      <c r="B1975" t="s">
        <v>4636</v>
      </c>
      <c r="C1975">
        <v>8701</v>
      </c>
      <c r="D1975" t="s">
        <v>6362</v>
      </c>
      <c r="E1975" t="s">
        <v>6358</v>
      </c>
      <c r="F1975" t="s">
        <v>6358</v>
      </c>
      <c r="G1975" s="43">
        <v>9.1800000000000007E-2</v>
      </c>
      <c r="H1975" s="63">
        <v>1</v>
      </c>
    </row>
    <row r="1976" spans="1:8" x14ac:dyDescent="0.55000000000000004">
      <c r="A1976" s="61" t="s">
        <v>6941</v>
      </c>
      <c r="B1976" t="s">
        <v>4636</v>
      </c>
      <c r="C1976">
        <v>8710</v>
      </c>
      <c r="D1976" t="s">
        <v>6359</v>
      </c>
      <c r="E1976" t="s">
        <v>6360</v>
      </c>
      <c r="F1976" t="s">
        <v>6361</v>
      </c>
      <c r="G1976" s="43">
        <v>0</v>
      </c>
      <c r="H1976" s="63">
        <v>0.9</v>
      </c>
    </row>
    <row r="1977" spans="1:8" x14ac:dyDescent="0.55000000000000004">
      <c r="A1977" s="61" t="s">
        <v>6941</v>
      </c>
      <c r="B1977" t="s">
        <v>4636</v>
      </c>
      <c r="C1977">
        <v>8710</v>
      </c>
      <c r="D1977" t="s">
        <v>6363</v>
      </c>
      <c r="E1977" t="s">
        <v>6364</v>
      </c>
      <c r="F1977" t="s">
        <v>6361</v>
      </c>
      <c r="G1977" s="43">
        <v>0</v>
      </c>
      <c r="H1977" s="63">
        <v>0.1</v>
      </c>
    </row>
    <row r="1978" spans="1:8" x14ac:dyDescent="0.55000000000000004">
      <c r="A1978" s="61" t="s">
        <v>6941</v>
      </c>
      <c r="B1978" t="s">
        <v>4636</v>
      </c>
      <c r="C1978">
        <v>8710</v>
      </c>
      <c r="D1978" t="s">
        <v>6362</v>
      </c>
      <c r="E1978" t="s">
        <v>6358</v>
      </c>
      <c r="F1978" t="s">
        <v>6358</v>
      </c>
      <c r="G1978" s="43">
        <v>7.4800000000000005E-2</v>
      </c>
      <c r="H1978" s="63">
        <v>1</v>
      </c>
    </row>
    <row r="1979" spans="1:8" x14ac:dyDescent="0.55000000000000004">
      <c r="A1979" s="61" t="s">
        <v>6941</v>
      </c>
      <c r="B1979" t="s">
        <v>4636</v>
      </c>
      <c r="C1979">
        <v>8710</v>
      </c>
      <c r="D1979" t="s">
        <v>6365</v>
      </c>
      <c r="E1979" t="s">
        <v>6366</v>
      </c>
      <c r="F1979" t="s">
        <v>6361</v>
      </c>
      <c r="G1979" s="43">
        <v>0</v>
      </c>
      <c r="H1979" s="63">
        <v>-0.1</v>
      </c>
    </row>
    <row r="1980" spans="1:8" x14ac:dyDescent="0.55000000000000004">
      <c r="A1980" s="61" t="s">
        <v>6942</v>
      </c>
      <c r="B1980" t="s">
        <v>4636</v>
      </c>
      <c r="C1980">
        <v>9101</v>
      </c>
      <c r="D1980" t="s">
        <v>6359</v>
      </c>
      <c r="E1980" t="s">
        <v>6367</v>
      </c>
      <c r="F1980" t="s">
        <v>6361</v>
      </c>
      <c r="G1980" s="43">
        <v>0</v>
      </c>
      <c r="H1980" s="63">
        <v>1</v>
      </c>
    </row>
    <row r="1981" spans="1:8" x14ac:dyDescent="0.55000000000000004">
      <c r="A1981" s="61" t="s">
        <v>6942</v>
      </c>
      <c r="B1981" t="s">
        <v>4636</v>
      </c>
      <c r="C1981">
        <v>9101</v>
      </c>
      <c r="D1981" t="s">
        <v>6362</v>
      </c>
      <c r="E1981" t="s">
        <v>6358</v>
      </c>
      <c r="F1981" t="s">
        <v>6358</v>
      </c>
      <c r="G1981" s="43">
        <v>9.1800000000000007E-2</v>
      </c>
      <c r="H1981" s="63">
        <v>1</v>
      </c>
    </row>
    <row r="1982" spans="1:8" x14ac:dyDescent="0.55000000000000004">
      <c r="A1982" s="61" t="s">
        <v>6943</v>
      </c>
      <c r="B1982" t="s">
        <v>4636</v>
      </c>
      <c r="C1982">
        <v>9110</v>
      </c>
      <c r="D1982" t="s">
        <v>6359</v>
      </c>
      <c r="E1982" t="s">
        <v>6367</v>
      </c>
      <c r="F1982" t="s">
        <v>6361</v>
      </c>
      <c r="G1982" s="43">
        <v>0</v>
      </c>
      <c r="H1982" s="63">
        <v>0.9</v>
      </c>
    </row>
    <row r="1983" spans="1:8" x14ac:dyDescent="0.55000000000000004">
      <c r="A1983" s="61" t="s">
        <v>6943</v>
      </c>
      <c r="B1983" t="s">
        <v>4636</v>
      </c>
      <c r="C1983">
        <v>9110</v>
      </c>
      <c r="D1983" t="s">
        <v>6363</v>
      </c>
      <c r="E1983" t="s">
        <v>6364</v>
      </c>
      <c r="F1983" t="s">
        <v>6361</v>
      </c>
      <c r="G1983" s="43">
        <v>0</v>
      </c>
      <c r="H1983" s="63">
        <v>0.1</v>
      </c>
    </row>
    <row r="1984" spans="1:8" x14ac:dyDescent="0.55000000000000004">
      <c r="A1984" s="61" t="s">
        <v>6943</v>
      </c>
      <c r="B1984" t="s">
        <v>4636</v>
      </c>
      <c r="C1984">
        <v>9110</v>
      </c>
      <c r="D1984" t="s">
        <v>6362</v>
      </c>
      <c r="E1984" t="s">
        <v>6358</v>
      </c>
      <c r="F1984" t="s">
        <v>6358</v>
      </c>
      <c r="G1984" s="43">
        <v>7.4800000000000005E-2</v>
      </c>
      <c r="H1984" s="63">
        <v>1</v>
      </c>
    </row>
    <row r="1985" spans="1:8" x14ac:dyDescent="0.55000000000000004">
      <c r="A1985" s="61" t="s">
        <v>6943</v>
      </c>
      <c r="B1985" t="s">
        <v>4636</v>
      </c>
      <c r="C1985">
        <v>9110</v>
      </c>
      <c r="D1985" t="s">
        <v>6365</v>
      </c>
      <c r="E1985" t="s">
        <v>6366</v>
      </c>
      <c r="F1985" t="s">
        <v>6361</v>
      </c>
      <c r="G1985" s="43">
        <v>0</v>
      </c>
      <c r="H1985" s="63">
        <v>-0.1</v>
      </c>
    </row>
    <row r="1986" spans="1:8" x14ac:dyDescent="0.55000000000000004">
      <c r="A1986" s="61" t="s">
        <v>6944</v>
      </c>
      <c r="B1986" t="s">
        <v>156</v>
      </c>
      <c r="C1986">
        <v>8701</v>
      </c>
      <c r="D1986" t="s">
        <v>6359</v>
      </c>
      <c r="E1986" t="s">
        <v>6370</v>
      </c>
      <c r="F1986" t="s">
        <v>6361</v>
      </c>
      <c r="G1986" s="43">
        <v>0</v>
      </c>
      <c r="H1986" s="63">
        <v>1</v>
      </c>
    </row>
    <row r="1987" spans="1:8" x14ac:dyDescent="0.55000000000000004">
      <c r="A1987" s="61" t="s">
        <v>6944</v>
      </c>
      <c r="B1987" t="s">
        <v>156</v>
      </c>
      <c r="C1987">
        <v>8701</v>
      </c>
      <c r="D1987" t="s">
        <v>6362</v>
      </c>
      <c r="E1987" t="s">
        <v>6358</v>
      </c>
      <c r="F1987" t="s">
        <v>6358</v>
      </c>
      <c r="G1987" s="43">
        <v>5.16E-2</v>
      </c>
      <c r="H1987" s="63">
        <v>1</v>
      </c>
    </row>
    <row r="1988" spans="1:8" x14ac:dyDescent="0.55000000000000004">
      <c r="A1988" s="61" t="s">
        <v>6945</v>
      </c>
      <c r="B1988" t="s">
        <v>156</v>
      </c>
      <c r="C1988">
        <v>8710</v>
      </c>
      <c r="D1988" t="s">
        <v>6359</v>
      </c>
      <c r="E1988" t="s">
        <v>6370</v>
      </c>
      <c r="F1988" t="s">
        <v>6361</v>
      </c>
      <c r="G1988" s="43">
        <v>0</v>
      </c>
      <c r="H1988" s="63">
        <v>0.9</v>
      </c>
    </row>
    <row r="1989" spans="1:8" x14ac:dyDescent="0.55000000000000004">
      <c r="A1989" s="61" t="s">
        <v>6945</v>
      </c>
      <c r="B1989" t="s">
        <v>156</v>
      </c>
      <c r="C1989">
        <v>8710</v>
      </c>
      <c r="D1989" t="s">
        <v>6363</v>
      </c>
      <c r="E1989" t="s">
        <v>6364</v>
      </c>
      <c r="F1989" t="s">
        <v>6361</v>
      </c>
      <c r="G1989" s="43">
        <v>0</v>
      </c>
      <c r="H1989" s="63">
        <v>0.1</v>
      </c>
    </row>
    <row r="1990" spans="1:8" x14ac:dyDescent="0.55000000000000004">
      <c r="A1990" s="61" t="s">
        <v>6945</v>
      </c>
      <c r="B1990" t="s">
        <v>156</v>
      </c>
      <c r="C1990">
        <v>8710</v>
      </c>
      <c r="D1990" t="s">
        <v>6362</v>
      </c>
      <c r="E1990" t="s">
        <v>6358</v>
      </c>
      <c r="F1990" t="s">
        <v>6358</v>
      </c>
      <c r="G1990" s="43">
        <v>6.6699999999999995E-2</v>
      </c>
      <c r="H1990" s="63">
        <v>1</v>
      </c>
    </row>
    <row r="1991" spans="1:8" x14ac:dyDescent="0.55000000000000004">
      <c r="A1991" s="61" t="s">
        <v>6945</v>
      </c>
      <c r="B1991" t="s">
        <v>156</v>
      </c>
      <c r="C1991">
        <v>8710</v>
      </c>
      <c r="D1991" t="s">
        <v>6365</v>
      </c>
      <c r="E1991" t="s">
        <v>6366</v>
      </c>
      <c r="F1991" t="s">
        <v>6361</v>
      </c>
      <c r="G1991" s="43">
        <v>0</v>
      </c>
      <c r="H1991" s="63">
        <v>-0.1</v>
      </c>
    </row>
    <row r="1992" spans="1:8" x14ac:dyDescent="0.55000000000000004">
      <c r="A1992" s="61" t="s">
        <v>6946</v>
      </c>
      <c r="B1992" t="s">
        <v>156</v>
      </c>
      <c r="C1992">
        <v>9101</v>
      </c>
      <c r="D1992" t="s">
        <v>6359</v>
      </c>
      <c r="E1992" t="s">
        <v>6371</v>
      </c>
      <c r="F1992" t="s">
        <v>6361</v>
      </c>
      <c r="G1992" s="43">
        <v>0</v>
      </c>
      <c r="H1992" s="63">
        <v>1</v>
      </c>
    </row>
    <row r="1993" spans="1:8" x14ac:dyDescent="0.55000000000000004">
      <c r="A1993" s="61" t="s">
        <v>6946</v>
      </c>
      <c r="B1993" t="s">
        <v>156</v>
      </c>
      <c r="C1993">
        <v>9101</v>
      </c>
      <c r="D1993" t="s">
        <v>6362</v>
      </c>
      <c r="E1993" t="s">
        <v>6358</v>
      </c>
      <c r="F1993" t="s">
        <v>6358</v>
      </c>
      <c r="G1993" s="43">
        <v>5.16E-2</v>
      </c>
      <c r="H1993" s="63">
        <v>1</v>
      </c>
    </row>
    <row r="1994" spans="1:8" x14ac:dyDescent="0.55000000000000004">
      <c r="A1994" s="61" t="s">
        <v>6947</v>
      </c>
      <c r="B1994" t="s">
        <v>156</v>
      </c>
      <c r="C1994">
        <v>9204</v>
      </c>
      <c r="D1994" t="s">
        <v>6359</v>
      </c>
      <c r="E1994" t="s">
        <v>6371</v>
      </c>
      <c r="F1994" t="s">
        <v>6361</v>
      </c>
      <c r="G1994" s="43">
        <v>0</v>
      </c>
      <c r="H1994" s="63">
        <v>0.9</v>
      </c>
    </row>
    <row r="1995" spans="1:8" x14ac:dyDescent="0.55000000000000004">
      <c r="A1995" s="61" t="s">
        <v>6947</v>
      </c>
      <c r="B1995" t="s">
        <v>156</v>
      </c>
      <c r="C1995">
        <v>9204</v>
      </c>
      <c r="D1995" t="s">
        <v>6363</v>
      </c>
      <c r="E1995" t="s">
        <v>6364</v>
      </c>
      <c r="F1995" t="s">
        <v>6361</v>
      </c>
      <c r="G1995" s="43">
        <v>0</v>
      </c>
      <c r="H1995" s="63">
        <v>0.1</v>
      </c>
    </row>
    <row r="1996" spans="1:8" x14ac:dyDescent="0.55000000000000004">
      <c r="A1996" s="61" t="s">
        <v>6947</v>
      </c>
      <c r="B1996" t="s">
        <v>156</v>
      </c>
      <c r="C1996">
        <v>9204</v>
      </c>
      <c r="D1996" t="s">
        <v>6362</v>
      </c>
      <c r="E1996" t="s">
        <v>6358</v>
      </c>
      <c r="F1996" t="s">
        <v>6358</v>
      </c>
      <c r="G1996" s="43">
        <v>6.6699999999999995E-2</v>
      </c>
      <c r="H1996" s="63">
        <v>1</v>
      </c>
    </row>
    <row r="1997" spans="1:8" x14ac:dyDescent="0.55000000000000004">
      <c r="A1997" s="61" t="s">
        <v>6947</v>
      </c>
      <c r="B1997" t="s">
        <v>156</v>
      </c>
      <c r="C1997">
        <v>9204</v>
      </c>
      <c r="D1997" t="s">
        <v>6365</v>
      </c>
      <c r="E1997" t="s">
        <v>6366</v>
      </c>
      <c r="F1997" t="s">
        <v>6361</v>
      </c>
      <c r="G1997" s="43">
        <v>0</v>
      </c>
      <c r="H1997" s="63">
        <v>-0.1</v>
      </c>
    </row>
    <row r="1998" spans="1:8" x14ac:dyDescent="0.55000000000000004">
      <c r="A1998" s="61" t="s">
        <v>6948</v>
      </c>
      <c r="B1998" t="s">
        <v>156</v>
      </c>
      <c r="C1998">
        <v>9310</v>
      </c>
      <c r="D1998" t="s">
        <v>6359</v>
      </c>
      <c r="E1998" t="s">
        <v>6371</v>
      </c>
      <c r="F1998" t="s">
        <v>6361</v>
      </c>
      <c r="G1998" s="43">
        <v>0</v>
      </c>
      <c r="H1998" s="63">
        <v>0.9</v>
      </c>
    </row>
    <row r="1999" spans="1:8" x14ac:dyDescent="0.55000000000000004">
      <c r="A1999" s="61" t="s">
        <v>6948</v>
      </c>
      <c r="B1999" t="s">
        <v>156</v>
      </c>
      <c r="C1999">
        <v>9310</v>
      </c>
      <c r="D1999" t="s">
        <v>6363</v>
      </c>
      <c r="E1999" t="s">
        <v>6364</v>
      </c>
      <c r="F1999" t="s">
        <v>6361</v>
      </c>
      <c r="G1999" s="43">
        <v>0</v>
      </c>
      <c r="H1999" s="63">
        <v>0.1</v>
      </c>
    </row>
    <row r="2000" spans="1:8" x14ac:dyDescent="0.55000000000000004">
      <c r="A2000" s="61" t="s">
        <v>6948</v>
      </c>
      <c r="B2000" t="s">
        <v>156</v>
      </c>
      <c r="C2000">
        <v>9310</v>
      </c>
      <c r="D2000" t="s">
        <v>6362</v>
      </c>
      <c r="E2000" t="s">
        <v>6358</v>
      </c>
      <c r="F2000" t="s">
        <v>6358</v>
      </c>
      <c r="G2000" s="43">
        <v>6.6699999999999995E-2</v>
      </c>
      <c r="H2000" s="63">
        <v>1</v>
      </c>
    </row>
    <row r="2001" spans="1:8" x14ac:dyDescent="0.55000000000000004">
      <c r="A2001" s="61" t="s">
        <v>6948</v>
      </c>
      <c r="B2001" t="s">
        <v>156</v>
      </c>
      <c r="C2001">
        <v>9310</v>
      </c>
      <c r="D2001" t="s">
        <v>6365</v>
      </c>
      <c r="E2001" t="s">
        <v>6366</v>
      </c>
      <c r="F2001" t="s">
        <v>6361</v>
      </c>
      <c r="G2001" s="43">
        <v>0</v>
      </c>
      <c r="H2001" s="63">
        <v>-0.1</v>
      </c>
    </row>
    <row r="2002" spans="1:8" x14ac:dyDescent="0.55000000000000004">
      <c r="A2002" s="61" t="s">
        <v>6949</v>
      </c>
      <c r="B2002" t="s">
        <v>2746</v>
      </c>
      <c r="C2002">
        <v>8701</v>
      </c>
      <c r="D2002" t="s">
        <v>6359</v>
      </c>
      <c r="E2002" t="s">
        <v>6360</v>
      </c>
      <c r="F2002" t="s">
        <v>6361</v>
      </c>
      <c r="G2002" s="43">
        <v>0</v>
      </c>
      <c r="H2002" s="63">
        <v>1</v>
      </c>
    </row>
    <row r="2003" spans="1:8" x14ac:dyDescent="0.55000000000000004">
      <c r="A2003" s="61" t="s">
        <v>6949</v>
      </c>
      <c r="B2003" t="s">
        <v>2746</v>
      </c>
      <c r="C2003">
        <v>8701</v>
      </c>
      <c r="D2003" t="s">
        <v>6362</v>
      </c>
      <c r="E2003" t="s">
        <v>6358</v>
      </c>
      <c r="F2003" t="s">
        <v>6358</v>
      </c>
      <c r="G2003" s="43">
        <v>7.0099999999999996E-2</v>
      </c>
      <c r="H2003" s="63">
        <v>1</v>
      </c>
    </row>
    <row r="2004" spans="1:8" x14ac:dyDescent="0.55000000000000004">
      <c r="A2004" s="61" t="s">
        <v>6950</v>
      </c>
      <c r="B2004" t="s">
        <v>2746</v>
      </c>
      <c r="C2004">
        <v>8710</v>
      </c>
      <c r="D2004" t="s">
        <v>6359</v>
      </c>
      <c r="E2004" t="s">
        <v>6360</v>
      </c>
      <c r="F2004" t="s">
        <v>6361</v>
      </c>
      <c r="G2004" s="43">
        <v>0</v>
      </c>
      <c r="H2004" s="63">
        <v>0.9</v>
      </c>
    </row>
    <row r="2005" spans="1:8" x14ac:dyDescent="0.55000000000000004">
      <c r="A2005" s="61" t="s">
        <v>6950</v>
      </c>
      <c r="B2005" t="s">
        <v>2746</v>
      </c>
      <c r="C2005">
        <v>8710</v>
      </c>
      <c r="D2005" t="s">
        <v>6363</v>
      </c>
      <c r="E2005" t="s">
        <v>6364</v>
      </c>
      <c r="F2005" t="s">
        <v>6361</v>
      </c>
      <c r="G2005" s="43">
        <v>0</v>
      </c>
      <c r="H2005" s="63">
        <v>0.1</v>
      </c>
    </row>
    <row r="2006" spans="1:8" x14ac:dyDescent="0.55000000000000004">
      <c r="A2006" s="61" t="s">
        <v>6950</v>
      </c>
      <c r="B2006" t="s">
        <v>2746</v>
      </c>
      <c r="C2006">
        <v>8710</v>
      </c>
      <c r="D2006" t="s">
        <v>6362</v>
      </c>
      <c r="E2006" t="s">
        <v>6358</v>
      </c>
      <c r="F2006" t="s">
        <v>6358</v>
      </c>
      <c r="G2006" s="43">
        <v>5.5199999999999999E-2</v>
      </c>
      <c r="H2006" s="63">
        <v>1</v>
      </c>
    </row>
    <row r="2007" spans="1:8" x14ac:dyDescent="0.55000000000000004">
      <c r="A2007" s="61" t="s">
        <v>6950</v>
      </c>
      <c r="B2007" t="s">
        <v>2746</v>
      </c>
      <c r="C2007">
        <v>8710</v>
      </c>
      <c r="D2007" t="s">
        <v>6365</v>
      </c>
      <c r="E2007" t="s">
        <v>6366</v>
      </c>
      <c r="F2007" t="s">
        <v>6361</v>
      </c>
      <c r="G2007" s="43">
        <v>0</v>
      </c>
      <c r="H2007" s="63">
        <v>-0.1</v>
      </c>
    </row>
    <row r="2008" spans="1:8" x14ac:dyDescent="0.55000000000000004">
      <c r="A2008" s="61" t="s">
        <v>6951</v>
      </c>
      <c r="B2008" t="s">
        <v>2746</v>
      </c>
      <c r="C2008">
        <v>9101</v>
      </c>
      <c r="D2008" t="s">
        <v>6359</v>
      </c>
      <c r="E2008" t="s">
        <v>6367</v>
      </c>
      <c r="F2008" t="s">
        <v>6361</v>
      </c>
      <c r="G2008" s="43">
        <v>0</v>
      </c>
      <c r="H2008" s="63">
        <v>1</v>
      </c>
    </row>
    <row r="2009" spans="1:8" x14ac:dyDescent="0.55000000000000004">
      <c r="A2009" s="61" t="s">
        <v>6951</v>
      </c>
      <c r="B2009" t="s">
        <v>2746</v>
      </c>
      <c r="C2009">
        <v>9101</v>
      </c>
      <c r="D2009" t="s">
        <v>6362</v>
      </c>
      <c r="E2009" t="s">
        <v>6358</v>
      </c>
      <c r="F2009" t="s">
        <v>6358</v>
      </c>
      <c r="G2009" s="43">
        <v>7.0099999999999996E-2</v>
      </c>
      <c r="H2009" s="63">
        <v>1</v>
      </c>
    </row>
    <row r="2010" spans="1:8" x14ac:dyDescent="0.55000000000000004">
      <c r="A2010" s="61" t="s">
        <v>6952</v>
      </c>
      <c r="B2010" t="s">
        <v>2746</v>
      </c>
      <c r="C2010">
        <v>9110</v>
      </c>
      <c r="D2010" t="s">
        <v>6359</v>
      </c>
      <c r="E2010" t="s">
        <v>6367</v>
      </c>
      <c r="F2010" t="s">
        <v>6361</v>
      </c>
      <c r="G2010" s="43">
        <v>0</v>
      </c>
      <c r="H2010" s="63">
        <v>0.9</v>
      </c>
    </row>
    <row r="2011" spans="1:8" x14ac:dyDescent="0.55000000000000004">
      <c r="A2011" s="61" t="s">
        <v>6952</v>
      </c>
      <c r="B2011" t="s">
        <v>2746</v>
      </c>
      <c r="C2011">
        <v>9110</v>
      </c>
      <c r="D2011" t="s">
        <v>6363</v>
      </c>
      <c r="E2011" t="s">
        <v>6364</v>
      </c>
      <c r="F2011" t="s">
        <v>6361</v>
      </c>
      <c r="G2011" s="43">
        <v>0</v>
      </c>
      <c r="H2011" s="63">
        <v>0.1</v>
      </c>
    </row>
    <row r="2012" spans="1:8" x14ac:dyDescent="0.55000000000000004">
      <c r="A2012" s="61" t="s">
        <v>6952</v>
      </c>
      <c r="B2012" t="s">
        <v>2746</v>
      </c>
      <c r="C2012">
        <v>9110</v>
      </c>
      <c r="D2012" t="s">
        <v>6362</v>
      </c>
      <c r="E2012" t="s">
        <v>6358</v>
      </c>
      <c r="F2012" t="s">
        <v>6358</v>
      </c>
      <c r="G2012" s="43">
        <v>5.5199999999999999E-2</v>
      </c>
      <c r="H2012" s="63">
        <v>1</v>
      </c>
    </row>
    <row r="2013" spans="1:8" x14ac:dyDescent="0.55000000000000004">
      <c r="A2013" s="61" t="s">
        <v>6952</v>
      </c>
      <c r="B2013" t="s">
        <v>2746</v>
      </c>
      <c r="C2013">
        <v>9110</v>
      </c>
      <c r="D2013" t="s">
        <v>6365</v>
      </c>
      <c r="E2013" t="s">
        <v>6366</v>
      </c>
      <c r="F2013" t="s">
        <v>6361</v>
      </c>
      <c r="G2013" s="43">
        <v>0</v>
      </c>
      <c r="H2013" s="63">
        <v>-0.1</v>
      </c>
    </row>
    <row r="2014" spans="1:8" x14ac:dyDescent="0.55000000000000004">
      <c r="A2014" s="61" t="s">
        <v>6953</v>
      </c>
      <c r="B2014" t="s">
        <v>2899</v>
      </c>
      <c r="C2014">
        <v>8710</v>
      </c>
      <c r="D2014" t="s">
        <v>6359</v>
      </c>
      <c r="E2014" t="s">
        <v>6370</v>
      </c>
      <c r="F2014" t="s">
        <v>6361</v>
      </c>
      <c r="G2014" s="43">
        <v>0</v>
      </c>
      <c r="H2014" s="63">
        <v>0.9</v>
      </c>
    </row>
    <row r="2015" spans="1:8" x14ac:dyDescent="0.55000000000000004">
      <c r="A2015" s="61" t="s">
        <v>6953</v>
      </c>
      <c r="B2015" t="s">
        <v>2899</v>
      </c>
      <c r="C2015">
        <v>8710</v>
      </c>
      <c r="D2015" t="s">
        <v>6363</v>
      </c>
      <c r="E2015" t="s">
        <v>6364</v>
      </c>
      <c r="F2015" t="s">
        <v>6361</v>
      </c>
      <c r="G2015" s="43">
        <v>0</v>
      </c>
      <c r="H2015" s="63">
        <v>0.1</v>
      </c>
    </row>
    <row r="2016" spans="1:8" x14ac:dyDescent="0.55000000000000004">
      <c r="A2016" s="61" t="s">
        <v>6953</v>
      </c>
      <c r="B2016" t="s">
        <v>2899</v>
      </c>
      <c r="C2016">
        <v>8710</v>
      </c>
      <c r="D2016" t="s">
        <v>6362</v>
      </c>
      <c r="E2016" t="s">
        <v>6358</v>
      </c>
      <c r="F2016" t="s">
        <v>6358</v>
      </c>
      <c r="G2016" s="62">
        <v>0.16869999999999999</v>
      </c>
      <c r="H2016" s="63">
        <v>1</v>
      </c>
    </row>
    <row r="2017" spans="1:8" x14ac:dyDescent="0.55000000000000004">
      <c r="A2017" s="61" t="s">
        <v>6953</v>
      </c>
      <c r="B2017" t="s">
        <v>2899</v>
      </c>
      <c r="C2017">
        <v>8710</v>
      </c>
      <c r="D2017" t="s">
        <v>6365</v>
      </c>
      <c r="E2017" t="s">
        <v>6366</v>
      </c>
      <c r="F2017" t="s">
        <v>6361</v>
      </c>
      <c r="G2017" s="43">
        <v>0</v>
      </c>
      <c r="H2017" s="63">
        <v>-0.1</v>
      </c>
    </row>
    <row r="2018" spans="1:8" x14ac:dyDescent="0.55000000000000004">
      <c r="A2018" s="61" t="s">
        <v>6954</v>
      </c>
      <c r="B2018" t="s">
        <v>2899</v>
      </c>
      <c r="C2018">
        <v>9110</v>
      </c>
      <c r="D2018" t="s">
        <v>6359</v>
      </c>
      <c r="E2018" t="s">
        <v>6371</v>
      </c>
      <c r="F2018" t="s">
        <v>6361</v>
      </c>
      <c r="G2018" s="43">
        <v>0</v>
      </c>
      <c r="H2018" s="63">
        <v>0.9</v>
      </c>
    </row>
    <row r="2019" spans="1:8" x14ac:dyDescent="0.55000000000000004">
      <c r="A2019" s="61" t="s">
        <v>6954</v>
      </c>
      <c r="B2019" t="s">
        <v>2899</v>
      </c>
      <c r="C2019">
        <v>9110</v>
      </c>
      <c r="D2019" t="s">
        <v>6363</v>
      </c>
      <c r="E2019" t="s">
        <v>6364</v>
      </c>
      <c r="F2019" t="s">
        <v>6361</v>
      </c>
      <c r="G2019" s="43">
        <v>0</v>
      </c>
      <c r="H2019" s="63">
        <v>0.1</v>
      </c>
    </row>
    <row r="2020" spans="1:8" x14ac:dyDescent="0.55000000000000004">
      <c r="A2020" s="61" t="s">
        <v>6954</v>
      </c>
      <c r="B2020" t="s">
        <v>2899</v>
      </c>
      <c r="C2020">
        <v>9110</v>
      </c>
      <c r="D2020" t="s">
        <v>6362</v>
      </c>
      <c r="E2020" t="s">
        <v>6358</v>
      </c>
      <c r="F2020" t="s">
        <v>6358</v>
      </c>
      <c r="G2020" s="62">
        <v>0.16869999999999999</v>
      </c>
      <c r="H2020" s="63">
        <v>1</v>
      </c>
    </row>
    <row r="2021" spans="1:8" x14ac:dyDescent="0.55000000000000004">
      <c r="A2021" s="61" t="s">
        <v>6954</v>
      </c>
      <c r="B2021" t="s">
        <v>2899</v>
      </c>
      <c r="C2021">
        <v>9110</v>
      </c>
      <c r="D2021" t="s">
        <v>6365</v>
      </c>
      <c r="E2021" t="s">
        <v>6366</v>
      </c>
      <c r="F2021" t="s">
        <v>6361</v>
      </c>
      <c r="G2021" s="43">
        <v>0</v>
      </c>
      <c r="H2021" s="63">
        <v>-0.1</v>
      </c>
    </row>
    <row r="2022" spans="1:8" x14ac:dyDescent="0.55000000000000004">
      <c r="A2022" s="61" t="s">
        <v>6955</v>
      </c>
      <c r="B2022" t="s">
        <v>1879</v>
      </c>
      <c r="C2022">
        <v>8710</v>
      </c>
      <c r="D2022" t="s">
        <v>6359</v>
      </c>
      <c r="E2022" t="s">
        <v>6368</v>
      </c>
      <c r="F2022" t="s">
        <v>6361</v>
      </c>
      <c r="G2022" s="43">
        <v>0</v>
      </c>
      <c r="H2022" s="63">
        <v>0.9</v>
      </c>
    </row>
    <row r="2023" spans="1:8" x14ac:dyDescent="0.55000000000000004">
      <c r="A2023" s="61" t="s">
        <v>6955</v>
      </c>
      <c r="B2023" t="s">
        <v>1879</v>
      </c>
      <c r="C2023">
        <v>8710</v>
      </c>
      <c r="D2023" t="s">
        <v>6363</v>
      </c>
      <c r="E2023" t="s">
        <v>6364</v>
      </c>
      <c r="F2023" t="s">
        <v>6361</v>
      </c>
      <c r="G2023" s="43">
        <v>0</v>
      </c>
      <c r="H2023" s="63">
        <v>0.1</v>
      </c>
    </row>
    <row r="2024" spans="1:8" x14ac:dyDescent="0.55000000000000004">
      <c r="A2024" s="61" t="s">
        <v>6955</v>
      </c>
      <c r="B2024" t="s">
        <v>1879</v>
      </c>
      <c r="C2024">
        <v>8710</v>
      </c>
      <c r="D2024" t="s">
        <v>6362</v>
      </c>
      <c r="E2024" t="s">
        <v>6358</v>
      </c>
      <c r="F2024" t="s">
        <v>6358</v>
      </c>
      <c r="G2024" s="43">
        <v>5.3100000000000001E-2</v>
      </c>
      <c r="H2024" s="63">
        <v>1</v>
      </c>
    </row>
    <row r="2025" spans="1:8" x14ac:dyDescent="0.55000000000000004">
      <c r="A2025" s="61" t="s">
        <v>6955</v>
      </c>
      <c r="B2025" t="s">
        <v>1879</v>
      </c>
      <c r="C2025">
        <v>8710</v>
      </c>
      <c r="D2025" t="s">
        <v>6365</v>
      </c>
      <c r="E2025" t="s">
        <v>6366</v>
      </c>
      <c r="F2025" t="s">
        <v>6361</v>
      </c>
      <c r="G2025" s="43">
        <v>0</v>
      </c>
      <c r="H2025" s="63">
        <v>-0.1</v>
      </c>
    </row>
    <row r="2026" spans="1:8" x14ac:dyDescent="0.55000000000000004">
      <c r="A2026" s="61" t="s">
        <v>6956</v>
      </c>
      <c r="B2026" t="s">
        <v>1879</v>
      </c>
      <c r="C2026">
        <v>9204</v>
      </c>
      <c r="D2026" t="s">
        <v>6359</v>
      </c>
      <c r="E2026" t="s">
        <v>6369</v>
      </c>
      <c r="F2026" t="s">
        <v>6361</v>
      </c>
      <c r="G2026" s="43">
        <v>0</v>
      </c>
      <c r="H2026" s="63">
        <v>0.9</v>
      </c>
    </row>
    <row r="2027" spans="1:8" x14ac:dyDescent="0.55000000000000004">
      <c r="A2027" s="61" t="s">
        <v>6956</v>
      </c>
      <c r="B2027" t="s">
        <v>1879</v>
      </c>
      <c r="C2027">
        <v>9204</v>
      </c>
      <c r="D2027" t="s">
        <v>6363</v>
      </c>
      <c r="E2027" t="s">
        <v>6364</v>
      </c>
      <c r="F2027" t="s">
        <v>6361</v>
      </c>
      <c r="G2027" s="43">
        <v>0</v>
      </c>
      <c r="H2027" s="63">
        <v>0.1</v>
      </c>
    </row>
    <row r="2028" spans="1:8" x14ac:dyDescent="0.55000000000000004">
      <c r="A2028" s="61" t="s">
        <v>6956</v>
      </c>
      <c r="B2028" t="s">
        <v>1879</v>
      </c>
      <c r="C2028">
        <v>9204</v>
      </c>
      <c r="D2028" t="s">
        <v>6362</v>
      </c>
      <c r="E2028" t="s">
        <v>6358</v>
      </c>
      <c r="F2028" t="s">
        <v>6358</v>
      </c>
      <c r="G2028" s="43">
        <v>5.3100000000000001E-2</v>
      </c>
      <c r="H2028" s="63">
        <v>1</v>
      </c>
    </row>
    <row r="2029" spans="1:8" x14ac:dyDescent="0.55000000000000004">
      <c r="A2029" s="61" t="s">
        <v>6956</v>
      </c>
      <c r="B2029" t="s">
        <v>1879</v>
      </c>
      <c r="C2029">
        <v>9204</v>
      </c>
      <c r="D2029" t="s">
        <v>6365</v>
      </c>
      <c r="E2029" t="s">
        <v>6366</v>
      </c>
      <c r="F2029" t="s">
        <v>6361</v>
      </c>
      <c r="G2029" s="43">
        <v>0</v>
      </c>
      <c r="H2029" s="63">
        <v>-0.1</v>
      </c>
    </row>
    <row r="2030" spans="1:8" x14ac:dyDescent="0.55000000000000004">
      <c r="A2030" s="61" t="s">
        <v>6957</v>
      </c>
      <c r="B2030" t="s">
        <v>1879</v>
      </c>
      <c r="C2030">
        <v>9310</v>
      </c>
      <c r="D2030" t="s">
        <v>6359</v>
      </c>
      <c r="E2030" t="s">
        <v>6369</v>
      </c>
      <c r="F2030" t="s">
        <v>6361</v>
      </c>
      <c r="G2030" s="43">
        <v>0</v>
      </c>
      <c r="H2030" s="63">
        <v>0.9</v>
      </c>
    </row>
    <row r="2031" spans="1:8" x14ac:dyDescent="0.55000000000000004">
      <c r="A2031" s="61" t="s">
        <v>6957</v>
      </c>
      <c r="B2031" t="s">
        <v>1879</v>
      </c>
      <c r="C2031">
        <v>9310</v>
      </c>
      <c r="D2031" t="s">
        <v>6363</v>
      </c>
      <c r="E2031" t="s">
        <v>6364</v>
      </c>
      <c r="F2031" t="s">
        <v>6361</v>
      </c>
      <c r="G2031" s="43">
        <v>0</v>
      </c>
      <c r="H2031" s="63">
        <v>0.1</v>
      </c>
    </row>
    <row r="2032" spans="1:8" x14ac:dyDescent="0.55000000000000004">
      <c r="A2032" s="61" t="s">
        <v>6957</v>
      </c>
      <c r="B2032" t="s">
        <v>1879</v>
      </c>
      <c r="C2032">
        <v>9310</v>
      </c>
      <c r="D2032" t="s">
        <v>6362</v>
      </c>
      <c r="E2032" t="s">
        <v>6358</v>
      </c>
      <c r="F2032" t="s">
        <v>6358</v>
      </c>
      <c r="G2032" s="43">
        <v>5.3100000000000001E-2</v>
      </c>
      <c r="H2032" s="63">
        <v>1</v>
      </c>
    </row>
    <row r="2033" spans="1:8" x14ac:dyDescent="0.55000000000000004">
      <c r="A2033" s="61" t="s">
        <v>6957</v>
      </c>
      <c r="B2033" t="s">
        <v>1879</v>
      </c>
      <c r="C2033">
        <v>9310</v>
      </c>
      <c r="D2033" t="s">
        <v>6365</v>
      </c>
      <c r="E2033" t="s">
        <v>6366</v>
      </c>
      <c r="F2033" t="s">
        <v>6361</v>
      </c>
      <c r="G2033" s="43">
        <v>0</v>
      </c>
      <c r="H2033" s="63">
        <v>-0.1</v>
      </c>
    </row>
    <row r="2034" spans="1:8" x14ac:dyDescent="0.55000000000000004">
      <c r="A2034" s="61" t="s">
        <v>6958</v>
      </c>
      <c r="B2034" t="s">
        <v>2542</v>
      </c>
      <c r="C2034">
        <v>8710</v>
      </c>
      <c r="D2034" t="s">
        <v>6359</v>
      </c>
      <c r="E2034" t="s">
        <v>6368</v>
      </c>
      <c r="F2034" t="s">
        <v>6361</v>
      </c>
      <c r="G2034" s="43">
        <v>0</v>
      </c>
      <c r="H2034" s="63">
        <v>0.9</v>
      </c>
    </row>
    <row r="2035" spans="1:8" x14ac:dyDescent="0.55000000000000004">
      <c r="A2035" s="61" t="s">
        <v>6958</v>
      </c>
      <c r="B2035" t="s">
        <v>2542</v>
      </c>
      <c r="C2035">
        <v>8710</v>
      </c>
      <c r="D2035" t="s">
        <v>6363</v>
      </c>
      <c r="E2035" t="s">
        <v>6364</v>
      </c>
      <c r="F2035" t="s">
        <v>6361</v>
      </c>
      <c r="G2035" s="43">
        <v>0</v>
      </c>
      <c r="H2035" s="63">
        <v>0.1</v>
      </c>
    </row>
    <row r="2036" spans="1:8" x14ac:dyDescent="0.55000000000000004">
      <c r="A2036" s="61" t="s">
        <v>6958</v>
      </c>
      <c r="B2036" t="s">
        <v>2542</v>
      </c>
      <c r="C2036">
        <v>8710</v>
      </c>
      <c r="D2036" t="s">
        <v>6362</v>
      </c>
      <c r="E2036" t="s">
        <v>6358</v>
      </c>
      <c r="F2036" t="s">
        <v>6358</v>
      </c>
      <c r="G2036" s="43">
        <v>7.1300000000000002E-2</v>
      </c>
      <c r="H2036" s="63">
        <v>1</v>
      </c>
    </row>
    <row r="2037" spans="1:8" x14ac:dyDescent="0.55000000000000004">
      <c r="A2037" s="61" t="s">
        <v>6958</v>
      </c>
      <c r="B2037" t="s">
        <v>2542</v>
      </c>
      <c r="C2037">
        <v>8710</v>
      </c>
      <c r="D2037" t="s">
        <v>6365</v>
      </c>
      <c r="E2037" t="s">
        <v>6366</v>
      </c>
      <c r="F2037" t="s">
        <v>6361</v>
      </c>
      <c r="G2037" s="43">
        <v>0</v>
      </c>
      <c r="H2037" s="63">
        <v>-0.1</v>
      </c>
    </row>
    <row r="2038" spans="1:8" x14ac:dyDescent="0.55000000000000004">
      <c r="A2038" s="61" t="s">
        <v>6959</v>
      </c>
      <c r="B2038" t="s">
        <v>2542</v>
      </c>
      <c r="C2038">
        <v>9310</v>
      </c>
      <c r="D2038" t="s">
        <v>6359</v>
      </c>
      <c r="E2038" t="s">
        <v>6369</v>
      </c>
      <c r="F2038" t="s">
        <v>6361</v>
      </c>
      <c r="G2038" s="43">
        <v>0</v>
      </c>
      <c r="H2038" s="63">
        <v>0.9</v>
      </c>
    </row>
    <row r="2039" spans="1:8" x14ac:dyDescent="0.55000000000000004">
      <c r="A2039" s="61" t="s">
        <v>6959</v>
      </c>
      <c r="B2039" t="s">
        <v>2542</v>
      </c>
      <c r="C2039">
        <v>9310</v>
      </c>
      <c r="D2039" t="s">
        <v>6363</v>
      </c>
      <c r="E2039" t="s">
        <v>6364</v>
      </c>
      <c r="F2039" t="s">
        <v>6361</v>
      </c>
      <c r="G2039" s="43">
        <v>0</v>
      </c>
      <c r="H2039" s="63">
        <v>0.1</v>
      </c>
    </row>
    <row r="2040" spans="1:8" x14ac:dyDescent="0.55000000000000004">
      <c r="A2040" s="61" t="s">
        <v>6959</v>
      </c>
      <c r="B2040" t="s">
        <v>2542</v>
      </c>
      <c r="C2040">
        <v>9310</v>
      </c>
      <c r="D2040" t="s">
        <v>6362</v>
      </c>
      <c r="E2040" t="s">
        <v>6358</v>
      </c>
      <c r="F2040" t="s">
        <v>6358</v>
      </c>
      <c r="G2040" s="43">
        <v>7.1300000000000002E-2</v>
      </c>
      <c r="H2040" s="63">
        <v>1</v>
      </c>
    </row>
    <row r="2041" spans="1:8" x14ac:dyDescent="0.55000000000000004">
      <c r="A2041" s="61" t="s">
        <v>6959</v>
      </c>
      <c r="B2041" t="s">
        <v>2542</v>
      </c>
      <c r="C2041">
        <v>9310</v>
      </c>
      <c r="D2041" t="s">
        <v>6365</v>
      </c>
      <c r="E2041" t="s">
        <v>6366</v>
      </c>
      <c r="F2041" t="s">
        <v>6361</v>
      </c>
      <c r="G2041" s="43">
        <v>0</v>
      </c>
      <c r="H2041" s="63">
        <v>-0.1</v>
      </c>
    </row>
    <row r="2042" spans="1:8" x14ac:dyDescent="0.55000000000000004">
      <c r="A2042" s="61" t="s">
        <v>6960</v>
      </c>
      <c r="B2042" t="s">
        <v>4811</v>
      </c>
      <c r="C2042">
        <v>8701</v>
      </c>
      <c r="D2042" t="s">
        <v>6359</v>
      </c>
      <c r="E2042" t="s">
        <v>6370</v>
      </c>
      <c r="F2042" t="s">
        <v>6361</v>
      </c>
      <c r="G2042" s="43">
        <v>0</v>
      </c>
      <c r="H2042" s="63">
        <v>1</v>
      </c>
    </row>
    <row r="2043" spans="1:8" x14ac:dyDescent="0.55000000000000004">
      <c r="A2043" s="61" t="s">
        <v>6960</v>
      </c>
      <c r="B2043" t="s">
        <v>4811</v>
      </c>
      <c r="C2043">
        <v>8701</v>
      </c>
      <c r="D2043" t="s">
        <v>6362</v>
      </c>
      <c r="E2043" t="s">
        <v>6358</v>
      </c>
      <c r="F2043" t="s">
        <v>6358</v>
      </c>
      <c r="G2043" s="43">
        <v>6.0699999999999997E-2</v>
      </c>
      <c r="H2043" s="63">
        <v>1</v>
      </c>
    </row>
    <row r="2044" spans="1:8" x14ac:dyDescent="0.55000000000000004">
      <c r="A2044" s="61" t="s">
        <v>6961</v>
      </c>
      <c r="B2044" t="s">
        <v>4811</v>
      </c>
      <c r="C2044">
        <v>8708</v>
      </c>
      <c r="D2044" t="s">
        <v>6359</v>
      </c>
      <c r="E2044" t="s">
        <v>6370</v>
      </c>
      <c r="F2044" t="s">
        <v>6361</v>
      </c>
      <c r="G2044" s="43">
        <v>0</v>
      </c>
      <c r="H2044" s="63">
        <v>0.9</v>
      </c>
    </row>
    <row r="2045" spans="1:8" x14ac:dyDescent="0.55000000000000004">
      <c r="A2045" s="61" t="s">
        <v>6961</v>
      </c>
      <c r="B2045" t="s">
        <v>4811</v>
      </c>
      <c r="C2045">
        <v>8708</v>
      </c>
      <c r="D2045" t="s">
        <v>6363</v>
      </c>
      <c r="E2045" t="s">
        <v>6364</v>
      </c>
      <c r="F2045" t="s">
        <v>6361</v>
      </c>
      <c r="G2045" s="43">
        <v>0</v>
      </c>
      <c r="H2045" s="63">
        <v>0.1</v>
      </c>
    </row>
    <row r="2046" spans="1:8" x14ac:dyDescent="0.55000000000000004">
      <c r="A2046" s="61" t="s">
        <v>6961</v>
      </c>
      <c r="B2046" t="s">
        <v>4811</v>
      </c>
      <c r="C2046">
        <v>8708</v>
      </c>
      <c r="D2046" t="s">
        <v>6362</v>
      </c>
      <c r="E2046" t="s">
        <v>6358</v>
      </c>
      <c r="F2046" t="s">
        <v>6358</v>
      </c>
      <c r="G2046" s="43">
        <v>7.4099999999999999E-2</v>
      </c>
      <c r="H2046" s="63">
        <v>1</v>
      </c>
    </row>
    <row r="2047" spans="1:8" x14ac:dyDescent="0.55000000000000004">
      <c r="A2047" s="61" t="s">
        <v>6961</v>
      </c>
      <c r="B2047" t="s">
        <v>4811</v>
      </c>
      <c r="C2047">
        <v>8708</v>
      </c>
      <c r="D2047" t="s">
        <v>6365</v>
      </c>
      <c r="E2047" t="s">
        <v>6366</v>
      </c>
      <c r="F2047" t="s">
        <v>6361</v>
      </c>
      <c r="G2047" s="43">
        <v>0</v>
      </c>
      <c r="H2047" s="63">
        <v>-0.1</v>
      </c>
    </row>
    <row r="2048" spans="1:8" x14ac:dyDescent="0.55000000000000004">
      <c r="A2048" s="61" t="s">
        <v>6962</v>
      </c>
      <c r="B2048" t="s">
        <v>4811</v>
      </c>
      <c r="C2048">
        <v>8710</v>
      </c>
      <c r="D2048" t="s">
        <v>6359</v>
      </c>
      <c r="E2048" t="s">
        <v>6370</v>
      </c>
      <c r="F2048" t="s">
        <v>6361</v>
      </c>
      <c r="G2048" s="43">
        <v>0</v>
      </c>
      <c r="H2048" s="63">
        <v>0.9</v>
      </c>
    </row>
    <row r="2049" spans="1:8" x14ac:dyDescent="0.55000000000000004">
      <c r="A2049" s="61" t="s">
        <v>6962</v>
      </c>
      <c r="B2049" t="s">
        <v>4811</v>
      </c>
      <c r="C2049">
        <v>8710</v>
      </c>
      <c r="D2049" t="s">
        <v>6363</v>
      </c>
      <c r="E2049" t="s">
        <v>6364</v>
      </c>
      <c r="F2049" t="s">
        <v>6361</v>
      </c>
      <c r="G2049" s="43">
        <v>0</v>
      </c>
      <c r="H2049" s="63">
        <v>0.1</v>
      </c>
    </row>
    <row r="2050" spans="1:8" x14ac:dyDescent="0.55000000000000004">
      <c r="A2050" s="61" t="s">
        <v>6962</v>
      </c>
      <c r="B2050" t="s">
        <v>4811</v>
      </c>
      <c r="C2050">
        <v>8710</v>
      </c>
      <c r="D2050" t="s">
        <v>6362</v>
      </c>
      <c r="E2050" t="s">
        <v>6358</v>
      </c>
      <c r="F2050" t="s">
        <v>6358</v>
      </c>
      <c r="G2050" s="43">
        <v>7.4099999999999999E-2</v>
      </c>
      <c r="H2050" s="63">
        <v>1</v>
      </c>
    </row>
    <row r="2051" spans="1:8" x14ac:dyDescent="0.55000000000000004">
      <c r="A2051" s="61" t="s">
        <v>6962</v>
      </c>
      <c r="B2051" t="s">
        <v>4811</v>
      </c>
      <c r="C2051">
        <v>8710</v>
      </c>
      <c r="D2051" t="s">
        <v>6365</v>
      </c>
      <c r="E2051" t="s">
        <v>6366</v>
      </c>
      <c r="F2051" t="s">
        <v>6361</v>
      </c>
      <c r="G2051" s="43">
        <v>0</v>
      </c>
      <c r="H2051" s="63">
        <v>-0.1</v>
      </c>
    </row>
    <row r="2052" spans="1:8" x14ac:dyDescent="0.55000000000000004">
      <c r="A2052" s="61" t="s">
        <v>6963</v>
      </c>
      <c r="B2052" t="s">
        <v>4811</v>
      </c>
      <c r="C2052">
        <v>9101</v>
      </c>
      <c r="D2052" t="s">
        <v>6359</v>
      </c>
      <c r="E2052" t="s">
        <v>6371</v>
      </c>
      <c r="F2052" t="s">
        <v>6361</v>
      </c>
      <c r="G2052" s="43">
        <v>0</v>
      </c>
      <c r="H2052" s="63">
        <v>1</v>
      </c>
    </row>
    <row r="2053" spans="1:8" x14ac:dyDescent="0.55000000000000004">
      <c r="A2053" s="61" t="s">
        <v>6963</v>
      </c>
      <c r="B2053" t="s">
        <v>4811</v>
      </c>
      <c r="C2053">
        <v>9101</v>
      </c>
      <c r="D2053" t="s">
        <v>6362</v>
      </c>
      <c r="E2053" t="s">
        <v>6358</v>
      </c>
      <c r="F2053" t="s">
        <v>6358</v>
      </c>
      <c r="G2053" s="43">
        <v>6.0699999999999997E-2</v>
      </c>
      <c r="H2053" s="63">
        <v>1</v>
      </c>
    </row>
    <row r="2054" spans="1:8" x14ac:dyDescent="0.55000000000000004">
      <c r="A2054" s="61" t="s">
        <v>6964</v>
      </c>
      <c r="B2054" t="s">
        <v>4811</v>
      </c>
      <c r="C2054">
        <v>9204</v>
      </c>
      <c r="D2054" t="s">
        <v>6359</v>
      </c>
      <c r="E2054" t="s">
        <v>6371</v>
      </c>
      <c r="F2054" t="s">
        <v>6361</v>
      </c>
      <c r="G2054" s="43">
        <v>0</v>
      </c>
      <c r="H2054" s="63">
        <v>0.9</v>
      </c>
    </row>
    <row r="2055" spans="1:8" x14ac:dyDescent="0.55000000000000004">
      <c r="A2055" s="61" t="s">
        <v>6964</v>
      </c>
      <c r="B2055" t="s">
        <v>4811</v>
      </c>
      <c r="C2055">
        <v>9204</v>
      </c>
      <c r="D2055" t="s">
        <v>6363</v>
      </c>
      <c r="E2055" t="s">
        <v>6364</v>
      </c>
      <c r="F2055" t="s">
        <v>6361</v>
      </c>
      <c r="G2055" s="43">
        <v>0</v>
      </c>
      <c r="H2055" s="63">
        <v>0.1</v>
      </c>
    </row>
    <row r="2056" spans="1:8" x14ac:dyDescent="0.55000000000000004">
      <c r="A2056" s="61" t="s">
        <v>6964</v>
      </c>
      <c r="B2056" t="s">
        <v>4811</v>
      </c>
      <c r="C2056">
        <v>9204</v>
      </c>
      <c r="D2056" t="s">
        <v>6362</v>
      </c>
      <c r="E2056" t="s">
        <v>6358</v>
      </c>
      <c r="F2056" t="s">
        <v>6358</v>
      </c>
      <c r="G2056" s="43">
        <v>7.4099999999999999E-2</v>
      </c>
      <c r="H2056" s="63">
        <v>1</v>
      </c>
    </row>
    <row r="2057" spans="1:8" x14ac:dyDescent="0.55000000000000004">
      <c r="A2057" s="61" t="s">
        <v>6964</v>
      </c>
      <c r="B2057" t="s">
        <v>4811</v>
      </c>
      <c r="C2057">
        <v>9204</v>
      </c>
      <c r="D2057" t="s">
        <v>6365</v>
      </c>
      <c r="E2057" t="s">
        <v>6366</v>
      </c>
      <c r="F2057" t="s">
        <v>6361</v>
      </c>
      <c r="G2057" s="43">
        <v>0</v>
      </c>
      <c r="H2057" s="63">
        <v>-0.1</v>
      </c>
    </row>
    <row r="2058" spans="1:8" x14ac:dyDescent="0.55000000000000004">
      <c r="A2058" s="61" t="s">
        <v>6965</v>
      </c>
      <c r="B2058" t="s">
        <v>4811</v>
      </c>
      <c r="C2058">
        <v>9305</v>
      </c>
      <c r="D2058" t="s">
        <v>6359</v>
      </c>
      <c r="E2058" t="s">
        <v>6371</v>
      </c>
      <c r="F2058" t="s">
        <v>6361</v>
      </c>
      <c r="G2058" s="43">
        <v>0</v>
      </c>
      <c r="H2058" s="63">
        <v>0.9</v>
      </c>
    </row>
    <row r="2059" spans="1:8" x14ac:dyDescent="0.55000000000000004">
      <c r="A2059" s="61" t="s">
        <v>6965</v>
      </c>
      <c r="B2059" t="s">
        <v>4811</v>
      </c>
      <c r="C2059">
        <v>9305</v>
      </c>
      <c r="D2059" t="s">
        <v>6363</v>
      </c>
      <c r="E2059" t="s">
        <v>6364</v>
      </c>
      <c r="F2059" t="s">
        <v>6361</v>
      </c>
      <c r="G2059" s="43">
        <v>0</v>
      </c>
      <c r="H2059" s="63">
        <v>0.1</v>
      </c>
    </row>
    <row r="2060" spans="1:8" x14ac:dyDescent="0.55000000000000004">
      <c r="A2060" s="61" t="s">
        <v>6965</v>
      </c>
      <c r="B2060" t="s">
        <v>4811</v>
      </c>
      <c r="C2060">
        <v>9305</v>
      </c>
      <c r="D2060" t="s">
        <v>6362</v>
      </c>
      <c r="E2060" t="s">
        <v>6358</v>
      </c>
      <c r="F2060" t="s">
        <v>6358</v>
      </c>
      <c r="G2060" s="43">
        <v>7.4099999999999999E-2</v>
      </c>
      <c r="H2060" s="63">
        <v>1</v>
      </c>
    </row>
    <row r="2061" spans="1:8" x14ac:dyDescent="0.55000000000000004">
      <c r="A2061" s="61" t="s">
        <v>6965</v>
      </c>
      <c r="B2061" t="s">
        <v>4811</v>
      </c>
      <c r="C2061">
        <v>9305</v>
      </c>
      <c r="D2061" t="s">
        <v>6365</v>
      </c>
      <c r="E2061" t="s">
        <v>6366</v>
      </c>
      <c r="F2061" t="s">
        <v>6361</v>
      </c>
      <c r="G2061" s="43">
        <v>0</v>
      </c>
      <c r="H2061" s="63">
        <v>-0.1</v>
      </c>
    </row>
    <row r="2062" spans="1:8" x14ac:dyDescent="0.55000000000000004">
      <c r="A2062" s="61" t="s">
        <v>6966</v>
      </c>
      <c r="B2062" t="s">
        <v>4811</v>
      </c>
      <c r="C2062">
        <v>9310</v>
      </c>
      <c r="D2062" t="s">
        <v>6359</v>
      </c>
      <c r="E2062" t="s">
        <v>6371</v>
      </c>
      <c r="F2062" t="s">
        <v>6361</v>
      </c>
      <c r="G2062" s="43">
        <v>0</v>
      </c>
      <c r="H2062" s="63">
        <v>0.9</v>
      </c>
    </row>
    <row r="2063" spans="1:8" x14ac:dyDescent="0.55000000000000004">
      <c r="A2063" s="61" t="s">
        <v>6966</v>
      </c>
      <c r="B2063" t="s">
        <v>4811</v>
      </c>
      <c r="C2063">
        <v>9310</v>
      </c>
      <c r="D2063" t="s">
        <v>6363</v>
      </c>
      <c r="E2063" t="s">
        <v>6364</v>
      </c>
      <c r="F2063" t="s">
        <v>6361</v>
      </c>
      <c r="G2063" s="43">
        <v>0</v>
      </c>
      <c r="H2063" s="63">
        <v>0.1</v>
      </c>
    </row>
    <row r="2064" spans="1:8" x14ac:dyDescent="0.55000000000000004">
      <c r="A2064" s="61" t="s">
        <v>6966</v>
      </c>
      <c r="B2064" t="s">
        <v>4811</v>
      </c>
      <c r="C2064">
        <v>9310</v>
      </c>
      <c r="D2064" t="s">
        <v>6362</v>
      </c>
      <c r="E2064" t="s">
        <v>6358</v>
      </c>
      <c r="F2064" t="s">
        <v>6358</v>
      </c>
      <c r="G2064" s="43">
        <v>7.4099999999999999E-2</v>
      </c>
      <c r="H2064" s="63">
        <v>1</v>
      </c>
    </row>
    <row r="2065" spans="1:8" x14ac:dyDescent="0.55000000000000004">
      <c r="A2065" s="61" t="s">
        <v>6966</v>
      </c>
      <c r="B2065" t="s">
        <v>4811</v>
      </c>
      <c r="C2065">
        <v>9310</v>
      </c>
      <c r="D2065" t="s">
        <v>6365</v>
      </c>
      <c r="E2065" t="s">
        <v>6366</v>
      </c>
      <c r="F2065" t="s">
        <v>6361</v>
      </c>
      <c r="G2065" s="43">
        <v>0</v>
      </c>
      <c r="H2065" s="63">
        <v>-0.1</v>
      </c>
    </row>
    <row r="2066" spans="1:8" x14ac:dyDescent="0.55000000000000004">
      <c r="A2066" s="61" t="s">
        <v>6967</v>
      </c>
      <c r="B2066" t="s">
        <v>4416</v>
      </c>
      <c r="C2066">
        <v>8701</v>
      </c>
      <c r="D2066" t="s">
        <v>6359</v>
      </c>
      <c r="E2066" t="s">
        <v>6376</v>
      </c>
      <c r="F2066" t="s">
        <v>6361</v>
      </c>
      <c r="G2066" s="43">
        <v>0</v>
      </c>
      <c r="H2066" s="63">
        <v>1</v>
      </c>
    </row>
    <row r="2067" spans="1:8" x14ac:dyDescent="0.55000000000000004">
      <c r="A2067" s="61" t="s">
        <v>6967</v>
      </c>
      <c r="B2067" t="s">
        <v>4416</v>
      </c>
      <c r="C2067">
        <v>8701</v>
      </c>
      <c r="D2067" t="s">
        <v>6362</v>
      </c>
      <c r="E2067" t="s">
        <v>6358</v>
      </c>
      <c r="F2067" t="s">
        <v>6358</v>
      </c>
      <c r="G2067" s="43">
        <v>5.7000000000000002E-2</v>
      </c>
      <c r="H2067" s="63">
        <v>1</v>
      </c>
    </row>
    <row r="2068" spans="1:8" x14ac:dyDescent="0.55000000000000004">
      <c r="A2068" s="61" t="s">
        <v>6968</v>
      </c>
      <c r="B2068" t="s">
        <v>4416</v>
      </c>
      <c r="C2068">
        <v>8708</v>
      </c>
      <c r="D2068" t="s">
        <v>6359</v>
      </c>
      <c r="E2068" t="s">
        <v>6376</v>
      </c>
      <c r="F2068" t="s">
        <v>6361</v>
      </c>
      <c r="G2068" s="43">
        <v>0</v>
      </c>
      <c r="H2068" s="63">
        <v>0.9</v>
      </c>
    </row>
    <row r="2069" spans="1:8" x14ac:dyDescent="0.55000000000000004">
      <c r="A2069" s="61" t="s">
        <v>6968</v>
      </c>
      <c r="B2069" t="s">
        <v>4416</v>
      </c>
      <c r="C2069">
        <v>8708</v>
      </c>
      <c r="D2069" t="s">
        <v>6363</v>
      </c>
      <c r="E2069" t="s">
        <v>6364</v>
      </c>
      <c r="F2069" t="s">
        <v>6361</v>
      </c>
      <c r="G2069" s="43">
        <v>0</v>
      </c>
      <c r="H2069" s="63">
        <v>0.1</v>
      </c>
    </row>
    <row r="2070" spans="1:8" x14ac:dyDescent="0.55000000000000004">
      <c r="A2070" s="61" t="s">
        <v>6968</v>
      </c>
      <c r="B2070" t="s">
        <v>4416</v>
      </c>
      <c r="C2070">
        <v>8708</v>
      </c>
      <c r="D2070" t="s">
        <v>6362</v>
      </c>
      <c r="E2070" t="s">
        <v>6358</v>
      </c>
      <c r="F2070" t="s">
        <v>6358</v>
      </c>
      <c r="G2070" s="43">
        <v>6.7599999999999993E-2</v>
      </c>
      <c r="H2070" s="63">
        <v>1</v>
      </c>
    </row>
    <row r="2071" spans="1:8" x14ac:dyDescent="0.55000000000000004">
      <c r="A2071" s="61" t="s">
        <v>6968</v>
      </c>
      <c r="B2071" t="s">
        <v>4416</v>
      </c>
      <c r="C2071">
        <v>8708</v>
      </c>
      <c r="D2071" t="s">
        <v>6365</v>
      </c>
      <c r="E2071" t="s">
        <v>6366</v>
      </c>
      <c r="F2071" t="s">
        <v>6361</v>
      </c>
      <c r="G2071" s="43">
        <v>0</v>
      </c>
      <c r="H2071" s="63">
        <v>-0.1</v>
      </c>
    </row>
    <row r="2072" spans="1:8" x14ac:dyDescent="0.55000000000000004">
      <c r="A2072" s="61" t="s">
        <v>6969</v>
      </c>
      <c r="B2072" t="s">
        <v>4416</v>
      </c>
      <c r="C2072">
        <v>8710</v>
      </c>
      <c r="D2072" t="s">
        <v>6359</v>
      </c>
      <c r="E2072" t="s">
        <v>6376</v>
      </c>
      <c r="F2072" t="s">
        <v>6361</v>
      </c>
      <c r="G2072" s="43">
        <v>0</v>
      </c>
      <c r="H2072" s="63">
        <v>0.9</v>
      </c>
    </row>
    <row r="2073" spans="1:8" x14ac:dyDescent="0.55000000000000004">
      <c r="A2073" s="61" t="s">
        <v>6969</v>
      </c>
      <c r="B2073" t="s">
        <v>4416</v>
      </c>
      <c r="C2073">
        <v>8710</v>
      </c>
      <c r="D2073" t="s">
        <v>6363</v>
      </c>
      <c r="E2073" t="s">
        <v>6364</v>
      </c>
      <c r="F2073" t="s">
        <v>6361</v>
      </c>
      <c r="G2073" s="43">
        <v>0</v>
      </c>
      <c r="H2073" s="63">
        <v>0.1</v>
      </c>
    </row>
    <row r="2074" spans="1:8" x14ac:dyDescent="0.55000000000000004">
      <c r="A2074" s="61" t="s">
        <v>6969</v>
      </c>
      <c r="B2074" t="s">
        <v>4416</v>
      </c>
      <c r="C2074">
        <v>8710</v>
      </c>
      <c r="D2074" t="s">
        <v>6362</v>
      </c>
      <c r="E2074" t="s">
        <v>6358</v>
      </c>
      <c r="F2074" t="s">
        <v>6358</v>
      </c>
      <c r="G2074" s="43">
        <v>6.7599999999999993E-2</v>
      </c>
      <c r="H2074" s="63">
        <v>1</v>
      </c>
    </row>
    <row r="2075" spans="1:8" x14ac:dyDescent="0.55000000000000004">
      <c r="A2075" s="61" t="s">
        <v>6969</v>
      </c>
      <c r="B2075" t="s">
        <v>4416</v>
      </c>
      <c r="C2075">
        <v>8710</v>
      </c>
      <c r="D2075" t="s">
        <v>6365</v>
      </c>
      <c r="E2075" t="s">
        <v>6366</v>
      </c>
      <c r="F2075" t="s">
        <v>6361</v>
      </c>
      <c r="G2075" s="43">
        <v>0</v>
      </c>
      <c r="H2075" s="63">
        <v>-0.1</v>
      </c>
    </row>
    <row r="2076" spans="1:8" x14ac:dyDescent="0.55000000000000004">
      <c r="A2076" s="61" t="s">
        <v>6970</v>
      </c>
      <c r="B2076" t="s">
        <v>4416</v>
      </c>
      <c r="C2076">
        <v>9305</v>
      </c>
      <c r="D2076" t="s">
        <v>6359</v>
      </c>
      <c r="E2076" t="s">
        <v>6377</v>
      </c>
      <c r="F2076" t="s">
        <v>6361</v>
      </c>
      <c r="G2076" s="43">
        <v>0</v>
      </c>
      <c r="H2076" s="63">
        <v>0.9</v>
      </c>
    </row>
    <row r="2077" spans="1:8" x14ac:dyDescent="0.55000000000000004">
      <c r="A2077" s="61" t="s">
        <v>6970</v>
      </c>
      <c r="B2077" t="s">
        <v>4416</v>
      </c>
      <c r="C2077">
        <v>9305</v>
      </c>
      <c r="D2077" t="s">
        <v>6363</v>
      </c>
      <c r="E2077" t="s">
        <v>6364</v>
      </c>
      <c r="F2077" t="s">
        <v>6361</v>
      </c>
      <c r="G2077" s="43">
        <v>0</v>
      </c>
      <c r="H2077" s="63">
        <v>0.1</v>
      </c>
    </row>
    <row r="2078" spans="1:8" x14ac:dyDescent="0.55000000000000004">
      <c r="A2078" s="61" t="s">
        <v>6970</v>
      </c>
      <c r="B2078" t="s">
        <v>4416</v>
      </c>
      <c r="C2078">
        <v>9305</v>
      </c>
      <c r="D2078" t="s">
        <v>6362</v>
      </c>
      <c r="E2078" t="s">
        <v>6358</v>
      </c>
      <c r="F2078" t="s">
        <v>6358</v>
      </c>
      <c r="G2078" s="43">
        <v>6.7599999999999993E-2</v>
      </c>
      <c r="H2078" s="63">
        <v>1</v>
      </c>
    </row>
    <row r="2079" spans="1:8" x14ac:dyDescent="0.55000000000000004">
      <c r="A2079" s="61" t="s">
        <v>6970</v>
      </c>
      <c r="B2079" t="s">
        <v>4416</v>
      </c>
      <c r="C2079">
        <v>9305</v>
      </c>
      <c r="D2079" t="s">
        <v>6365</v>
      </c>
      <c r="E2079" t="s">
        <v>6366</v>
      </c>
      <c r="F2079" t="s">
        <v>6361</v>
      </c>
      <c r="G2079" s="43">
        <v>0</v>
      </c>
      <c r="H2079" s="63">
        <v>-0.1</v>
      </c>
    </row>
    <row r="2080" spans="1:8" x14ac:dyDescent="0.55000000000000004">
      <c r="A2080" s="61" t="s">
        <v>6971</v>
      </c>
      <c r="B2080" t="s">
        <v>4416</v>
      </c>
      <c r="C2080">
        <v>9310</v>
      </c>
      <c r="D2080" t="s">
        <v>6359</v>
      </c>
      <c r="E2080" t="s">
        <v>6377</v>
      </c>
      <c r="F2080" t="s">
        <v>6361</v>
      </c>
      <c r="G2080" s="43">
        <v>0</v>
      </c>
      <c r="H2080" s="63">
        <v>0.9</v>
      </c>
    </row>
    <row r="2081" spans="1:8" x14ac:dyDescent="0.55000000000000004">
      <c r="A2081" s="61" t="s">
        <v>6971</v>
      </c>
      <c r="B2081" t="s">
        <v>4416</v>
      </c>
      <c r="C2081">
        <v>9310</v>
      </c>
      <c r="D2081" t="s">
        <v>6363</v>
      </c>
      <c r="E2081" t="s">
        <v>6364</v>
      </c>
      <c r="F2081" t="s">
        <v>6361</v>
      </c>
      <c r="G2081" s="43">
        <v>0</v>
      </c>
      <c r="H2081" s="63">
        <v>0.1</v>
      </c>
    </row>
    <row r="2082" spans="1:8" x14ac:dyDescent="0.55000000000000004">
      <c r="A2082" s="61" t="s">
        <v>6971</v>
      </c>
      <c r="B2082" t="s">
        <v>4416</v>
      </c>
      <c r="C2082">
        <v>9310</v>
      </c>
      <c r="D2082" t="s">
        <v>6362</v>
      </c>
      <c r="E2082" t="s">
        <v>6358</v>
      </c>
      <c r="F2082" t="s">
        <v>6358</v>
      </c>
      <c r="G2082" s="43">
        <v>6.7599999999999993E-2</v>
      </c>
      <c r="H2082" s="63">
        <v>1</v>
      </c>
    </row>
    <row r="2083" spans="1:8" x14ac:dyDescent="0.55000000000000004">
      <c r="A2083" s="61" t="s">
        <v>6971</v>
      </c>
      <c r="B2083" t="s">
        <v>4416</v>
      </c>
      <c r="C2083">
        <v>9310</v>
      </c>
      <c r="D2083" t="s">
        <v>6365</v>
      </c>
      <c r="E2083" t="s">
        <v>6366</v>
      </c>
      <c r="F2083" t="s">
        <v>6361</v>
      </c>
      <c r="G2083" s="43">
        <v>0</v>
      </c>
      <c r="H2083" s="63">
        <v>-0.1</v>
      </c>
    </row>
    <row r="2084" spans="1:8" x14ac:dyDescent="0.55000000000000004">
      <c r="A2084" s="61" t="s">
        <v>6972</v>
      </c>
      <c r="B2084" t="s">
        <v>5427</v>
      </c>
      <c r="C2084">
        <v>8711</v>
      </c>
      <c r="D2084" t="s">
        <v>6359</v>
      </c>
      <c r="E2084" t="s">
        <v>6372</v>
      </c>
      <c r="F2084" t="s">
        <v>6361</v>
      </c>
      <c r="G2084" s="43">
        <v>0</v>
      </c>
      <c r="H2084" s="63">
        <v>0.9</v>
      </c>
    </row>
    <row r="2085" spans="1:8" x14ac:dyDescent="0.55000000000000004">
      <c r="A2085" s="61" t="s">
        <v>6972</v>
      </c>
      <c r="B2085" t="s">
        <v>5427</v>
      </c>
      <c r="C2085">
        <v>8711</v>
      </c>
      <c r="D2085" t="s">
        <v>6363</v>
      </c>
      <c r="E2085" t="s">
        <v>6364</v>
      </c>
      <c r="F2085" t="s">
        <v>6361</v>
      </c>
      <c r="G2085" s="43">
        <v>0</v>
      </c>
      <c r="H2085" s="63">
        <v>0.1</v>
      </c>
    </row>
    <row r="2086" spans="1:8" x14ac:dyDescent="0.55000000000000004">
      <c r="A2086" s="61" t="s">
        <v>6972</v>
      </c>
      <c r="B2086" t="s">
        <v>5427</v>
      </c>
      <c r="C2086">
        <v>8711</v>
      </c>
      <c r="D2086" t="s">
        <v>6362</v>
      </c>
      <c r="E2086" t="s">
        <v>6358</v>
      </c>
      <c r="F2086" t="s">
        <v>6358</v>
      </c>
      <c r="G2086" s="43">
        <v>8.0699999999999994E-2</v>
      </c>
      <c r="H2086" s="63">
        <v>1</v>
      </c>
    </row>
    <row r="2087" spans="1:8" x14ac:dyDescent="0.55000000000000004">
      <c r="A2087" s="61" t="s">
        <v>6972</v>
      </c>
      <c r="B2087" t="s">
        <v>5427</v>
      </c>
      <c r="C2087">
        <v>8711</v>
      </c>
      <c r="D2087" t="s">
        <v>6365</v>
      </c>
      <c r="E2087" t="s">
        <v>6366</v>
      </c>
      <c r="F2087" t="s">
        <v>6361</v>
      </c>
      <c r="G2087" s="43">
        <v>0</v>
      </c>
      <c r="H2087" s="63">
        <v>-0.1</v>
      </c>
    </row>
    <row r="2088" spans="1:8" x14ac:dyDescent="0.55000000000000004">
      <c r="A2088" s="61" t="s">
        <v>6973</v>
      </c>
      <c r="B2088" t="s">
        <v>5427</v>
      </c>
      <c r="C2088">
        <v>9307</v>
      </c>
      <c r="D2088" t="s">
        <v>6359</v>
      </c>
      <c r="E2088" t="s">
        <v>6373</v>
      </c>
      <c r="F2088" t="s">
        <v>6361</v>
      </c>
      <c r="G2088" s="43">
        <v>0</v>
      </c>
      <c r="H2088" s="63">
        <v>0.9</v>
      </c>
    </row>
    <row r="2089" spans="1:8" x14ac:dyDescent="0.55000000000000004">
      <c r="A2089" s="61" t="s">
        <v>6973</v>
      </c>
      <c r="B2089" t="s">
        <v>5427</v>
      </c>
      <c r="C2089">
        <v>9307</v>
      </c>
      <c r="D2089" t="s">
        <v>6363</v>
      </c>
      <c r="E2089" t="s">
        <v>6364</v>
      </c>
      <c r="F2089" t="s">
        <v>6361</v>
      </c>
      <c r="G2089" s="43">
        <v>0</v>
      </c>
      <c r="H2089" s="63">
        <v>0.1</v>
      </c>
    </row>
    <row r="2090" spans="1:8" x14ac:dyDescent="0.55000000000000004">
      <c r="A2090" s="61" t="s">
        <v>6973</v>
      </c>
      <c r="B2090" t="s">
        <v>5427</v>
      </c>
      <c r="C2090">
        <v>9307</v>
      </c>
      <c r="D2090" t="s">
        <v>6362</v>
      </c>
      <c r="E2090" t="s">
        <v>6358</v>
      </c>
      <c r="F2090" t="s">
        <v>6358</v>
      </c>
      <c r="G2090" s="43">
        <v>8.0699999999999994E-2</v>
      </c>
      <c r="H2090" s="63">
        <v>1</v>
      </c>
    </row>
    <row r="2091" spans="1:8" x14ac:dyDescent="0.55000000000000004">
      <c r="A2091" s="61" t="s">
        <v>6973</v>
      </c>
      <c r="B2091" t="s">
        <v>5427</v>
      </c>
      <c r="C2091">
        <v>9307</v>
      </c>
      <c r="D2091" t="s">
        <v>6365</v>
      </c>
      <c r="E2091" t="s">
        <v>6366</v>
      </c>
      <c r="F2091" t="s">
        <v>6361</v>
      </c>
      <c r="G2091" s="43">
        <v>0</v>
      </c>
      <c r="H2091" s="63">
        <v>-0.1</v>
      </c>
    </row>
    <row r="2092" spans="1:8" x14ac:dyDescent="0.55000000000000004">
      <c r="A2092" s="61" t="s">
        <v>6974</v>
      </c>
      <c r="B2092" t="s">
        <v>2557</v>
      </c>
      <c r="C2092">
        <v>8710</v>
      </c>
      <c r="D2092" t="s">
        <v>6359</v>
      </c>
      <c r="E2092" t="s">
        <v>6368</v>
      </c>
      <c r="F2092" t="s">
        <v>6361</v>
      </c>
      <c r="G2092" s="43">
        <v>0</v>
      </c>
      <c r="H2092" s="63">
        <v>0.9</v>
      </c>
    </row>
    <row r="2093" spans="1:8" x14ac:dyDescent="0.55000000000000004">
      <c r="A2093" s="61" t="s">
        <v>6974</v>
      </c>
      <c r="B2093" t="s">
        <v>2557</v>
      </c>
      <c r="C2093">
        <v>8710</v>
      </c>
      <c r="D2093" t="s">
        <v>6363</v>
      </c>
      <c r="E2093" t="s">
        <v>6364</v>
      </c>
      <c r="F2093" t="s">
        <v>6361</v>
      </c>
      <c r="G2093" s="43">
        <v>0</v>
      </c>
      <c r="H2093" s="63">
        <v>0.1</v>
      </c>
    </row>
    <row r="2094" spans="1:8" x14ac:dyDescent="0.55000000000000004">
      <c r="A2094" s="61" t="s">
        <v>6974</v>
      </c>
      <c r="B2094" t="s">
        <v>2557</v>
      </c>
      <c r="C2094">
        <v>8710</v>
      </c>
      <c r="D2094" t="s">
        <v>6362</v>
      </c>
      <c r="E2094" t="s">
        <v>6358</v>
      </c>
      <c r="F2094" t="s">
        <v>6358</v>
      </c>
      <c r="G2094" s="43">
        <v>3.85E-2</v>
      </c>
      <c r="H2094" s="63">
        <v>1</v>
      </c>
    </row>
    <row r="2095" spans="1:8" x14ac:dyDescent="0.55000000000000004">
      <c r="A2095" s="61" t="s">
        <v>6974</v>
      </c>
      <c r="B2095" t="s">
        <v>2557</v>
      </c>
      <c r="C2095">
        <v>8710</v>
      </c>
      <c r="D2095" t="s">
        <v>6365</v>
      </c>
      <c r="E2095" t="s">
        <v>6366</v>
      </c>
      <c r="F2095" t="s">
        <v>6361</v>
      </c>
      <c r="G2095" s="43">
        <v>0</v>
      </c>
      <c r="H2095" s="63">
        <v>-0.1</v>
      </c>
    </row>
    <row r="2096" spans="1:8" x14ac:dyDescent="0.55000000000000004">
      <c r="A2096" s="61" t="s">
        <v>6975</v>
      </c>
      <c r="B2096" t="s">
        <v>2557</v>
      </c>
      <c r="C2096">
        <v>9204</v>
      </c>
      <c r="D2096" t="s">
        <v>6359</v>
      </c>
      <c r="E2096" t="s">
        <v>6369</v>
      </c>
      <c r="F2096" t="s">
        <v>6361</v>
      </c>
      <c r="G2096" s="43">
        <v>0</v>
      </c>
      <c r="H2096" s="63">
        <v>0.9</v>
      </c>
    </row>
    <row r="2097" spans="1:8" x14ac:dyDescent="0.55000000000000004">
      <c r="A2097" s="61" t="s">
        <v>6975</v>
      </c>
      <c r="B2097" t="s">
        <v>2557</v>
      </c>
      <c r="C2097">
        <v>9204</v>
      </c>
      <c r="D2097" t="s">
        <v>6363</v>
      </c>
      <c r="E2097" t="s">
        <v>6364</v>
      </c>
      <c r="F2097" t="s">
        <v>6361</v>
      </c>
      <c r="G2097" s="43">
        <v>0</v>
      </c>
      <c r="H2097" s="63">
        <v>0.1</v>
      </c>
    </row>
    <row r="2098" spans="1:8" x14ac:dyDescent="0.55000000000000004">
      <c r="A2098" s="61" t="s">
        <v>6975</v>
      </c>
      <c r="B2098" t="s">
        <v>2557</v>
      </c>
      <c r="C2098">
        <v>9204</v>
      </c>
      <c r="D2098" t="s">
        <v>6362</v>
      </c>
      <c r="E2098" t="s">
        <v>6358</v>
      </c>
      <c r="F2098" t="s">
        <v>6358</v>
      </c>
      <c r="G2098" s="43">
        <v>3.85E-2</v>
      </c>
      <c r="H2098" s="63">
        <v>1</v>
      </c>
    </row>
    <row r="2099" spans="1:8" x14ac:dyDescent="0.55000000000000004">
      <c r="A2099" s="61" t="s">
        <v>6975</v>
      </c>
      <c r="B2099" t="s">
        <v>2557</v>
      </c>
      <c r="C2099">
        <v>9204</v>
      </c>
      <c r="D2099" t="s">
        <v>6365</v>
      </c>
      <c r="E2099" t="s">
        <v>6366</v>
      </c>
      <c r="F2099" t="s">
        <v>6361</v>
      </c>
      <c r="G2099" s="43">
        <v>0</v>
      </c>
      <c r="H2099" s="63">
        <v>-0.1</v>
      </c>
    </row>
    <row r="2100" spans="1:8" x14ac:dyDescent="0.55000000000000004">
      <c r="A2100" s="61" t="s">
        <v>6976</v>
      </c>
      <c r="B2100" t="s">
        <v>2557</v>
      </c>
      <c r="C2100">
        <v>9310</v>
      </c>
      <c r="D2100" t="s">
        <v>6359</v>
      </c>
      <c r="E2100" t="s">
        <v>6369</v>
      </c>
      <c r="F2100" t="s">
        <v>6361</v>
      </c>
      <c r="G2100" s="43">
        <v>0</v>
      </c>
      <c r="H2100" s="63">
        <v>0.9</v>
      </c>
    </row>
    <row r="2101" spans="1:8" x14ac:dyDescent="0.55000000000000004">
      <c r="A2101" s="61" t="s">
        <v>6976</v>
      </c>
      <c r="B2101" t="s">
        <v>2557</v>
      </c>
      <c r="C2101">
        <v>9310</v>
      </c>
      <c r="D2101" t="s">
        <v>6363</v>
      </c>
      <c r="E2101" t="s">
        <v>6364</v>
      </c>
      <c r="F2101" t="s">
        <v>6361</v>
      </c>
      <c r="G2101" s="43">
        <v>0</v>
      </c>
      <c r="H2101" s="63">
        <v>0.1</v>
      </c>
    </row>
    <row r="2102" spans="1:8" x14ac:dyDescent="0.55000000000000004">
      <c r="A2102" s="61" t="s">
        <v>6976</v>
      </c>
      <c r="B2102" t="s">
        <v>2557</v>
      </c>
      <c r="C2102">
        <v>9310</v>
      </c>
      <c r="D2102" t="s">
        <v>6362</v>
      </c>
      <c r="E2102" t="s">
        <v>6358</v>
      </c>
      <c r="F2102" t="s">
        <v>6358</v>
      </c>
      <c r="G2102" s="43">
        <v>3.85E-2</v>
      </c>
      <c r="H2102" s="63">
        <v>1</v>
      </c>
    </row>
    <row r="2103" spans="1:8" x14ac:dyDescent="0.55000000000000004">
      <c r="A2103" s="61" t="s">
        <v>6976</v>
      </c>
      <c r="B2103" t="s">
        <v>2557</v>
      </c>
      <c r="C2103">
        <v>9310</v>
      </c>
      <c r="D2103" t="s">
        <v>6365</v>
      </c>
      <c r="E2103" t="s">
        <v>6366</v>
      </c>
      <c r="F2103" t="s">
        <v>6361</v>
      </c>
      <c r="G2103" s="43">
        <v>0</v>
      </c>
      <c r="H2103" s="63">
        <v>-0.1</v>
      </c>
    </row>
    <row r="2104" spans="1:8" x14ac:dyDescent="0.55000000000000004">
      <c r="A2104" s="61" t="s">
        <v>6977</v>
      </c>
      <c r="B2104" t="s">
        <v>3341</v>
      </c>
      <c r="C2104">
        <v>8701</v>
      </c>
      <c r="D2104" t="s">
        <v>6359</v>
      </c>
      <c r="E2104" t="s">
        <v>6360</v>
      </c>
      <c r="F2104" t="s">
        <v>6361</v>
      </c>
      <c r="G2104" s="43">
        <v>0</v>
      </c>
      <c r="H2104" s="63">
        <v>1</v>
      </c>
    </row>
    <row r="2105" spans="1:8" x14ac:dyDescent="0.55000000000000004">
      <c r="A2105" s="61" t="s">
        <v>6977</v>
      </c>
      <c r="B2105" t="s">
        <v>3341</v>
      </c>
      <c r="C2105">
        <v>8701</v>
      </c>
      <c r="D2105" t="s">
        <v>6362</v>
      </c>
      <c r="E2105" t="s">
        <v>6358</v>
      </c>
      <c r="F2105" t="s">
        <v>6358</v>
      </c>
      <c r="G2105" s="43">
        <v>8.1299999999999997E-2</v>
      </c>
      <c r="H2105" s="63">
        <v>1</v>
      </c>
    </row>
    <row r="2106" spans="1:8" x14ac:dyDescent="0.55000000000000004">
      <c r="A2106" s="61" t="s">
        <v>6978</v>
      </c>
      <c r="B2106" t="s">
        <v>3341</v>
      </c>
      <c r="C2106">
        <v>8710</v>
      </c>
      <c r="D2106" t="s">
        <v>6359</v>
      </c>
      <c r="E2106" t="s">
        <v>6360</v>
      </c>
      <c r="F2106" t="s">
        <v>6361</v>
      </c>
      <c r="G2106" s="43">
        <v>0</v>
      </c>
      <c r="H2106" s="63">
        <v>0.9</v>
      </c>
    </row>
    <row r="2107" spans="1:8" x14ac:dyDescent="0.55000000000000004">
      <c r="A2107" s="61" t="s">
        <v>6978</v>
      </c>
      <c r="B2107" t="s">
        <v>3341</v>
      </c>
      <c r="C2107">
        <v>8710</v>
      </c>
      <c r="D2107" t="s">
        <v>6363</v>
      </c>
      <c r="E2107" t="s">
        <v>6364</v>
      </c>
      <c r="F2107" t="s">
        <v>6361</v>
      </c>
      <c r="G2107" s="43">
        <v>0</v>
      </c>
      <c r="H2107" s="63">
        <v>0.1</v>
      </c>
    </row>
    <row r="2108" spans="1:8" x14ac:dyDescent="0.55000000000000004">
      <c r="A2108" s="61" t="s">
        <v>6978</v>
      </c>
      <c r="B2108" t="s">
        <v>3341</v>
      </c>
      <c r="C2108">
        <v>8710</v>
      </c>
      <c r="D2108" t="s">
        <v>6362</v>
      </c>
      <c r="E2108" t="s">
        <v>6358</v>
      </c>
      <c r="F2108" t="s">
        <v>6358</v>
      </c>
      <c r="G2108" s="43">
        <v>6.54E-2</v>
      </c>
      <c r="H2108" s="63">
        <v>1</v>
      </c>
    </row>
    <row r="2109" spans="1:8" x14ac:dyDescent="0.55000000000000004">
      <c r="A2109" s="61" t="s">
        <v>6978</v>
      </c>
      <c r="B2109" t="s">
        <v>3341</v>
      </c>
      <c r="C2109">
        <v>8710</v>
      </c>
      <c r="D2109" t="s">
        <v>6365</v>
      </c>
      <c r="E2109" t="s">
        <v>6366</v>
      </c>
      <c r="F2109" t="s">
        <v>6361</v>
      </c>
      <c r="G2109" s="43">
        <v>0</v>
      </c>
      <c r="H2109" s="63">
        <v>-0.1</v>
      </c>
    </row>
    <row r="2110" spans="1:8" x14ac:dyDescent="0.55000000000000004">
      <c r="A2110" s="61" t="s">
        <v>6979</v>
      </c>
      <c r="B2110" t="s">
        <v>3341</v>
      </c>
      <c r="C2110">
        <v>9101</v>
      </c>
      <c r="D2110" t="s">
        <v>6359</v>
      </c>
      <c r="E2110" t="s">
        <v>6367</v>
      </c>
      <c r="F2110" t="s">
        <v>6361</v>
      </c>
      <c r="G2110" s="43">
        <v>0</v>
      </c>
      <c r="H2110" s="63">
        <v>1</v>
      </c>
    </row>
    <row r="2111" spans="1:8" x14ac:dyDescent="0.55000000000000004">
      <c r="A2111" s="61" t="s">
        <v>6979</v>
      </c>
      <c r="B2111" t="s">
        <v>3341</v>
      </c>
      <c r="C2111">
        <v>9101</v>
      </c>
      <c r="D2111" t="s">
        <v>6362</v>
      </c>
      <c r="E2111" t="s">
        <v>6358</v>
      </c>
      <c r="F2111" t="s">
        <v>6358</v>
      </c>
      <c r="G2111" s="43">
        <v>8.1299999999999997E-2</v>
      </c>
      <c r="H2111" s="63">
        <v>1</v>
      </c>
    </row>
    <row r="2112" spans="1:8" x14ac:dyDescent="0.55000000000000004">
      <c r="A2112" s="61" t="s">
        <v>6980</v>
      </c>
      <c r="B2112" t="s">
        <v>3341</v>
      </c>
      <c r="C2112">
        <v>9110</v>
      </c>
      <c r="D2112" t="s">
        <v>6359</v>
      </c>
      <c r="E2112" t="s">
        <v>6367</v>
      </c>
      <c r="F2112" t="s">
        <v>6361</v>
      </c>
      <c r="G2112" s="43">
        <v>0</v>
      </c>
      <c r="H2112" s="63">
        <v>0.9</v>
      </c>
    </row>
    <row r="2113" spans="1:8" x14ac:dyDescent="0.55000000000000004">
      <c r="A2113" s="61" t="s">
        <v>6980</v>
      </c>
      <c r="B2113" t="s">
        <v>3341</v>
      </c>
      <c r="C2113">
        <v>9110</v>
      </c>
      <c r="D2113" t="s">
        <v>6363</v>
      </c>
      <c r="E2113" t="s">
        <v>6364</v>
      </c>
      <c r="F2113" t="s">
        <v>6361</v>
      </c>
      <c r="G2113" s="43">
        <v>0</v>
      </c>
      <c r="H2113" s="63">
        <v>0.1</v>
      </c>
    </row>
    <row r="2114" spans="1:8" x14ac:dyDescent="0.55000000000000004">
      <c r="A2114" s="61" t="s">
        <v>6980</v>
      </c>
      <c r="B2114" t="s">
        <v>3341</v>
      </c>
      <c r="C2114">
        <v>9110</v>
      </c>
      <c r="D2114" t="s">
        <v>6362</v>
      </c>
      <c r="E2114" t="s">
        <v>6358</v>
      </c>
      <c r="F2114" t="s">
        <v>6358</v>
      </c>
      <c r="G2114" s="43">
        <v>6.54E-2</v>
      </c>
      <c r="H2114" s="63">
        <v>1</v>
      </c>
    </row>
    <row r="2115" spans="1:8" x14ac:dyDescent="0.55000000000000004">
      <c r="A2115" s="61" t="s">
        <v>6980</v>
      </c>
      <c r="B2115" t="s">
        <v>3341</v>
      </c>
      <c r="C2115">
        <v>9110</v>
      </c>
      <c r="D2115" t="s">
        <v>6365</v>
      </c>
      <c r="E2115" t="s">
        <v>6366</v>
      </c>
      <c r="F2115" t="s">
        <v>6361</v>
      </c>
      <c r="G2115" s="43">
        <v>0</v>
      </c>
      <c r="H2115" s="63">
        <v>-0.1</v>
      </c>
    </row>
    <row r="2116" spans="1:8" x14ac:dyDescent="0.55000000000000004">
      <c r="A2116" s="61" t="s">
        <v>6981</v>
      </c>
      <c r="B2116" t="s">
        <v>5431</v>
      </c>
      <c r="C2116">
        <v>8710</v>
      </c>
      <c r="D2116" t="s">
        <v>6359</v>
      </c>
      <c r="E2116" t="s">
        <v>6370</v>
      </c>
      <c r="F2116" t="s">
        <v>6361</v>
      </c>
      <c r="G2116" s="43">
        <v>0</v>
      </c>
      <c r="H2116" s="63">
        <v>0.9</v>
      </c>
    </row>
    <row r="2117" spans="1:8" x14ac:dyDescent="0.55000000000000004">
      <c r="A2117" s="61" t="s">
        <v>6981</v>
      </c>
      <c r="B2117" t="s">
        <v>5431</v>
      </c>
      <c r="C2117">
        <v>8710</v>
      </c>
      <c r="D2117" t="s">
        <v>6363</v>
      </c>
      <c r="E2117" t="s">
        <v>6364</v>
      </c>
      <c r="F2117" t="s">
        <v>6361</v>
      </c>
      <c r="G2117" s="43">
        <v>0</v>
      </c>
      <c r="H2117" s="63">
        <v>0.1</v>
      </c>
    </row>
    <row r="2118" spans="1:8" x14ac:dyDescent="0.55000000000000004">
      <c r="A2118" s="61" t="s">
        <v>6981</v>
      </c>
      <c r="B2118" t="s">
        <v>5431</v>
      </c>
      <c r="C2118">
        <v>8710</v>
      </c>
      <c r="D2118" t="s">
        <v>6362</v>
      </c>
      <c r="E2118" t="s">
        <v>6358</v>
      </c>
      <c r="F2118" t="s">
        <v>6358</v>
      </c>
      <c r="G2118" s="43">
        <v>8.3500000000000005E-2</v>
      </c>
      <c r="H2118" s="63">
        <v>1</v>
      </c>
    </row>
    <row r="2119" spans="1:8" x14ac:dyDescent="0.55000000000000004">
      <c r="A2119" s="61" t="s">
        <v>6981</v>
      </c>
      <c r="B2119" t="s">
        <v>5431</v>
      </c>
      <c r="C2119">
        <v>8710</v>
      </c>
      <c r="D2119" t="s">
        <v>6365</v>
      </c>
      <c r="E2119" t="s">
        <v>6366</v>
      </c>
      <c r="F2119" t="s">
        <v>6361</v>
      </c>
      <c r="G2119" s="43">
        <v>0</v>
      </c>
      <c r="H2119" s="63">
        <v>-0.1</v>
      </c>
    </row>
    <row r="2120" spans="1:8" x14ac:dyDescent="0.55000000000000004">
      <c r="A2120" s="61" t="s">
        <v>6982</v>
      </c>
      <c r="B2120" t="s">
        <v>5431</v>
      </c>
      <c r="C2120">
        <v>8711</v>
      </c>
      <c r="D2120" t="s">
        <v>6359</v>
      </c>
      <c r="E2120" t="s">
        <v>6372</v>
      </c>
      <c r="F2120" t="s">
        <v>6361</v>
      </c>
      <c r="G2120" s="43">
        <v>0</v>
      </c>
      <c r="H2120" s="63">
        <v>0.9</v>
      </c>
    </row>
    <row r="2121" spans="1:8" x14ac:dyDescent="0.55000000000000004">
      <c r="A2121" s="61" t="s">
        <v>6982</v>
      </c>
      <c r="B2121" t="s">
        <v>5431</v>
      </c>
      <c r="C2121">
        <v>8711</v>
      </c>
      <c r="D2121" t="s">
        <v>6363</v>
      </c>
      <c r="E2121" t="s">
        <v>6364</v>
      </c>
      <c r="F2121" t="s">
        <v>6361</v>
      </c>
      <c r="G2121" s="43">
        <v>0</v>
      </c>
      <c r="H2121" s="63">
        <v>0.1</v>
      </c>
    </row>
    <row r="2122" spans="1:8" x14ac:dyDescent="0.55000000000000004">
      <c r="A2122" s="61" t="s">
        <v>6982</v>
      </c>
      <c r="B2122" t="s">
        <v>5431</v>
      </c>
      <c r="C2122">
        <v>8711</v>
      </c>
      <c r="D2122" t="s">
        <v>6362</v>
      </c>
      <c r="E2122" t="s">
        <v>6358</v>
      </c>
      <c r="F2122" t="s">
        <v>6358</v>
      </c>
      <c r="G2122" s="43">
        <v>8.3500000000000005E-2</v>
      </c>
      <c r="H2122" s="63">
        <v>1</v>
      </c>
    </row>
    <row r="2123" spans="1:8" x14ac:dyDescent="0.55000000000000004">
      <c r="A2123" s="61" t="s">
        <v>6982</v>
      </c>
      <c r="B2123" t="s">
        <v>5431</v>
      </c>
      <c r="C2123">
        <v>8711</v>
      </c>
      <c r="D2123" t="s">
        <v>6365</v>
      </c>
      <c r="E2123" t="s">
        <v>6366</v>
      </c>
      <c r="F2123" t="s">
        <v>6361</v>
      </c>
      <c r="G2123" s="43">
        <v>0</v>
      </c>
      <c r="H2123" s="63">
        <v>-0.1</v>
      </c>
    </row>
    <row r="2124" spans="1:8" x14ac:dyDescent="0.55000000000000004">
      <c r="A2124" s="61" t="s">
        <v>6983</v>
      </c>
      <c r="B2124" t="s">
        <v>5431</v>
      </c>
      <c r="C2124">
        <v>8713</v>
      </c>
      <c r="D2124" t="s">
        <v>6359</v>
      </c>
      <c r="E2124" t="s">
        <v>6372</v>
      </c>
      <c r="F2124" t="s">
        <v>6361</v>
      </c>
      <c r="G2124" s="43">
        <v>0</v>
      </c>
      <c r="H2124" s="63">
        <v>0.9</v>
      </c>
    </row>
    <row r="2125" spans="1:8" x14ac:dyDescent="0.55000000000000004">
      <c r="A2125" s="61" t="s">
        <v>6983</v>
      </c>
      <c r="B2125" t="s">
        <v>5431</v>
      </c>
      <c r="C2125">
        <v>8713</v>
      </c>
      <c r="D2125" t="s">
        <v>6363</v>
      </c>
      <c r="E2125" t="s">
        <v>6364</v>
      </c>
      <c r="F2125" t="s">
        <v>6361</v>
      </c>
      <c r="G2125" s="43">
        <v>0</v>
      </c>
      <c r="H2125" s="63">
        <v>0.1</v>
      </c>
    </row>
    <row r="2126" spans="1:8" x14ac:dyDescent="0.55000000000000004">
      <c r="A2126" s="61" t="s">
        <v>6983</v>
      </c>
      <c r="B2126" t="s">
        <v>5431</v>
      </c>
      <c r="C2126">
        <v>8713</v>
      </c>
      <c r="D2126" t="s">
        <v>6362</v>
      </c>
      <c r="E2126" t="s">
        <v>6358</v>
      </c>
      <c r="F2126" t="s">
        <v>6358</v>
      </c>
      <c r="G2126" s="43">
        <v>8.3500000000000005E-2</v>
      </c>
      <c r="H2126" s="63">
        <v>1</v>
      </c>
    </row>
    <row r="2127" spans="1:8" x14ac:dyDescent="0.55000000000000004">
      <c r="A2127" s="61" t="s">
        <v>6983</v>
      </c>
      <c r="B2127" t="s">
        <v>5431</v>
      </c>
      <c r="C2127">
        <v>8713</v>
      </c>
      <c r="D2127" t="s">
        <v>6365</v>
      </c>
      <c r="E2127" t="s">
        <v>6366</v>
      </c>
      <c r="F2127" t="s">
        <v>6361</v>
      </c>
      <c r="G2127" s="43">
        <v>0</v>
      </c>
      <c r="H2127" s="63">
        <v>-0.1</v>
      </c>
    </row>
    <row r="2128" spans="1:8" x14ac:dyDescent="0.55000000000000004">
      <c r="A2128" s="61" t="s">
        <v>6984</v>
      </c>
      <c r="B2128" t="s">
        <v>5431</v>
      </c>
      <c r="C2128">
        <v>9307</v>
      </c>
      <c r="D2128" t="s">
        <v>6359</v>
      </c>
      <c r="E2128" t="s">
        <v>6373</v>
      </c>
      <c r="F2128" t="s">
        <v>6361</v>
      </c>
      <c r="G2128" s="43">
        <v>0</v>
      </c>
      <c r="H2128" s="63">
        <v>0.9</v>
      </c>
    </row>
    <row r="2129" spans="1:8" x14ac:dyDescent="0.55000000000000004">
      <c r="A2129" s="61" t="s">
        <v>6984</v>
      </c>
      <c r="B2129" t="s">
        <v>5431</v>
      </c>
      <c r="C2129">
        <v>9307</v>
      </c>
      <c r="D2129" t="s">
        <v>6363</v>
      </c>
      <c r="E2129" t="s">
        <v>6364</v>
      </c>
      <c r="F2129" t="s">
        <v>6361</v>
      </c>
      <c r="G2129" s="43">
        <v>0</v>
      </c>
      <c r="H2129" s="63">
        <v>0.1</v>
      </c>
    </row>
    <row r="2130" spans="1:8" x14ac:dyDescent="0.55000000000000004">
      <c r="A2130" s="61" t="s">
        <v>6984</v>
      </c>
      <c r="B2130" t="s">
        <v>5431</v>
      </c>
      <c r="C2130">
        <v>9307</v>
      </c>
      <c r="D2130" t="s">
        <v>6362</v>
      </c>
      <c r="E2130" t="s">
        <v>6358</v>
      </c>
      <c r="F2130" t="s">
        <v>6358</v>
      </c>
      <c r="G2130" s="43">
        <v>8.3500000000000005E-2</v>
      </c>
      <c r="H2130" s="63">
        <v>1</v>
      </c>
    </row>
    <row r="2131" spans="1:8" x14ac:dyDescent="0.55000000000000004">
      <c r="A2131" s="61" t="s">
        <v>6984</v>
      </c>
      <c r="B2131" t="s">
        <v>5431</v>
      </c>
      <c r="C2131">
        <v>9307</v>
      </c>
      <c r="D2131" t="s">
        <v>6365</v>
      </c>
      <c r="E2131" t="s">
        <v>6366</v>
      </c>
      <c r="F2131" t="s">
        <v>6361</v>
      </c>
      <c r="G2131" s="43">
        <v>0</v>
      </c>
      <c r="H2131" s="63">
        <v>-0.1</v>
      </c>
    </row>
    <row r="2132" spans="1:8" x14ac:dyDescent="0.55000000000000004">
      <c r="A2132" s="61" t="s">
        <v>6985</v>
      </c>
      <c r="B2132" t="s">
        <v>5431</v>
      </c>
      <c r="C2132">
        <v>9309</v>
      </c>
      <c r="D2132" t="s">
        <v>6359</v>
      </c>
      <c r="E2132" t="s">
        <v>6373</v>
      </c>
      <c r="F2132" t="s">
        <v>6361</v>
      </c>
      <c r="G2132" s="43">
        <v>0</v>
      </c>
      <c r="H2132" s="63">
        <v>0.9</v>
      </c>
    </row>
    <row r="2133" spans="1:8" x14ac:dyDescent="0.55000000000000004">
      <c r="A2133" s="61" t="s">
        <v>6985</v>
      </c>
      <c r="B2133" t="s">
        <v>5431</v>
      </c>
      <c r="C2133">
        <v>9309</v>
      </c>
      <c r="D2133" t="s">
        <v>6363</v>
      </c>
      <c r="E2133" t="s">
        <v>6364</v>
      </c>
      <c r="F2133" t="s">
        <v>6361</v>
      </c>
      <c r="G2133" s="43">
        <v>0</v>
      </c>
      <c r="H2133" s="63">
        <v>0.1</v>
      </c>
    </row>
    <row r="2134" spans="1:8" x14ac:dyDescent="0.55000000000000004">
      <c r="A2134" s="61" t="s">
        <v>6985</v>
      </c>
      <c r="B2134" t="s">
        <v>5431</v>
      </c>
      <c r="C2134">
        <v>9309</v>
      </c>
      <c r="D2134" t="s">
        <v>6362</v>
      </c>
      <c r="E2134" t="s">
        <v>6358</v>
      </c>
      <c r="F2134" t="s">
        <v>6358</v>
      </c>
      <c r="G2134" s="43">
        <v>8.3500000000000005E-2</v>
      </c>
      <c r="H2134" s="63">
        <v>1</v>
      </c>
    </row>
    <row r="2135" spans="1:8" x14ac:dyDescent="0.55000000000000004">
      <c r="A2135" s="61" t="s">
        <v>6985</v>
      </c>
      <c r="B2135" t="s">
        <v>5431</v>
      </c>
      <c r="C2135">
        <v>9309</v>
      </c>
      <c r="D2135" t="s">
        <v>6365</v>
      </c>
      <c r="E2135" t="s">
        <v>6366</v>
      </c>
      <c r="F2135" t="s">
        <v>6361</v>
      </c>
      <c r="G2135" s="43">
        <v>0</v>
      </c>
      <c r="H2135" s="63">
        <v>-0.1</v>
      </c>
    </row>
    <row r="2136" spans="1:8" x14ac:dyDescent="0.55000000000000004">
      <c r="A2136" s="61" t="s">
        <v>6986</v>
      </c>
      <c r="B2136" t="s">
        <v>5431</v>
      </c>
      <c r="C2136">
        <v>9310</v>
      </c>
      <c r="D2136" t="s">
        <v>6359</v>
      </c>
      <c r="E2136" t="s">
        <v>6371</v>
      </c>
      <c r="F2136" t="s">
        <v>6361</v>
      </c>
      <c r="G2136" s="43">
        <v>0</v>
      </c>
      <c r="H2136" s="63">
        <v>0.9</v>
      </c>
    </row>
    <row r="2137" spans="1:8" x14ac:dyDescent="0.55000000000000004">
      <c r="A2137" s="61" t="s">
        <v>6986</v>
      </c>
      <c r="B2137" t="s">
        <v>5431</v>
      </c>
      <c r="C2137">
        <v>9310</v>
      </c>
      <c r="D2137" t="s">
        <v>6363</v>
      </c>
      <c r="E2137" t="s">
        <v>6364</v>
      </c>
      <c r="F2137" t="s">
        <v>6361</v>
      </c>
      <c r="G2137" s="43">
        <v>0</v>
      </c>
      <c r="H2137" s="63">
        <v>0.1</v>
      </c>
    </row>
    <row r="2138" spans="1:8" x14ac:dyDescent="0.55000000000000004">
      <c r="A2138" s="61" t="s">
        <v>6986</v>
      </c>
      <c r="B2138" t="s">
        <v>5431</v>
      </c>
      <c r="C2138">
        <v>9310</v>
      </c>
      <c r="D2138" t="s">
        <v>6362</v>
      </c>
      <c r="E2138" t="s">
        <v>6358</v>
      </c>
      <c r="F2138" t="s">
        <v>6358</v>
      </c>
      <c r="G2138" s="43">
        <v>8.3500000000000005E-2</v>
      </c>
      <c r="H2138" s="63">
        <v>1</v>
      </c>
    </row>
    <row r="2139" spans="1:8" x14ac:dyDescent="0.55000000000000004">
      <c r="A2139" s="61" t="s">
        <v>6986</v>
      </c>
      <c r="B2139" t="s">
        <v>5431</v>
      </c>
      <c r="C2139">
        <v>9310</v>
      </c>
      <c r="D2139" t="s">
        <v>6365</v>
      </c>
      <c r="E2139" t="s">
        <v>6366</v>
      </c>
      <c r="F2139" t="s">
        <v>6361</v>
      </c>
      <c r="G2139" s="43">
        <v>0</v>
      </c>
      <c r="H2139" s="63">
        <v>-0.1</v>
      </c>
    </row>
    <row r="2140" spans="1:8" x14ac:dyDescent="0.55000000000000004">
      <c r="A2140" s="61" t="s">
        <v>6987</v>
      </c>
      <c r="B2140" t="s">
        <v>1700</v>
      </c>
      <c r="C2140">
        <v>8701</v>
      </c>
      <c r="D2140" t="s">
        <v>6359</v>
      </c>
      <c r="E2140" t="s">
        <v>6370</v>
      </c>
      <c r="F2140" t="s">
        <v>6361</v>
      </c>
      <c r="G2140" s="43">
        <v>0</v>
      </c>
      <c r="H2140" s="63">
        <v>1</v>
      </c>
    </row>
    <row r="2141" spans="1:8" x14ac:dyDescent="0.55000000000000004">
      <c r="A2141" s="61" t="s">
        <v>6987</v>
      </c>
      <c r="B2141" t="s">
        <v>1700</v>
      </c>
      <c r="C2141">
        <v>8701</v>
      </c>
      <c r="D2141" t="s">
        <v>6362</v>
      </c>
      <c r="E2141" t="s">
        <v>6358</v>
      </c>
      <c r="F2141" t="s">
        <v>6358</v>
      </c>
      <c r="G2141" s="43">
        <v>9.8000000000000004E-2</v>
      </c>
      <c r="H2141" s="63">
        <v>1</v>
      </c>
    </row>
    <row r="2142" spans="1:8" x14ac:dyDescent="0.55000000000000004">
      <c r="A2142" s="61" t="s">
        <v>6988</v>
      </c>
      <c r="B2142" t="s">
        <v>1700</v>
      </c>
      <c r="C2142">
        <v>8710</v>
      </c>
      <c r="D2142" t="s">
        <v>6359</v>
      </c>
      <c r="E2142" t="s">
        <v>6370</v>
      </c>
      <c r="F2142" t="s">
        <v>6361</v>
      </c>
      <c r="G2142" s="43">
        <v>0</v>
      </c>
      <c r="H2142" s="63">
        <v>0.9</v>
      </c>
    </row>
    <row r="2143" spans="1:8" x14ac:dyDescent="0.55000000000000004">
      <c r="A2143" s="61" t="s">
        <v>6988</v>
      </c>
      <c r="B2143" t="s">
        <v>1700</v>
      </c>
      <c r="C2143">
        <v>8710</v>
      </c>
      <c r="D2143" t="s">
        <v>6363</v>
      </c>
      <c r="E2143" t="s">
        <v>6364</v>
      </c>
      <c r="F2143" t="s">
        <v>6361</v>
      </c>
      <c r="G2143" s="43">
        <v>0</v>
      </c>
      <c r="H2143" s="63">
        <v>0.1</v>
      </c>
    </row>
    <row r="2144" spans="1:8" x14ac:dyDescent="0.55000000000000004">
      <c r="A2144" s="61" t="s">
        <v>6988</v>
      </c>
      <c r="B2144" t="s">
        <v>1700</v>
      </c>
      <c r="C2144">
        <v>8710</v>
      </c>
      <c r="D2144" t="s">
        <v>6362</v>
      </c>
      <c r="E2144" t="s">
        <v>6358</v>
      </c>
      <c r="F2144" t="s">
        <v>6358</v>
      </c>
      <c r="G2144" s="62">
        <v>0.10730000000000001</v>
      </c>
      <c r="H2144" s="63">
        <v>1</v>
      </c>
    </row>
    <row r="2145" spans="1:8" x14ac:dyDescent="0.55000000000000004">
      <c r="A2145" s="61" t="s">
        <v>6988</v>
      </c>
      <c r="B2145" t="s">
        <v>1700</v>
      </c>
      <c r="C2145">
        <v>8710</v>
      </c>
      <c r="D2145" t="s">
        <v>6365</v>
      </c>
      <c r="E2145" t="s">
        <v>6366</v>
      </c>
      <c r="F2145" t="s">
        <v>6361</v>
      </c>
      <c r="G2145" s="43">
        <v>0</v>
      </c>
      <c r="H2145" s="63">
        <v>-0.1</v>
      </c>
    </row>
    <row r="2146" spans="1:8" x14ac:dyDescent="0.55000000000000004">
      <c r="A2146" s="61" t="s">
        <v>6989</v>
      </c>
      <c r="B2146" t="s">
        <v>1700</v>
      </c>
      <c r="C2146">
        <v>9101</v>
      </c>
      <c r="D2146" t="s">
        <v>6359</v>
      </c>
      <c r="E2146" t="s">
        <v>6371</v>
      </c>
      <c r="F2146" t="s">
        <v>6361</v>
      </c>
      <c r="G2146" s="43">
        <v>0</v>
      </c>
      <c r="H2146" s="63">
        <v>1</v>
      </c>
    </row>
    <row r="2147" spans="1:8" x14ac:dyDescent="0.55000000000000004">
      <c r="A2147" s="61" t="s">
        <v>6989</v>
      </c>
      <c r="B2147" t="s">
        <v>1700</v>
      </c>
      <c r="C2147">
        <v>9101</v>
      </c>
      <c r="D2147" t="s">
        <v>6362</v>
      </c>
      <c r="E2147" t="s">
        <v>6358</v>
      </c>
      <c r="F2147" t="s">
        <v>6358</v>
      </c>
      <c r="G2147" s="43">
        <v>9.8000000000000004E-2</v>
      </c>
      <c r="H2147" s="63">
        <v>1</v>
      </c>
    </row>
    <row r="2148" spans="1:8" x14ac:dyDescent="0.55000000000000004">
      <c r="A2148" s="61" t="s">
        <v>6990</v>
      </c>
      <c r="B2148" t="s">
        <v>1700</v>
      </c>
      <c r="C2148">
        <v>9110</v>
      </c>
      <c r="D2148" t="s">
        <v>6359</v>
      </c>
      <c r="E2148" t="s">
        <v>6371</v>
      </c>
      <c r="F2148" t="s">
        <v>6361</v>
      </c>
      <c r="G2148" s="43">
        <v>0</v>
      </c>
      <c r="H2148" s="63">
        <v>0.9</v>
      </c>
    </row>
    <row r="2149" spans="1:8" x14ac:dyDescent="0.55000000000000004">
      <c r="A2149" s="61" t="s">
        <v>6990</v>
      </c>
      <c r="B2149" t="s">
        <v>1700</v>
      </c>
      <c r="C2149">
        <v>9110</v>
      </c>
      <c r="D2149" t="s">
        <v>6363</v>
      </c>
      <c r="E2149" t="s">
        <v>6364</v>
      </c>
      <c r="F2149" t="s">
        <v>6361</v>
      </c>
      <c r="G2149" s="43">
        <v>0</v>
      </c>
      <c r="H2149" s="63">
        <v>0.1</v>
      </c>
    </row>
    <row r="2150" spans="1:8" x14ac:dyDescent="0.55000000000000004">
      <c r="A2150" s="61" t="s">
        <v>6990</v>
      </c>
      <c r="B2150" t="s">
        <v>1700</v>
      </c>
      <c r="C2150">
        <v>9110</v>
      </c>
      <c r="D2150" t="s">
        <v>6362</v>
      </c>
      <c r="E2150" t="s">
        <v>6358</v>
      </c>
      <c r="F2150" t="s">
        <v>6358</v>
      </c>
      <c r="G2150" s="62">
        <v>0.10730000000000001</v>
      </c>
      <c r="H2150" s="63">
        <v>1</v>
      </c>
    </row>
    <row r="2151" spans="1:8" x14ac:dyDescent="0.55000000000000004">
      <c r="A2151" s="61" t="s">
        <v>6990</v>
      </c>
      <c r="B2151" t="s">
        <v>1700</v>
      </c>
      <c r="C2151">
        <v>9110</v>
      </c>
      <c r="D2151" t="s">
        <v>6365</v>
      </c>
      <c r="E2151" t="s">
        <v>6366</v>
      </c>
      <c r="F2151" t="s">
        <v>6361</v>
      </c>
      <c r="G2151" s="43">
        <v>0</v>
      </c>
      <c r="H2151" s="63">
        <v>-0.1</v>
      </c>
    </row>
    <row r="2152" spans="1:8" x14ac:dyDescent="0.55000000000000004">
      <c r="A2152" s="61" t="s">
        <v>6991</v>
      </c>
      <c r="B2152" t="s">
        <v>1700</v>
      </c>
      <c r="C2152">
        <v>9200</v>
      </c>
      <c r="D2152" t="s">
        <v>6359</v>
      </c>
      <c r="E2152" t="s">
        <v>6371</v>
      </c>
      <c r="F2152" t="s">
        <v>6361</v>
      </c>
      <c r="G2152" s="43">
        <v>0</v>
      </c>
      <c r="H2152" s="63">
        <v>1</v>
      </c>
    </row>
    <row r="2153" spans="1:8" x14ac:dyDescent="0.55000000000000004">
      <c r="A2153" s="61" t="s">
        <v>6991</v>
      </c>
      <c r="B2153" t="s">
        <v>1700</v>
      </c>
      <c r="C2153">
        <v>9200</v>
      </c>
      <c r="D2153" t="s">
        <v>6362</v>
      </c>
      <c r="E2153" t="s">
        <v>6358</v>
      </c>
      <c r="F2153" t="s">
        <v>6358</v>
      </c>
      <c r="G2153" s="43">
        <v>9.8000000000000004E-2</v>
      </c>
      <c r="H2153" s="63">
        <v>1</v>
      </c>
    </row>
    <row r="2154" spans="1:8" x14ac:dyDescent="0.55000000000000004">
      <c r="A2154" s="61" t="s">
        <v>6992</v>
      </c>
      <c r="B2154" t="s">
        <v>1700</v>
      </c>
      <c r="C2154">
        <v>9204</v>
      </c>
      <c r="D2154" t="s">
        <v>6359</v>
      </c>
      <c r="E2154" t="s">
        <v>6371</v>
      </c>
      <c r="F2154" t="s">
        <v>6361</v>
      </c>
      <c r="G2154" s="43">
        <v>0</v>
      </c>
      <c r="H2154" s="63">
        <v>0.9</v>
      </c>
    </row>
    <row r="2155" spans="1:8" x14ac:dyDescent="0.55000000000000004">
      <c r="A2155" s="61" t="s">
        <v>6992</v>
      </c>
      <c r="B2155" t="s">
        <v>1700</v>
      </c>
      <c r="C2155">
        <v>9204</v>
      </c>
      <c r="D2155" t="s">
        <v>6363</v>
      </c>
      <c r="E2155" t="s">
        <v>6364</v>
      </c>
      <c r="F2155" t="s">
        <v>6361</v>
      </c>
      <c r="G2155" s="43">
        <v>0</v>
      </c>
      <c r="H2155" s="63">
        <v>0.1</v>
      </c>
    </row>
    <row r="2156" spans="1:8" x14ac:dyDescent="0.55000000000000004">
      <c r="A2156" s="61" t="s">
        <v>6992</v>
      </c>
      <c r="B2156" t="s">
        <v>1700</v>
      </c>
      <c r="C2156">
        <v>9204</v>
      </c>
      <c r="D2156" t="s">
        <v>6362</v>
      </c>
      <c r="E2156" t="s">
        <v>6358</v>
      </c>
      <c r="F2156" t="s">
        <v>6358</v>
      </c>
      <c r="G2156" s="62">
        <v>0.10730000000000001</v>
      </c>
      <c r="H2156" s="63">
        <v>1</v>
      </c>
    </row>
    <row r="2157" spans="1:8" x14ac:dyDescent="0.55000000000000004">
      <c r="A2157" s="61" t="s">
        <v>6992</v>
      </c>
      <c r="B2157" t="s">
        <v>1700</v>
      </c>
      <c r="C2157">
        <v>9204</v>
      </c>
      <c r="D2157" t="s">
        <v>6365</v>
      </c>
      <c r="E2157" t="s">
        <v>6366</v>
      </c>
      <c r="F2157" t="s">
        <v>6361</v>
      </c>
      <c r="G2157" s="43">
        <v>0</v>
      </c>
      <c r="H2157" s="63">
        <v>-0.1</v>
      </c>
    </row>
    <row r="2158" spans="1:8" x14ac:dyDescent="0.55000000000000004">
      <c r="A2158" s="61" t="s">
        <v>6993</v>
      </c>
      <c r="B2158" t="s">
        <v>1700</v>
      </c>
      <c r="C2158">
        <v>9310</v>
      </c>
      <c r="D2158" t="s">
        <v>6359</v>
      </c>
      <c r="E2158" t="s">
        <v>6371</v>
      </c>
      <c r="F2158" t="s">
        <v>6361</v>
      </c>
      <c r="G2158" s="43">
        <v>0</v>
      </c>
      <c r="H2158" s="63">
        <v>0.9</v>
      </c>
    </row>
    <row r="2159" spans="1:8" x14ac:dyDescent="0.55000000000000004">
      <c r="A2159" s="61" t="s">
        <v>6993</v>
      </c>
      <c r="B2159" t="s">
        <v>1700</v>
      </c>
      <c r="C2159">
        <v>9310</v>
      </c>
      <c r="D2159" t="s">
        <v>6363</v>
      </c>
      <c r="E2159" t="s">
        <v>6364</v>
      </c>
      <c r="F2159" t="s">
        <v>6361</v>
      </c>
      <c r="G2159" s="43">
        <v>0</v>
      </c>
      <c r="H2159" s="63">
        <v>0.1</v>
      </c>
    </row>
    <row r="2160" spans="1:8" x14ac:dyDescent="0.55000000000000004">
      <c r="A2160" s="61" t="s">
        <v>6993</v>
      </c>
      <c r="B2160" t="s">
        <v>1700</v>
      </c>
      <c r="C2160">
        <v>9310</v>
      </c>
      <c r="D2160" t="s">
        <v>6362</v>
      </c>
      <c r="E2160" t="s">
        <v>6358</v>
      </c>
      <c r="F2160" t="s">
        <v>6358</v>
      </c>
      <c r="G2160" s="62">
        <v>0.10730000000000001</v>
      </c>
      <c r="H2160" s="63">
        <v>1</v>
      </c>
    </row>
    <row r="2161" spans="1:8" x14ac:dyDescent="0.55000000000000004">
      <c r="A2161" s="61" t="s">
        <v>6993</v>
      </c>
      <c r="B2161" t="s">
        <v>1700</v>
      </c>
      <c r="C2161">
        <v>9310</v>
      </c>
      <c r="D2161" t="s">
        <v>6365</v>
      </c>
      <c r="E2161" t="s">
        <v>6366</v>
      </c>
      <c r="F2161" t="s">
        <v>6361</v>
      </c>
      <c r="G2161" s="43">
        <v>0</v>
      </c>
      <c r="H2161" s="63">
        <v>-0.1</v>
      </c>
    </row>
    <row r="2162" spans="1:8" x14ac:dyDescent="0.55000000000000004">
      <c r="A2162" s="61" t="s">
        <v>6994</v>
      </c>
      <c r="B2162" t="s">
        <v>4591</v>
      </c>
      <c r="C2162">
        <v>8701</v>
      </c>
      <c r="D2162" t="s">
        <v>6359</v>
      </c>
      <c r="E2162" t="s">
        <v>6370</v>
      </c>
      <c r="F2162" t="s">
        <v>6361</v>
      </c>
      <c r="G2162" s="43">
        <v>0</v>
      </c>
      <c r="H2162" s="63">
        <v>1</v>
      </c>
    </row>
    <row r="2163" spans="1:8" x14ac:dyDescent="0.55000000000000004">
      <c r="A2163" s="61" t="s">
        <v>6994</v>
      </c>
      <c r="B2163" t="s">
        <v>4591</v>
      </c>
      <c r="C2163">
        <v>8701</v>
      </c>
      <c r="D2163" t="s">
        <v>6362</v>
      </c>
      <c r="E2163" t="s">
        <v>6358</v>
      </c>
      <c r="F2163" t="s">
        <v>6358</v>
      </c>
      <c r="G2163" s="43">
        <v>6.0600000000000001E-2</v>
      </c>
      <c r="H2163" s="63">
        <v>1</v>
      </c>
    </row>
    <row r="2164" spans="1:8" x14ac:dyDescent="0.55000000000000004">
      <c r="A2164" s="61" t="s">
        <v>6995</v>
      </c>
      <c r="B2164" t="s">
        <v>4591</v>
      </c>
      <c r="C2164">
        <v>8710</v>
      </c>
      <c r="D2164" t="s">
        <v>6359</v>
      </c>
      <c r="E2164" t="s">
        <v>6370</v>
      </c>
      <c r="F2164" t="s">
        <v>6361</v>
      </c>
      <c r="G2164" s="43">
        <v>0</v>
      </c>
      <c r="H2164" s="63">
        <v>0.9</v>
      </c>
    </row>
    <row r="2165" spans="1:8" x14ac:dyDescent="0.55000000000000004">
      <c r="A2165" s="61" t="s">
        <v>6995</v>
      </c>
      <c r="B2165" t="s">
        <v>4591</v>
      </c>
      <c r="C2165">
        <v>8710</v>
      </c>
      <c r="D2165" t="s">
        <v>6363</v>
      </c>
      <c r="E2165" t="s">
        <v>6364</v>
      </c>
      <c r="F2165" t="s">
        <v>6361</v>
      </c>
      <c r="G2165" s="43">
        <v>0</v>
      </c>
      <c r="H2165" s="63">
        <v>0.1</v>
      </c>
    </row>
    <row r="2166" spans="1:8" x14ac:dyDescent="0.55000000000000004">
      <c r="A2166" s="61" t="s">
        <v>6995</v>
      </c>
      <c r="B2166" t="s">
        <v>4591</v>
      </c>
      <c r="C2166">
        <v>8710</v>
      </c>
      <c r="D2166" t="s">
        <v>6362</v>
      </c>
      <c r="E2166" t="s">
        <v>6358</v>
      </c>
      <c r="F2166" t="s">
        <v>6358</v>
      </c>
      <c r="G2166" s="43">
        <v>7.6700000000000004E-2</v>
      </c>
      <c r="H2166" s="63">
        <v>1</v>
      </c>
    </row>
    <row r="2167" spans="1:8" x14ac:dyDescent="0.55000000000000004">
      <c r="A2167" s="61" t="s">
        <v>6995</v>
      </c>
      <c r="B2167" t="s">
        <v>4591</v>
      </c>
      <c r="C2167">
        <v>8710</v>
      </c>
      <c r="D2167" t="s">
        <v>6365</v>
      </c>
      <c r="E2167" t="s">
        <v>6366</v>
      </c>
      <c r="F2167" t="s">
        <v>6361</v>
      </c>
      <c r="G2167" s="43">
        <v>0</v>
      </c>
      <c r="H2167" s="63">
        <v>-0.1</v>
      </c>
    </row>
    <row r="2168" spans="1:8" x14ac:dyDescent="0.55000000000000004">
      <c r="A2168" s="61" t="s">
        <v>6996</v>
      </c>
      <c r="B2168" t="s">
        <v>4591</v>
      </c>
      <c r="C2168">
        <v>9110</v>
      </c>
      <c r="D2168" t="s">
        <v>6359</v>
      </c>
      <c r="E2168" t="s">
        <v>6371</v>
      </c>
      <c r="F2168" t="s">
        <v>6361</v>
      </c>
      <c r="G2168" s="43">
        <v>0</v>
      </c>
      <c r="H2168" s="63">
        <v>0.9</v>
      </c>
    </row>
    <row r="2169" spans="1:8" x14ac:dyDescent="0.55000000000000004">
      <c r="A2169" s="61" t="s">
        <v>6996</v>
      </c>
      <c r="B2169" t="s">
        <v>4591</v>
      </c>
      <c r="C2169">
        <v>9110</v>
      </c>
      <c r="D2169" t="s">
        <v>6363</v>
      </c>
      <c r="E2169" t="s">
        <v>6364</v>
      </c>
      <c r="F2169" t="s">
        <v>6361</v>
      </c>
      <c r="G2169" s="43">
        <v>0</v>
      </c>
      <c r="H2169" s="63">
        <v>0.1</v>
      </c>
    </row>
    <row r="2170" spans="1:8" x14ac:dyDescent="0.55000000000000004">
      <c r="A2170" s="61" t="s">
        <v>6996</v>
      </c>
      <c r="B2170" t="s">
        <v>4591</v>
      </c>
      <c r="C2170">
        <v>9110</v>
      </c>
      <c r="D2170" t="s">
        <v>6362</v>
      </c>
      <c r="E2170" t="s">
        <v>6358</v>
      </c>
      <c r="F2170" t="s">
        <v>6358</v>
      </c>
      <c r="G2170" s="43">
        <v>7.6700000000000004E-2</v>
      </c>
      <c r="H2170" s="63">
        <v>1</v>
      </c>
    </row>
    <row r="2171" spans="1:8" x14ac:dyDescent="0.55000000000000004">
      <c r="A2171" s="61" t="s">
        <v>6996</v>
      </c>
      <c r="B2171" t="s">
        <v>4591</v>
      </c>
      <c r="C2171">
        <v>9110</v>
      </c>
      <c r="D2171" t="s">
        <v>6365</v>
      </c>
      <c r="E2171" t="s">
        <v>6366</v>
      </c>
      <c r="F2171" t="s">
        <v>6361</v>
      </c>
      <c r="G2171" s="43">
        <v>0</v>
      </c>
      <c r="H2171" s="63">
        <v>-0.1</v>
      </c>
    </row>
    <row r="2172" spans="1:8" x14ac:dyDescent="0.55000000000000004">
      <c r="A2172" s="61" t="s">
        <v>6997</v>
      </c>
      <c r="B2172" t="s">
        <v>4591</v>
      </c>
      <c r="C2172">
        <v>9204</v>
      </c>
      <c r="D2172" t="s">
        <v>6359</v>
      </c>
      <c r="E2172" t="s">
        <v>6371</v>
      </c>
      <c r="F2172" t="s">
        <v>6361</v>
      </c>
      <c r="G2172" s="43">
        <v>0</v>
      </c>
      <c r="H2172" s="63">
        <v>0.9</v>
      </c>
    </row>
    <row r="2173" spans="1:8" x14ac:dyDescent="0.55000000000000004">
      <c r="A2173" s="61" t="s">
        <v>6997</v>
      </c>
      <c r="B2173" t="s">
        <v>4591</v>
      </c>
      <c r="C2173">
        <v>9204</v>
      </c>
      <c r="D2173" t="s">
        <v>6363</v>
      </c>
      <c r="E2173" t="s">
        <v>6364</v>
      </c>
      <c r="F2173" t="s">
        <v>6361</v>
      </c>
      <c r="G2173" s="43">
        <v>0</v>
      </c>
      <c r="H2173" s="63">
        <v>0.1</v>
      </c>
    </row>
    <row r="2174" spans="1:8" x14ac:dyDescent="0.55000000000000004">
      <c r="A2174" s="61" t="s">
        <v>6997</v>
      </c>
      <c r="B2174" t="s">
        <v>4591</v>
      </c>
      <c r="C2174">
        <v>9204</v>
      </c>
      <c r="D2174" t="s">
        <v>6362</v>
      </c>
      <c r="E2174" t="s">
        <v>6358</v>
      </c>
      <c r="F2174" t="s">
        <v>6358</v>
      </c>
      <c r="G2174" s="43">
        <v>7.6700000000000004E-2</v>
      </c>
      <c r="H2174" s="63">
        <v>1</v>
      </c>
    </row>
    <row r="2175" spans="1:8" x14ac:dyDescent="0.55000000000000004">
      <c r="A2175" s="61" t="s">
        <v>6997</v>
      </c>
      <c r="B2175" t="s">
        <v>4591</v>
      </c>
      <c r="C2175">
        <v>9204</v>
      </c>
      <c r="D2175" t="s">
        <v>6365</v>
      </c>
      <c r="E2175" t="s">
        <v>6366</v>
      </c>
      <c r="F2175" t="s">
        <v>6361</v>
      </c>
      <c r="G2175" s="43">
        <v>0</v>
      </c>
      <c r="H2175" s="63">
        <v>-0.1</v>
      </c>
    </row>
    <row r="2176" spans="1:8" x14ac:dyDescent="0.55000000000000004">
      <c r="A2176" s="61" t="s">
        <v>6998</v>
      </c>
      <c r="B2176" t="s">
        <v>4591</v>
      </c>
      <c r="C2176">
        <v>9310</v>
      </c>
      <c r="D2176" t="s">
        <v>6359</v>
      </c>
      <c r="E2176" t="s">
        <v>6371</v>
      </c>
      <c r="F2176" t="s">
        <v>6361</v>
      </c>
      <c r="G2176" s="43">
        <v>0</v>
      </c>
      <c r="H2176" s="63">
        <v>0.9</v>
      </c>
    </row>
    <row r="2177" spans="1:8" x14ac:dyDescent="0.55000000000000004">
      <c r="A2177" s="61" t="s">
        <v>6998</v>
      </c>
      <c r="B2177" t="s">
        <v>4591</v>
      </c>
      <c r="C2177">
        <v>9310</v>
      </c>
      <c r="D2177" t="s">
        <v>6363</v>
      </c>
      <c r="E2177" t="s">
        <v>6364</v>
      </c>
      <c r="F2177" t="s">
        <v>6361</v>
      </c>
      <c r="G2177" s="43">
        <v>0</v>
      </c>
      <c r="H2177" s="63">
        <v>0.1</v>
      </c>
    </row>
    <row r="2178" spans="1:8" x14ac:dyDescent="0.55000000000000004">
      <c r="A2178" s="61" t="s">
        <v>6998</v>
      </c>
      <c r="B2178" t="s">
        <v>4591</v>
      </c>
      <c r="C2178">
        <v>9310</v>
      </c>
      <c r="D2178" t="s">
        <v>6362</v>
      </c>
      <c r="E2178" t="s">
        <v>6358</v>
      </c>
      <c r="F2178" t="s">
        <v>6358</v>
      </c>
      <c r="G2178" s="43">
        <v>7.6700000000000004E-2</v>
      </c>
      <c r="H2178" s="63">
        <v>1</v>
      </c>
    </row>
    <row r="2179" spans="1:8" x14ac:dyDescent="0.55000000000000004">
      <c r="A2179" s="61" t="s">
        <v>6998</v>
      </c>
      <c r="B2179" t="s">
        <v>4591</v>
      </c>
      <c r="C2179">
        <v>9310</v>
      </c>
      <c r="D2179" t="s">
        <v>6365</v>
      </c>
      <c r="E2179" t="s">
        <v>6366</v>
      </c>
      <c r="F2179" t="s">
        <v>6361</v>
      </c>
      <c r="G2179" s="43">
        <v>0</v>
      </c>
      <c r="H2179" s="63">
        <v>-0.1</v>
      </c>
    </row>
    <row r="2180" spans="1:8" x14ac:dyDescent="0.55000000000000004">
      <c r="A2180" s="61" t="s">
        <v>6999</v>
      </c>
      <c r="B2180" t="s">
        <v>5197</v>
      </c>
      <c r="C2180">
        <v>8711</v>
      </c>
      <c r="D2180" t="s">
        <v>6359</v>
      </c>
      <c r="E2180" t="s">
        <v>6372</v>
      </c>
      <c r="F2180" t="s">
        <v>6361</v>
      </c>
      <c r="G2180" s="43">
        <v>0</v>
      </c>
      <c r="H2180" s="63">
        <v>0.9</v>
      </c>
    </row>
    <row r="2181" spans="1:8" x14ac:dyDescent="0.55000000000000004">
      <c r="A2181" s="61" t="s">
        <v>6999</v>
      </c>
      <c r="B2181" t="s">
        <v>5197</v>
      </c>
      <c r="C2181">
        <v>8711</v>
      </c>
      <c r="D2181" t="s">
        <v>6363</v>
      </c>
      <c r="E2181" t="s">
        <v>6364</v>
      </c>
      <c r="F2181" t="s">
        <v>6361</v>
      </c>
      <c r="G2181" s="43">
        <v>0</v>
      </c>
      <c r="H2181" s="63">
        <v>0.1</v>
      </c>
    </row>
    <row r="2182" spans="1:8" x14ac:dyDescent="0.55000000000000004">
      <c r="A2182" s="61" t="s">
        <v>6999</v>
      </c>
      <c r="B2182" t="s">
        <v>5197</v>
      </c>
      <c r="C2182">
        <v>8711</v>
      </c>
      <c r="D2182" t="s">
        <v>6362</v>
      </c>
      <c r="E2182" t="s">
        <v>6358</v>
      </c>
      <c r="F2182" t="s">
        <v>6358</v>
      </c>
      <c r="G2182" s="43">
        <v>5.3100000000000001E-2</v>
      </c>
      <c r="H2182" s="63">
        <v>1</v>
      </c>
    </row>
    <row r="2183" spans="1:8" x14ac:dyDescent="0.55000000000000004">
      <c r="A2183" s="61" t="s">
        <v>6999</v>
      </c>
      <c r="B2183" t="s">
        <v>5197</v>
      </c>
      <c r="C2183">
        <v>8711</v>
      </c>
      <c r="D2183" t="s">
        <v>6365</v>
      </c>
      <c r="E2183" t="s">
        <v>6366</v>
      </c>
      <c r="F2183" t="s">
        <v>6361</v>
      </c>
      <c r="G2183" s="43">
        <v>0</v>
      </c>
      <c r="H2183" s="63">
        <v>-0.1</v>
      </c>
    </row>
    <row r="2184" spans="1:8" x14ac:dyDescent="0.55000000000000004">
      <c r="A2184" s="61" t="s">
        <v>7000</v>
      </c>
      <c r="B2184" t="s">
        <v>5197</v>
      </c>
      <c r="C2184">
        <v>8713</v>
      </c>
      <c r="D2184" t="s">
        <v>6359</v>
      </c>
      <c r="E2184" t="s">
        <v>6372</v>
      </c>
      <c r="F2184" t="s">
        <v>6361</v>
      </c>
      <c r="G2184" s="43">
        <v>0</v>
      </c>
      <c r="H2184" s="63">
        <v>0.9</v>
      </c>
    </row>
    <row r="2185" spans="1:8" x14ac:dyDescent="0.55000000000000004">
      <c r="A2185" s="61" t="s">
        <v>7000</v>
      </c>
      <c r="B2185" t="s">
        <v>5197</v>
      </c>
      <c r="C2185">
        <v>8713</v>
      </c>
      <c r="D2185" t="s">
        <v>6363</v>
      </c>
      <c r="E2185" t="s">
        <v>6364</v>
      </c>
      <c r="F2185" t="s">
        <v>6361</v>
      </c>
      <c r="G2185" s="43">
        <v>0</v>
      </c>
      <c r="H2185" s="63">
        <v>0.1</v>
      </c>
    </row>
    <row r="2186" spans="1:8" x14ac:dyDescent="0.55000000000000004">
      <c r="A2186" s="61" t="s">
        <v>7000</v>
      </c>
      <c r="B2186" t="s">
        <v>5197</v>
      </c>
      <c r="C2186">
        <v>8713</v>
      </c>
      <c r="D2186" t="s">
        <v>6362</v>
      </c>
      <c r="E2186" t="s">
        <v>6358</v>
      </c>
      <c r="F2186" t="s">
        <v>6358</v>
      </c>
      <c r="G2186" s="43">
        <v>5.3100000000000001E-2</v>
      </c>
      <c r="H2186" s="63">
        <v>1</v>
      </c>
    </row>
    <row r="2187" spans="1:8" x14ac:dyDescent="0.55000000000000004">
      <c r="A2187" s="61" t="s">
        <v>7000</v>
      </c>
      <c r="B2187" t="s">
        <v>5197</v>
      </c>
      <c r="C2187">
        <v>8713</v>
      </c>
      <c r="D2187" t="s">
        <v>6365</v>
      </c>
      <c r="E2187" t="s">
        <v>6366</v>
      </c>
      <c r="F2187" t="s">
        <v>6361</v>
      </c>
      <c r="G2187" s="43">
        <v>0</v>
      </c>
      <c r="H2187" s="63">
        <v>-0.1</v>
      </c>
    </row>
    <row r="2188" spans="1:8" x14ac:dyDescent="0.55000000000000004">
      <c r="A2188" s="61" t="s">
        <v>7001</v>
      </c>
      <c r="B2188" t="s">
        <v>5197</v>
      </c>
      <c r="C2188">
        <v>9307</v>
      </c>
      <c r="D2188" t="s">
        <v>6359</v>
      </c>
      <c r="E2188" t="s">
        <v>6373</v>
      </c>
      <c r="F2188" t="s">
        <v>6361</v>
      </c>
      <c r="G2188" s="43">
        <v>0</v>
      </c>
      <c r="H2188" s="63">
        <v>0.9</v>
      </c>
    </row>
    <row r="2189" spans="1:8" x14ac:dyDescent="0.55000000000000004">
      <c r="A2189" s="61" t="s">
        <v>7001</v>
      </c>
      <c r="B2189" t="s">
        <v>5197</v>
      </c>
      <c r="C2189">
        <v>9307</v>
      </c>
      <c r="D2189" t="s">
        <v>6363</v>
      </c>
      <c r="E2189" t="s">
        <v>6364</v>
      </c>
      <c r="F2189" t="s">
        <v>6361</v>
      </c>
      <c r="G2189" s="43">
        <v>0</v>
      </c>
      <c r="H2189" s="63">
        <v>0.1</v>
      </c>
    </row>
    <row r="2190" spans="1:8" x14ac:dyDescent="0.55000000000000004">
      <c r="A2190" s="61" t="s">
        <v>7001</v>
      </c>
      <c r="B2190" t="s">
        <v>5197</v>
      </c>
      <c r="C2190">
        <v>9307</v>
      </c>
      <c r="D2190" t="s">
        <v>6362</v>
      </c>
      <c r="E2190" t="s">
        <v>6358</v>
      </c>
      <c r="F2190" t="s">
        <v>6358</v>
      </c>
      <c r="G2190" s="43">
        <v>5.3100000000000001E-2</v>
      </c>
      <c r="H2190" s="63">
        <v>1</v>
      </c>
    </row>
    <row r="2191" spans="1:8" x14ac:dyDescent="0.55000000000000004">
      <c r="A2191" s="61" t="s">
        <v>7001</v>
      </c>
      <c r="B2191" t="s">
        <v>5197</v>
      </c>
      <c r="C2191">
        <v>9307</v>
      </c>
      <c r="D2191" t="s">
        <v>6365</v>
      </c>
      <c r="E2191" t="s">
        <v>6366</v>
      </c>
      <c r="F2191" t="s">
        <v>6361</v>
      </c>
      <c r="G2191" s="43">
        <v>0</v>
      </c>
      <c r="H2191" s="63">
        <v>-0.1</v>
      </c>
    </row>
    <row r="2192" spans="1:8" x14ac:dyDescent="0.55000000000000004">
      <c r="A2192" s="61" t="s">
        <v>7002</v>
      </c>
      <c r="B2192" t="s">
        <v>5197</v>
      </c>
      <c r="C2192">
        <v>9309</v>
      </c>
      <c r="D2192" t="s">
        <v>6359</v>
      </c>
      <c r="E2192" t="s">
        <v>6373</v>
      </c>
      <c r="F2192" t="s">
        <v>6361</v>
      </c>
      <c r="G2192" s="43">
        <v>0</v>
      </c>
      <c r="H2192" s="63">
        <v>0.9</v>
      </c>
    </row>
    <row r="2193" spans="1:8" x14ac:dyDescent="0.55000000000000004">
      <c r="A2193" s="61" t="s">
        <v>7002</v>
      </c>
      <c r="B2193" t="s">
        <v>5197</v>
      </c>
      <c r="C2193">
        <v>9309</v>
      </c>
      <c r="D2193" t="s">
        <v>6363</v>
      </c>
      <c r="E2193" t="s">
        <v>6364</v>
      </c>
      <c r="F2193" t="s">
        <v>6361</v>
      </c>
      <c r="G2193" s="43">
        <v>0</v>
      </c>
      <c r="H2193" s="63">
        <v>0.1</v>
      </c>
    </row>
    <row r="2194" spans="1:8" x14ac:dyDescent="0.55000000000000004">
      <c r="A2194" s="61" t="s">
        <v>7002</v>
      </c>
      <c r="B2194" t="s">
        <v>5197</v>
      </c>
      <c r="C2194">
        <v>9309</v>
      </c>
      <c r="D2194" t="s">
        <v>6362</v>
      </c>
      <c r="E2194" t="s">
        <v>6358</v>
      </c>
      <c r="F2194" t="s">
        <v>6358</v>
      </c>
      <c r="G2194" s="43">
        <v>5.3100000000000001E-2</v>
      </c>
      <c r="H2194" s="63">
        <v>1</v>
      </c>
    </row>
    <row r="2195" spans="1:8" x14ac:dyDescent="0.55000000000000004">
      <c r="A2195" s="61" t="s">
        <v>7002</v>
      </c>
      <c r="B2195" t="s">
        <v>5197</v>
      </c>
      <c r="C2195">
        <v>9309</v>
      </c>
      <c r="D2195" t="s">
        <v>6365</v>
      </c>
      <c r="E2195" t="s">
        <v>6366</v>
      </c>
      <c r="F2195" t="s">
        <v>6361</v>
      </c>
      <c r="G2195" s="43">
        <v>0</v>
      </c>
      <c r="H2195" s="63">
        <v>-0.1</v>
      </c>
    </row>
    <row r="2196" spans="1:8" x14ac:dyDescent="0.55000000000000004">
      <c r="A2196" s="61" t="s">
        <v>7003</v>
      </c>
      <c r="B2196" t="s">
        <v>1389</v>
      </c>
      <c r="C2196">
        <v>8710</v>
      </c>
      <c r="D2196" t="s">
        <v>6359</v>
      </c>
      <c r="E2196" t="s">
        <v>6368</v>
      </c>
      <c r="F2196" t="s">
        <v>6361</v>
      </c>
      <c r="G2196" s="43">
        <v>0</v>
      </c>
      <c r="H2196" s="63">
        <v>0.9</v>
      </c>
    </row>
    <row r="2197" spans="1:8" x14ac:dyDescent="0.55000000000000004">
      <c r="A2197" s="61" t="s">
        <v>7003</v>
      </c>
      <c r="B2197" t="s">
        <v>1389</v>
      </c>
      <c r="C2197">
        <v>8710</v>
      </c>
      <c r="D2197" t="s">
        <v>6363</v>
      </c>
      <c r="E2197" t="s">
        <v>6364</v>
      </c>
      <c r="F2197" t="s">
        <v>6361</v>
      </c>
      <c r="G2197" s="43">
        <v>0</v>
      </c>
      <c r="H2197" s="63">
        <v>0.1</v>
      </c>
    </row>
    <row r="2198" spans="1:8" x14ac:dyDescent="0.55000000000000004">
      <c r="A2198" s="61" t="s">
        <v>7003</v>
      </c>
      <c r="B2198" t="s">
        <v>1389</v>
      </c>
      <c r="C2198">
        <v>8710</v>
      </c>
      <c r="D2198" t="s">
        <v>6362</v>
      </c>
      <c r="E2198" t="s">
        <v>6358</v>
      </c>
      <c r="F2198" t="s">
        <v>6358</v>
      </c>
      <c r="G2198" s="62">
        <v>5.0999999999999997E-2</v>
      </c>
      <c r="H2198" s="63">
        <v>1</v>
      </c>
    </row>
    <row r="2199" spans="1:8" x14ac:dyDescent="0.55000000000000004">
      <c r="A2199" s="61" t="s">
        <v>7003</v>
      </c>
      <c r="B2199" t="s">
        <v>1389</v>
      </c>
      <c r="C2199">
        <v>8710</v>
      </c>
      <c r="D2199" t="s">
        <v>6365</v>
      </c>
      <c r="E2199" t="s">
        <v>6366</v>
      </c>
      <c r="F2199" t="s">
        <v>6361</v>
      </c>
      <c r="G2199" s="43">
        <v>0</v>
      </c>
      <c r="H2199" s="63">
        <v>-0.1</v>
      </c>
    </row>
    <row r="2200" spans="1:8" x14ac:dyDescent="0.55000000000000004">
      <c r="A2200" s="61" t="s">
        <v>7004</v>
      </c>
      <c r="B2200" t="s">
        <v>1389</v>
      </c>
      <c r="C2200">
        <v>9110</v>
      </c>
      <c r="D2200" t="s">
        <v>6359</v>
      </c>
      <c r="E2200" t="s">
        <v>6369</v>
      </c>
      <c r="F2200" t="s">
        <v>6361</v>
      </c>
      <c r="G2200" s="43">
        <v>0</v>
      </c>
      <c r="H2200" s="63">
        <v>0.9</v>
      </c>
    </row>
    <row r="2201" spans="1:8" x14ac:dyDescent="0.55000000000000004">
      <c r="A2201" s="61" t="s">
        <v>7004</v>
      </c>
      <c r="B2201" t="s">
        <v>1389</v>
      </c>
      <c r="C2201">
        <v>9110</v>
      </c>
      <c r="D2201" t="s">
        <v>6363</v>
      </c>
      <c r="E2201" t="s">
        <v>6364</v>
      </c>
      <c r="F2201" t="s">
        <v>6361</v>
      </c>
      <c r="G2201" s="43">
        <v>0</v>
      </c>
      <c r="H2201" s="63">
        <v>0.1</v>
      </c>
    </row>
    <row r="2202" spans="1:8" x14ac:dyDescent="0.55000000000000004">
      <c r="A2202" s="61" t="s">
        <v>7004</v>
      </c>
      <c r="B2202" t="s">
        <v>1389</v>
      </c>
      <c r="C2202">
        <v>9110</v>
      </c>
      <c r="D2202" t="s">
        <v>6362</v>
      </c>
      <c r="E2202" t="s">
        <v>6358</v>
      </c>
      <c r="F2202" t="s">
        <v>6358</v>
      </c>
      <c r="G2202" s="62">
        <v>5.0999999999999997E-2</v>
      </c>
      <c r="H2202" s="63">
        <v>1</v>
      </c>
    </row>
    <row r="2203" spans="1:8" x14ac:dyDescent="0.55000000000000004">
      <c r="A2203" s="61" t="s">
        <v>7004</v>
      </c>
      <c r="B2203" t="s">
        <v>1389</v>
      </c>
      <c r="C2203">
        <v>9110</v>
      </c>
      <c r="D2203" t="s">
        <v>6365</v>
      </c>
      <c r="E2203" t="s">
        <v>6366</v>
      </c>
      <c r="F2203" t="s">
        <v>6361</v>
      </c>
      <c r="G2203" s="43">
        <v>0</v>
      </c>
      <c r="H2203" s="63">
        <v>-0.1</v>
      </c>
    </row>
    <row r="2204" spans="1:8" x14ac:dyDescent="0.55000000000000004">
      <c r="A2204" s="61" t="s">
        <v>7005</v>
      </c>
      <c r="B2204" t="s">
        <v>3355</v>
      </c>
      <c r="C2204">
        <v>8701</v>
      </c>
      <c r="D2204" t="s">
        <v>6359</v>
      </c>
      <c r="E2204" t="s">
        <v>6360</v>
      </c>
      <c r="F2204" t="s">
        <v>6361</v>
      </c>
      <c r="G2204" s="43">
        <v>0</v>
      </c>
      <c r="H2204" s="63">
        <v>1</v>
      </c>
    </row>
    <row r="2205" spans="1:8" x14ac:dyDescent="0.55000000000000004">
      <c r="A2205" s="61" t="s">
        <v>7005</v>
      </c>
      <c r="B2205" t="s">
        <v>3355</v>
      </c>
      <c r="C2205">
        <v>8701</v>
      </c>
      <c r="D2205" t="s">
        <v>6362</v>
      </c>
      <c r="E2205" t="s">
        <v>6358</v>
      </c>
      <c r="F2205" t="s">
        <v>6358</v>
      </c>
      <c r="G2205" s="43">
        <v>8.7900000000000006E-2</v>
      </c>
      <c r="H2205" s="63">
        <v>1</v>
      </c>
    </row>
    <row r="2206" spans="1:8" x14ac:dyDescent="0.55000000000000004">
      <c r="A2206" s="61" t="s">
        <v>7006</v>
      </c>
      <c r="B2206" t="s">
        <v>3355</v>
      </c>
      <c r="C2206">
        <v>8710</v>
      </c>
      <c r="D2206" t="s">
        <v>6359</v>
      </c>
      <c r="E2206" t="s">
        <v>6360</v>
      </c>
      <c r="F2206" t="s">
        <v>6361</v>
      </c>
      <c r="G2206" s="43">
        <v>0</v>
      </c>
      <c r="H2206" s="63">
        <v>0.9</v>
      </c>
    </row>
    <row r="2207" spans="1:8" x14ac:dyDescent="0.55000000000000004">
      <c r="A2207" s="61" t="s">
        <v>7006</v>
      </c>
      <c r="B2207" t="s">
        <v>3355</v>
      </c>
      <c r="C2207">
        <v>8710</v>
      </c>
      <c r="D2207" t="s">
        <v>6363</v>
      </c>
      <c r="E2207" t="s">
        <v>6364</v>
      </c>
      <c r="F2207" t="s">
        <v>6361</v>
      </c>
      <c r="G2207" s="43">
        <v>0</v>
      </c>
      <c r="H2207" s="63">
        <v>0.1</v>
      </c>
    </row>
    <row r="2208" spans="1:8" x14ac:dyDescent="0.55000000000000004">
      <c r="A2208" s="61" t="s">
        <v>7006</v>
      </c>
      <c r="B2208" t="s">
        <v>3355</v>
      </c>
      <c r="C2208">
        <v>8710</v>
      </c>
      <c r="D2208" t="s">
        <v>6362</v>
      </c>
      <c r="E2208" t="s">
        <v>6358</v>
      </c>
      <c r="F2208" t="s">
        <v>6358</v>
      </c>
      <c r="G2208" s="43">
        <v>9.1399999999999995E-2</v>
      </c>
      <c r="H2208" s="63">
        <v>1</v>
      </c>
    </row>
    <row r="2209" spans="1:8" x14ac:dyDescent="0.55000000000000004">
      <c r="A2209" s="61" t="s">
        <v>7006</v>
      </c>
      <c r="B2209" t="s">
        <v>3355</v>
      </c>
      <c r="C2209">
        <v>8710</v>
      </c>
      <c r="D2209" t="s">
        <v>6365</v>
      </c>
      <c r="E2209" t="s">
        <v>6366</v>
      </c>
      <c r="F2209" t="s">
        <v>6361</v>
      </c>
      <c r="G2209" s="43">
        <v>0</v>
      </c>
      <c r="H2209" s="63">
        <v>-0.1</v>
      </c>
    </row>
    <row r="2210" spans="1:8" x14ac:dyDescent="0.55000000000000004">
      <c r="A2210" s="61" t="s">
        <v>7007</v>
      </c>
      <c r="B2210" t="s">
        <v>3355</v>
      </c>
      <c r="C2210">
        <v>9101</v>
      </c>
      <c r="D2210" t="s">
        <v>6359</v>
      </c>
      <c r="E2210" t="s">
        <v>6367</v>
      </c>
      <c r="F2210" t="s">
        <v>6361</v>
      </c>
      <c r="G2210" s="43">
        <v>0</v>
      </c>
      <c r="H2210" s="63">
        <v>1</v>
      </c>
    </row>
    <row r="2211" spans="1:8" x14ac:dyDescent="0.55000000000000004">
      <c r="A2211" s="61" t="s">
        <v>7007</v>
      </c>
      <c r="B2211" t="s">
        <v>3355</v>
      </c>
      <c r="C2211">
        <v>9101</v>
      </c>
      <c r="D2211" t="s">
        <v>6362</v>
      </c>
      <c r="E2211" t="s">
        <v>6358</v>
      </c>
      <c r="F2211" t="s">
        <v>6358</v>
      </c>
      <c r="G2211" s="43">
        <v>8.7900000000000006E-2</v>
      </c>
      <c r="H2211" s="63">
        <v>1</v>
      </c>
    </row>
    <row r="2212" spans="1:8" x14ac:dyDescent="0.55000000000000004">
      <c r="A2212" s="61" t="s">
        <v>7008</v>
      </c>
      <c r="B2212" t="s">
        <v>3355</v>
      </c>
      <c r="C2212">
        <v>9110</v>
      </c>
      <c r="D2212" t="s">
        <v>6359</v>
      </c>
      <c r="E2212" t="s">
        <v>6367</v>
      </c>
      <c r="F2212" t="s">
        <v>6361</v>
      </c>
      <c r="G2212" s="43">
        <v>0</v>
      </c>
      <c r="H2212" s="63">
        <v>0.9</v>
      </c>
    </row>
    <row r="2213" spans="1:8" x14ac:dyDescent="0.55000000000000004">
      <c r="A2213" s="61" t="s">
        <v>7008</v>
      </c>
      <c r="B2213" t="s">
        <v>3355</v>
      </c>
      <c r="C2213">
        <v>9110</v>
      </c>
      <c r="D2213" t="s">
        <v>6363</v>
      </c>
      <c r="E2213" t="s">
        <v>6364</v>
      </c>
      <c r="F2213" t="s">
        <v>6361</v>
      </c>
      <c r="G2213" s="43">
        <v>0</v>
      </c>
      <c r="H2213" s="63">
        <v>0.1</v>
      </c>
    </row>
    <row r="2214" spans="1:8" x14ac:dyDescent="0.55000000000000004">
      <c r="A2214" s="61" t="s">
        <v>7008</v>
      </c>
      <c r="B2214" t="s">
        <v>3355</v>
      </c>
      <c r="C2214">
        <v>9110</v>
      </c>
      <c r="D2214" t="s">
        <v>6362</v>
      </c>
      <c r="E2214" t="s">
        <v>6358</v>
      </c>
      <c r="F2214" t="s">
        <v>6358</v>
      </c>
      <c r="G2214" s="43">
        <v>9.1399999999999995E-2</v>
      </c>
      <c r="H2214" s="63">
        <v>1</v>
      </c>
    </row>
    <row r="2215" spans="1:8" x14ac:dyDescent="0.55000000000000004">
      <c r="A2215" s="61" t="s">
        <v>7008</v>
      </c>
      <c r="B2215" t="s">
        <v>3355</v>
      </c>
      <c r="C2215">
        <v>9110</v>
      </c>
      <c r="D2215" t="s">
        <v>6365</v>
      </c>
      <c r="E2215" t="s">
        <v>6366</v>
      </c>
      <c r="F2215" t="s">
        <v>6361</v>
      </c>
      <c r="G2215" s="43">
        <v>0</v>
      </c>
      <c r="H2215" s="63">
        <v>-0.1</v>
      </c>
    </row>
    <row r="2216" spans="1:8" x14ac:dyDescent="0.55000000000000004">
      <c r="A2216" s="61" t="s">
        <v>7009</v>
      </c>
      <c r="B2216" t="s">
        <v>2560</v>
      </c>
      <c r="C2216">
        <v>8707</v>
      </c>
      <c r="D2216" t="s">
        <v>6359</v>
      </c>
      <c r="E2216" t="s">
        <v>6368</v>
      </c>
      <c r="F2216" t="s">
        <v>6361</v>
      </c>
      <c r="G2216" s="43">
        <v>0</v>
      </c>
      <c r="H2216" s="63">
        <v>0.9</v>
      </c>
    </row>
    <row r="2217" spans="1:8" x14ac:dyDescent="0.55000000000000004">
      <c r="A2217" s="61" t="s">
        <v>7009</v>
      </c>
      <c r="B2217" t="s">
        <v>2560</v>
      </c>
      <c r="C2217">
        <v>8707</v>
      </c>
      <c r="D2217" t="s">
        <v>6363</v>
      </c>
      <c r="E2217" t="s">
        <v>6364</v>
      </c>
      <c r="F2217" t="s">
        <v>6361</v>
      </c>
      <c r="G2217" s="43">
        <v>0</v>
      </c>
      <c r="H2217" s="63">
        <v>0.1</v>
      </c>
    </row>
    <row r="2218" spans="1:8" x14ac:dyDescent="0.55000000000000004">
      <c r="A2218" s="61" t="s">
        <v>7009</v>
      </c>
      <c r="B2218" t="s">
        <v>2560</v>
      </c>
      <c r="C2218">
        <v>8707</v>
      </c>
      <c r="D2218" t="s">
        <v>6362</v>
      </c>
      <c r="E2218" t="s">
        <v>6358</v>
      </c>
      <c r="F2218" t="s">
        <v>6358</v>
      </c>
      <c r="G2218" s="43">
        <v>9.8599999999999993E-2</v>
      </c>
      <c r="H2218" s="63">
        <v>1</v>
      </c>
    </row>
    <row r="2219" spans="1:8" x14ac:dyDescent="0.55000000000000004">
      <c r="A2219" s="61" t="s">
        <v>7009</v>
      </c>
      <c r="B2219" t="s">
        <v>2560</v>
      </c>
      <c r="C2219">
        <v>8707</v>
      </c>
      <c r="D2219" t="s">
        <v>6365</v>
      </c>
      <c r="E2219" t="s">
        <v>6366</v>
      </c>
      <c r="F2219" t="s">
        <v>6361</v>
      </c>
      <c r="G2219" s="43">
        <v>0</v>
      </c>
      <c r="H2219" s="63">
        <v>-0.1</v>
      </c>
    </row>
    <row r="2220" spans="1:8" x14ac:dyDescent="0.55000000000000004">
      <c r="A2220" s="61" t="s">
        <v>7010</v>
      </c>
      <c r="B2220" t="s">
        <v>2560</v>
      </c>
      <c r="C2220">
        <v>9304</v>
      </c>
      <c r="D2220" t="s">
        <v>6359</v>
      </c>
      <c r="E2220" t="s">
        <v>6369</v>
      </c>
      <c r="F2220" t="s">
        <v>6361</v>
      </c>
      <c r="G2220" s="43">
        <v>0</v>
      </c>
      <c r="H2220" s="63">
        <v>0.9</v>
      </c>
    </row>
    <row r="2221" spans="1:8" x14ac:dyDescent="0.55000000000000004">
      <c r="A2221" s="61" t="s">
        <v>7010</v>
      </c>
      <c r="B2221" t="s">
        <v>2560</v>
      </c>
      <c r="C2221">
        <v>9304</v>
      </c>
      <c r="D2221" t="s">
        <v>6363</v>
      </c>
      <c r="E2221" t="s">
        <v>6364</v>
      </c>
      <c r="F2221" t="s">
        <v>6361</v>
      </c>
      <c r="G2221" s="43">
        <v>0</v>
      </c>
      <c r="H2221" s="63">
        <v>0.1</v>
      </c>
    </row>
    <row r="2222" spans="1:8" x14ac:dyDescent="0.55000000000000004">
      <c r="A2222" s="61" t="s">
        <v>7010</v>
      </c>
      <c r="B2222" t="s">
        <v>2560</v>
      </c>
      <c r="C2222">
        <v>9304</v>
      </c>
      <c r="D2222" t="s">
        <v>6362</v>
      </c>
      <c r="E2222" t="s">
        <v>6358</v>
      </c>
      <c r="F2222" t="s">
        <v>6358</v>
      </c>
      <c r="G2222" s="43">
        <v>9.8599999999999993E-2</v>
      </c>
      <c r="H2222" s="63">
        <v>1</v>
      </c>
    </row>
    <row r="2223" spans="1:8" x14ac:dyDescent="0.55000000000000004">
      <c r="A2223" s="61" t="s">
        <v>7010</v>
      </c>
      <c r="B2223" t="s">
        <v>2560</v>
      </c>
      <c r="C2223">
        <v>9304</v>
      </c>
      <c r="D2223" t="s">
        <v>6365</v>
      </c>
      <c r="E2223" t="s">
        <v>6366</v>
      </c>
      <c r="F2223" t="s">
        <v>6361</v>
      </c>
      <c r="G2223" s="43">
        <v>0</v>
      </c>
      <c r="H2223" s="63">
        <v>-0.1</v>
      </c>
    </row>
    <row r="2224" spans="1:8" x14ac:dyDescent="0.55000000000000004">
      <c r="A2224" s="61" t="s">
        <v>7011</v>
      </c>
      <c r="B2224" t="s">
        <v>2560</v>
      </c>
      <c r="C2224">
        <v>9310</v>
      </c>
      <c r="D2224" t="s">
        <v>6359</v>
      </c>
      <c r="E2224" t="s">
        <v>6369</v>
      </c>
      <c r="F2224" t="s">
        <v>6361</v>
      </c>
      <c r="G2224" s="43">
        <v>0</v>
      </c>
      <c r="H2224" s="63">
        <v>0.9</v>
      </c>
    </row>
    <row r="2225" spans="1:8" x14ac:dyDescent="0.55000000000000004">
      <c r="A2225" s="61" t="s">
        <v>7011</v>
      </c>
      <c r="B2225" t="s">
        <v>2560</v>
      </c>
      <c r="C2225">
        <v>9310</v>
      </c>
      <c r="D2225" t="s">
        <v>6363</v>
      </c>
      <c r="E2225" t="s">
        <v>6364</v>
      </c>
      <c r="F2225" t="s">
        <v>6361</v>
      </c>
      <c r="G2225" s="43">
        <v>0</v>
      </c>
      <c r="H2225" s="63">
        <v>0.1</v>
      </c>
    </row>
    <row r="2226" spans="1:8" x14ac:dyDescent="0.55000000000000004">
      <c r="A2226" s="61" t="s">
        <v>7011</v>
      </c>
      <c r="B2226" t="s">
        <v>2560</v>
      </c>
      <c r="C2226">
        <v>9310</v>
      </c>
      <c r="D2226" t="s">
        <v>6362</v>
      </c>
      <c r="E2226" t="s">
        <v>6358</v>
      </c>
      <c r="F2226" t="s">
        <v>6358</v>
      </c>
      <c r="G2226" s="43">
        <v>9.8599999999999993E-2</v>
      </c>
      <c r="H2226" s="63">
        <v>1</v>
      </c>
    </row>
    <row r="2227" spans="1:8" x14ac:dyDescent="0.55000000000000004">
      <c r="A2227" s="61" t="s">
        <v>7011</v>
      </c>
      <c r="B2227" t="s">
        <v>2560</v>
      </c>
      <c r="C2227">
        <v>9310</v>
      </c>
      <c r="D2227" t="s">
        <v>6365</v>
      </c>
      <c r="E2227" t="s">
        <v>6366</v>
      </c>
      <c r="F2227" t="s">
        <v>6361</v>
      </c>
      <c r="G2227" s="43">
        <v>0</v>
      </c>
      <c r="H2227" s="63">
        <v>-0.1</v>
      </c>
    </row>
    <row r="2228" spans="1:8" x14ac:dyDescent="0.55000000000000004">
      <c r="A2228" s="61" t="s">
        <v>7012</v>
      </c>
      <c r="B2228" t="s">
        <v>5210</v>
      </c>
      <c r="C2228">
        <v>8710</v>
      </c>
      <c r="D2228" t="s">
        <v>6359</v>
      </c>
      <c r="E2228" t="s">
        <v>6360</v>
      </c>
      <c r="F2228" t="s">
        <v>6361</v>
      </c>
      <c r="G2228" s="43">
        <v>0</v>
      </c>
      <c r="H2228" s="63">
        <v>0.9</v>
      </c>
    </row>
    <row r="2229" spans="1:8" x14ac:dyDescent="0.55000000000000004">
      <c r="A2229" s="61" t="s">
        <v>7012</v>
      </c>
      <c r="B2229" t="s">
        <v>5210</v>
      </c>
      <c r="C2229">
        <v>8710</v>
      </c>
      <c r="D2229" t="s">
        <v>6363</v>
      </c>
      <c r="E2229" t="s">
        <v>6364</v>
      </c>
      <c r="F2229" t="s">
        <v>6361</v>
      </c>
      <c r="G2229" s="43">
        <v>0</v>
      </c>
      <c r="H2229" s="63">
        <v>0.1</v>
      </c>
    </row>
    <row r="2230" spans="1:8" x14ac:dyDescent="0.55000000000000004">
      <c r="A2230" s="61" t="s">
        <v>7012</v>
      </c>
      <c r="B2230" t="s">
        <v>5210</v>
      </c>
      <c r="C2230">
        <v>8710</v>
      </c>
      <c r="D2230" t="s">
        <v>6362</v>
      </c>
      <c r="E2230" t="s">
        <v>6358</v>
      </c>
      <c r="F2230" t="s">
        <v>6358</v>
      </c>
      <c r="G2230" s="43">
        <v>0.1416</v>
      </c>
      <c r="H2230" s="63">
        <v>1</v>
      </c>
    </row>
    <row r="2231" spans="1:8" x14ac:dyDescent="0.55000000000000004">
      <c r="A2231" s="61" t="s">
        <v>7012</v>
      </c>
      <c r="B2231" t="s">
        <v>5210</v>
      </c>
      <c r="C2231">
        <v>8710</v>
      </c>
      <c r="D2231" t="s">
        <v>6365</v>
      </c>
      <c r="E2231" t="s">
        <v>6366</v>
      </c>
      <c r="F2231" t="s">
        <v>6361</v>
      </c>
      <c r="G2231" s="43">
        <v>0</v>
      </c>
      <c r="H2231" s="63">
        <v>-0.1</v>
      </c>
    </row>
    <row r="2232" spans="1:8" x14ac:dyDescent="0.55000000000000004">
      <c r="A2232" s="61" t="s">
        <v>7013</v>
      </c>
      <c r="B2232" t="s">
        <v>5210</v>
      </c>
      <c r="C2232">
        <v>9101</v>
      </c>
      <c r="D2232" t="s">
        <v>6359</v>
      </c>
      <c r="E2232" t="s">
        <v>6367</v>
      </c>
      <c r="F2232" t="s">
        <v>6361</v>
      </c>
      <c r="G2232" s="43">
        <v>0</v>
      </c>
      <c r="H2232" s="63">
        <v>1</v>
      </c>
    </row>
    <row r="2233" spans="1:8" x14ac:dyDescent="0.55000000000000004">
      <c r="A2233" s="61" t="s">
        <v>7013</v>
      </c>
      <c r="B2233" t="s">
        <v>5210</v>
      </c>
      <c r="C2233">
        <v>9101</v>
      </c>
      <c r="D2233" t="s">
        <v>6362</v>
      </c>
      <c r="E2233" t="s">
        <v>6358</v>
      </c>
      <c r="F2233" t="s">
        <v>6358</v>
      </c>
      <c r="G2233" s="43">
        <v>0.1366</v>
      </c>
      <c r="H2233" s="63">
        <v>1</v>
      </c>
    </row>
    <row r="2234" spans="1:8" x14ac:dyDescent="0.55000000000000004">
      <c r="A2234" s="61" t="s">
        <v>7014</v>
      </c>
      <c r="B2234" t="s">
        <v>5210</v>
      </c>
      <c r="C2234">
        <v>9110</v>
      </c>
      <c r="D2234" t="s">
        <v>6359</v>
      </c>
      <c r="E2234" t="s">
        <v>6367</v>
      </c>
      <c r="F2234" t="s">
        <v>6361</v>
      </c>
      <c r="G2234" s="43">
        <v>0</v>
      </c>
      <c r="H2234" s="63">
        <v>0.9</v>
      </c>
    </row>
    <row r="2235" spans="1:8" x14ac:dyDescent="0.55000000000000004">
      <c r="A2235" s="61" t="s">
        <v>7014</v>
      </c>
      <c r="B2235" t="s">
        <v>5210</v>
      </c>
      <c r="C2235">
        <v>9110</v>
      </c>
      <c r="D2235" t="s">
        <v>6363</v>
      </c>
      <c r="E2235" t="s">
        <v>6364</v>
      </c>
      <c r="F2235" t="s">
        <v>6361</v>
      </c>
      <c r="G2235" s="43">
        <v>0</v>
      </c>
      <c r="H2235" s="63">
        <v>0.1</v>
      </c>
    </row>
    <row r="2236" spans="1:8" x14ac:dyDescent="0.55000000000000004">
      <c r="A2236" s="61" t="s">
        <v>7014</v>
      </c>
      <c r="B2236" t="s">
        <v>5210</v>
      </c>
      <c r="C2236">
        <v>9110</v>
      </c>
      <c r="D2236" t="s">
        <v>6362</v>
      </c>
      <c r="E2236" t="s">
        <v>6358</v>
      </c>
      <c r="F2236" t="s">
        <v>6358</v>
      </c>
      <c r="G2236" s="43">
        <v>0.1416</v>
      </c>
      <c r="H2236" s="63">
        <v>1</v>
      </c>
    </row>
    <row r="2237" spans="1:8" x14ac:dyDescent="0.55000000000000004">
      <c r="A2237" s="61" t="s">
        <v>7014</v>
      </c>
      <c r="B2237" t="s">
        <v>5210</v>
      </c>
      <c r="C2237">
        <v>9110</v>
      </c>
      <c r="D2237" t="s">
        <v>6365</v>
      </c>
      <c r="E2237" t="s">
        <v>6366</v>
      </c>
      <c r="F2237" t="s">
        <v>6361</v>
      </c>
      <c r="G2237" s="43">
        <v>0</v>
      </c>
      <c r="H2237" s="63">
        <v>-0.1</v>
      </c>
    </row>
    <row r="2238" spans="1:8" x14ac:dyDescent="0.55000000000000004">
      <c r="A2238" s="61" t="s">
        <v>7015</v>
      </c>
      <c r="B2238" t="s">
        <v>5210</v>
      </c>
      <c r="C2238">
        <v>9310</v>
      </c>
      <c r="D2238" t="s">
        <v>6359</v>
      </c>
      <c r="E2238" t="s">
        <v>6367</v>
      </c>
      <c r="F2238" t="s">
        <v>6361</v>
      </c>
      <c r="G2238" s="43">
        <v>0</v>
      </c>
      <c r="H2238" s="63">
        <v>0.9</v>
      </c>
    </row>
    <row r="2239" spans="1:8" x14ac:dyDescent="0.55000000000000004">
      <c r="A2239" s="61" t="s">
        <v>7015</v>
      </c>
      <c r="B2239" t="s">
        <v>5210</v>
      </c>
      <c r="C2239">
        <v>9310</v>
      </c>
      <c r="D2239" t="s">
        <v>6363</v>
      </c>
      <c r="E2239" t="s">
        <v>6364</v>
      </c>
      <c r="F2239" t="s">
        <v>6361</v>
      </c>
      <c r="G2239" s="43">
        <v>0</v>
      </c>
      <c r="H2239" s="63">
        <v>0.1</v>
      </c>
    </row>
    <row r="2240" spans="1:8" x14ac:dyDescent="0.55000000000000004">
      <c r="A2240" s="61" t="s">
        <v>7015</v>
      </c>
      <c r="B2240" t="s">
        <v>5210</v>
      </c>
      <c r="C2240">
        <v>9310</v>
      </c>
      <c r="D2240" t="s">
        <v>6362</v>
      </c>
      <c r="E2240" t="s">
        <v>6358</v>
      </c>
      <c r="F2240" t="s">
        <v>6358</v>
      </c>
      <c r="G2240" s="43">
        <v>0.1416</v>
      </c>
      <c r="H2240" s="63">
        <v>1</v>
      </c>
    </row>
    <row r="2241" spans="1:8" x14ac:dyDescent="0.55000000000000004">
      <c r="A2241" s="61" t="s">
        <v>7015</v>
      </c>
      <c r="B2241" t="s">
        <v>5210</v>
      </c>
      <c r="C2241">
        <v>9310</v>
      </c>
      <c r="D2241" t="s">
        <v>6365</v>
      </c>
      <c r="E2241" t="s">
        <v>6366</v>
      </c>
      <c r="F2241" t="s">
        <v>6361</v>
      </c>
      <c r="G2241" s="43">
        <v>0</v>
      </c>
      <c r="H2241" s="63">
        <v>-0.1</v>
      </c>
    </row>
    <row r="2242" spans="1:8" x14ac:dyDescent="0.55000000000000004">
      <c r="A2242" s="61" t="s">
        <v>7016</v>
      </c>
      <c r="B2242" t="s">
        <v>4125</v>
      </c>
      <c r="C2242">
        <v>8701</v>
      </c>
      <c r="D2242" t="s">
        <v>6359</v>
      </c>
      <c r="E2242" t="s">
        <v>6370</v>
      </c>
      <c r="F2242" t="s">
        <v>6361</v>
      </c>
      <c r="G2242" s="43">
        <v>0</v>
      </c>
      <c r="H2242" s="63">
        <v>1</v>
      </c>
    </row>
    <row r="2243" spans="1:8" x14ac:dyDescent="0.55000000000000004">
      <c r="A2243" s="61" t="s">
        <v>7016</v>
      </c>
      <c r="B2243" t="s">
        <v>4125</v>
      </c>
      <c r="C2243">
        <v>8701</v>
      </c>
      <c r="D2243" t="s">
        <v>6362</v>
      </c>
      <c r="E2243" t="s">
        <v>6358</v>
      </c>
      <c r="F2243" t="s">
        <v>6358</v>
      </c>
      <c r="G2243" s="43">
        <v>0.11360000000000001</v>
      </c>
      <c r="H2243" s="63">
        <v>1</v>
      </c>
    </row>
    <row r="2244" spans="1:8" x14ac:dyDescent="0.55000000000000004">
      <c r="A2244" s="61" t="s">
        <v>7017</v>
      </c>
      <c r="B2244" t="s">
        <v>4125</v>
      </c>
      <c r="C2244">
        <v>8710</v>
      </c>
      <c r="D2244" t="s">
        <v>6359</v>
      </c>
      <c r="E2244" t="s">
        <v>6370</v>
      </c>
      <c r="F2244" t="s">
        <v>6361</v>
      </c>
      <c r="G2244" s="43">
        <v>0</v>
      </c>
      <c r="H2244" s="63">
        <v>0.9</v>
      </c>
    </row>
    <row r="2245" spans="1:8" x14ac:dyDescent="0.55000000000000004">
      <c r="A2245" s="61" t="s">
        <v>7017</v>
      </c>
      <c r="B2245" t="s">
        <v>4125</v>
      </c>
      <c r="C2245">
        <v>8710</v>
      </c>
      <c r="D2245" t="s">
        <v>6363</v>
      </c>
      <c r="E2245" t="s">
        <v>6364</v>
      </c>
      <c r="F2245" t="s">
        <v>6361</v>
      </c>
      <c r="G2245" s="43">
        <v>0</v>
      </c>
      <c r="H2245" s="63">
        <v>0.1</v>
      </c>
    </row>
    <row r="2246" spans="1:8" x14ac:dyDescent="0.55000000000000004">
      <c r="A2246" s="61" t="s">
        <v>7017</v>
      </c>
      <c r="B2246" t="s">
        <v>4125</v>
      </c>
      <c r="C2246">
        <v>8710</v>
      </c>
      <c r="D2246" t="s">
        <v>6362</v>
      </c>
      <c r="E2246" t="s">
        <v>6358</v>
      </c>
      <c r="F2246" t="s">
        <v>6358</v>
      </c>
      <c r="G2246" s="43">
        <v>0.1147</v>
      </c>
      <c r="H2246" s="63">
        <v>1</v>
      </c>
    </row>
    <row r="2247" spans="1:8" x14ac:dyDescent="0.55000000000000004">
      <c r="A2247" s="61" t="s">
        <v>7017</v>
      </c>
      <c r="B2247" t="s">
        <v>4125</v>
      </c>
      <c r="C2247">
        <v>8710</v>
      </c>
      <c r="D2247" t="s">
        <v>6365</v>
      </c>
      <c r="E2247" t="s">
        <v>6366</v>
      </c>
      <c r="F2247" t="s">
        <v>6361</v>
      </c>
      <c r="G2247" s="43">
        <v>0</v>
      </c>
      <c r="H2247" s="63">
        <v>-0.1</v>
      </c>
    </row>
    <row r="2248" spans="1:8" x14ac:dyDescent="0.55000000000000004">
      <c r="A2248" s="61" t="s">
        <v>7018</v>
      </c>
      <c r="B2248" t="s">
        <v>4125</v>
      </c>
      <c r="C2248">
        <v>9101</v>
      </c>
      <c r="D2248" t="s">
        <v>6359</v>
      </c>
      <c r="E2248" t="s">
        <v>6371</v>
      </c>
      <c r="F2248" t="s">
        <v>6361</v>
      </c>
      <c r="G2248" s="43">
        <v>0</v>
      </c>
      <c r="H2248" s="63">
        <v>1</v>
      </c>
    </row>
    <row r="2249" spans="1:8" x14ac:dyDescent="0.55000000000000004">
      <c r="A2249" s="61" t="s">
        <v>7018</v>
      </c>
      <c r="B2249" t="s">
        <v>4125</v>
      </c>
      <c r="C2249">
        <v>9101</v>
      </c>
      <c r="D2249" t="s">
        <v>6362</v>
      </c>
      <c r="E2249" t="s">
        <v>6358</v>
      </c>
      <c r="F2249" t="s">
        <v>6358</v>
      </c>
      <c r="G2249" s="43">
        <v>0.11360000000000001</v>
      </c>
      <c r="H2249" s="63">
        <v>1</v>
      </c>
    </row>
    <row r="2250" spans="1:8" x14ac:dyDescent="0.55000000000000004">
      <c r="A2250" s="61" t="s">
        <v>7019</v>
      </c>
      <c r="B2250" t="s">
        <v>4125</v>
      </c>
      <c r="C2250">
        <v>9110</v>
      </c>
      <c r="D2250" t="s">
        <v>6359</v>
      </c>
      <c r="E2250" t="s">
        <v>6371</v>
      </c>
      <c r="F2250" t="s">
        <v>6361</v>
      </c>
      <c r="G2250" s="43">
        <v>0</v>
      </c>
      <c r="H2250" s="63">
        <v>0.9</v>
      </c>
    </row>
    <row r="2251" spans="1:8" x14ac:dyDescent="0.55000000000000004">
      <c r="A2251" s="61" t="s">
        <v>7019</v>
      </c>
      <c r="B2251" t="s">
        <v>4125</v>
      </c>
      <c r="C2251">
        <v>9110</v>
      </c>
      <c r="D2251" t="s">
        <v>6363</v>
      </c>
      <c r="E2251" t="s">
        <v>6364</v>
      </c>
      <c r="F2251" t="s">
        <v>6361</v>
      </c>
      <c r="G2251" s="43">
        <v>0</v>
      </c>
      <c r="H2251" s="63">
        <v>0.1</v>
      </c>
    </row>
    <row r="2252" spans="1:8" x14ac:dyDescent="0.55000000000000004">
      <c r="A2252" s="61" t="s">
        <v>7019</v>
      </c>
      <c r="B2252" t="s">
        <v>4125</v>
      </c>
      <c r="C2252">
        <v>9110</v>
      </c>
      <c r="D2252" t="s">
        <v>6362</v>
      </c>
      <c r="E2252" t="s">
        <v>6358</v>
      </c>
      <c r="F2252" t="s">
        <v>6358</v>
      </c>
      <c r="G2252" s="43">
        <v>0.1147</v>
      </c>
      <c r="H2252" s="63">
        <v>1</v>
      </c>
    </row>
    <row r="2253" spans="1:8" x14ac:dyDescent="0.55000000000000004">
      <c r="A2253" s="61" t="s">
        <v>7019</v>
      </c>
      <c r="B2253" t="s">
        <v>4125</v>
      </c>
      <c r="C2253">
        <v>9110</v>
      </c>
      <c r="D2253" t="s">
        <v>6365</v>
      </c>
      <c r="E2253" t="s">
        <v>6366</v>
      </c>
      <c r="F2253" t="s">
        <v>6361</v>
      </c>
      <c r="G2253" s="43">
        <v>0</v>
      </c>
      <c r="H2253" s="63">
        <v>-0.1</v>
      </c>
    </row>
    <row r="2254" spans="1:8" x14ac:dyDescent="0.55000000000000004">
      <c r="A2254" s="61" t="s">
        <v>7020</v>
      </c>
      <c r="B2254" t="s">
        <v>4125</v>
      </c>
      <c r="C2254">
        <v>9310</v>
      </c>
      <c r="D2254" t="s">
        <v>6359</v>
      </c>
      <c r="E2254" t="s">
        <v>6371</v>
      </c>
      <c r="F2254" t="s">
        <v>6361</v>
      </c>
      <c r="G2254" s="43">
        <v>0</v>
      </c>
      <c r="H2254" s="63">
        <v>0.9</v>
      </c>
    </row>
    <row r="2255" spans="1:8" x14ac:dyDescent="0.55000000000000004">
      <c r="A2255" s="61" t="s">
        <v>7020</v>
      </c>
      <c r="B2255" t="s">
        <v>4125</v>
      </c>
      <c r="C2255">
        <v>9310</v>
      </c>
      <c r="D2255" t="s">
        <v>6363</v>
      </c>
      <c r="E2255" t="s">
        <v>6364</v>
      </c>
      <c r="F2255" t="s">
        <v>6361</v>
      </c>
      <c r="G2255" s="43">
        <v>0</v>
      </c>
      <c r="H2255" s="63">
        <v>0.1</v>
      </c>
    </row>
    <row r="2256" spans="1:8" x14ac:dyDescent="0.55000000000000004">
      <c r="A2256" s="61" t="s">
        <v>7020</v>
      </c>
      <c r="B2256" t="s">
        <v>4125</v>
      </c>
      <c r="C2256">
        <v>9310</v>
      </c>
      <c r="D2256" t="s">
        <v>6362</v>
      </c>
      <c r="E2256" t="s">
        <v>6358</v>
      </c>
      <c r="F2256" t="s">
        <v>6358</v>
      </c>
      <c r="G2256" s="43">
        <v>0.1147</v>
      </c>
      <c r="H2256" s="63">
        <v>1</v>
      </c>
    </row>
    <row r="2257" spans="1:8" x14ac:dyDescent="0.55000000000000004">
      <c r="A2257" s="61" t="s">
        <v>7020</v>
      </c>
      <c r="B2257" t="s">
        <v>4125</v>
      </c>
      <c r="C2257">
        <v>9310</v>
      </c>
      <c r="D2257" t="s">
        <v>6365</v>
      </c>
      <c r="E2257" t="s">
        <v>6366</v>
      </c>
      <c r="F2257" t="s">
        <v>6361</v>
      </c>
      <c r="G2257" s="43">
        <v>0</v>
      </c>
      <c r="H2257" s="63">
        <v>-0.1</v>
      </c>
    </row>
    <row r="2258" spans="1:8" x14ac:dyDescent="0.55000000000000004">
      <c r="A2258" s="61" t="s">
        <v>7021</v>
      </c>
      <c r="B2258" t="s">
        <v>2039</v>
      </c>
      <c r="C2258">
        <v>8701</v>
      </c>
      <c r="D2258" t="s">
        <v>6359</v>
      </c>
      <c r="E2258" t="s">
        <v>6360</v>
      </c>
      <c r="F2258" t="s">
        <v>6361</v>
      </c>
      <c r="G2258" s="43">
        <v>0</v>
      </c>
      <c r="H2258" s="63">
        <v>1</v>
      </c>
    </row>
    <row r="2259" spans="1:8" x14ac:dyDescent="0.55000000000000004">
      <c r="A2259" s="61" t="s">
        <v>7021</v>
      </c>
      <c r="B2259" t="s">
        <v>2039</v>
      </c>
      <c r="C2259">
        <v>8701</v>
      </c>
      <c r="D2259" t="s">
        <v>6362</v>
      </c>
      <c r="E2259" t="s">
        <v>6358</v>
      </c>
      <c r="F2259" t="s">
        <v>6358</v>
      </c>
      <c r="G2259" s="43">
        <v>7.5399999999999995E-2</v>
      </c>
      <c r="H2259" s="63">
        <v>1</v>
      </c>
    </row>
    <row r="2260" spans="1:8" x14ac:dyDescent="0.55000000000000004">
      <c r="A2260" s="61" t="s">
        <v>7022</v>
      </c>
      <c r="B2260" t="s">
        <v>2039</v>
      </c>
      <c r="C2260">
        <v>8707</v>
      </c>
      <c r="D2260" t="s">
        <v>6359</v>
      </c>
      <c r="E2260" t="s">
        <v>6360</v>
      </c>
      <c r="F2260" t="s">
        <v>6361</v>
      </c>
      <c r="G2260" s="43">
        <v>0</v>
      </c>
      <c r="H2260" s="63">
        <v>0.9</v>
      </c>
    </row>
    <row r="2261" spans="1:8" x14ac:dyDescent="0.55000000000000004">
      <c r="A2261" s="61" t="s">
        <v>7022</v>
      </c>
      <c r="B2261" t="s">
        <v>2039</v>
      </c>
      <c r="C2261">
        <v>8707</v>
      </c>
      <c r="D2261" t="s">
        <v>6363</v>
      </c>
      <c r="E2261" t="s">
        <v>6364</v>
      </c>
      <c r="F2261" t="s">
        <v>6361</v>
      </c>
      <c r="G2261" s="43">
        <v>0</v>
      </c>
      <c r="H2261" s="63">
        <v>0.1</v>
      </c>
    </row>
    <row r="2262" spans="1:8" x14ac:dyDescent="0.55000000000000004">
      <c r="A2262" s="61" t="s">
        <v>7022</v>
      </c>
      <c r="B2262" t="s">
        <v>2039</v>
      </c>
      <c r="C2262">
        <v>8707</v>
      </c>
      <c r="D2262" t="s">
        <v>6362</v>
      </c>
      <c r="E2262" t="s">
        <v>6358</v>
      </c>
      <c r="F2262" t="s">
        <v>6358</v>
      </c>
      <c r="G2262" s="43">
        <v>0.08</v>
      </c>
      <c r="H2262" s="63">
        <v>1</v>
      </c>
    </row>
    <row r="2263" spans="1:8" x14ac:dyDescent="0.55000000000000004">
      <c r="A2263" s="61" t="s">
        <v>7022</v>
      </c>
      <c r="B2263" t="s">
        <v>2039</v>
      </c>
      <c r="C2263">
        <v>8707</v>
      </c>
      <c r="D2263" t="s">
        <v>6365</v>
      </c>
      <c r="E2263" t="s">
        <v>6366</v>
      </c>
      <c r="F2263" t="s">
        <v>6361</v>
      </c>
      <c r="G2263" s="43">
        <v>0</v>
      </c>
      <c r="H2263" s="63">
        <v>-0.1</v>
      </c>
    </row>
    <row r="2264" spans="1:8" x14ac:dyDescent="0.55000000000000004">
      <c r="A2264" s="61" t="s">
        <v>7023</v>
      </c>
      <c r="B2264" t="s">
        <v>2039</v>
      </c>
      <c r="C2264">
        <v>8710</v>
      </c>
      <c r="D2264" t="s">
        <v>6359</v>
      </c>
      <c r="E2264" t="s">
        <v>6360</v>
      </c>
      <c r="F2264" t="s">
        <v>6361</v>
      </c>
      <c r="G2264" s="43">
        <v>0</v>
      </c>
      <c r="H2264" s="63">
        <v>0.9</v>
      </c>
    </row>
    <row r="2265" spans="1:8" x14ac:dyDescent="0.55000000000000004">
      <c r="A2265" s="61" t="s">
        <v>7023</v>
      </c>
      <c r="B2265" t="s">
        <v>2039</v>
      </c>
      <c r="C2265">
        <v>8710</v>
      </c>
      <c r="D2265" t="s">
        <v>6363</v>
      </c>
      <c r="E2265" t="s">
        <v>6364</v>
      </c>
      <c r="F2265" t="s">
        <v>6361</v>
      </c>
      <c r="G2265" s="43">
        <v>0</v>
      </c>
      <c r="H2265" s="63">
        <v>0.1</v>
      </c>
    </row>
    <row r="2266" spans="1:8" x14ac:dyDescent="0.55000000000000004">
      <c r="A2266" s="61" t="s">
        <v>7023</v>
      </c>
      <c r="B2266" t="s">
        <v>2039</v>
      </c>
      <c r="C2266">
        <v>8710</v>
      </c>
      <c r="D2266" t="s">
        <v>6362</v>
      </c>
      <c r="E2266" t="s">
        <v>6358</v>
      </c>
      <c r="F2266" t="s">
        <v>6358</v>
      </c>
      <c r="G2266" s="43">
        <v>0.08</v>
      </c>
      <c r="H2266" s="63">
        <v>1</v>
      </c>
    </row>
    <row r="2267" spans="1:8" x14ac:dyDescent="0.55000000000000004">
      <c r="A2267" s="61" t="s">
        <v>7023</v>
      </c>
      <c r="B2267" t="s">
        <v>2039</v>
      </c>
      <c r="C2267">
        <v>8710</v>
      </c>
      <c r="D2267" t="s">
        <v>6365</v>
      </c>
      <c r="E2267" t="s">
        <v>6366</v>
      </c>
      <c r="F2267" t="s">
        <v>6361</v>
      </c>
      <c r="G2267" s="43">
        <v>0</v>
      </c>
      <c r="H2267" s="63">
        <v>-0.1</v>
      </c>
    </row>
    <row r="2268" spans="1:8" x14ac:dyDescent="0.55000000000000004">
      <c r="A2268" s="61" t="s">
        <v>7024</v>
      </c>
      <c r="B2268" t="s">
        <v>2039</v>
      </c>
      <c r="C2268">
        <v>9101</v>
      </c>
      <c r="D2268" t="s">
        <v>6359</v>
      </c>
      <c r="E2268" t="s">
        <v>6367</v>
      </c>
      <c r="F2268" t="s">
        <v>6361</v>
      </c>
      <c r="G2268" s="43">
        <v>0</v>
      </c>
      <c r="H2268" s="63">
        <v>1</v>
      </c>
    </row>
    <row r="2269" spans="1:8" x14ac:dyDescent="0.55000000000000004">
      <c r="A2269" s="61" t="s">
        <v>7024</v>
      </c>
      <c r="B2269" t="s">
        <v>2039</v>
      </c>
      <c r="C2269">
        <v>9101</v>
      </c>
      <c r="D2269" t="s">
        <v>6362</v>
      </c>
      <c r="E2269" t="s">
        <v>6358</v>
      </c>
      <c r="F2269" t="s">
        <v>6358</v>
      </c>
      <c r="G2269" s="43">
        <v>7.5399999999999995E-2</v>
      </c>
      <c r="H2269" s="63">
        <v>1</v>
      </c>
    </row>
    <row r="2270" spans="1:8" x14ac:dyDescent="0.55000000000000004">
      <c r="A2270" s="61" t="s">
        <v>7025</v>
      </c>
      <c r="B2270" t="s">
        <v>2039</v>
      </c>
      <c r="C2270">
        <v>9106</v>
      </c>
      <c r="D2270" t="s">
        <v>6359</v>
      </c>
      <c r="E2270" t="s">
        <v>6367</v>
      </c>
      <c r="F2270" t="s">
        <v>6361</v>
      </c>
      <c r="G2270" s="43">
        <v>0</v>
      </c>
      <c r="H2270" s="63">
        <v>0.9</v>
      </c>
    </row>
    <row r="2271" spans="1:8" x14ac:dyDescent="0.55000000000000004">
      <c r="A2271" s="61" t="s">
        <v>7025</v>
      </c>
      <c r="B2271" t="s">
        <v>2039</v>
      </c>
      <c r="C2271">
        <v>9106</v>
      </c>
      <c r="D2271" t="s">
        <v>6363</v>
      </c>
      <c r="E2271" t="s">
        <v>6364</v>
      </c>
      <c r="F2271" t="s">
        <v>6361</v>
      </c>
      <c r="G2271" s="43">
        <v>0</v>
      </c>
      <c r="H2271" s="63">
        <v>0.1</v>
      </c>
    </row>
    <row r="2272" spans="1:8" x14ac:dyDescent="0.55000000000000004">
      <c r="A2272" s="61" t="s">
        <v>7025</v>
      </c>
      <c r="B2272" t="s">
        <v>2039</v>
      </c>
      <c r="C2272">
        <v>9106</v>
      </c>
      <c r="D2272" t="s">
        <v>6362</v>
      </c>
      <c r="E2272" t="s">
        <v>6358</v>
      </c>
      <c r="F2272" t="s">
        <v>6358</v>
      </c>
      <c r="G2272" s="43">
        <v>0.08</v>
      </c>
      <c r="H2272" s="63">
        <v>1</v>
      </c>
    </row>
    <row r="2273" spans="1:8" x14ac:dyDescent="0.55000000000000004">
      <c r="A2273" s="61" t="s">
        <v>7025</v>
      </c>
      <c r="B2273" t="s">
        <v>2039</v>
      </c>
      <c r="C2273">
        <v>9106</v>
      </c>
      <c r="D2273" t="s">
        <v>6365</v>
      </c>
      <c r="E2273" t="s">
        <v>6366</v>
      </c>
      <c r="F2273" t="s">
        <v>6361</v>
      </c>
      <c r="G2273" s="43">
        <v>0</v>
      </c>
      <c r="H2273" s="63">
        <v>-0.1</v>
      </c>
    </row>
    <row r="2274" spans="1:8" x14ac:dyDescent="0.55000000000000004">
      <c r="A2274" s="61" t="s">
        <v>7026</v>
      </c>
      <c r="B2274" t="s">
        <v>2039</v>
      </c>
      <c r="C2274">
        <v>9110</v>
      </c>
      <c r="D2274" t="s">
        <v>6359</v>
      </c>
      <c r="E2274" t="s">
        <v>6367</v>
      </c>
      <c r="F2274" t="s">
        <v>6361</v>
      </c>
      <c r="G2274" s="43">
        <v>0</v>
      </c>
      <c r="H2274" s="63">
        <v>0.9</v>
      </c>
    </row>
    <row r="2275" spans="1:8" x14ac:dyDescent="0.55000000000000004">
      <c r="A2275" s="61" t="s">
        <v>7026</v>
      </c>
      <c r="B2275" t="s">
        <v>2039</v>
      </c>
      <c r="C2275">
        <v>9110</v>
      </c>
      <c r="D2275" t="s">
        <v>6363</v>
      </c>
      <c r="E2275" t="s">
        <v>6364</v>
      </c>
      <c r="F2275" t="s">
        <v>6361</v>
      </c>
      <c r="G2275" s="43">
        <v>0</v>
      </c>
      <c r="H2275" s="63">
        <v>0.1</v>
      </c>
    </row>
    <row r="2276" spans="1:8" x14ac:dyDescent="0.55000000000000004">
      <c r="A2276" s="61" t="s">
        <v>7026</v>
      </c>
      <c r="B2276" t="s">
        <v>2039</v>
      </c>
      <c r="C2276">
        <v>9110</v>
      </c>
      <c r="D2276" t="s">
        <v>6362</v>
      </c>
      <c r="E2276" t="s">
        <v>6358</v>
      </c>
      <c r="F2276" t="s">
        <v>6358</v>
      </c>
      <c r="G2276" s="43">
        <v>0.08</v>
      </c>
      <c r="H2276" s="63">
        <v>1</v>
      </c>
    </row>
    <row r="2277" spans="1:8" x14ac:dyDescent="0.55000000000000004">
      <c r="A2277" s="61" t="s">
        <v>7026</v>
      </c>
      <c r="B2277" t="s">
        <v>2039</v>
      </c>
      <c r="C2277">
        <v>9110</v>
      </c>
      <c r="D2277" t="s">
        <v>6365</v>
      </c>
      <c r="E2277" t="s">
        <v>6366</v>
      </c>
      <c r="F2277" t="s">
        <v>6361</v>
      </c>
      <c r="G2277" s="43">
        <v>0</v>
      </c>
      <c r="H2277" s="63">
        <v>-0.1</v>
      </c>
    </row>
    <row r="2278" spans="1:8" x14ac:dyDescent="0.55000000000000004">
      <c r="A2278" s="61" t="s">
        <v>7027</v>
      </c>
      <c r="B2278" t="s">
        <v>2039</v>
      </c>
      <c r="C2278">
        <v>9310</v>
      </c>
      <c r="D2278" t="s">
        <v>6359</v>
      </c>
      <c r="E2278" t="s">
        <v>6367</v>
      </c>
      <c r="F2278" t="s">
        <v>6361</v>
      </c>
      <c r="G2278" s="43">
        <v>0</v>
      </c>
      <c r="H2278" s="63">
        <v>0.9</v>
      </c>
    </row>
    <row r="2279" spans="1:8" x14ac:dyDescent="0.55000000000000004">
      <c r="A2279" s="61" t="s">
        <v>7027</v>
      </c>
      <c r="B2279" t="s">
        <v>2039</v>
      </c>
      <c r="C2279">
        <v>9310</v>
      </c>
      <c r="D2279" t="s">
        <v>6363</v>
      </c>
      <c r="E2279" t="s">
        <v>6364</v>
      </c>
      <c r="F2279" t="s">
        <v>6361</v>
      </c>
      <c r="G2279" s="43">
        <v>0</v>
      </c>
      <c r="H2279" s="63">
        <v>0.1</v>
      </c>
    </row>
    <row r="2280" spans="1:8" x14ac:dyDescent="0.55000000000000004">
      <c r="A2280" s="61" t="s">
        <v>7027</v>
      </c>
      <c r="B2280" t="s">
        <v>2039</v>
      </c>
      <c r="C2280">
        <v>9310</v>
      </c>
      <c r="D2280" t="s">
        <v>6362</v>
      </c>
      <c r="E2280" t="s">
        <v>6358</v>
      </c>
      <c r="F2280" t="s">
        <v>6358</v>
      </c>
      <c r="G2280" s="43">
        <v>0.08</v>
      </c>
      <c r="H2280" s="63">
        <v>1</v>
      </c>
    </row>
    <row r="2281" spans="1:8" x14ac:dyDescent="0.55000000000000004">
      <c r="A2281" s="61" t="s">
        <v>7027</v>
      </c>
      <c r="B2281" t="s">
        <v>2039</v>
      </c>
      <c r="C2281">
        <v>9310</v>
      </c>
      <c r="D2281" t="s">
        <v>6365</v>
      </c>
      <c r="E2281" t="s">
        <v>6366</v>
      </c>
      <c r="F2281" t="s">
        <v>6361</v>
      </c>
      <c r="G2281" s="43">
        <v>0</v>
      </c>
      <c r="H2281" s="63">
        <v>-0.1</v>
      </c>
    </row>
    <row r="2282" spans="1:8" x14ac:dyDescent="0.55000000000000004">
      <c r="A2282" s="61" t="s">
        <v>7028</v>
      </c>
      <c r="B2282" t="s">
        <v>3367</v>
      </c>
      <c r="C2282">
        <v>8701</v>
      </c>
      <c r="D2282" t="s">
        <v>6359</v>
      </c>
      <c r="E2282" t="s">
        <v>6360</v>
      </c>
      <c r="F2282" t="s">
        <v>6361</v>
      </c>
      <c r="G2282" s="43">
        <v>0</v>
      </c>
      <c r="H2282" s="63">
        <v>1</v>
      </c>
    </row>
    <row r="2283" spans="1:8" x14ac:dyDescent="0.55000000000000004">
      <c r="A2283" s="61" t="s">
        <v>7028</v>
      </c>
      <c r="B2283" t="s">
        <v>3367</v>
      </c>
      <c r="C2283">
        <v>8701</v>
      </c>
      <c r="D2283" t="s">
        <v>6362</v>
      </c>
      <c r="E2283" t="s">
        <v>6358</v>
      </c>
      <c r="F2283" t="s">
        <v>6358</v>
      </c>
      <c r="G2283" s="43">
        <v>8.5800000000000001E-2</v>
      </c>
      <c r="H2283" s="63">
        <v>1</v>
      </c>
    </row>
    <row r="2284" spans="1:8" x14ac:dyDescent="0.55000000000000004">
      <c r="A2284" s="61" t="s">
        <v>7029</v>
      </c>
      <c r="B2284" t="s">
        <v>3367</v>
      </c>
      <c r="C2284">
        <v>8710</v>
      </c>
      <c r="D2284" t="s">
        <v>6359</v>
      </c>
      <c r="E2284" t="s">
        <v>6360</v>
      </c>
      <c r="F2284" t="s">
        <v>6361</v>
      </c>
      <c r="G2284" s="43">
        <v>0</v>
      </c>
      <c r="H2284" s="63">
        <v>0.9</v>
      </c>
    </row>
    <row r="2285" spans="1:8" x14ac:dyDescent="0.55000000000000004">
      <c r="A2285" s="61" t="s">
        <v>7029</v>
      </c>
      <c r="B2285" t="s">
        <v>3367</v>
      </c>
      <c r="C2285">
        <v>8710</v>
      </c>
      <c r="D2285" t="s">
        <v>6363</v>
      </c>
      <c r="E2285" t="s">
        <v>6364</v>
      </c>
      <c r="F2285" t="s">
        <v>6361</v>
      </c>
      <c r="G2285" s="43">
        <v>0</v>
      </c>
      <c r="H2285" s="63">
        <v>0.1</v>
      </c>
    </row>
    <row r="2286" spans="1:8" x14ac:dyDescent="0.55000000000000004">
      <c r="A2286" s="61" t="s">
        <v>7029</v>
      </c>
      <c r="B2286" t="s">
        <v>3367</v>
      </c>
      <c r="C2286">
        <v>8710</v>
      </c>
      <c r="D2286" t="s">
        <v>6362</v>
      </c>
      <c r="E2286" t="s">
        <v>6358</v>
      </c>
      <c r="F2286" t="s">
        <v>6358</v>
      </c>
      <c r="G2286" s="43">
        <v>6.9400000000000003E-2</v>
      </c>
      <c r="H2286" s="63">
        <v>1</v>
      </c>
    </row>
    <row r="2287" spans="1:8" x14ac:dyDescent="0.55000000000000004">
      <c r="A2287" s="61" t="s">
        <v>7029</v>
      </c>
      <c r="B2287" t="s">
        <v>3367</v>
      </c>
      <c r="C2287">
        <v>8710</v>
      </c>
      <c r="D2287" t="s">
        <v>6365</v>
      </c>
      <c r="E2287" t="s">
        <v>6366</v>
      </c>
      <c r="F2287" t="s">
        <v>6361</v>
      </c>
      <c r="G2287" s="43">
        <v>0</v>
      </c>
      <c r="H2287" s="63">
        <v>-0.1</v>
      </c>
    </row>
    <row r="2288" spans="1:8" x14ac:dyDescent="0.55000000000000004">
      <c r="A2288" s="61" t="s">
        <v>7030</v>
      </c>
      <c r="B2288" t="s">
        <v>3367</v>
      </c>
      <c r="C2288">
        <v>9101</v>
      </c>
      <c r="D2288" t="s">
        <v>6359</v>
      </c>
      <c r="E2288" t="s">
        <v>6367</v>
      </c>
      <c r="F2288" t="s">
        <v>6361</v>
      </c>
      <c r="G2288" s="43">
        <v>0</v>
      </c>
      <c r="H2288" s="63">
        <v>1</v>
      </c>
    </row>
    <row r="2289" spans="1:8" x14ac:dyDescent="0.55000000000000004">
      <c r="A2289" s="61" t="s">
        <v>7030</v>
      </c>
      <c r="B2289" t="s">
        <v>3367</v>
      </c>
      <c r="C2289">
        <v>9101</v>
      </c>
      <c r="D2289" t="s">
        <v>6362</v>
      </c>
      <c r="E2289" t="s">
        <v>6358</v>
      </c>
      <c r="F2289" t="s">
        <v>6358</v>
      </c>
      <c r="G2289" s="43">
        <v>8.5800000000000001E-2</v>
      </c>
      <c r="H2289" s="63">
        <v>1</v>
      </c>
    </row>
    <row r="2290" spans="1:8" x14ac:dyDescent="0.55000000000000004">
      <c r="A2290" s="61" t="s">
        <v>7031</v>
      </c>
      <c r="B2290" t="s">
        <v>3367</v>
      </c>
      <c r="C2290">
        <v>9110</v>
      </c>
      <c r="D2290" t="s">
        <v>6359</v>
      </c>
      <c r="E2290" t="s">
        <v>6367</v>
      </c>
      <c r="F2290" t="s">
        <v>6361</v>
      </c>
      <c r="G2290" s="43">
        <v>0</v>
      </c>
      <c r="H2290" s="63">
        <v>0.9</v>
      </c>
    </row>
    <row r="2291" spans="1:8" x14ac:dyDescent="0.55000000000000004">
      <c r="A2291" s="61" t="s">
        <v>7031</v>
      </c>
      <c r="B2291" t="s">
        <v>3367</v>
      </c>
      <c r="C2291">
        <v>9110</v>
      </c>
      <c r="D2291" t="s">
        <v>6363</v>
      </c>
      <c r="E2291" t="s">
        <v>6364</v>
      </c>
      <c r="F2291" t="s">
        <v>6361</v>
      </c>
      <c r="G2291" s="43">
        <v>0</v>
      </c>
      <c r="H2291" s="63">
        <v>0.1</v>
      </c>
    </row>
    <row r="2292" spans="1:8" x14ac:dyDescent="0.55000000000000004">
      <c r="A2292" s="61" t="s">
        <v>7031</v>
      </c>
      <c r="B2292" t="s">
        <v>3367</v>
      </c>
      <c r="C2292">
        <v>9110</v>
      </c>
      <c r="D2292" t="s">
        <v>6362</v>
      </c>
      <c r="E2292" t="s">
        <v>6358</v>
      </c>
      <c r="F2292" t="s">
        <v>6358</v>
      </c>
      <c r="G2292" s="43">
        <v>6.9400000000000003E-2</v>
      </c>
      <c r="H2292" s="63">
        <v>1</v>
      </c>
    </row>
    <row r="2293" spans="1:8" x14ac:dyDescent="0.55000000000000004">
      <c r="A2293" s="61" t="s">
        <v>7031</v>
      </c>
      <c r="B2293" t="s">
        <v>3367</v>
      </c>
      <c r="C2293">
        <v>9110</v>
      </c>
      <c r="D2293" t="s">
        <v>6365</v>
      </c>
      <c r="E2293" t="s">
        <v>6366</v>
      </c>
      <c r="F2293" t="s">
        <v>6361</v>
      </c>
      <c r="G2293" s="43">
        <v>0</v>
      </c>
      <c r="H2293" s="63">
        <v>-0.1</v>
      </c>
    </row>
    <row r="2294" spans="1:8" x14ac:dyDescent="0.55000000000000004">
      <c r="A2294" s="61" t="s">
        <v>7032</v>
      </c>
      <c r="B2294" t="s">
        <v>3367</v>
      </c>
      <c r="C2294">
        <v>9204</v>
      </c>
      <c r="D2294" t="s">
        <v>6359</v>
      </c>
      <c r="E2294" t="s">
        <v>6367</v>
      </c>
      <c r="F2294" t="s">
        <v>6361</v>
      </c>
      <c r="G2294" s="43">
        <v>0</v>
      </c>
      <c r="H2294" s="63">
        <v>0.9</v>
      </c>
    </row>
    <row r="2295" spans="1:8" x14ac:dyDescent="0.55000000000000004">
      <c r="A2295" s="61" t="s">
        <v>7032</v>
      </c>
      <c r="B2295" t="s">
        <v>3367</v>
      </c>
      <c r="C2295">
        <v>9204</v>
      </c>
      <c r="D2295" t="s">
        <v>6363</v>
      </c>
      <c r="E2295" t="s">
        <v>6364</v>
      </c>
      <c r="F2295" t="s">
        <v>6361</v>
      </c>
      <c r="G2295" s="43">
        <v>0</v>
      </c>
      <c r="H2295" s="63">
        <v>0.1</v>
      </c>
    </row>
    <row r="2296" spans="1:8" x14ac:dyDescent="0.55000000000000004">
      <c r="A2296" s="61" t="s">
        <v>7032</v>
      </c>
      <c r="B2296" t="s">
        <v>3367</v>
      </c>
      <c r="C2296">
        <v>9204</v>
      </c>
      <c r="D2296" t="s">
        <v>6362</v>
      </c>
      <c r="E2296" t="s">
        <v>6358</v>
      </c>
      <c r="F2296" t="s">
        <v>6358</v>
      </c>
      <c r="G2296" s="43">
        <v>6.9400000000000003E-2</v>
      </c>
      <c r="H2296" s="63">
        <v>1</v>
      </c>
    </row>
    <row r="2297" spans="1:8" x14ac:dyDescent="0.55000000000000004">
      <c r="A2297" s="61" t="s">
        <v>7032</v>
      </c>
      <c r="B2297" t="s">
        <v>3367</v>
      </c>
      <c r="C2297">
        <v>9204</v>
      </c>
      <c r="D2297" t="s">
        <v>6365</v>
      </c>
      <c r="E2297" t="s">
        <v>6366</v>
      </c>
      <c r="F2297" t="s">
        <v>6361</v>
      </c>
      <c r="G2297" s="43">
        <v>0</v>
      </c>
      <c r="H2297" s="63">
        <v>-0.1</v>
      </c>
    </row>
    <row r="2298" spans="1:8" x14ac:dyDescent="0.55000000000000004">
      <c r="A2298" s="61" t="s">
        <v>7033</v>
      </c>
      <c r="B2298" t="s">
        <v>3367</v>
      </c>
      <c r="C2298">
        <v>9310</v>
      </c>
      <c r="D2298" t="s">
        <v>6359</v>
      </c>
      <c r="E2298" t="s">
        <v>6367</v>
      </c>
      <c r="F2298" t="s">
        <v>6361</v>
      </c>
      <c r="G2298" s="43">
        <v>0</v>
      </c>
      <c r="H2298" s="63">
        <v>0.9</v>
      </c>
    </row>
    <row r="2299" spans="1:8" x14ac:dyDescent="0.55000000000000004">
      <c r="A2299" s="61" t="s">
        <v>7033</v>
      </c>
      <c r="B2299" t="s">
        <v>3367</v>
      </c>
      <c r="C2299">
        <v>9310</v>
      </c>
      <c r="D2299" t="s">
        <v>6363</v>
      </c>
      <c r="E2299" t="s">
        <v>6364</v>
      </c>
      <c r="F2299" t="s">
        <v>6361</v>
      </c>
      <c r="G2299" s="43">
        <v>0</v>
      </c>
      <c r="H2299" s="63">
        <v>0.1</v>
      </c>
    </row>
    <row r="2300" spans="1:8" x14ac:dyDescent="0.55000000000000004">
      <c r="A2300" s="61" t="s">
        <v>7033</v>
      </c>
      <c r="B2300" t="s">
        <v>3367</v>
      </c>
      <c r="C2300">
        <v>9310</v>
      </c>
      <c r="D2300" t="s">
        <v>6362</v>
      </c>
      <c r="E2300" t="s">
        <v>6358</v>
      </c>
      <c r="F2300" t="s">
        <v>6358</v>
      </c>
      <c r="G2300" s="43">
        <v>6.9400000000000003E-2</v>
      </c>
      <c r="H2300" s="63">
        <v>1</v>
      </c>
    </row>
    <row r="2301" spans="1:8" x14ac:dyDescent="0.55000000000000004">
      <c r="A2301" s="61" t="s">
        <v>7033</v>
      </c>
      <c r="B2301" t="s">
        <v>3367</v>
      </c>
      <c r="C2301">
        <v>9310</v>
      </c>
      <c r="D2301" t="s">
        <v>6365</v>
      </c>
      <c r="E2301" t="s">
        <v>6366</v>
      </c>
      <c r="F2301" t="s">
        <v>6361</v>
      </c>
      <c r="G2301" s="43">
        <v>0</v>
      </c>
      <c r="H2301" s="63">
        <v>-0.1</v>
      </c>
    </row>
    <row r="2302" spans="1:8" x14ac:dyDescent="0.55000000000000004">
      <c r="A2302" s="61" t="s">
        <v>7034</v>
      </c>
      <c r="B2302" t="s">
        <v>2312</v>
      </c>
      <c r="C2302">
        <v>8701</v>
      </c>
      <c r="D2302" t="s">
        <v>6359</v>
      </c>
      <c r="E2302" t="s">
        <v>6370</v>
      </c>
      <c r="F2302" t="s">
        <v>6361</v>
      </c>
      <c r="G2302" s="43">
        <v>0</v>
      </c>
      <c r="H2302" s="63">
        <v>1</v>
      </c>
    </row>
    <row r="2303" spans="1:8" x14ac:dyDescent="0.55000000000000004">
      <c r="A2303" s="61" t="s">
        <v>7034</v>
      </c>
      <c r="B2303" t="s">
        <v>2312</v>
      </c>
      <c r="C2303">
        <v>8701</v>
      </c>
      <c r="D2303" t="s">
        <v>6362</v>
      </c>
      <c r="E2303" t="s">
        <v>6358</v>
      </c>
      <c r="F2303" t="s">
        <v>6358</v>
      </c>
      <c r="G2303" s="43">
        <v>3.1800000000000002E-2</v>
      </c>
      <c r="H2303" s="63">
        <v>1</v>
      </c>
    </row>
    <row r="2304" spans="1:8" x14ac:dyDescent="0.55000000000000004">
      <c r="A2304" s="61" t="s">
        <v>7035</v>
      </c>
      <c r="B2304" t="s">
        <v>2312</v>
      </c>
      <c r="C2304">
        <v>8710</v>
      </c>
      <c r="D2304" t="s">
        <v>6359</v>
      </c>
      <c r="E2304" t="s">
        <v>6370</v>
      </c>
      <c r="F2304" t="s">
        <v>6361</v>
      </c>
      <c r="G2304" s="43">
        <v>0</v>
      </c>
      <c r="H2304" s="63">
        <v>0.9</v>
      </c>
    </row>
    <row r="2305" spans="1:8" x14ac:dyDescent="0.55000000000000004">
      <c r="A2305" s="61" t="s">
        <v>7035</v>
      </c>
      <c r="B2305" t="s">
        <v>2312</v>
      </c>
      <c r="C2305">
        <v>8710</v>
      </c>
      <c r="D2305" t="s">
        <v>6363</v>
      </c>
      <c r="E2305" t="s">
        <v>6364</v>
      </c>
      <c r="F2305" t="s">
        <v>6361</v>
      </c>
      <c r="G2305" s="43">
        <v>0</v>
      </c>
      <c r="H2305" s="63">
        <v>0.1</v>
      </c>
    </row>
    <row r="2306" spans="1:8" x14ac:dyDescent="0.55000000000000004">
      <c r="A2306" s="61" t="s">
        <v>7035</v>
      </c>
      <c r="B2306" t="s">
        <v>2312</v>
      </c>
      <c r="C2306">
        <v>8710</v>
      </c>
      <c r="D2306" t="s">
        <v>6362</v>
      </c>
      <c r="E2306" t="s">
        <v>6358</v>
      </c>
      <c r="F2306" t="s">
        <v>6358</v>
      </c>
      <c r="G2306" s="43">
        <v>4.6699999999999998E-2</v>
      </c>
      <c r="H2306" s="63">
        <v>1</v>
      </c>
    </row>
    <row r="2307" spans="1:8" x14ac:dyDescent="0.55000000000000004">
      <c r="A2307" s="61" t="s">
        <v>7035</v>
      </c>
      <c r="B2307" t="s">
        <v>2312</v>
      </c>
      <c r="C2307">
        <v>8710</v>
      </c>
      <c r="D2307" t="s">
        <v>6365</v>
      </c>
      <c r="E2307" t="s">
        <v>6366</v>
      </c>
      <c r="F2307" t="s">
        <v>6361</v>
      </c>
      <c r="G2307" s="43">
        <v>0</v>
      </c>
      <c r="H2307" s="63">
        <v>-0.1</v>
      </c>
    </row>
    <row r="2308" spans="1:8" x14ac:dyDescent="0.55000000000000004">
      <c r="A2308" s="61" t="s">
        <v>7036</v>
      </c>
      <c r="B2308" t="s">
        <v>2312</v>
      </c>
      <c r="C2308">
        <v>9204</v>
      </c>
      <c r="D2308" t="s">
        <v>6359</v>
      </c>
      <c r="E2308" t="s">
        <v>6371</v>
      </c>
      <c r="F2308" t="s">
        <v>6361</v>
      </c>
      <c r="G2308" s="43">
        <v>0</v>
      </c>
      <c r="H2308" s="63">
        <v>0.9</v>
      </c>
    </row>
    <row r="2309" spans="1:8" x14ac:dyDescent="0.55000000000000004">
      <c r="A2309" s="61" t="s">
        <v>7036</v>
      </c>
      <c r="B2309" t="s">
        <v>2312</v>
      </c>
      <c r="C2309">
        <v>9204</v>
      </c>
      <c r="D2309" t="s">
        <v>6363</v>
      </c>
      <c r="E2309" t="s">
        <v>6364</v>
      </c>
      <c r="F2309" t="s">
        <v>6361</v>
      </c>
      <c r="G2309" s="43">
        <v>0</v>
      </c>
      <c r="H2309" s="63">
        <v>0.1</v>
      </c>
    </row>
    <row r="2310" spans="1:8" x14ac:dyDescent="0.55000000000000004">
      <c r="A2310" s="61" t="s">
        <v>7036</v>
      </c>
      <c r="B2310" t="s">
        <v>2312</v>
      </c>
      <c r="C2310">
        <v>9204</v>
      </c>
      <c r="D2310" t="s">
        <v>6362</v>
      </c>
      <c r="E2310" t="s">
        <v>6358</v>
      </c>
      <c r="F2310" t="s">
        <v>6358</v>
      </c>
      <c r="G2310" s="43">
        <v>4.6699999999999998E-2</v>
      </c>
      <c r="H2310" s="63">
        <v>1</v>
      </c>
    </row>
    <row r="2311" spans="1:8" x14ac:dyDescent="0.55000000000000004">
      <c r="A2311" s="61" t="s">
        <v>7036</v>
      </c>
      <c r="B2311" t="s">
        <v>2312</v>
      </c>
      <c r="C2311">
        <v>9204</v>
      </c>
      <c r="D2311" t="s">
        <v>6365</v>
      </c>
      <c r="E2311" t="s">
        <v>6366</v>
      </c>
      <c r="F2311" t="s">
        <v>6361</v>
      </c>
      <c r="G2311" s="43">
        <v>0</v>
      </c>
      <c r="H2311" s="63">
        <v>-0.1</v>
      </c>
    </row>
    <row r="2312" spans="1:8" x14ac:dyDescent="0.55000000000000004">
      <c r="A2312" s="61" t="s">
        <v>7037</v>
      </c>
      <c r="B2312" t="s">
        <v>2312</v>
      </c>
      <c r="C2312">
        <v>9310</v>
      </c>
      <c r="D2312" t="s">
        <v>6359</v>
      </c>
      <c r="E2312" t="s">
        <v>6371</v>
      </c>
      <c r="F2312" t="s">
        <v>6361</v>
      </c>
      <c r="G2312" s="43">
        <v>0</v>
      </c>
      <c r="H2312" s="63">
        <v>0.9</v>
      </c>
    </row>
    <row r="2313" spans="1:8" x14ac:dyDescent="0.55000000000000004">
      <c r="A2313" s="61" t="s">
        <v>7037</v>
      </c>
      <c r="B2313" t="s">
        <v>2312</v>
      </c>
      <c r="C2313">
        <v>9310</v>
      </c>
      <c r="D2313" t="s">
        <v>6363</v>
      </c>
      <c r="E2313" t="s">
        <v>6364</v>
      </c>
      <c r="F2313" t="s">
        <v>6361</v>
      </c>
      <c r="G2313" s="43">
        <v>0</v>
      </c>
      <c r="H2313" s="63">
        <v>0.1</v>
      </c>
    </row>
    <row r="2314" spans="1:8" x14ac:dyDescent="0.55000000000000004">
      <c r="A2314" s="61" t="s">
        <v>7037</v>
      </c>
      <c r="B2314" t="s">
        <v>2312</v>
      </c>
      <c r="C2314">
        <v>9310</v>
      </c>
      <c r="D2314" t="s">
        <v>6362</v>
      </c>
      <c r="E2314" t="s">
        <v>6358</v>
      </c>
      <c r="F2314" t="s">
        <v>6358</v>
      </c>
      <c r="G2314" s="43">
        <v>4.6699999999999998E-2</v>
      </c>
      <c r="H2314" s="63">
        <v>1</v>
      </c>
    </row>
    <row r="2315" spans="1:8" x14ac:dyDescent="0.55000000000000004">
      <c r="A2315" s="61" t="s">
        <v>7037</v>
      </c>
      <c r="B2315" t="s">
        <v>2312</v>
      </c>
      <c r="C2315">
        <v>9310</v>
      </c>
      <c r="D2315" t="s">
        <v>6365</v>
      </c>
      <c r="E2315" t="s">
        <v>6366</v>
      </c>
      <c r="F2315" t="s">
        <v>6361</v>
      </c>
      <c r="G2315" s="43">
        <v>0</v>
      </c>
      <c r="H2315" s="63">
        <v>-0.1</v>
      </c>
    </row>
    <row r="2316" spans="1:8" x14ac:dyDescent="0.55000000000000004">
      <c r="A2316" s="61" t="s">
        <v>7038</v>
      </c>
      <c r="B2316" t="s">
        <v>534</v>
      </c>
      <c r="C2316">
        <v>8705</v>
      </c>
      <c r="D2316" t="s">
        <v>6359</v>
      </c>
      <c r="E2316" t="s">
        <v>6383</v>
      </c>
      <c r="F2316" t="s">
        <v>6361</v>
      </c>
      <c r="G2316" s="43">
        <v>0</v>
      </c>
      <c r="H2316" s="63">
        <v>0.9</v>
      </c>
    </row>
    <row r="2317" spans="1:8" x14ac:dyDescent="0.55000000000000004">
      <c r="A2317" s="61" t="s">
        <v>7038</v>
      </c>
      <c r="B2317" t="s">
        <v>534</v>
      </c>
      <c r="C2317">
        <v>8705</v>
      </c>
      <c r="D2317" t="s">
        <v>6363</v>
      </c>
      <c r="E2317" t="s">
        <v>6364</v>
      </c>
      <c r="F2317" t="s">
        <v>6361</v>
      </c>
      <c r="G2317" s="43">
        <v>0</v>
      </c>
      <c r="H2317" s="63">
        <v>0.1</v>
      </c>
    </row>
    <row r="2318" spans="1:8" x14ac:dyDescent="0.55000000000000004">
      <c r="A2318" s="61" t="s">
        <v>7038</v>
      </c>
      <c r="B2318" t="s">
        <v>534</v>
      </c>
      <c r="C2318">
        <v>8705</v>
      </c>
      <c r="D2318" t="s">
        <v>6362</v>
      </c>
      <c r="E2318" t="s">
        <v>6358</v>
      </c>
      <c r="F2318" t="s">
        <v>6358</v>
      </c>
      <c r="G2318" s="43">
        <v>4.65E-2</v>
      </c>
      <c r="H2318" s="63">
        <v>1</v>
      </c>
    </row>
    <row r="2319" spans="1:8" x14ac:dyDescent="0.55000000000000004">
      <c r="A2319" s="61" t="s">
        <v>7038</v>
      </c>
      <c r="B2319" t="s">
        <v>534</v>
      </c>
      <c r="C2319">
        <v>8705</v>
      </c>
      <c r="D2319" t="s">
        <v>6365</v>
      </c>
      <c r="E2319" t="s">
        <v>6366</v>
      </c>
      <c r="F2319" t="s">
        <v>6361</v>
      </c>
      <c r="G2319" s="43">
        <v>0</v>
      </c>
      <c r="H2319" s="63">
        <v>-0.1</v>
      </c>
    </row>
    <row r="2320" spans="1:8" x14ac:dyDescent="0.55000000000000004">
      <c r="A2320" s="61" t="s">
        <v>7038</v>
      </c>
      <c r="B2320" t="s">
        <v>534</v>
      </c>
      <c r="C2320">
        <v>8705</v>
      </c>
      <c r="D2320" t="s">
        <v>6384</v>
      </c>
      <c r="E2320" t="s">
        <v>6385</v>
      </c>
      <c r="F2320" t="s">
        <v>6361</v>
      </c>
      <c r="G2320" s="43">
        <v>0</v>
      </c>
      <c r="H2320" s="63">
        <v>1</v>
      </c>
    </row>
    <row r="2321" spans="1:8" x14ac:dyDescent="0.55000000000000004">
      <c r="A2321" s="61" t="s">
        <v>7038</v>
      </c>
      <c r="B2321" t="s">
        <v>534</v>
      </c>
      <c r="C2321">
        <v>8705</v>
      </c>
      <c r="D2321" t="s">
        <v>6386</v>
      </c>
      <c r="E2321" t="s">
        <v>6387</v>
      </c>
      <c r="F2321" t="s">
        <v>6361</v>
      </c>
      <c r="G2321" s="43">
        <v>0</v>
      </c>
      <c r="H2321" s="63">
        <v>1</v>
      </c>
    </row>
    <row r="2322" spans="1:8" x14ac:dyDescent="0.55000000000000004">
      <c r="A2322" s="61" t="s">
        <v>7039</v>
      </c>
      <c r="B2322" t="s">
        <v>534</v>
      </c>
      <c r="C2322">
        <v>9105</v>
      </c>
      <c r="D2322" t="s">
        <v>6359</v>
      </c>
      <c r="E2322" t="s">
        <v>6388</v>
      </c>
      <c r="F2322" t="s">
        <v>6361</v>
      </c>
      <c r="G2322" s="43">
        <v>0</v>
      </c>
      <c r="H2322" s="63">
        <v>0.9</v>
      </c>
    </row>
    <row r="2323" spans="1:8" x14ac:dyDescent="0.55000000000000004">
      <c r="A2323" s="61" t="s">
        <v>7039</v>
      </c>
      <c r="B2323" t="s">
        <v>534</v>
      </c>
      <c r="C2323">
        <v>9105</v>
      </c>
      <c r="D2323" t="s">
        <v>6363</v>
      </c>
      <c r="E2323" t="s">
        <v>6364</v>
      </c>
      <c r="F2323" t="s">
        <v>6361</v>
      </c>
      <c r="G2323" s="43">
        <v>0</v>
      </c>
      <c r="H2323" s="63">
        <v>0.1</v>
      </c>
    </row>
    <row r="2324" spans="1:8" x14ac:dyDescent="0.55000000000000004">
      <c r="A2324" s="61" t="s">
        <v>7039</v>
      </c>
      <c r="B2324" t="s">
        <v>534</v>
      </c>
      <c r="C2324">
        <v>9105</v>
      </c>
      <c r="D2324" t="s">
        <v>6362</v>
      </c>
      <c r="E2324" t="s">
        <v>6358</v>
      </c>
      <c r="F2324" t="s">
        <v>6358</v>
      </c>
      <c r="G2324" s="43">
        <v>4.65E-2</v>
      </c>
      <c r="H2324" s="63">
        <v>1</v>
      </c>
    </row>
    <row r="2325" spans="1:8" x14ac:dyDescent="0.55000000000000004">
      <c r="A2325" s="61" t="s">
        <v>7039</v>
      </c>
      <c r="B2325" t="s">
        <v>534</v>
      </c>
      <c r="C2325">
        <v>9105</v>
      </c>
      <c r="D2325" t="s">
        <v>6365</v>
      </c>
      <c r="E2325" t="s">
        <v>6366</v>
      </c>
      <c r="F2325" t="s">
        <v>6361</v>
      </c>
      <c r="G2325" s="43">
        <v>0</v>
      </c>
      <c r="H2325" s="63">
        <v>-0.1</v>
      </c>
    </row>
    <row r="2326" spans="1:8" x14ac:dyDescent="0.55000000000000004">
      <c r="A2326" s="61" t="s">
        <v>7039</v>
      </c>
      <c r="B2326" t="s">
        <v>534</v>
      </c>
      <c r="C2326">
        <v>9105</v>
      </c>
      <c r="D2326" t="s">
        <v>6384</v>
      </c>
      <c r="E2326" t="s">
        <v>6385</v>
      </c>
      <c r="F2326" t="s">
        <v>6361</v>
      </c>
      <c r="G2326" s="43">
        <v>0</v>
      </c>
      <c r="H2326" s="63">
        <v>1</v>
      </c>
    </row>
    <row r="2327" spans="1:8" x14ac:dyDescent="0.55000000000000004">
      <c r="A2327" s="61" t="s">
        <v>7039</v>
      </c>
      <c r="B2327" t="s">
        <v>534</v>
      </c>
      <c r="C2327">
        <v>9105</v>
      </c>
      <c r="D2327" t="s">
        <v>6386</v>
      </c>
      <c r="E2327" t="s">
        <v>6387</v>
      </c>
      <c r="F2327" t="s">
        <v>6361</v>
      </c>
      <c r="G2327" s="43">
        <v>0</v>
      </c>
      <c r="H2327" s="63">
        <v>1</v>
      </c>
    </row>
    <row r="2328" spans="1:8" x14ac:dyDescent="0.55000000000000004">
      <c r="A2328" s="61" t="s">
        <v>7040</v>
      </c>
      <c r="B2328" t="s">
        <v>2566</v>
      </c>
      <c r="C2328">
        <v>8710</v>
      </c>
      <c r="D2328" t="s">
        <v>6359</v>
      </c>
      <c r="E2328" t="s">
        <v>6368</v>
      </c>
      <c r="F2328" t="s">
        <v>6361</v>
      </c>
      <c r="G2328" s="43">
        <v>0</v>
      </c>
      <c r="H2328" s="63">
        <v>0.9</v>
      </c>
    </row>
    <row r="2329" spans="1:8" x14ac:dyDescent="0.55000000000000004">
      <c r="A2329" s="61" t="s">
        <v>7040</v>
      </c>
      <c r="B2329" t="s">
        <v>2566</v>
      </c>
      <c r="C2329">
        <v>8710</v>
      </c>
      <c r="D2329" t="s">
        <v>6363</v>
      </c>
      <c r="E2329" t="s">
        <v>6364</v>
      </c>
      <c r="F2329" t="s">
        <v>6361</v>
      </c>
      <c r="G2329" s="43">
        <v>0</v>
      </c>
      <c r="H2329" s="63">
        <v>0.1</v>
      </c>
    </row>
    <row r="2330" spans="1:8" x14ac:dyDescent="0.55000000000000004">
      <c r="A2330" s="61" t="s">
        <v>7040</v>
      </c>
      <c r="B2330" t="s">
        <v>2566</v>
      </c>
      <c r="C2330">
        <v>8710</v>
      </c>
      <c r="D2330" t="s">
        <v>6362</v>
      </c>
      <c r="E2330" t="s">
        <v>6358</v>
      </c>
      <c r="F2330" t="s">
        <v>6358</v>
      </c>
      <c r="G2330" s="43">
        <v>0.1179</v>
      </c>
      <c r="H2330" s="63">
        <v>1</v>
      </c>
    </row>
    <row r="2331" spans="1:8" x14ac:dyDescent="0.55000000000000004">
      <c r="A2331" s="61" t="s">
        <v>7040</v>
      </c>
      <c r="B2331" t="s">
        <v>2566</v>
      </c>
      <c r="C2331">
        <v>8710</v>
      </c>
      <c r="D2331" t="s">
        <v>6365</v>
      </c>
      <c r="E2331" t="s">
        <v>6366</v>
      </c>
      <c r="F2331" t="s">
        <v>6361</v>
      </c>
      <c r="G2331" s="43">
        <v>0</v>
      </c>
      <c r="H2331" s="63">
        <v>-0.1</v>
      </c>
    </row>
    <row r="2332" spans="1:8" x14ac:dyDescent="0.55000000000000004">
      <c r="A2332" s="61" t="s">
        <v>7041</v>
      </c>
      <c r="B2332" t="s">
        <v>2566</v>
      </c>
      <c r="C2332">
        <v>9310</v>
      </c>
      <c r="D2332" t="s">
        <v>6359</v>
      </c>
      <c r="E2332" t="s">
        <v>6369</v>
      </c>
      <c r="F2332" t="s">
        <v>6361</v>
      </c>
      <c r="G2332" s="43">
        <v>0</v>
      </c>
      <c r="H2332" s="63">
        <v>0.9</v>
      </c>
    </row>
    <row r="2333" spans="1:8" x14ac:dyDescent="0.55000000000000004">
      <c r="A2333" s="61" t="s">
        <v>7041</v>
      </c>
      <c r="B2333" t="s">
        <v>2566</v>
      </c>
      <c r="C2333">
        <v>9310</v>
      </c>
      <c r="D2333" t="s">
        <v>6363</v>
      </c>
      <c r="E2333" t="s">
        <v>6364</v>
      </c>
      <c r="F2333" t="s">
        <v>6361</v>
      </c>
      <c r="G2333" s="43">
        <v>0</v>
      </c>
      <c r="H2333" s="63">
        <v>0.1</v>
      </c>
    </row>
    <row r="2334" spans="1:8" x14ac:dyDescent="0.55000000000000004">
      <c r="A2334" s="61" t="s">
        <v>7041</v>
      </c>
      <c r="B2334" t="s">
        <v>2566</v>
      </c>
      <c r="C2334">
        <v>9310</v>
      </c>
      <c r="D2334" t="s">
        <v>6362</v>
      </c>
      <c r="E2334" t="s">
        <v>6358</v>
      </c>
      <c r="F2334" t="s">
        <v>6358</v>
      </c>
      <c r="G2334" s="43">
        <v>0.1179</v>
      </c>
      <c r="H2334" s="63">
        <v>1</v>
      </c>
    </row>
    <row r="2335" spans="1:8" x14ac:dyDescent="0.55000000000000004">
      <c r="A2335" s="61" t="s">
        <v>7041</v>
      </c>
      <c r="B2335" t="s">
        <v>2566</v>
      </c>
      <c r="C2335">
        <v>9310</v>
      </c>
      <c r="D2335" t="s">
        <v>6365</v>
      </c>
      <c r="E2335" t="s">
        <v>6366</v>
      </c>
      <c r="F2335" t="s">
        <v>6361</v>
      </c>
      <c r="G2335" s="43">
        <v>0</v>
      </c>
      <c r="H2335" s="63">
        <v>-0.1</v>
      </c>
    </row>
    <row r="2336" spans="1:8" x14ac:dyDescent="0.55000000000000004">
      <c r="A2336" s="61" t="s">
        <v>7042</v>
      </c>
      <c r="B2336" t="s">
        <v>2902</v>
      </c>
      <c r="C2336">
        <v>8701</v>
      </c>
      <c r="D2336" t="s">
        <v>6359</v>
      </c>
      <c r="E2336" t="s">
        <v>6370</v>
      </c>
      <c r="F2336" t="s">
        <v>6361</v>
      </c>
      <c r="G2336" s="43">
        <v>0</v>
      </c>
      <c r="H2336" s="63">
        <v>1</v>
      </c>
    </row>
    <row r="2337" spans="1:8" x14ac:dyDescent="0.55000000000000004">
      <c r="A2337" s="61" t="s">
        <v>7042</v>
      </c>
      <c r="B2337" t="s">
        <v>2902</v>
      </c>
      <c r="C2337">
        <v>8701</v>
      </c>
      <c r="D2337" t="s">
        <v>6362</v>
      </c>
      <c r="E2337" t="s">
        <v>6358</v>
      </c>
      <c r="F2337" t="s">
        <v>6358</v>
      </c>
      <c r="G2337" s="43">
        <v>0.19700000000000001</v>
      </c>
      <c r="H2337" s="63">
        <v>1</v>
      </c>
    </row>
    <row r="2338" spans="1:8" x14ac:dyDescent="0.55000000000000004">
      <c r="A2338" s="61" t="s">
        <v>7043</v>
      </c>
      <c r="B2338" t="s">
        <v>2902</v>
      </c>
      <c r="C2338">
        <v>8710</v>
      </c>
      <c r="D2338" t="s">
        <v>6359</v>
      </c>
      <c r="E2338" t="s">
        <v>6370</v>
      </c>
      <c r="F2338" t="s">
        <v>6361</v>
      </c>
      <c r="G2338" s="43">
        <v>0</v>
      </c>
      <c r="H2338" s="63">
        <v>0.9</v>
      </c>
    </row>
    <row r="2339" spans="1:8" x14ac:dyDescent="0.55000000000000004">
      <c r="A2339" s="61" t="s">
        <v>7043</v>
      </c>
      <c r="B2339" t="s">
        <v>2902</v>
      </c>
      <c r="C2339">
        <v>8710</v>
      </c>
      <c r="D2339" t="s">
        <v>6363</v>
      </c>
      <c r="E2339" t="s">
        <v>6364</v>
      </c>
      <c r="F2339" t="s">
        <v>6361</v>
      </c>
      <c r="G2339" s="43">
        <v>0</v>
      </c>
      <c r="H2339" s="63">
        <v>0.1</v>
      </c>
    </row>
    <row r="2340" spans="1:8" x14ac:dyDescent="0.55000000000000004">
      <c r="A2340" s="61" t="s">
        <v>7043</v>
      </c>
      <c r="B2340" t="s">
        <v>2902</v>
      </c>
      <c r="C2340">
        <v>8710</v>
      </c>
      <c r="D2340" t="s">
        <v>6362</v>
      </c>
      <c r="E2340" t="s">
        <v>6358</v>
      </c>
      <c r="F2340" t="s">
        <v>6358</v>
      </c>
      <c r="G2340" s="43">
        <v>0.18959999999999999</v>
      </c>
      <c r="H2340" s="63">
        <v>1</v>
      </c>
    </row>
    <row r="2341" spans="1:8" x14ac:dyDescent="0.55000000000000004">
      <c r="A2341" s="61" t="s">
        <v>7043</v>
      </c>
      <c r="B2341" t="s">
        <v>2902</v>
      </c>
      <c r="C2341">
        <v>8710</v>
      </c>
      <c r="D2341" t="s">
        <v>6365</v>
      </c>
      <c r="E2341" t="s">
        <v>6366</v>
      </c>
      <c r="F2341" t="s">
        <v>6361</v>
      </c>
      <c r="G2341" s="43">
        <v>0</v>
      </c>
      <c r="H2341" s="63">
        <v>-0.1</v>
      </c>
    </row>
    <row r="2342" spans="1:8" x14ac:dyDescent="0.55000000000000004">
      <c r="A2342" s="61" t="s">
        <v>7044</v>
      </c>
      <c r="B2342" t="s">
        <v>2902</v>
      </c>
      <c r="C2342">
        <v>9101</v>
      </c>
      <c r="D2342" t="s">
        <v>6359</v>
      </c>
      <c r="E2342" t="s">
        <v>6371</v>
      </c>
      <c r="F2342" t="s">
        <v>6361</v>
      </c>
      <c r="G2342" s="43">
        <v>0</v>
      </c>
      <c r="H2342" s="63">
        <v>1</v>
      </c>
    </row>
    <row r="2343" spans="1:8" x14ac:dyDescent="0.55000000000000004">
      <c r="A2343" s="61" t="s">
        <v>7044</v>
      </c>
      <c r="B2343" t="s">
        <v>2902</v>
      </c>
      <c r="C2343">
        <v>9101</v>
      </c>
      <c r="D2343" t="s">
        <v>6362</v>
      </c>
      <c r="E2343" t="s">
        <v>6358</v>
      </c>
      <c r="F2343" t="s">
        <v>6358</v>
      </c>
      <c r="G2343" s="43">
        <v>0.19700000000000001</v>
      </c>
      <c r="H2343" s="63">
        <v>1</v>
      </c>
    </row>
    <row r="2344" spans="1:8" x14ac:dyDescent="0.55000000000000004">
      <c r="A2344" s="61" t="s">
        <v>7045</v>
      </c>
      <c r="B2344" t="s">
        <v>2902</v>
      </c>
      <c r="C2344">
        <v>9110</v>
      </c>
      <c r="D2344" t="s">
        <v>6359</v>
      </c>
      <c r="E2344" t="s">
        <v>6371</v>
      </c>
      <c r="F2344" t="s">
        <v>6361</v>
      </c>
      <c r="G2344" s="43">
        <v>0</v>
      </c>
      <c r="H2344" s="63">
        <v>0.9</v>
      </c>
    </row>
    <row r="2345" spans="1:8" x14ac:dyDescent="0.55000000000000004">
      <c r="A2345" s="61" t="s">
        <v>7045</v>
      </c>
      <c r="B2345" t="s">
        <v>2902</v>
      </c>
      <c r="C2345">
        <v>9110</v>
      </c>
      <c r="D2345" t="s">
        <v>6363</v>
      </c>
      <c r="E2345" t="s">
        <v>6364</v>
      </c>
      <c r="F2345" t="s">
        <v>6361</v>
      </c>
      <c r="G2345" s="43">
        <v>0</v>
      </c>
      <c r="H2345" s="63">
        <v>0.1</v>
      </c>
    </row>
    <row r="2346" spans="1:8" x14ac:dyDescent="0.55000000000000004">
      <c r="A2346" s="61" t="s">
        <v>7045</v>
      </c>
      <c r="B2346" t="s">
        <v>2902</v>
      </c>
      <c r="C2346">
        <v>9110</v>
      </c>
      <c r="D2346" t="s">
        <v>6362</v>
      </c>
      <c r="E2346" t="s">
        <v>6358</v>
      </c>
      <c r="F2346" t="s">
        <v>6358</v>
      </c>
      <c r="G2346" s="43">
        <v>0.18959999999999999</v>
      </c>
      <c r="H2346" s="63">
        <v>1</v>
      </c>
    </row>
    <row r="2347" spans="1:8" x14ac:dyDescent="0.55000000000000004">
      <c r="A2347" s="61" t="s">
        <v>7045</v>
      </c>
      <c r="B2347" t="s">
        <v>2902</v>
      </c>
      <c r="C2347">
        <v>9110</v>
      </c>
      <c r="D2347" t="s">
        <v>6365</v>
      </c>
      <c r="E2347" t="s">
        <v>6366</v>
      </c>
      <c r="F2347" t="s">
        <v>6361</v>
      </c>
      <c r="G2347" s="43">
        <v>0</v>
      </c>
      <c r="H2347" s="63">
        <v>-0.1</v>
      </c>
    </row>
    <row r="2348" spans="1:8" x14ac:dyDescent="0.55000000000000004">
      <c r="A2348" s="61" t="s">
        <v>7046</v>
      </c>
      <c r="B2348" t="s">
        <v>2902</v>
      </c>
      <c r="C2348">
        <v>9310</v>
      </c>
      <c r="D2348" t="s">
        <v>6359</v>
      </c>
      <c r="E2348" t="s">
        <v>6371</v>
      </c>
      <c r="F2348" t="s">
        <v>6361</v>
      </c>
      <c r="G2348" s="43">
        <v>0</v>
      </c>
      <c r="H2348" s="63">
        <v>0.9</v>
      </c>
    </row>
    <row r="2349" spans="1:8" x14ac:dyDescent="0.55000000000000004">
      <c r="A2349" s="61" t="s">
        <v>7046</v>
      </c>
      <c r="B2349" t="s">
        <v>2902</v>
      </c>
      <c r="C2349">
        <v>9310</v>
      </c>
      <c r="D2349" t="s">
        <v>6363</v>
      </c>
      <c r="E2349" t="s">
        <v>6364</v>
      </c>
      <c r="F2349" t="s">
        <v>6361</v>
      </c>
      <c r="G2349" s="43">
        <v>0</v>
      </c>
      <c r="H2349" s="63">
        <v>0.1</v>
      </c>
    </row>
    <row r="2350" spans="1:8" x14ac:dyDescent="0.55000000000000004">
      <c r="A2350" s="61" t="s">
        <v>7046</v>
      </c>
      <c r="B2350" t="s">
        <v>2902</v>
      </c>
      <c r="C2350">
        <v>9310</v>
      </c>
      <c r="D2350" t="s">
        <v>6362</v>
      </c>
      <c r="E2350" t="s">
        <v>6358</v>
      </c>
      <c r="F2350" t="s">
        <v>6358</v>
      </c>
      <c r="G2350" s="43">
        <v>0.18959999999999999</v>
      </c>
      <c r="H2350" s="63">
        <v>1</v>
      </c>
    </row>
    <row r="2351" spans="1:8" x14ac:dyDescent="0.55000000000000004">
      <c r="A2351" s="61" t="s">
        <v>7046</v>
      </c>
      <c r="B2351" t="s">
        <v>2902</v>
      </c>
      <c r="C2351">
        <v>9310</v>
      </c>
      <c r="D2351" t="s">
        <v>6365</v>
      </c>
      <c r="E2351" t="s">
        <v>6366</v>
      </c>
      <c r="F2351" t="s">
        <v>6361</v>
      </c>
      <c r="G2351" s="43">
        <v>0</v>
      </c>
      <c r="H2351" s="63">
        <v>-0.1</v>
      </c>
    </row>
    <row r="2352" spans="1:8" x14ac:dyDescent="0.55000000000000004">
      <c r="A2352" s="61" t="s">
        <v>7047</v>
      </c>
      <c r="B2352" t="s">
        <v>3482</v>
      </c>
      <c r="C2352">
        <v>8712</v>
      </c>
      <c r="D2352" t="s">
        <v>6359</v>
      </c>
      <c r="E2352" t="s">
        <v>6372</v>
      </c>
      <c r="F2352" t="s">
        <v>6361</v>
      </c>
      <c r="G2352" s="43">
        <v>0</v>
      </c>
      <c r="H2352" s="63">
        <v>0.9</v>
      </c>
    </row>
    <row r="2353" spans="1:8" x14ac:dyDescent="0.55000000000000004">
      <c r="A2353" s="61" t="s">
        <v>7047</v>
      </c>
      <c r="B2353" t="s">
        <v>3482</v>
      </c>
      <c r="C2353">
        <v>8712</v>
      </c>
      <c r="D2353" t="s">
        <v>6363</v>
      </c>
      <c r="E2353" t="s">
        <v>6364</v>
      </c>
      <c r="F2353" t="s">
        <v>6361</v>
      </c>
      <c r="G2353" s="43">
        <v>0</v>
      </c>
      <c r="H2353" s="63">
        <v>0.1</v>
      </c>
    </row>
    <row r="2354" spans="1:8" x14ac:dyDescent="0.55000000000000004">
      <c r="A2354" s="61" t="s">
        <v>7047</v>
      </c>
      <c r="B2354" t="s">
        <v>3482</v>
      </c>
      <c r="C2354">
        <v>8712</v>
      </c>
      <c r="D2354" t="s">
        <v>6362</v>
      </c>
      <c r="E2354" t="s">
        <v>6358</v>
      </c>
      <c r="F2354" t="s">
        <v>6358</v>
      </c>
      <c r="G2354" s="62">
        <v>0.10340000000000001</v>
      </c>
      <c r="H2354" s="63">
        <v>1</v>
      </c>
    </row>
    <row r="2355" spans="1:8" x14ac:dyDescent="0.55000000000000004">
      <c r="A2355" s="61" t="s">
        <v>7047</v>
      </c>
      <c r="B2355" t="s">
        <v>3482</v>
      </c>
      <c r="C2355">
        <v>8712</v>
      </c>
      <c r="D2355" t="s">
        <v>6365</v>
      </c>
      <c r="E2355" t="s">
        <v>6366</v>
      </c>
      <c r="F2355" t="s">
        <v>6361</v>
      </c>
      <c r="G2355" s="43">
        <v>0</v>
      </c>
      <c r="H2355" s="63">
        <v>-0.1</v>
      </c>
    </row>
    <row r="2356" spans="1:8" x14ac:dyDescent="0.55000000000000004">
      <c r="A2356" s="61" t="s">
        <v>7048</v>
      </c>
      <c r="B2356" t="s">
        <v>3482</v>
      </c>
      <c r="C2356">
        <v>9308</v>
      </c>
      <c r="D2356" t="s">
        <v>6359</v>
      </c>
      <c r="E2356" t="s">
        <v>6373</v>
      </c>
      <c r="F2356" t="s">
        <v>6361</v>
      </c>
      <c r="G2356" s="43">
        <v>0</v>
      </c>
      <c r="H2356" s="63">
        <v>0.9</v>
      </c>
    </row>
    <row r="2357" spans="1:8" x14ac:dyDescent="0.55000000000000004">
      <c r="A2357" s="61" t="s">
        <v>7048</v>
      </c>
      <c r="B2357" t="s">
        <v>3482</v>
      </c>
      <c r="C2357">
        <v>9308</v>
      </c>
      <c r="D2357" t="s">
        <v>6363</v>
      </c>
      <c r="E2357" t="s">
        <v>6364</v>
      </c>
      <c r="F2357" t="s">
        <v>6361</v>
      </c>
      <c r="G2357" s="43">
        <v>0</v>
      </c>
      <c r="H2357" s="63">
        <v>0.1</v>
      </c>
    </row>
    <row r="2358" spans="1:8" x14ac:dyDescent="0.55000000000000004">
      <c r="A2358" s="61" t="s">
        <v>7048</v>
      </c>
      <c r="B2358" t="s">
        <v>3482</v>
      </c>
      <c r="C2358">
        <v>9308</v>
      </c>
      <c r="D2358" t="s">
        <v>6362</v>
      </c>
      <c r="E2358" t="s">
        <v>6358</v>
      </c>
      <c r="F2358" t="s">
        <v>6358</v>
      </c>
      <c r="G2358" s="62">
        <v>0.10340000000000001</v>
      </c>
      <c r="H2358" s="63">
        <v>1</v>
      </c>
    </row>
    <row r="2359" spans="1:8" x14ac:dyDescent="0.55000000000000004">
      <c r="A2359" s="61" t="s">
        <v>7048</v>
      </c>
      <c r="B2359" t="s">
        <v>3482</v>
      </c>
      <c r="C2359">
        <v>9308</v>
      </c>
      <c r="D2359" t="s">
        <v>6365</v>
      </c>
      <c r="E2359" t="s">
        <v>6366</v>
      </c>
      <c r="F2359" t="s">
        <v>6361</v>
      </c>
      <c r="G2359" s="43">
        <v>0</v>
      </c>
      <c r="H2359" s="63">
        <v>-0.1</v>
      </c>
    </row>
    <row r="2360" spans="1:8" x14ac:dyDescent="0.55000000000000004">
      <c r="A2360" s="61" t="s">
        <v>7049</v>
      </c>
      <c r="B2360" t="s">
        <v>1406</v>
      </c>
      <c r="C2360">
        <v>8710</v>
      </c>
      <c r="D2360" t="s">
        <v>6359</v>
      </c>
      <c r="E2360" t="s">
        <v>6368</v>
      </c>
      <c r="F2360" t="s">
        <v>6361</v>
      </c>
      <c r="G2360" s="43">
        <v>0</v>
      </c>
      <c r="H2360" s="63">
        <v>0.9</v>
      </c>
    </row>
    <row r="2361" spans="1:8" x14ac:dyDescent="0.55000000000000004">
      <c r="A2361" s="61" t="s">
        <v>7049</v>
      </c>
      <c r="B2361" t="s">
        <v>1406</v>
      </c>
      <c r="C2361">
        <v>8710</v>
      </c>
      <c r="D2361" t="s">
        <v>6363</v>
      </c>
      <c r="E2361" t="s">
        <v>6364</v>
      </c>
      <c r="F2361" t="s">
        <v>6361</v>
      </c>
      <c r="G2361" s="43">
        <v>0</v>
      </c>
      <c r="H2361" s="63">
        <v>0.1</v>
      </c>
    </row>
    <row r="2362" spans="1:8" x14ac:dyDescent="0.55000000000000004">
      <c r="A2362" s="61" t="s">
        <v>7049</v>
      </c>
      <c r="B2362" t="s">
        <v>1406</v>
      </c>
      <c r="C2362">
        <v>8710</v>
      </c>
      <c r="D2362" t="s">
        <v>6362</v>
      </c>
      <c r="E2362" t="s">
        <v>6358</v>
      </c>
      <c r="F2362" t="s">
        <v>6358</v>
      </c>
      <c r="G2362" s="43">
        <v>3.2399999999999998E-2</v>
      </c>
      <c r="H2362" s="63">
        <v>1</v>
      </c>
    </row>
    <row r="2363" spans="1:8" x14ac:dyDescent="0.55000000000000004">
      <c r="A2363" s="61" t="s">
        <v>7049</v>
      </c>
      <c r="B2363" t="s">
        <v>1406</v>
      </c>
      <c r="C2363">
        <v>8710</v>
      </c>
      <c r="D2363" t="s">
        <v>6365</v>
      </c>
      <c r="E2363" t="s">
        <v>6366</v>
      </c>
      <c r="F2363" t="s">
        <v>6361</v>
      </c>
      <c r="G2363" s="43">
        <v>0</v>
      </c>
      <c r="H2363" s="63">
        <v>-0.1</v>
      </c>
    </row>
    <row r="2364" spans="1:8" x14ac:dyDescent="0.55000000000000004">
      <c r="A2364" s="61" t="s">
        <v>7050</v>
      </c>
      <c r="B2364" t="s">
        <v>1406</v>
      </c>
      <c r="C2364">
        <v>9110</v>
      </c>
      <c r="D2364" t="s">
        <v>6359</v>
      </c>
      <c r="E2364" t="s">
        <v>6369</v>
      </c>
      <c r="F2364" t="s">
        <v>6361</v>
      </c>
      <c r="G2364" s="43">
        <v>0</v>
      </c>
      <c r="H2364" s="63">
        <v>0.9</v>
      </c>
    </row>
    <row r="2365" spans="1:8" x14ac:dyDescent="0.55000000000000004">
      <c r="A2365" s="61" t="s">
        <v>7050</v>
      </c>
      <c r="B2365" t="s">
        <v>1406</v>
      </c>
      <c r="C2365">
        <v>9110</v>
      </c>
      <c r="D2365" t="s">
        <v>6363</v>
      </c>
      <c r="E2365" t="s">
        <v>6364</v>
      </c>
      <c r="F2365" t="s">
        <v>6361</v>
      </c>
      <c r="G2365" s="43">
        <v>0</v>
      </c>
      <c r="H2365" s="63">
        <v>0.1</v>
      </c>
    </row>
    <row r="2366" spans="1:8" x14ac:dyDescent="0.55000000000000004">
      <c r="A2366" s="61" t="s">
        <v>7050</v>
      </c>
      <c r="B2366" t="s">
        <v>1406</v>
      </c>
      <c r="C2366">
        <v>9110</v>
      </c>
      <c r="D2366" t="s">
        <v>6362</v>
      </c>
      <c r="E2366" t="s">
        <v>6358</v>
      </c>
      <c r="F2366" t="s">
        <v>6358</v>
      </c>
      <c r="G2366" s="43">
        <v>3.2399999999999998E-2</v>
      </c>
      <c r="H2366" s="63">
        <v>1</v>
      </c>
    </row>
    <row r="2367" spans="1:8" x14ac:dyDescent="0.55000000000000004">
      <c r="A2367" s="61" t="s">
        <v>7050</v>
      </c>
      <c r="B2367" t="s">
        <v>1406</v>
      </c>
      <c r="C2367">
        <v>9110</v>
      </c>
      <c r="D2367" t="s">
        <v>6365</v>
      </c>
      <c r="E2367" t="s">
        <v>6366</v>
      </c>
      <c r="F2367" t="s">
        <v>6361</v>
      </c>
      <c r="G2367" s="43">
        <v>0</v>
      </c>
      <c r="H2367" s="63">
        <v>-0.1</v>
      </c>
    </row>
    <row r="2368" spans="1:8" x14ac:dyDescent="0.55000000000000004">
      <c r="A2368" s="61" t="s">
        <v>7051</v>
      </c>
      <c r="B2368" t="s">
        <v>4448</v>
      </c>
      <c r="C2368">
        <v>8710</v>
      </c>
      <c r="D2368" t="s">
        <v>6359</v>
      </c>
      <c r="E2368" t="s">
        <v>6370</v>
      </c>
      <c r="F2368" t="s">
        <v>6361</v>
      </c>
      <c r="G2368" s="43">
        <v>0</v>
      </c>
      <c r="H2368" s="63">
        <v>0.9</v>
      </c>
    </row>
    <row r="2369" spans="1:8" x14ac:dyDescent="0.55000000000000004">
      <c r="A2369" s="61" t="s">
        <v>7051</v>
      </c>
      <c r="B2369" t="s">
        <v>4448</v>
      </c>
      <c r="C2369">
        <v>8710</v>
      </c>
      <c r="D2369" t="s">
        <v>6363</v>
      </c>
      <c r="E2369" t="s">
        <v>6364</v>
      </c>
      <c r="F2369" t="s">
        <v>6361</v>
      </c>
      <c r="G2369" s="43">
        <v>0</v>
      </c>
      <c r="H2369" s="63">
        <v>0.1</v>
      </c>
    </row>
    <row r="2370" spans="1:8" x14ac:dyDescent="0.55000000000000004">
      <c r="A2370" s="61" t="s">
        <v>7051</v>
      </c>
      <c r="B2370" t="s">
        <v>4448</v>
      </c>
      <c r="C2370">
        <v>8710</v>
      </c>
      <c r="D2370" t="s">
        <v>6362</v>
      </c>
      <c r="E2370" t="s">
        <v>6358</v>
      </c>
      <c r="F2370" t="s">
        <v>6358</v>
      </c>
      <c r="G2370" s="43">
        <v>9.98E-2</v>
      </c>
      <c r="H2370" s="63">
        <v>1</v>
      </c>
    </row>
    <row r="2371" spans="1:8" x14ac:dyDescent="0.55000000000000004">
      <c r="A2371" s="61" t="s">
        <v>7051</v>
      </c>
      <c r="B2371" t="s">
        <v>4448</v>
      </c>
      <c r="C2371">
        <v>8710</v>
      </c>
      <c r="D2371" t="s">
        <v>6365</v>
      </c>
      <c r="E2371" t="s">
        <v>6366</v>
      </c>
      <c r="F2371" t="s">
        <v>6361</v>
      </c>
      <c r="G2371" s="43">
        <v>0</v>
      </c>
      <c r="H2371" s="63">
        <v>-0.1</v>
      </c>
    </row>
    <row r="2372" spans="1:8" x14ac:dyDescent="0.55000000000000004">
      <c r="A2372" s="61" t="s">
        <v>7052</v>
      </c>
      <c r="B2372" t="s">
        <v>4448</v>
      </c>
      <c r="C2372">
        <v>8712</v>
      </c>
      <c r="D2372" t="s">
        <v>6359</v>
      </c>
      <c r="E2372" t="s">
        <v>6372</v>
      </c>
      <c r="F2372" t="s">
        <v>6361</v>
      </c>
      <c r="G2372" s="43">
        <v>0</v>
      </c>
      <c r="H2372" s="63">
        <v>0.9</v>
      </c>
    </row>
    <row r="2373" spans="1:8" x14ac:dyDescent="0.55000000000000004">
      <c r="A2373" s="61" t="s">
        <v>7052</v>
      </c>
      <c r="B2373" t="s">
        <v>4448</v>
      </c>
      <c r="C2373">
        <v>8712</v>
      </c>
      <c r="D2373" t="s">
        <v>6363</v>
      </c>
      <c r="E2373" t="s">
        <v>6364</v>
      </c>
      <c r="F2373" t="s">
        <v>6361</v>
      </c>
      <c r="G2373" s="43">
        <v>0</v>
      </c>
      <c r="H2373" s="63">
        <v>0.1</v>
      </c>
    </row>
    <row r="2374" spans="1:8" x14ac:dyDescent="0.55000000000000004">
      <c r="A2374" s="61" t="s">
        <v>7052</v>
      </c>
      <c r="B2374" t="s">
        <v>4448</v>
      </c>
      <c r="C2374">
        <v>8712</v>
      </c>
      <c r="D2374" t="s">
        <v>6362</v>
      </c>
      <c r="E2374" t="s">
        <v>6358</v>
      </c>
      <c r="F2374" t="s">
        <v>6358</v>
      </c>
      <c r="G2374" s="43">
        <v>9.98E-2</v>
      </c>
      <c r="H2374" s="63">
        <v>1</v>
      </c>
    </row>
    <row r="2375" spans="1:8" x14ac:dyDescent="0.55000000000000004">
      <c r="A2375" s="61" t="s">
        <v>7052</v>
      </c>
      <c r="B2375" t="s">
        <v>4448</v>
      </c>
      <c r="C2375">
        <v>8712</v>
      </c>
      <c r="D2375" t="s">
        <v>6365</v>
      </c>
      <c r="E2375" t="s">
        <v>6366</v>
      </c>
      <c r="F2375" t="s">
        <v>6361</v>
      </c>
      <c r="G2375" s="43">
        <v>0</v>
      </c>
      <c r="H2375" s="63">
        <v>-0.1</v>
      </c>
    </row>
    <row r="2376" spans="1:8" x14ac:dyDescent="0.55000000000000004">
      <c r="A2376" s="61" t="s">
        <v>7053</v>
      </c>
      <c r="B2376" t="s">
        <v>4448</v>
      </c>
      <c r="C2376">
        <v>8713</v>
      </c>
      <c r="D2376" t="s">
        <v>6359</v>
      </c>
      <c r="E2376" t="s">
        <v>6372</v>
      </c>
      <c r="F2376" t="s">
        <v>6361</v>
      </c>
      <c r="G2376" s="43">
        <v>0</v>
      </c>
      <c r="H2376" s="63">
        <v>0.9</v>
      </c>
    </row>
    <row r="2377" spans="1:8" x14ac:dyDescent="0.55000000000000004">
      <c r="A2377" s="61" t="s">
        <v>7053</v>
      </c>
      <c r="B2377" t="s">
        <v>4448</v>
      </c>
      <c r="C2377">
        <v>8713</v>
      </c>
      <c r="D2377" t="s">
        <v>6363</v>
      </c>
      <c r="E2377" t="s">
        <v>6364</v>
      </c>
      <c r="F2377" t="s">
        <v>6361</v>
      </c>
      <c r="G2377" s="43">
        <v>0</v>
      </c>
      <c r="H2377" s="63">
        <v>0.1</v>
      </c>
    </row>
    <row r="2378" spans="1:8" x14ac:dyDescent="0.55000000000000004">
      <c r="A2378" s="61" t="s">
        <v>7053</v>
      </c>
      <c r="B2378" t="s">
        <v>4448</v>
      </c>
      <c r="C2378">
        <v>8713</v>
      </c>
      <c r="D2378" t="s">
        <v>6362</v>
      </c>
      <c r="E2378" t="s">
        <v>6358</v>
      </c>
      <c r="F2378" t="s">
        <v>6358</v>
      </c>
      <c r="G2378" s="43">
        <v>9.98E-2</v>
      </c>
      <c r="H2378" s="63">
        <v>1</v>
      </c>
    </row>
    <row r="2379" spans="1:8" x14ac:dyDescent="0.55000000000000004">
      <c r="A2379" s="61" t="s">
        <v>7053</v>
      </c>
      <c r="B2379" t="s">
        <v>4448</v>
      </c>
      <c r="C2379">
        <v>8713</v>
      </c>
      <c r="D2379" t="s">
        <v>6365</v>
      </c>
      <c r="E2379" t="s">
        <v>6366</v>
      </c>
      <c r="F2379" t="s">
        <v>6361</v>
      </c>
      <c r="G2379" s="43">
        <v>0</v>
      </c>
      <c r="H2379" s="63">
        <v>-0.1</v>
      </c>
    </row>
    <row r="2380" spans="1:8" x14ac:dyDescent="0.55000000000000004">
      <c r="A2380" s="61" t="s">
        <v>7054</v>
      </c>
      <c r="B2380" t="s">
        <v>4448</v>
      </c>
      <c r="C2380">
        <v>9308</v>
      </c>
      <c r="D2380" t="s">
        <v>6359</v>
      </c>
      <c r="E2380" t="s">
        <v>6373</v>
      </c>
      <c r="F2380" t="s">
        <v>6361</v>
      </c>
      <c r="G2380" s="43">
        <v>0</v>
      </c>
      <c r="H2380" s="63">
        <v>0.9</v>
      </c>
    </row>
    <row r="2381" spans="1:8" x14ac:dyDescent="0.55000000000000004">
      <c r="A2381" s="61" t="s">
        <v>7054</v>
      </c>
      <c r="B2381" t="s">
        <v>4448</v>
      </c>
      <c r="C2381">
        <v>9308</v>
      </c>
      <c r="D2381" t="s">
        <v>6363</v>
      </c>
      <c r="E2381" t="s">
        <v>6364</v>
      </c>
      <c r="F2381" t="s">
        <v>6361</v>
      </c>
      <c r="G2381" s="43">
        <v>0</v>
      </c>
      <c r="H2381" s="63">
        <v>0.1</v>
      </c>
    </row>
    <row r="2382" spans="1:8" x14ac:dyDescent="0.55000000000000004">
      <c r="A2382" s="61" t="s">
        <v>7054</v>
      </c>
      <c r="B2382" t="s">
        <v>4448</v>
      </c>
      <c r="C2382">
        <v>9308</v>
      </c>
      <c r="D2382" t="s">
        <v>6362</v>
      </c>
      <c r="E2382" t="s">
        <v>6358</v>
      </c>
      <c r="F2382" t="s">
        <v>6358</v>
      </c>
      <c r="G2382" s="43">
        <v>9.98E-2</v>
      </c>
      <c r="H2382" s="63">
        <v>1</v>
      </c>
    </row>
    <row r="2383" spans="1:8" x14ac:dyDescent="0.55000000000000004">
      <c r="A2383" s="61" t="s">
        <v>7054</v>
      </c>
      <c r="B2383" t="s">
        <v>4448</v>
      </c>
      <c r="C2383">
        <v>9308</v>
      </c>
      <c r="D2383" t="s">
        <v>6365</v>
      </c>
      <c r="E2383" t="s">
        <v>6366</v>
      </c>
      <c r="F2383" t="s">
        <v>6361</v>
      </c>
      <c r="G2383" s="43">
        <v>0</v>
      </c>
      <c r="H2383" s="63">
        <v>-0.1</v>
      </c>
    </row>
    <row r="2384" spans="1:8" x14ac:dyDescent="0.55000000000000004">
      <c r="A2384" s="61" t="s">
        <v>7055</v>
      </c>
      <c r="B2384" t="s">
        <v>4448</v>
      </c>
      <c r="C2384">
        <v>9309</v>
      </c>
      <c r="D2384" t="s">
        <v>6359</v>
      </c>
      <c r="E2384" t="s">
        <v>6373</v>
      </c>
      <c r="F2384" t="s">
        <v>6361</v>
      </c>
      <c r="G2384" s="43">
        <v>0</v>
      </c>
      <c r="H2384" s="63">
        <v>0.9</v>
      </c>
    </row>
    <row r="2385" spans="1:8" x14ac:dyDescent="0.55000000000000004">
      <c r="A2385" s="61" t="s">
        <v>7055</v>
      </c>
      <c r="B2385" t="s">
        <v>4448</v>
      </c>
      <c r="C2385">
        <v>9309</v>
      </c>
      <c r="D2385" t="s">
        <v>6363</v>
      </c>
      <c r="E2385" t="s">
        <v>6364</v>
      </c>
      <c r="F2385" t="s">
        <v>6361</v>
      </c>
      <c r="G2385" s="43">
        <v>0</v>
      </c>
      <c r="H2385" s="63">
        <v>0.1</v>
      </c>
    </row>
    <row r="2386" spans="1:8" x14ac:dyDescent="0.55000000000000004">
      <c r="A2386" s="61" t="s">
        <v>7055</v>
      </c>
      <c r="B2386" t="s">
        <v>4448</v>
      </c>
      <c r="C2386">
        <v>9309</v>
      </c>
      <c r="D2386" t="s">
        <v>6362</v>
      </c>
      <c r="E2386" t="s">
        <v>6358</v>
      </c>
      <c r="F2386" t="s">
        <v>6358</v>
      </c>
      <c r="G2386" s="43">
        <v>9.98E-2</v>
      </c>
      <c r="H2386" s="63">
        <v>1</v>
      </c>
    </row>
    <row r="2387" spans="1:8" x14ac:dyDescent="0.55000000000000004">
      <c r="A2387" s="61" t="s">
        <v>7055</v>
      </c>
      <c r="B2387" t="s">
        <v>4448</v>
      </c>
      <c r="C2387">
        <v>9309</v>
      </c>
      <c r="D2387" t="s">
        <v>6365</v>
      </c>
      <c r="E2387" t="s">
        <v>6366</v>
      </c>
      <c r="F2387" t="s">
        <v>6361</v>
      </c>
      <c r="G2387" s="43">
        <v>0</v>
      </c>
      <c r="H2387" s="63">
        <v>-0.1</v>
      </c>
    </row>
    <row r="2388" spans="1:8" x14ac:dyDescent="0.55000000000000004">
      <c r="A2388" s="61" t="s">
        <v>7056</v>
      </c>
      <c r="B2388" t="s">
        <v>320</v>
      </c>
      <c r="C2388">
        <v>8704</v>
      </c>
      <c r="D2388" t="s">
        <v>6359</v>
      </c>
      <c r="E2388" t="s">
        <v>6370</v>
      </c>
      <c r="F2388" t="s">
        <v>6361</v>
      </c>
      <c r="G2388" s="43">
        <v>0</v>
      </c>
      <c r="H2388" s="63">
        <v>0.9</v>
      </c>
    </row>
    <row r="2389" spans="1:8" x14ac:dyDescent="0.55000000000000004">
      <c r="A2389" s="61" t="s">
        <v>7056</v>
      </c>
      <c r="B2389" t="s">
        <v>320</v>
      </c>
      <c r="C2389">
        <v>8704</v>
      </c>
      <c r="D2389" t="s">
        <v>6363</v>
      </c>
      <c r="E2389" t="s">
        <v>6364</v>
      </c>
      <c r="F2389" t="s">
        <v>6361</v>
      </c>
      <c r="G2389" s="43">
        <v>0</v>
      </c>
      <c r="H2389" s="63">
        <v>0.1</v>
      </c>
    </row>
    <row r="2390" spans="1:8" x14ac:dyDescent="0.55000000000000004">
      <c r="A2390" s="61" t="s">
        <v>7056</v>
      </c>
      <c r="B2390" t="s">
        <v>320</v>
      </c>
      <c r="C2390">
        <v>8704</v>
      </c>
      <c r="D2390" t="s">
        <v>6362</v>
      </c>
      <c r="E2390" t="s">
        <v>6358</v>
      </c>
      <c r="F2390" t="s">
        <v>6358</v>
      </c>
      <c r="G2390" s="43">
        <v>7.3499999999999996E-2</v>
      </c>
      <c r="H2390" s="63">
        <v>1</v>
      </c>
    </row>
    <row r="2391" spans="1:8" x14ac:dyDescent="0.55000000000000004">
      <c r="A2391" s="61" t="s">
        <v>7056</v>
      </c>
      <c r="B2391" t="s">
        <v>320</v>
      </c>
      <c r="C2391">
        <v>8704</v>
      </c>
      <c r="D2391" t="s">
        <v>6365</v>
      </c>
      <c r="E2391" t="s">
        <v>6366</v>
      </c>
      <c r="F2391" t="s">
        <v>6361</v>
      </c>
      <c r="G2391" s="43">
        <v>0</v>
      </c>
      <c r="H2391" s="63">
        <v>-0.1</v>
      </c>
    </row>
    <row r="2392" spans="1:8" x14ac:dyDescent="0.55000000000000004">
      <c r="A2392" s="61" t="s">
        <v>7057</v>
      </c>
      <c r="B2392" t="s">
        <v>320</v>
      </c>
      <c r="C2392">
        <v>8705</v>
      </c>
      <c r="D2392" t="s">
        <v>6359</v>
      </c>
      <c r="E2392" t="s">
        <v>6370</v>
      </c>
      <c r="F2392" t="s">
        <v>6361</v>
      </c>
      <c r="G2392" s="43">
        <v>0</v>
      </c>
      <c r="H2392" s="63">
        <v>0.9</v>
      </c>
    </row>
    <row r="2393" spans="1:8" x14ac:dyDescent="0.55000000000000004">
      <c r="A2393" s="61" t="s">
        <v>7057</v>
      </c>
      <c r="B2393" t="s">
        <v>320</v>
      </c>
      <c r="C2393">
        <v>8705</v>
      </c>
      <c r="D2393" t="s">
        <v>6363</v>
      </c>
      <c r="E2393" t="s">
        <v>6364</v>
      </c>
      <c r="F2393" t="s">
        <v>6361</v>
      </c>
      <c r="G2393" s="43">
        <v>0</v>
      </c>
      <c r="H2393" s="63">
        <v>0.1</v>
      </c>
    </row>
    <row r="2394" spans="1:8" x14ac:dyDescent="0.55000000000000004">
      <c r="A2394" s="61" t="s">
        <v>7057</v>
      </c>
      <c r="B2394" t="s">
        <v>320</v>
      </c>
      <c r="C2394">
        <v>8705</v>
      </c>
      <c r="D2394" t="s">
        <v>6362</v>
      </c>
      <c r="E2394" t="s">
        <v>6358</v>
      </c>
      <c r="F2394" t="s">
        <v>6358</v>
      </c>
      <c r="G2394" s="43">
        <v>7.3499999999999996E-2</v>
      </c>
      <c r="H2394" s="63">
        <v>1</v>
      </c>
    </row>
    <row r="2395" spans="1:8" x14ac:dyDescent="0.55000000000000004">
      <c r="A2395" s="61" t="s">
        <v>7057</v>
      </c>
      <c r="B2395" t="s">
        <v>320</v>
      </c>
      <c r="C2395">
        <v>8705</v>
      </c>
      <c r="D2395" t="s">
        <v>6365</v>
      </c>
      <c r="E2395" t="s">
        <v>6366</v>
      </c>
      <c r="F2395" t="s">
        <v>6361</v>
      </c>
      <c r="G2395" s="43">
        <v>0</v>
      </c>
      <c r="H2395" s="63">
        <v>-0.1</v>
      </c>
    </row>
    <row r="2396" spans="1:8" x14ac:dyDescent="0.55000000000000004">
      <c r="A2396" s="61" t="s">
        <v>7058</v>
      </c>
      <c r="B2396" t="s">
        <v>320</v>
      </c>
      <c r="C2396">
        <v>8710</v>
      </c>
      <c r="D2396" t="s">
        <v>6359</v>
      </c>
      <c r="E2396" t="s">
        <v>6370</v>
      </c>
      <c r="F2396" t="s">
        <v>6361</v>
      </c>
      <c r="G2396" s="43">
        <v>0</v>
      </c>
      <c r="H2396" s="63">
        <v>0.9</v>
      </c>
    </row>
    <row r="2397" spans="1:8" x14ac:dyDescent="0.55000000000000004">
      <c r="A2397" s="61" t="s">
        <v>7058</v>
      </c>
      <c r="B2397" t="s">
        <v>320</v>
      </c>
      <c r="C2397">
        <v>8710</v>
      </c>
      <c r="D2397" t="s">
        <v>6363</v>
      </c>
      <c r="E2397" t="s">
        <v>6364</v>
      </c>
      <c r="F2397" t="s">
        <v>6361</v>
      </c>
      <c r="G2397" s="43">
        <v>0</v>
      </c>
      <c r="H2397" s="63">
        <v>0.1</v>
      </c>
    </row>
    <row r="2398" spans="1:8" x14ac:dyDescent="0.55000000000000004">
      <c r="A2398" s="61" t="s">
        <v>7058</v>
      </c>
      <c r="B2398" t="s">
        <v>320</v>
      </c>
      <c r="C2398">
        <v>8710</v>
      </c>
      <c r="D2398" t="s">
        <v>6362</v>
      </c>
      <c r="E2398" t="s">
        <v>6358</v>
      </c>
      <c r="F2398" t="s">
        <v>6358</v>
      </c>
      <c r="G2398" s="43">
        <v>7.3499999999999996E-2</v>
      </c>
      <c r="H2398" s="63">
        <v>1</v>
      </c>
    </row>
    <row r="2399" spans="1:8" x14ac:dyDescent="0.55000000000000004">
      <c r="A2399" s="61" t="s">
        <v>7058</v>
      </c>
      <c r="B2399" t="s">
        <v>320</v>
      </c>
      <c r="C2399">
        <v>8710</v>
      </c>
      <c r="D2399" t="s">
        <v>6365</v>
      </c>
      <c r="E2399" t="s">
        <v>6366</v>
      </c>
      <c r="F2399" t="s">
        <v>6361</v>
      </c>
      <c r="G2399" s="43">
        <v>0</v>
      </c>
      <c r="H2399" s="63">
        <v>-0.1</v>
      </c>
    </row>
    <row r="2400" spans="1:8" x14ac:dyDescent="0.55000000000000004">
      <c r="A2400" s="61" t="s">
        <v>7059</v>
      </c>
      <c r="B2400" t="s">
        <v>320</v>
      </c>
      <c r="C2400">
        <v>9104</v>
      </c>
      <c r="D2400" t="s">
        <v>6359</v>
      </c>
      <c r="E2400" t="s">
        <v>6371</v>
      </c>
      <c r="F2400" t="s">
        <v>6361</v>
      </c>
      <c r="G2400" s="43">
        <v>0</v>
      </c>
      <c r="H2400" s="63">
        <v>0.9</v>
      </c>
    </row>
    <row r="2401" spans="1:8" x14ac:dyDescent="0.55000000000000004">
      <c r="A2401" s="61" t="s">
        <v>7059</v>
      </c>
      <c r="B2401" t="s">
        <v>320</v>
      </c>
      <c r="C2401">
        <v>9104</v>
      </c>
      <c r="D2401" t="s">
        <v>6363</v>
      </c>
      <c r="E2401" t="s">
        <v>6364</v>
      </c>
      <c r="F2401" t="s">
        <v>6361</v>
      </c>
      <c r="G2401" s="43">
        <v>0</v>
      </c>
      <c r="H2401" s="63">
        <v>0.1</v>
      </c>
    </row>
    <row r="2402" spans="1:8" x14ac:dyDescent="0.55000000000000004">
      <c r="A2402" s="61" t="s">
        <v>7059</v>
      </c>
      <c r="B2402" t="s">
        <v>320</v>
      </c>
      <c r="C2402">
        <v>9104</v>
      </c>
      <c r="D2402" t="s">
        <v>6362</v>
      </c>
      <c r="E2402" t="s">
        <v>6358</v>
      </c>
      <c r="F2402" t="s">
        <v>6358</v>
      </c>
      <c r="G2402" s="43">
        <v>7.3499999999999996E-2</v>
      </c>
      <c r="H2402" s="63">
        <v>1</v>
      </c>
    </row>
    <row r="2403" spans="1:8" x14ac:dyDescent="0.55000000000000004">
      <c r="A2403" s="61" t="s">
        <v>7059</v>
      </c>
      <c r="B2403" t="s">
        <v>320</v>
      </c>
      <c r="C2403">
        <v>9104</v>
      </c>
      <c r="D2403" t="s">
        <v>6365</v>
      </c>
      <c r="E2403" t="s">
        <v>6366</v>
      </c>
      <c r="F2403" t="s">
        <v>6361</v>
      </c>
      <c r="G2403" s="43">
        <v>0</v>
      </c>
      <c r="H2403" s="63">
        <v>-0.1</v>
      </c>
    </row>
    <row r="2404" spans="1:8" x14ac:dyDescent="0.55000000000000004">
      <c r="A2404" s="61" t="s">
        <v>7060</v>
      </c>
      <c r="B2404" t="s">
        <v>320</v>
      </c>
      <c r="C2404">
        <v>9105</v>
      </c>
      <c r="D2404" t="s">
        <v>6359</v>
      </c>
      <c r="E2404" t="s">
        <v>6371</v>
      </c>
      <c r="F2404" t="s">
        <v>6361</v>
      </c>
      <c r="G2404" s="43">
        <v>0</v>
      </c>
      <c r="H2404" s="63">
        <v>0.9</v>
      </c>
    </row>
    <row r="2405" spans="1:8" x14ac:dyDescent="0.55000000000000004">
      <c r="A2405" s="61" t="s">
        <v>7060</v>
      </c>
      <c r="B2405" t="s">
        <v>320</v>
      </c>
      <c r="C2405">
        <v>9105</v>
      </c>
      <c r="D2405" t="s">
        <v>6363</v>
      </c>
      <c r="E2405" t="s">
        <v>6364</v>
      </c>
      <c r="F2405" t="s">
        <v>6361</v>
      </c>
      <c r="G2405" s="43">
        <v>0</v>
      </c>
      <c r="H2405" s="63">
        <v>0.1</v>
      </c>
    </row>
    <row r="2406" spans="1:8" x14ac:dyDescent="0.55000000000000004">
      <c r="A2406" s="61" t="s">
        <v>7060</v>
      </c>
      <c r="B2406" t="s">
        <v>320</v>
      </c>
      <c r="C2406">
        <v>9105</v>
      </c>
      <c r="D2406" t="s">
        <v>6362</v>
      </c>
      <c r="E2406" t="s">
        <v>6358</v>
      </c>
      <c r="F2406" t="s">
        <v>6358</v>
      </c>
      <c r="G2406" s="43">
        <v>7.3499999999999996E-2</v>
      </c>
      <c r="H2406" s="63">
        <v>1</v>
      </c>
    </row>
    <row r="2407" spans="1:8" x14ac:dyDescent="0.55000000000000004">
      <c r="A2407" s="61" t="s">
        <v>7060</v>
      </c>
      <c r="B2407" t="s">
        <v>320</v>
      </c>
      <c r="C2407">
        <v>9105</v>
      </c>
      <c r="D2407" t="s">
        <v>6365</v>
      </c>
      <c r="E2407" t="s">
        <v>6366</v>
      </c>
      <c r="F2407" t="s">
        <v>6361</v>
      </c>
      <c r="G2407" s="43">
        <v>0</v>
      </c>
      <c r="H2407" s="63">
        <v>-0.1</v>
      </c>
    </row>
    <row r="2408" spans="1:8" x14ac:dyDescent="0.55000000000000004">
      <c r="A2408" s="61" t="s">
        <v>7061</v>
      </c>
      <c r="B2408" t="s">
        <v>320</v>
      </c>
      <c r="C2408">
        <v>9110</v>
      </c>
      <c r="D2408" t="s">
        <v>6359</v>
      </c>
      <c r="E2408" t="s">
        <v>6371</v>
      </c>
      <c r="F2408" t="s">
        <v>6361</v>
      </c>
      <c r="G2408" s="43">
        <v>0</v>
      </c>
      <c r="H2408" s="63">
        <v>0.9</v>
      </c>
    </row>
    <row r="2409" spans="1:8" x14ac:dyDescent="0.55000000000000004">
      <c r="A2409" s="61" t="s">
        <v>7061</v>
      </c>
      <c r="B2409" t="s">
        <v>320</v>
      </c>
      <c r="C2409">
        <v>9110</v>
      </c>
      <c r="D2409" t="s">
        <v>6363</v>
      </c>
      <c r="E2409" t="s">
        <v>6364</v>
      </c>
      <c r="F2409" t="s">
        <v>6361</v>
      </c>
      <c r="G2409" s="43">
        <v>0</v>
      </c>
      <c r="H2409" s="63">
        <v>0.1</v>
      </c>
    </row>
    <row r="2410" spans="1:8" x14ac:dyDescent="0.55000000000000004">
      <c r="A2410" s="61" t="s">
        <v>7061</v>
      </c>
      <c r="B2410" t="s">
        <v>320</v>
      </c>
      <c r="C2410">
        <v>9110</v>
      </c>
      <c r="D2410" t="s">
        <v>6362</v>
      </c>
      <c r="E2410" t="s">
        <v>6358</v>
      </c>
      <c r="F2410" t="s">
        <v>6358</v>
      </c>
      <c r="G2410" s="43">
        <v>7.3499999999999996E-2</v>
      </c>
      <c r="H2410" s="63">
        <v>1</v>
      </c>
    </row>
    <row r="2411" spans="1:8" x14ac:dyDescent="0.55000000000000004">
      <c r="A2411" s="61" t="s">
        <v>7061</v>
      </c>
      <c r="B2411" t="s">
        <v>320</v>
      </c>
      <c r="C2411">
        <v>9110</v>
      </c>
      <c r="D2411" t="s">
        <v>6365</v>
      </c>
      <c r="E2411" t="s">
        <v>6366</v>
      </c>
      <c r="F2411" t="s">
        <v>6361</v>
      </c>
      <c r="G2411" s="43">
        <v>0</v>
      </c>
      <c r="H2411" s="63">
        <v>-0.1</v>
      </c>
    </row>
    <row r="2412" spans="1:8" x14ac:dyDescent="0.55000000000000004">
      <c r="A2412" s="61" t="s">
        <v>7062</v>
      </c>
      <c r="B2412" t="s">
        <v>1415</v>
      </c>
      <c r="C2412">
        <v>8701</v>
      </c>
      <c r="D2412" t="s">
        <v>6359</v>
      </c>
      <c r="E2412" t="s">
        <v>6360</v>
      </c>
      <c r="F2412" t="s">
        <v>6361</v>
      </c>
      <c r="G2412" s="43">
        <v>0</v>
      </c>
      <c r="H2412" s="63">
        <v>1</v>
      </c>
    </row>
    <row r="2413" spans="1:8" x14ac:dyDescent="0.55000000000000004">
      <c r="A2413" s="61" t="s">
        <v>7062</v>
      </c>
      <c r="B2413" t="s">
        <v>1415</v>
      </c>
      <c r="C2413">
        <v>8701</v>
      </c>
      <c r="D2413" t="s">
        <v>6362</v>
      </c>
      <c r="E2413" t="s">
        <v>6358</v>
      </c>
      <c r="F2413" t="s">
        <v>6358</v>
      </c>
      <c r="G2413" s="43">
        <v>8.2100000000000006E-2</v>
      </c>
      <c r="H2413" s="63">
        <v>1</v>
      </c>
    </row>
    <row r="2414" spans="1:8" x14ac:dyDescent="0.55000000000000004">
      <c r="A2414" s="61" t="s">
        <v>7063</v>
      </c>
      <c r="B2414" t="s">
        <v>1415</v>
      </c>
      <c r="C2414">
        <v>8710</v>
      </c>
      <c r="D2414" t="s">
        <v>6359</v>
      </c>
      <c r="E2414" t="s">
        <v>6360</v>
      </c>
      <c r="F2414" t="s">
        <v>6361</v>
      </c>
      <c r="G2414" s="43">
        <v>0</v>
      </c>
      <c r="H2414" s="63">
        <v>0.9</v>
      </c>
    </row>
    <row r="2415" spans="1:8" x14ac:dyDescent="0.55000000000000004">
      <c r="A2415" s="61" t="s">
        <v>7063</v>
      </c>
      <c r="B2415" t="s">
        <v>1415</v>
      </c>
      <c r="C2415">
        <v>8710</v>
      </c>
      <c r="D2415" t="s">
        <v>6363</v>
      </c>
      <c r="E2415" t="s">
        <v>6364</v>
      </c>
      <c r="F2415" t="s">
        <v>6361</v>
      </c>
      <c r="G2415" s="43">
        <v>0</v>
      </c>
      <c r="H2415" s="63">
        <v>0.1</v>
      </c>
    </row>
    <row r="2416" spans="1:8" x14ac:dyDescent="0.55000000000000004">
      <c r="A2416" s="61" t="s">
        <v>7063</v>
      </c>
      <c r="B2416" t="s">
        <v>1415</v>
      </c>
      <c r="C2416">
        <v>8710</v>
      </c>
      <c r="D2416" t="s">
        <v>6362</v>
      </c>
      <c r="E2416" t="s">
        <v>6358</v>
      </c>
      <c r="F2416" t="s">
        <v>6358</v>
      </c>
      <c r="G2416" s="43">
        <v>6.6000000000000003E-2</v>
      </c>
      <c r="H2416" s="63">
        <v>1</v>
      </c>
    </row>
    <row r="2417" spans="1:8" x14ac:dyDescent="0.55000000000000004">
      <c r="A2417" s="61" t="s">
        <v>7063</v>
      </c>
      <c r="B2417" t="s">
        <v>1415</v>
      </c>
      <c r="C2417">
        <v>8710</v>
      </c>
      <c r="D2417" t="s">
        <v>6365</v>
      </c>
      <c r="E2417" t="s">
        <v>6366</v>
      </c>
      <c r="F2417" t="s">
        <v>6361</v>
      </c>
      <c r="G2417" s="43">
        <v>0</v>
      </c>
      <c r="H2417" s="63">
        <v>-0.1</v>
      </c>
    </row>
    <row r="2418" spans="1:8" x14ac:dyDescent="0.55000000000000004">
      <c r="A2418" s="61" t="s">
        <v>7064</v>
      </c>
      <c r="B2418" t="s">
        <v>1415</v>
      </c>
      <c r="C2418">
        <v>9101</v>
      </c>
      <c r="D2418" t="s">
        <v>6359</v>
      </c>
      <c r="E2418" t="s">
        <v>6367</v>
      </c>
      <c r="F2418" t="s">
        <v>6361</v>
      </c>
      <c r="G2418" s="43">
        <v>0</v>
      </c>
      <c r="H2418" s="63">
        <v>1</v>
      </c>
    </row>
    <row r="2419" spans="1:8" x14ac:dyDescent="0.55000000000000004">
      <c r="A2419" s="61" t="s">
        <v>7064</v>
      </c>
      <c r="B2419" t="s">
        <v>1415</v>
      </c>
      <c r="C2419">
        <v>9101</v>
      </c>
      <c r="D2419" t="s">
        <v>6362</v>
      </c>
      <c r="E2419" t="s">
        <v>6358</v>
      </c>
      <c r="F2419" t="s">
        <v>6358</v>
      </c>
      <c r="G2419" s="43">
        <v>8.2100000000000006E-2</v>
      </c>
      <c r="H2419" s="63">
        <v>1</v>
      </c>
    </row>
    <row r="2420" spans="1:8" x14ac:dyDescent="0.55000000000000004">
      <c r="A2420" s="61" t="s">
        <v>7065</v>
      </c>
      <c r="B2420" t="s">
        <v>1415</v>
      </c>
      <c r="C2420">
        <v>9110</v>
      </c>
      <c r="D2420" t="s">
        <v>6359</v>
      </c>
      <c r="E2420" t="s">
        <v>6367</v>
      </c>
      <c r="F2420" t="s">
        <v>6361</v>
      </c>
      <c r="G2420" s="43">
        <v>0</v>
      </c>
      <c r="H2420" s="63">
        <v>0.9</v>
      </c>
    </row>
    <row r="2421" spans="1:8" x14ac:dyDescent="0.55000000000000004">
      <c r="A2421" s="61" t="s">
        <v>7065</v>
      </c>
      <c r="B2421" t="s">
        <v>1415</v>
      </c>
      <c r="C2421">
        <v>9110</v>
      </c>
      <c r="D2421" t="s">
        <v>6363</v>
      </c>
      <c r="E2421" t="s">
        <v>6364</v>
      </c>
      <c r="F2421" t="s">
        <v>6361</v>
      </c>
      <c r="G2421" s="43">
        <v>0</v>
      </c>
      <c r="H2421" s="63">
        <v>0.1</v>
      </c>
    </row>
    <row r="2422" spans="1:8" x14ac:dyDescent="0.55000000000000004">
      <c r="A2422" s="61" t="s">
        <v>7065</v>
      </c>
      <c r="B2422" t="s">
        <v>1415</v>
      </c>
      <c r="C2422">
        <v>9110</v>
      </c>
      <c r="D2422" t="s">
        <v>6362</v>
      </c>
      <c r="E2422" t="s">
        <v>6358</v>
      </c>
      <c r="F2422" t="s">
        <v>6358</v>
      </c>
      <c r="G2422" s="43">
        <v>6.6000000000000003E-2</v>
      </c>
      <c r="H2422" s="63">
        <v>1</v>
      </c>
    </row>
    <row r="2423" spans="1:8" x14ac:dyDescent="0.55000000000000004">
      <c r="A2423" s="61" t="s">
        <v>7065</v>
      </c>
      <c r="B2423" t="s">
        <v>1415</v>
      </c>
      <c r="C2423">
        <v>9110</v>
      </c>
      <c r="D2423" t="s">
        <v>6365</v>
      </c>
      <c r="E2423" t="s">
        <v>6366</v>
      </c>
      <c r="F2423" t="s">
        <v>6361</v>
      </c>
      <c r="G2423" s="43">
        <v>0</v>
      </c>
      <c r="H2423" s="63">
        <v>-0.1</v>
      </c>
    </row>
    <row r="2424" spans="1:8" x14ac:dyDescent="0.55000000000000004">
      <c r="A2424" s="61" t="s">
        <v>7066</v>
      </c>
      <c r="B2424" t="s">
        <v>1415</v>
      </c>
      <c r="C2424">
        <v>9204</v>
      </c>
      <c r="D2424" t="s">
        <v>6359</v>
      </c>
      <c r="E2424" t="s">
        <v>6367</v>
      </c>
      <c r="F2424" t="s">
        <v>6361</v>
      </c>
      <c r="G2424" s="43">
        <v>0</v>
      </c>
      <c r="H2424" s="63">
        <v>0.9</v>
      </c>
    </row>
    <row r="2425" spans="1:8" x14ac:dyDescent="0.55000000000000004">
      <c r="A2425" s="61" t="s">
        <v>7066</v>
      </c>
      <c r="B2425" t="s">
        <v>1415</v>
      </c>
      <c r="C2425">
        <v>9204</v>
      </c>
      <c r="D2425" t="s">
        <v>6363</v>
      </c>
      <c r="E2425" t="s">
        <v>6364</v>
      </c>
      <c r="F2425" t="s">
        <v>6361</v>
      </c>
      <c r="G2425" s="43">
        <v>0</v>
      </c>
      <c r="H2425" s="63">
        <v>0.1</v>
      </c>
    </row>
    <row r="2426" spans="1:8" x14ac:dyDescent="0.55000000000000004">
      <c r="A2426" s="61" t="s">
        <v>7066</v>
      </c>
      <c r="B2426" t="s">
        <v>1415</v>
      </c>
      <c r="C2426">
        <v>9204</v>
      </c>
      <c r="D2426" t="s">
        <v>6362</v>
      </c>
      <c r="E2426" t="s">
        <v>6358</v>
      </c>
      <c r="F2426" t="s">
        <v>6358</v>
      </c>
      <c r="G2426" s="43">
        <v>6.6000000000000003E-2</v>
      </c>
      <c r="H2426" s="63">
        <v>1</v>
      </c>
    </row>
    <row r="2427" spans="1:8" x14ac:dyDescent="0.55000000000000004">
      <c r="A2427" s="61" t="s">
        <v>7066</v>
      </c>
      <c r="B2427" t="s">
        <v>1415</v>
      </c>
      <c r="C2427">
        <v>9204</v>
      </c>
      <c r="D2427" t="s">
        <v>6365</v>
      </c>
      <c r="E2427" t="s">
        <v>6366</v>
      </c>
      <c r="F2427" t="s">
        <v>6361</v>
      </c>
      <c r="G2427" s="43">
        <v>0</v>
      </c>
      <c r="H2427" s="63">
        <v>-0.1</v>
      </c>
    </row>
    <row r="2428" spans="1:8" x14ac:dyDescent="0.55000000000000004">
      <c r="A2428" s="61" t="s">
        <v>7067</v>
      </c>
      <c r="B2428" t="s">
        <v>1415</v>
      </c>
      <c r="C2428">
        <v>9310</v>
      </c>
      <c r="D2428" t="s">
        <v>6359</v>
      </c>
      <c r="E2428" t="s">
        <v>6367</v>
      </c>
      <c r="F2428" t="s">
        <v>6361</v>
      </c>
      <c r="G2428" s="43">
        <v>0</v>
      </c>
      <c r="H2428" s="63">
        <v>0.9</v>
      </c>
    </row>
    <row r="2429" spans="1:8" x14ac:dyDescent="0.55000000000000004">
      <c r="A2429" s="61" t="s">
        <v>7067</v>
      </c>
      <c r="B2429" t="s">
        <v>1415</v>
      </c>
      <c r="C2429">
        <v>9310</v>
      </c>
      <c r="D2429" t="s">
        <v>6363</v>
      </c>
      <c r="E2429" t="s">
        <v>6364</v>
      </c>
      <c r="F2429" t="s">
        <v>6361</v>
      </c>
      <c r="G2429" s="43">
        <v>0</v>
      </c>
      <c r="H2429" s="63">
        <v>0.1</v>
      </c>
    </row>
    <row r="2430" spans="1:8" x14ac:dyDescent="0.55000000000000004">
      <c r="A2430" s="61" t="s">
        <v>7067</v>
      </c>
      <c r="B2430" t="s">
        <v>1415</v>
      </c>
      <c r="C2430">
        <v>9310</v>
      </c>
      <c r="D2430" t="s">
        <v>6362</v>
      </c>
      <c r="E2430" t="s">
        <v>6358</v>
      </c>
      <c r="F2430" t="s">
        <v>6358</v>
      </c>
      <c r="G2430" s="43">
        <v>6.6000000000000003E-2</v>
      </c>
      <c r="H2430" s="63">
        <v>1</v>
      </c>
    </row>
    <row r="2431" spans="1:8" x14ac:dyDescent="0.55000000000000004">
      <c r="A2431" s="61" t="s">
        <v>7067</v>
      </c>
      <c r="B2431" t="s">
        <v>1415</v>
      </c>
      <c r="C2431">
        <v>9310</v>
      </c>
      <c r="D2431" t="s">
        <v>6365</v>
      </c>
      <c r="E2431" t="s">
        <v>6366</v>
      </c>
      <c r="F2431" t="s">
        <v>6361</v>
      </c>
      <c r="G2431" s="43">
        <v>0</v>
      </c>
      <c r="H2431" s="63">
        <v>-0.1</v>
      </c>
    </row>
    <row r="2432" spans="1:8" x14ac:dyDescent="0.55000000000000004">
      <c r="A2432" s="61" t="s">
        <v>7068</v>
      </c>
      <c r="B2432" t="s">
        <v>1508</v>
      </c>
      <c r="C2432">
        <v>8510</v>
      </c>
      <c r="D2432" t="s">
        <v>6359</v>
      </c>
      <c r="E2432" t="s">
        <v>6360</v>
      </c>
      <c r="F2432" t="s">
        <v>6361</v>
      </c>
      <c r="G2432" s="43">
        <v>0</v>
      </c>
      <c r="H2432" s="63">
        <v>0.9</v>
      </c>
    </row>
    <row r="2433" spans="1:8" x14ac:dyDescent="0.55000000000000004">
      <c r="A2433" s="61" t="s">
        <v>7068</v>
      </c>
      <c r="B2433" t="s">
        <v>1508</v>
      </c>
      <c r="C2433">
        <v>8510</v>
      </c>
      <c r="D2433" t="s">
        <v>6363</v>
      </c>
      <c r="E2433" t="s">
        <v>6364</v>
      </c>
      <c r="F2433" t="s">
        <v>6361</v>
      </c>
      <c r="G2433" s="43">
        <v>0</v>
      </c>
      <c r="H2433" s="63">
        <v>0.1</v>
      </c>
    </row>
    <row r="2434" spans="1:8" x14ac:dyDescent="0.55000000000000004">
      <c r="A2434" s="61" t="s">
        <v>7068</v>
      </c>
      <c r="B2434" t="s">
        <v>1508</v>
      </c>
      <c r="C2434">
        <v>8510</v>
      </c>
      <c r="D2434" t="s">
        <v>6362</v>
      </c>
      <c r="E2434" t="s">
        <v>6358</v>
      </c>
      <c r="F2434" t="s">
        <v>6358</v>
      </c>
      <c r="G2434" s="43">
        <v>7.4700000000000003E-2</v>
      </c>
      <c r="H2434" s="63">
        <v>1</v>
      </c>
    </row>
    <row r="2435" spans="1:8" x14ac:dyDescent="0.55000000000000004">
      <c r="A2435" s="61" t="s">
        <v>7068</v>
      </c>
      <c r="B2435" t="s">
        <v>1508</v>
      </c>
      <c r="C2435">
        <v>8510</v>
      </c>
      <c r="D2435" t="s">
        <v>6365</v>
      </c>
      <c r="E2435" t="s">
        <v>6366</v>
      </c>
      <c r="F2435" t="s">
        <v>6361</v>
      </c>
      <c r="G2435" s="43">
        <v>0</v>
      </c>
      <c r="H2435" s="63">
        <v>-0.1</v>
      </c>
    </row>
    <row r="2436" spans="1:8" x14ac:dyDescent="0.55000000000000004">
      <c r="A2436" s="61" t="s">
        <v>7069</v>
      </c>
      <c r="B2436" t="s">
        <v>1508</v>
      </c>
      <c r="C2436">
        <v>8710</v>
      </c>
      <c r="D2436" t="s">
        <v>6359</v>
      </c>
      <c r="E2436" t="s">
        <v>6360</v>
      </c>
      <c r="F2436" t="s">
        <v>6361</v>
      </c>
      <c r="G2436" s="43">
        <v>0</v>
      </c>
      <c r="H2436" s="63">
        <v>0.9</v>
      </c>
    </row>
    <row r="2437" spans="1:8" x14ac:dyDescent="0.55000000000000004">
      <c r="A2437" s="61" t="s">
        <v>7069</v>
      </c>
      <c r="B2437" t="s">
        <v>1508</v>
      </c>
      <c r="C2437">
        <v>8710</v>
      </c>
      <c r="D2437" t="s">
        <v>6363</v>
      </c>
      <c r="E2437" t="s">
        <v>6364</v>
      </c>
      <c r="F2437" t="s">
        <v>6361</v>
      </c>
      <c r="G2437" s="43">
        <v>0</v>
      </c>
      <c r="H2437" s="63">
        <v>0.1</v>
      </c>
    </row>
    <row r="2438" spans="1:8" x14ac:dyDescent="0.55000000000000004">
      <c r="A2438" s="61" t="s">
        <v>7069</v>
      </c>
      <c r="B2438" t="s">
        <v>1508</v>
      </c>
      <c r="C2438">
        <v>8710</v>
      </c>
      <c r="D2438" t="s">
        <v>6362</v>
      </c>
      <c r="E2438" t="s">
        <v>6358</v>
      </c>
      <c r="F2438" t="s">
        <v>6358</v>
      </c>
      <c r="G2438" s="43">
        <v>7.4700000000000003E-2</v>
      </c>
      <c r="H2438" s="63">
        <v>1</v>
      </c>
    </row>
    <row r="2439" spans="1:8" x14ac:dyDescent="0.55000000000000004">
      <c r="A2439" s="61" t="s">
        <v>7069</v>
      </c>
      <c r="B2439" t="s">
        <v>1508</v>
      </c>
      <c r="C2439">
        <v>8710</v>
      </c>
      <c r="D2439" t="s">
        <v>6365</v>
      </c>
      <c r="E2439" t="s">
        <v>6366</v>
      </c>
      <c r="F2439" t="s">
        <v>6361</v>
      </c>
      <c r="G2439" s="43">
        <v>0</v>
      </c>
      <c r="H2439" s="63">
        <v>-0.1</v>
      </c>
    </row>
    <row r="2440" spans="1:8" x14ac:dyDescent="0.55000000000000004">
      <c r="A2440" s="61" t="s">
        <v>7070</v>
      </c>
      <c r="B2440" t="s">
        <v>1508</v>
      </c>
      <c r="C2440">
        <v>9110</v>
      </c>
      <c r="D2440" t="s">
        <v>6359</v>
      </c>
      <c r="E2440" t="s">
        <v>6367</v>
      </c>
      <c r="F2440" t="s">
        <v>6361</v>
      </c>
      <c r="G2440" s="43">
        <v>0</v>
      </c>
      <c r="H2440" s="63">
        <v>0.9</v>
      </c>
    </row>
    <row r="2441" spans="1:8" x14ac:dyDescent="0.55000000000000004">
      <c r="A2441" s="61" t="s">
        <v>7070</v>
      </c>
      <c r="B2441" t="s">
        <v>1508</v>
      </c>
      <c r="C2441">
        <v>9110</v>
      </c>
      <c r="D2441" t="s">
        <v>6363</v>
      </c>
      <c r="E2441" t="s">
        <v>6364</v>
      </c>
      <c r="F2441" t="s">
        <v>6361</v>
      </c>
      <c r="G2441" s="43">
        <v>0</v>
      </c>
      <c r="H2441" s="63">
        <v>0.1</v>
      </c>
    </row>
    <row r="2442" spans="1:8" x14ac:dyDescent="0.55000000000000004">
      <c r="A2442" s="61" t="s">
        <v>7070</v>
      </c>
      <c r="B2442" t="s">
        <v>1508</v>
      </c>
      <c r="C2442">
        <v>9110</v>
      </c>
      <c r="D2442" t="s">
        <v>6362</v>
      </c>
      <c r="E2442" t="s">
        <v>6358</v>
      </c>
      <c r="F2442" t="s">
        <v>6358</v>
      </c>
      <c r="G2442" s="43">
        <v>7.4700000000000003E-2</v>
      </c>
      <c r="H2442" s="63">
        <v>1</v>
      </c>
    </row>
    <row r="2443" spans="1:8" x14ac:dyDescent="0.55000000000000004">
      <c r="A2443" s="61" t="s">
        <v>7070</v>
      </c>
      <c r="B2443" t="s">
        <v>1508</v>
      </c>
      <c r="C2443">
        <v>9110</v>
      </c>
      <c r="D2443" t="s">
        <v>6365</v>
      </c>
      <c r="E2443" t="s">
        <v>6366</v>
      </c>
      <c r="F2443" t="s">
        <v>6361</v>
      </c>
      <c r="G2443" s="43">
        <v>0</v>
      </c>
      <c r="H2443" s="63">
        <v>-0.1</v>
      </c>
    </row>
    <row r="2444" spans="1:8" x14ac:dyDescent="0.55000000000000004">
      <c r="A2444" s="61" t="s">
        <v>7071</v>
      </c>
      <c r="B2444" t="s">
        <v>1171</v>
      </c>
      <c r="C2444">
        <v>8710</v>
      </c>
      <c r="D2444" t="s">
        <v>6359</v>
      </c>
      <c r="E2444" t="s">
        <v>6370</v>
      </c>
      <c r="F2444" t="s">
        <v>6361</v>
      </c>
      <c r="G2444" s="43">
        <v>0</v>
      </c>
      <c r="H2444" s="63">
        <v>0.9</v>
      </c>
    </row>
    <row r="2445" spans="1:8" x14ac:dyDescent="0.55000000000000004">
      <c r="A2445" s="61" t="s">
        <v>7071</v>
      </c>
      <c r="B2445" t="s">
        <v>1171</v>
      </c>
      <c r="C2445">
        <v>8710</v>
      </c>
      <c r="D2445" t="s">
        <v>6363</v>
      </c>
      <c r="E2445" t="s">
        <v>6364</v>
      </c>
      <c r="F2445" t="s">
        <v>6361</v>
      </c>
      <c r="G2445" s="43">
        <v>0</v>
      </c>
      <c r="H2445" s="63">
        <v>0.1</v>
      </c>
    </row>
    <row r="2446" spans="1:8" x14ac:dyDescent="0.55000000000000004">
      <c r="A2446" s="61" t="s">
        <v>7071</v>
      </c>
      <c r="B2446" t="s">
        <v>1171</v>
      </c>
      <c r="C2446">
        <v>8710</v>
      </c>
      <c r="D2446" t="s">
        <v>6362</v>
      </c>
      <c r="E2446" t="s">
        <v>6358</v>
      </c>
      <c r="F2446" t="s">
        <v>6358</v>
      </c>
      <c r="G2446" s="43">
        <v>7.6100000000000001E-2</v>
      </c>
      <c r="H2446" s="63">
        <v>1</v>
      </c>
    </row>
    <row r="2447" spans="1:8" x14ac:dyDescent="0.55000000000000004">
      <c r="A2447" s="61" t="s">
        <v>7071</v>
      </c>
      <c r="B2447" t="s">
        <v>1171</v>
      </c>
      <c r="C2447">
        <v>8710</v>
      </c>
      <c r="D2447" t="s">
        <v>6365</v>
      </c>
      <c r="E2447" t="s">
        <v>6366</v>
      </c>
      <c r="F2447" t="s">
        <v>6361</v>
      </c>
      <c r="G2447" s="43">
        <v>0</v>
      </c>
      <c r="H2447" s="63">
        <v>-0.1</v>
      </c>
    </row>
    <row r="2448" spans="1:8" x14ac:dyDescent="0.55000000000000004">
      <c r="A2448" s="61" t="s">
        <v>7072</v>
      </c>
      <c r="B2448" t="s">
        <v>1171</v>
      </c>
      <c r="C2448">
        <v>9204</v>
      </c>
      <c r="D2448" t="s">
        <v>6359</v>
      </c>
      <c r="E2448" t="s">
        <v>6371</v>
      </c>
      <c r="F2448" t="s">
        <v>6361</v>
      </c>
      <c r="G2448" s="43">
        <v>0</v>
      </c>
      <c r="H2448" s="63">
        <v>0.9</v>
      </c>
    </row>
    <row r="2449" spans="1:8" x14ac:dyDescent="0.55000000000000004">
      <c r="A2449" s="61" t="s">
        <v>7072</v>
      </c>
      <c r="B2449" t="s">
        <v>1171</v>
      </c>
      <c r="C2449">
        <v>9204</v>
      </c>
      <c r="D2449" t="s">
        <v>6363</v>
      </c>
      <c r="E2449" t="s">
        <v>6364</v>
      </c>
      <c r="F2449" t="s">
        <v>6361</v>
      </c>
      <c r="G2449" s="43">
        <v>0</v>
      </c>
      <c r="H2449" s="63">
        <v>0.1</v>
      </c>
    </row>
    <row r="2450" spans="1:8" x14ac:dyDescent="0.55000000000000004">
      <c r="A2450" s="61" t="s">
        <v>7072</v>
      </c>
      <c r="B2450" t="s">
        <v>1171</v>
      </c>
      <c r="C2450">
        <v>9204</v>
      </c>
      <c r="D2450" t="s">
        <v>6362</v>
      </c>
      <c r="E2450" t="s">
        <v>6358</v>
      </c>
      <c r="F2450" t="s">
        <v>6358</v>
      </c>
      <c r="G2450" s="43">
        <v>7.6100000000000001E-2</v>
      </c>
      <c r="H2450" s="63">
        <v>1</v>
      </c>
    </row>
    <row r="2451" spans="1:8" x14ac:dyDescent="0.55000000000000004">
      <c r="A2451" s="61" t="s">
        <v>7072</v>
      </c>
      <c r="B2451" t="s">
        <v>1171</v>
      </c>
      <c r="C2451">
        <v>9204</v>
      </c>
      <c r="D2451" t="s">
        <v>6365</v>
      </c>
      <c r="E2451" t="s">
        <v>6366</v>
      </c>
      <c r="F2451" t="s">
        <v>6361</v>
      </c>
      <c r="G2451" s="43">
        <v>0</v>
      </c>
      <c r="H2451" s="63">
        <v>-0.1</v>
      </c>
    </row>
    <row r="2452" spans="1:8" x14ac:dyDescent="0.55000000000000004">
      <c r="A2452" s="61" t="s">
        <v>7073</v>
      </c>
      <c r="B2452" t="s">
        <v>1171</v>
      </c>
      <c r="C2452">
        <v>9310</v>
      </c>
      <c r="D2452" t="s">
        <v>6359</v>
      </c>
      <c r="E2452" t="s">
        <v>6371</v>
      </c>
      <c r="F2452" t="s">
        <v>6361</v>
      </c>
      <c r="G2452" s="43">
        <v>0</v>
      </c>
      <c r="H2452" s="63">
        <v>0.9</v>
      </c>
    </row>
    <row r="2453" spans="1:8" x14ac:dyDescent="0.55000000000000004">
      <c r="A2453" s="61" t="s">
        <v>7073</v>
      </c>
      <c r="B2453" t="s">
        <v>1171</v>
      </c>
      <c r="C2453">
        <v>9310</v>
      </c>
      <c r="D2453" t="s">
        <v>6363</v>
      </c>
      <c r="E2453" t="s">
        <v>6364</v>
      </c>
      <c r="F2453" t="s">
        <v>6361</v>
      </c>
      <c r="G2453" s="43">
        <v>0</v>
      </c>
      <c r="H2453" s="63">
        <v>0.1</v>
      </c>
    </row>
    <row r="2454" spans="1:8" x14ac:dyDescent="0.55000000000000004">
      <c r="A2454" s="61" t="s">
        <v>7073</v>
      </c>
      <c r="B2454" t="s">
        <v>1171</v>
      </c>
      <c r="C2454">
        <v>9310</v>
      </c>
      <c r="D2454" t="s">
        <v>6362</v>
      </c>
      <c r="E2454" t="s">
        <v>6358</v>
      </c>
      <c r="F2454" t="s">
        <v>6358</v>
      </c>
      <c r="G2454" s="43">
        <v>7.6100000000000001E-2</v>
      </c>
      <c r="H2454" s="63">
        <v>1</v>
      </c>
    </row>
    <row r="2455" spans="1:8" x14ac:dyDescent="0.55000000000000004">
      <c r="A2455" s="61" t="s">
        <v>7073</v>
      </c>
      <c r="B2455" t="s">
        <v>1171</v>
      </c>
      <c r="C2455">
        <v>9310</v>
      </c>
      <c r="D2455" t="s">
        <v>6365</v>
      </c>
      <c r="E2455" t="s">
        <v>6366</v>
      </c>
      <c r="F2455" t="s">
        <v>6361</v>
      </c>
      <c r="G2455" s="43">
        <v>0</v>
      </c>
      <c r="H2455" s="63">
        <v>-0.1</v>
      </c>
    </row>
    <row r="2456" spans="1:8" x14ac:dyDescent="0.55000000000000004">
      <c r="A2456" s="61" t="s">
        <v>7074</v>
      </c>
      <c r="B2456" t="s">
        <v>1894</v>
      </c>
      <c r="C2456">
        <v>9300</v>
      </c>
      <c r="D2456" t="s">
        <v>6359</v>
      </c>
      <c r="E2456" t="s">
        <v>6371</v>
      </c>
      <c r="F2456" t="s">
        <v>6361</v>
      </c>
      <c r="G2456" s="43">
        <v>0</v>
      </c>
      <c r="H2456" s="63">
        <v>1</v>
      </c>
    </row>
    <row r="2457" spans="1:8" x14ac:dyDescent="0.55000000000000004">
      <c r="A2457" s="61" t="s">
        <v>7074</v>
      </c>
      <c r="B2457" t="s">
        <v>1894</v>
      </c>
      <c r="C2457">
        <v>9300</v>
      </c>
      <c r="D2457" t="s">
        <v>6362</v>
      </c>
      <c r="E2457" t="s">
        <v>6358</v>
      </c>
      <c r="F2457" t="s">
        <v>6358</v>
      </c>
      <c r="G2457" s="43">
        <v>0.10489999999999999</v>
      </c>
      <c r="H2457" s="63">
        <v>1</v>
      </c>
    </row>
    <row r="2458" spans="1:8" x14ac:dyDescent="0.55000000000000004">
      <c r="A2458" s="61" t="s">
        <v>7075</v>
      </c>
      <c r="B2458" t="s">
        <v>545</v>
      </c>
      <c r="C2458">
        <v>8705</v>
      </c>
      <c r="D2458" t="s">
        <v>6359</v>
      </c>
      <c r="E2458" t="s">
        <v>6389</v>
      </c>
      <c r="F2458" t="s">
        <v>6361</v>
      </c>
      <c r="G2458" s="43">
        <v>0</v>
      </c>
      <c r="H2458" s="63">
        <v>0.9</v>
      </c>
    </row>
    <row r="2459" spans="1:8" x14ac:dyDescent="0.55000000000000004">
      <c r="A2459" s="61" t="s">
        <v>7075</v>
      </c>
      <c r="B2459" t="s">
        <v>545</v>
      </c>
      <c r="C2459">
        <v>8705</v>
      </c>
      <c r="D2459" t="s">
        <v>6363</v>
      </c>
      <c r="E2459" t="s">
        <v>6364</v>
      </c>
      <c r="F2459" t="s">
        <v>6361</v>
      </c>
      <c r="G2459" s="43">
        <v>0</v>
      </c>
      <c r="H2459" s="63">
        <v>0.1</v>
      </c>
    </row>
    <row r="2460" spans="1:8" x14ac:dyDescent="0.55000000000000004">
      <c r="A2460" s="61" t="s">
        <v>7075</v>
      </c>
      <c r="B2460" t="s">
        <v>545</v>
      </c>
      <c r="C2460">
        <v>8705</v>
      </c>
      <c r="D2460" t="s">
        <v>6362</v>
      </c>
      <c r="E2460" t="s">
        <v>6358</v>
      </c>
      <c r="F2460" t="s">
        <v>6358</v>
      </c>
      <c r="G2460" s="43">
        <v>4.7899999999999998E-2</v>
      </c>
      <c r="H2460" s="63">
        <v>1</v>
      </c>
    </row>
    <row r="2461" spans="1:8" x14ac:dyDescent="0.55000000000000004">
      <c r="A2461" s="61" t="s">
        <v>7075</v>
      </c>
      <c r="B2461" t="s">
        <v>545</v>
      </c>
      <c r="C2461">
        <v>8705</v>
      </c>
      <c r="D2461" t="s">
        <v>6365</v>
      </c>
      <c r="E2461" t="s">
        <v>6366</v>
      </c>
      <c r="F2461" t="s">
        <v>6361</v>
      </c>
      <c r="G2461" s="43">
        <v>0</v>
      </c>
      <c r="H2461" s="63">
        <v>-0.1</v>
      </c>
    </row>
    <row r="2462" spans="1:8" x14ac:dyDescent="0.55000000000000004">
      <c r="A2462" s="61" t="s">
        <v>7075</v>
      </c>
      <c r="B2462" t="s">
        <v>545</v>
      </c>
      <c r="C2462">
        <v>8705</v>
      </c>
      <c r="D2462" t="s">
        <v>6384</v>
      </c>
      <c r="E2462" t="s">
        <v>6385</v>
      </c>
      <c r="F2462" t="s">
        <v>6361</v>
      </c>
      <c r="G2462" s="43">
        <v>0</v>
      </c>
      <c r="H2462" s="63">
        <v>1</v>
      </c>
    </row>
    <row r="2463" spans="1:8" x14ac:dyDescent="0.55000000000000004">
      <c r="A2463" s="61" t="s">
        <v>7075</v>
      </c>
      <c r="B2463" t="s">
        <v>545</v>
      </c>
      <c r="C2463">
        <v>8705</v>
      </c>
      <c r="D2463" t="s">
        <v>6386</v>
      </c>
      <c r="E2463" t="s">
        <v>6387</v>
      </c>
      <c r="F2463" t="s">
        <v>6361</v>
      </c>
      <c r="G2463" s="43">
        <v>0</v>
      </c>
      <c r="H2463" s="63">
        <v>1</v>
      </c>
    </row>
    <row r="2464" spans="1:8" x14ac:dyDescent="0.55000000000000004">
      <c r="A2464" s="61" t="s">
        <v>7076</v>
      </c>
      <c r="B2464" t="s">
        <v>545</v>
      </c>
      <c r="C2464">
        <v>9105</v>
      </c>
      <c r="D2464" t="s">
        <v>6359</v>
      </c>
      <c r="E2464" t="s">
        <v>6390</v>
      </c>
      <c r="F2464" t="s">
        <v>6361</v>
      </c>
      <c r="G2464" s="43">
        <v>0</v>
      </c>
      <c r="H2464" s="63">
        <v>0.9</v>
      </c>
    </row>
    <row r="2465" spans="1:8" x14ac:dyDescent="0.55000000000000004">
      <c r="A2465" s="61" t="s">
        <v>7076</v>
      </c>
      <c r="B2465" t="s">
        <v>545</v>
      </c>
      <c r="C2465">
        <v>9105</v>
      </c>
      <c r="D2465" t="s">
        <v>6363</v>
      </c>
      <c r="E2465" t="s">
        <v>6364</v>
      </c>
      <c r="F2465" t="s">
        <v>6361</v>
      </c>
      <c r="G2465" s="43">
        <v>0</v>
      </c>
      <c r="H2465" s="63">
        <v>0.1</v>
      </c>
    </row>
    <row r="2466" spans="1:8" x14ac:dyDescent="0.55000000000000004">
      <c r="A2466" s="61" t="s">
        <v>7076</v>
      </c>
      <c r="B2466" t="s">
        <v>545</v>
      </c>
      <c r="C2466">
        <v>9105</v>
      </c>
      <c r="D2466" t="s">
        <v>6362</v>
      </c>
      <c r="E2466" t="s">
        <v>6358</v>
      </c>
      <c r="F2466" t="s">
        <v>6358</v>
      </c>
      <c r="G2466" s="43">
        <v>4.7899999999999998E-2</v>
      </c>
      <c r="H2466" s="63">
        <v>1</v>
      </c>
    </row>
    <row r="2467" spans="1:8" x14ac:dyDescent="0.55000000000000004">
      <c r="A2467" s="61" t="s">
        <v>7076</v>
      </c>
      <c r="B2467" t="s">
        <v>545</v>
      </c>
      <c r="C2467">
        <v>9105</v>
      </c>
      <c r="D2467" t="s">
        <v>6365</v>
      </c>
      <c r="E2467" t="s">
        <v>6366</v>
      </c>
      <c r="F2467" t="s">
        <v>6361</v>
      </c>
      <c r="G2467" s="43">
        <v>0</v>
      </c>
      <c r="H2467" s="63">
        <v>-0.1</v>
      </c>
    </row>
    <row r="2468" spans="1:8" x14ac:dyDescent="0.55000000000000004">
      <c r="A2468" s="61" t="s">
        <v>7076</v>
      </c>
      <c r="B2468" t="s">
        <v>545</v>
      </c>
      <c r="C2468">
        <v>9105</v>
      </c>
      <c r="D2468" t="s">
        <v>6384</v>
      </c>
      <c r="E2468" t="s">
        <v>6385</v>
      </c>
      <c r="F2468" t="s">
        <v>6361</v>
      </c>
      <c r="G2468" s="43">
        <v>0</v>
      </c>
      <c r="H2468" s="63">
        <v>1</v>
      </c>
    </row>
    <row r="2469" spans="1:8" x14ac:dyDescent="0.55000000000000004">
      <c r="A2469" s="61" t="s">
        <v>7076</v>
      </c>
      <c r="B2469" t="s">
        <v>545</v>
      </c>
      <c r="C2469">
        <v>9105</v>
      </c>
      <c r="D2469" t="s">
        <v>6386</v>
      </c>
      <c r="E2469" t="s">
        <v>6387</v>
      </c>
      <c r="F2469" t="s">
        <v>6361</v>
      </c>
      <c r="G2469" s="43">
        <v>0</v>
      </c>
      <c r="H2469" s="63">
        <v>1</v>
      </c>
    </row>
    <row r="2470" spans="1:8" x14ac:dyDescent="0.55000000000000004">
      <c r="A2470" s="61" t="s">
        <v>7077</v>
      </c>
      <c r="B2470" t="s">
        <v>4647</v>
      </c>
      <c r="C2470">
        <v>8500</v>
      </c>
      <c r="D2470" t="s">
        <v>6359</v>
      </c>
      <c r="E2470" t="s">
        <v>6360</v>
      </c>
      <c r="F2470" t="s">
        <v>6361</v>
      </c>
      <c r="G2470" s="43">
        <v>0</v>
      </c>
      <c r="H2470" s="63">
        <v>1</v>
      </c>
    </row>
    <row r="2471" spans="1:8" x14ac:dyDescent="0.55000000000000004">
      <c r="A2471" s="61" t="s">
        <v>7077</v>
      </c>
      <c r="B2471" t="s">
        <v>4647</v>
      </c>
      <c r="C2471">
        <v>8500</v>
      </c>
      <c r="D2471" t="s">
        <v>6362</v>
      </c>
      <c r="E2471" t="s">
        <v>6358</v>
      </c>
      <c r="F2471" t="s">
        <v>6358</v>
      </c>
      <c r="G2471" s="43">
        <v>4.2700000000000002E-2</v>
      </c>
      <c r="H2471" s="63">
        <v>1</v>
      </c>
    </row>
    <row r="2472" spans="1:8" x14ac:dyDescent="0.55000000000000004">
      <c r="A2472" s="61" t="s">
        <v>7078</v>
      </c>
      <c r="B2472" t="s">
        <v>4647</v>
      </c>
      <c r="C2472">
        <v>8510</v>
      </c>
      <c r="D2472" t="s">
        <v>6359</v>
      </c>
      <c r="E2472" t="s">
        <v>6360</v>
      </c>
      <c r="F2472" t="s">
        <v>6361</v>
      </c>
      <c r="G2472" s="43">
        <v>0</v>
      </c>
      <c r="H2472" s="63">
        <v>0.9</v>
      </c>
    </row>
    <row r="2473" spans="1:8" x14ac:dyDescent="0.55000000000000004">
      <c r="A2473" s="61" t="s">
        <v>7078</v>
      </c>
      <c r="B2473" t="s">
        <v>4647</v>
      </c>
      <c r="C2473">
        <v>8510</v>
      </c>
      <c r="D2473" t="s">
        <v>6363</v>
      </c>
      <c r="E2473" t="s">
        <v>6364</v>
      </c>
      <c r="F2473" t="s">
        <v>6361</v>
      </c>
      <c r="G2473" s="43">
        <v>0</v>
      </c>
      <c r="H2473" s="63">
        <v>0.1</v>
      </c>
    </row>
    <row r="2474" spans="1:8" x14ac:dyDescent="0.55000000000000004">
      <c r="A2474" s="61" t="s">
        <v>7078</v>
      </c>
      <c r="B2474" t="s">
        <v>4647</v>
      </c>
      <c r="C2474">
        <v>8510</v>
      </c>
      <c r="D2474" t="s">
        <v>6362</v>
      </c>
      <c r="E2474" t="s">
        <v>6358</v>
      </c>
      <c r="F2474" t="s">
        <v>6358</v>
      </c>
      <c r="G2474" s="62">
        <v>5.0999999999999997E-2</v>
      </c>
      <c r="H2474" s="63">
        <v>1</v>
      </c>
    </row>
    <row r="2475" spans="1:8" x14ac:dyDescent="0.55000000000000004">
      <c r="A2475" s="61" t="s">
        <v>7078</v>
      </c>
      <c r="B2475" t="s">
        <v>4647</v>
      </c>
      <c r="C2475">
        <v>8510</v>
      </c>
      <c r="D2475" t="s">
        <v>6365</v>
      </c>
      <c r="E2475" t="s">
        <v>6366</v>
      </c>
      <c r="F2475" t="s">
        <v>6361</v>
      </c>
      <c r="G2475" s="43">
        <v>0</v>
      </c>
      <c r="H2475" s="63">
        <v>-0.1</v>
      </c>
    </row>
    <row r="2476" spans="1:8" x14ac:dyDescent="0.55000000000000004">
      <c r="A2476" s="61" t="s">
        <v>7079</v>
      </c>
      <c r="B2476" t="s">
        <v>4647</v>
      </c>
      <c r="C2476">
        <v>8701</v>
      </c>
      <c r="D2476" t="s">
        <v>6359</v>
      </c>
      <c r="E2476" t="s">
        <v>6360</v>
      </c>
      <c r="F2476" t="s">
        <v>6361</v>
      </c>
      <c r="G2476" s="43">
        <v>0</v>
      </c>
      <c r="H2476" s="63">
        <v>1</v>
      </c>
    </row>
    <row r="2477" spans="1:8" x14ac:dyDescent="0.55000000000000004">
      <c r="A2477" s="61" t="s">
        <v>7079</v>
      </c>
      <c r="B2477" t="s">
        <v>4647</v>
      </c>
      <c r="C2477">
        <v>8701</v>
      </c>
      <c r="D2477" t="s">
        <v>6362</v>
      </c>
      <c r="E2477" t="s">
        <v>6358</v>
      </c>
      <c r="F2477" t="s">
        <v>6358</v>
      </c>
      <c r="G2477" s="43">
        <v>4.2700000000000002E-2</v>
      </c>
      <c r="H2477" s="63">
        <v>1</v>
      </c>
    </row>
    <row r="2478" spans="1:8" x14ac:dyDescent="0.55000000000000004">
      <c r="A2478" s="61" t="s">
        <v>7080</v>
      </c>
      <c r="B2478" t="s">
        <v>4647</v>
      </c>
      <c r="C2478">
        <v>8710</v>
      </c>
      <c r="D2478" t="s">
        <v>6359</v>
      </c>
      <c r="E2478" t="s">
        <v>6360</v>
      </c>
      <c r="F2478" t="s">
        <v>6361</v>
      </c>
      <c r="G2478" s="43">
        <v>0</v>
      </c>
      <c r="H2478" s="63">
        <v>0.9</v>
      </c>
    </row>
    <row r="2479" spans="1:8" x14ac:dyDescent="0.55000000000000004">
      <c r="A2479" s="61" t="s">
        <v>7080</v>
      </c>
      <c r="B2479" t="s">
        <v>4647</v>
      </c>
      <c r="C2479">
        <v>8710</v>
      </c>
      <c r="D2479" t="s">
        <v>6363</v>
      </c>
      <c r="E2479" t="s">
        <v>6364</v>
      </c>
      <c r="F2479" t="s">
        <v>6361</v>
      </c>
      <c r="G2479" s="43">
        <v>0</v>
      </c>
      <c r="H2479" s="63">
        <v>0.1</v>
      </c>
    </row>
    <row r="2480" spans="1:8" x14ac:dyDescent="0.55000000000000004">
      <c r="A2480" s="61" t="s">
        <v>7080</v>
      </c>
      <c r="B2480" t="s">
        <v>4647</v>
      </c>
      <c r="C2480">
        <v>8710</v>
      </c>
      <c r="D2480" t="s">
        <v>6362</v>
      </c>
      <c r="E2480" t="s">
        <v>6358</v>
      </c>
      <c r="F2480" t="s">
        <v>6358</v>
      </c>
      <c r="G2480" s="62">
        <v>5.0999999999999997E-2</v>
      </c>
      <c r="H2480" s="63">
        <v>1</v>
      </c>
    </row>
    <row r="2481" spans="1:8" x14ac:dyDescent="0.55000000000000004">
      <c r="A2481" s="61" t="s">
        <v>7080</v>
      </c>
      <c r="B2481" t="s">
        <v>4647</v>
      </c>
      <c r="C2481">
        <v>8710</v>
      </c>
      <c r="D2481" t="s">
        <v>6365</v>
      </c>
      <c r="E2481" t="s">
        <v>6366</v>
      </c>
      <c r="F2481" t="s">
        <v>6361</v>
      </c>
      <c r="G2481" s="43">
        <v>0</v>
      </c>
      <c r="H2481" s="63">
        <v>-0.1</v>
      </c>
    </row>
    <row r="2482" spans="1:8" x14ac:dyDescent="0.55000000000000004">
      <c r="A2482" s="61" t="s">
        <v>7081</v>
      </c>
      <c r="B2482" t="s">
        <v>4647</v>
      </c>
      <c r="C2482">
        <v>9101</v>
      </c>
      <c r="D2482" t="s">
        <v>6359</v>
      </c>
      <c r="E2482" t="s">
        <v>6367</v>
      </c>
      <c r="F2482" t="s">
        <v>6361</v>
      </c>
      <c r="G2482" s="43">
        <v>0</v>
      </c>
      <c r="H2482" s="63">
        <v>1</v>
      </c>
    </row>
    <row r="2483" spans="1:8" x14ac:dyDescent="0.55000000000000004">
      <c r="A2483" s="61" t="s">
        <v>7081</v>
      </c>
      <c r="B2483" t="s">
        <v>4647</v>
      </c>
      <c r="C2483">
        <v>9101</v>
      </c>
      <c r="D2483" t="s">
        <v>6362</v>
      </c>
      <c r="E2483" t="s">
        <v>6358</v>
      </c>
      <c r="F2483" t="s">
        <v>6358</v>
      </c>
      <c r="G2483" s="43">
        <v>4.2700000000000002E-2</v>
      </c>
      <c r="H2483" s="63">
        <v>1</v>
      </c>
    </row>
    <row r="2484" spans="1:8" x14ac:dyDescent="0.55000000000000004">
      <c r="A2484" s="61" t="s">
        <v>7082</v>
      </c>
      <c r="B2484" t="s">
        <v>4647</v>
      </c>
      <c r="C2484">
        <v>9110</v>
      </c>
      <c r="D2484" t="s">
        <v>6359</v>
      </c>
      <c r="E2484" t="s">
        <v>6367</v>
      </c>
      <c r="F2484" t="s">
        <v>6361</v>
      </c>
      <c r="G2484" s="43">
        <v>0</v>
      </c>
      <c r="H2484" s="63">
        <v>0.9</v>
      </c>
    </row>
    <row r="2485" spans="1:8" x14ac:dyDescent="0.55000000000000004">
      <c r="A2485" s="61" t="s">
        <v>7082</v>
      </c>
      <c r="B2485" t="s">
        <v>4647</v>
      </c>
      <c r="C2485">
        <v>9110</v>
      </c>
      <c r="D2485" t="s">
        <v>6363</v>
      </c>
      <c r="E2485" t="s">
        <v>6364</v>
      </c>
      <c r="F2485" t="s">
        <v>6361</v>
      </c>
      <c r="G2485" s="43">
        <v>0</v>
      </c>
      <c r="H2485" s="63">
        <v>0.1</v>
      </c>
    </row>
    <row r="2486" spans="1:8" x14ac:dyDescent="0.55000000000000004">
      <c r="A2486" s="61" t="s">
        <v>7082</v>
      </c>
      <c r="B2486" t="s">
        <v>4647</v>
      </c>
      <c r="C2486">
        <v>9110</v>
      </c>
      <c r="D2486" t="s">
        <v>6362</v>
      </c>
      <c r="E2486" t="s">
        <v>6358</v>
      </c>
      <c r="F2486" t="s">
        <v>6358</v>
      </c>
      <c r="G2486" s="62">
        <v>5.0999999999999997E-2</v>
      </c>
      <c r="H2486" s="63">
        <v>1</v>
      </c>
    </row>
    <row r="2487" spans="1:8" x14ac:dyDescent="0.55000000000000004">
      <c r="A2487" s="61" t="s">
        <v>7082</v>
      </c>
      <c r="B2487" t="s">
        <v>4647</v>
      </c>
      <c r="C2487">
        <v>9110</v>
      </c>
      <c r="D2487" t="s">
        <v>6365</v>
      </c>
      <c r="E2487" t="s">
        <v>6366</v>
      </c>
      <c r="F2487" t="s">
        <v>6361</v>
      </c>
      <c r="G2487" s="43">
        <v>0</v>
      </c>
      <c r="H2487" s="63">
        <v>-0.1</v>
      </c>
    </row>
    <row r="2488" spans="1:8" x14ac:dyDescent="0.55000000000000004">
      <c r="A2488" s="61" t="s">
        <v>7083</v>
      </c>
      <c r="B2488" t="s">
        <v>4463</v>
      </c>
      <c r="C2488">
        <v>8710</v>
      </c>
      <c r="D2488" t="s">
        <v>6359</v>
      </c>
      <c r="E2488" t="s">
        <v>6374</v>
      </c>
      <c r="F2488" t="s">
        <v>6361</v>
      </c>
      <c r="G2488" s="43">
        <v>0</v>
      </c>
      <c r="H2488" s="63">
        <v>0.9</v>
      </c>
    </row>
    <row r="2489" spans="1:8" x14ac:dyDescent="0.55000000000000004">
      <c r="A2489" s="61" t="s">
        <v>7083</v>
      </c>
      <c r="B2489" t="s">
        <v>4463</v>
      </c>
      <c r="C2489">
        <v>8710</v>
      </c>
      <c r="D2489" t="s">
        <v>6363</v>
      </c>
      <c r="E2489" t="s">
        <v>6364</v>
      </c>
      <c r="F2489" t="s">
        <v>6361</v>
      </c>
      <c r="G2489" s="43">
        <v>0</v>
      </c>
      <c r="H2489" s="63">
        <v>0.1</v>
      </c>
    </row>
    <row r="2490" spans="1:8" x14ac:dyDescent="0.55000000000000004">
      <c r="A2490" s="61" t="s">
        <v>7083</v>
      </c>
      <c r="B2490" t="s">
        <v>4463</v>
      </c>
      <c r="C2490">
        <v>8710</v>
      </c>
      <c r="D2490" t="s">
        <v>6362</v>
      </c>
      <c r="E2490" t="s">
        <v>6358</v>
      </c>
      <c r="F2490" t="s">
        <v>6358</v>
      </c>
      <c r="G2490" s="43">
        <v>7.2099999999999997E-2</v>
      </c>
      <c r="H2490" s="63">
        <v>1</v>
      </c>
    </row>
    <row r="2491" spans="1:8" x14ac:dyDescent="0.55000000000000004">
      <c r="A2491" s="61" t="s">
        <v>7083</v>
      </c>
      <c r="B2491" t="s">
        <v>4463</v>
      </c>
      <c r="C2491">
        <v>8710</v>
      </c>
      <c r="D2491" t="s">
        <v>6365</v>
      </c>
      <c r="E2491" t="s">
        <v>6366</v>
      </c>
      <c r="F2491" t="s">
        <v>6361</v>
      </c>
      <c r="G2491" s="43">
        <v>0</v>
      </c>
      <c r="H2491" s="63">
        <v>-0.1</v>
      </c>
    </row>
    <row r="2492" spans="1:8" x14ac:dyDescent="0.55000000000000004">
      <c r="A2492" s="61" t="s">
        <v>7084</v>
      </c>
      <c r="B2492" t="s">
        <v>4463</v>
      </c>
      <c r="C2492">
        <v>9310</v>
      </c>
      <c r="D2492" t="s">
        <v>6359</v>
      </c>
      <c r="E2492" t="s">
        <v>6375</v>
      </c>
      <c r="F2492" t="s">
        <v>6361</v>
      </c>
      <c r="G2492" s="43">
        <v>0</v>
      </c>
      <c r="H2492" s="63">
        <v>0.9</v>
      </c>
    </row>
    <row r="2493" spans="1:8" x14ac:dyDescent="0.55000000000000004">
      <c r="A2493" s="61" t="s">
        <v>7084</v>
      </c>
      <c r="B2493" t="s">
        <v>4463</v>
      </c>
      <c r="C2493">
        <v>9310</v>
      </c>
      <c r="D2493" t="s">
        <v>6363</v>
      </c>
      <c r="E2493" t="s">
        <v>6364</v>
      </c>
      <c r="F2493" t="s">
        <v>6361</v>
      </c>
      <c r="G2493" s="43">
        <v>0</v>
      </c>
      <c r="H2493" s="63">
        <v>0.1</v>
      </c>
    </row>
    <row r="2494" spans="1:8" x14ac:dyDescent="0.55000000000000004">
      <c r="A2494" s="61" t="s">
        <v>7084</v>
      </c>
      <c r="B2494" t="s">
        <v>4463</v>
      </c>
      <c r="C2494">
        <v>9310</v>
      </c>
      <c r="D2494" t="s">
        <v>6362</v>
      </c>
      <c r="E2494" t="s">
        <v>6358</v>
      </c>
      <c r="F2494" t="s">
        <v>6358</v>
      </c>
      <c r="G2494" s="43">
        <v>7.2099999999999997E-2</v>
      </c>
      <c r="H2494" s="63">
        <v>1</v>
      </c>
    </row>
    <row r="2495" spans="1:8" x14ac:dyDescent="0.55000000000000004">
      <c r="A2495" s="61" t="s">
        <v>7084</v>
      </c>
      <c r="B2495" t="s">
        <v>4463</v>
      </c>
      <c r="C2495">
        <v>9310</v>
      </c>
      <c r="D2495" t="s">
        <v>6365</v>
      </c>
      <c r="E2495" t="s">
        <v>6366</v>
      </c>
      <c r="F2495" t="s">
        <v>6361</v>
      </c>
      <c r="G2495" s="43">
        <v>0</v>
      </c>
      <c r="H2495" s="63">
        <v>-0.1</v>
      </c>
    </row>
    <row r="2496" spans="1:8" x14ac:dyDescent="0.55000000000000004">
      <c r="A2496" s="61" t="s">
        <v>7085</v>
      </c>
      <c r="B2496" t="s">
        <v>3649</v>
      </c>
      <c r="C2496">
        <v>8708</v>
      </c>
      <c r="D2496" t="s">
        <v>6359</v>
      </c>
      <c r="E2496" t="s">
        <v>6389</v>
      </c>
      <c r="F2496" t="s">
        <v>6361</v>
      </c>
      <c r="G2496" s="43">
        <v>0</v>
      </c>
      <c r="H2496" s="63">
        <v>0.9</v>
      </c>
    </row>
    <row r="2497" spans="1:8" x14ac:dyDescent="0.55000000000000004">
      <c r="A2497" s="61" t="s">
        <v>7085</v>
      </c>
      <c r="B2497" t="s">
        <v>3649</v>
      </c>
      <c r="C2497">
        <v>8708</v>
      </c>
      <c r="D2497" t="s">
        <v>6363</v>
      </c>
      <c r="E2497" t="s">
        <v>6364</v>
      </c>
      <c r="F2497" t="s">
        <v>6361</v>
      </c>
      <c r="G2497" s="43">
        <v>0</v>
      </c>
      <c r="H2497" s="63">
        <v>0.1</v>
      </c>
    </row>
    <row r="2498" spans="1:8" x14ac:dyDescent="0.55000000000000004">
      <c r="A2498" s="61" t="s">
        <v>7085</v>
      </c>
      <c r="B2498" t="s">
        <v>3649</v>
      </c>
      <c r="C2498">
        <v>8708</v>
      </c>
      <c r="D2498" t="s">
        <v>6362</v>
      </c>
      <c r="E2498" t="s">
        <v>6358</v>
      </c>
      <c r="F2498" t="s">
        <v>6358</v>
      </c>
      <c r="G2498" s="43">
        <v>9.5799999999999996E-2</v>
      </c>
      <c r="H2498" s="63">
        <v>1</v>
      </c>
    </row>
    <row r="2499" spans="1:8" x14ac:dyDescent="0.55000000000000004">
      <c r="A2499" s="61" t="s">
        <v>7085</v>
      </c>
      <c r="B2499" t="s">
        <v>3649</v>
      </c>
      <c r="C2499">
        <v>8708</v>
      </c>
      <c r="D2499" t="s">
        <v>6365</v>
      </c>
      <c r="E2499" t="s">
        <v>6366</v>
      </c>
      <c r="F2499" t="s">
        <v>6361</v>
      </c>
      <c r="G2499" s="43">
        <v>0</v>
      </c>
      <c r="H2499" s="63">
        <v>-0.1</v>
      </c>
    </row>
    <row r="2500" spans="1:8" x14ac:dyDescent="0.55000000000000004">
      <c r="A2500" s="61" t="s">
        <v>7086</v>
      </c>
      <c r="B2500" t="s">
        <v>3649</v>
      </c>
      <c r="C2500">
        <v>8710</v>
      </c>
      <c r="D2500" t="s">
        <v>6359</v>
      </c>
      <c r="E2500" t="s">
        <v>6389</v>
      </c>
      <c r="F2500" t="s">
        <v>6361</v>
      </c>
      <c r="G2500" s="43">
        <v>0</v>
      </c>
      <c r="H2500" s="63">
        <v>0.9</v>
      </c>
    </row>
    <row r="2501" spans="1:8" x14ac:dyDescent="0.55000000000000004">
      <c r="A2501" s="61" t="s">
        <v>7086</v>
      </c>
      <c r="B2501" t="s">
        <v>3649</v>
      </c>
      <c r="C2501">
        <v>8710</v>
      </c>
      <c r="D2501" t="s">
        <v>6363</v>
      </c>
      <c r="E2501" t="s">
        <v>6364</v>
      </c>
      <c r="F2501" t="s">
        <v>6361</v>
      </c>
      <c r="G2501" s="43">
        <v>0</v>
      </c>
      <c r="H2501" s="63">
        <v>0.1</v>
      </c>
    </row>
    <row r="2502" spans="1:8" x14ac:dyDescent="0.55000000000000004">
      <c r="A2502" s="61" t="s">
        <v>7086</v>
      </c>
      <c r="B2502" t="s">
        <v>3649</v>
      </c>
      <c r="C2502">
        <v>8710</v>
      </c>
      <c r="D2502" t="s">
        <v>6362</v>
      </c>
      <c r="E2502" t="s">
        <v>6358</v>
      </c>
      <c r="F2502" t="s">
        <v>6358</v>
      </c>
      <c r="G2502" s="43">
        <v>9.5799999999999996E-2</v>
      </c>
      <c r="H2502" s="63">
        <v>1</v>
      </c>
    </row>
    <row r="2503" spans="1:8" x14ac:dyDescent="0.55000000000000004">
      <c r="A2503" s="61" t="s">
        <v>7086</v>
      </c>
      <c r="B2503" t="s">
        <v>3649</v>
      </c>
      <c r="C2503">
        <v>8710</v>
      </c>
      <c r="D2503" t="s">
        <v>6365</v>
      </c>
      <c r="E2503" t="s">
        <v>6366</v>
      </c>
      <c r="F2503" t="s">
        <v>6361</v>
      </c>
      <c r="G2503" s="43">
        <v>0</v>
      </c>
      <c r="H2503" s="63">
        <v>-0.1</v>
      </c>
    </row>
    <row r="2504" spans="1:8" x14ac:dyDescent="0.55000000000000004">
      <c r="A2504" s="61" t="s">
        <v>7087</v>
      </c>
      <c r="B2504" t="s">
        <v>3649</v>
      </c>
      <c r="C2504">
        <v>9107</v>
      </c>
      <c r="D2504" t="s">
        <v>6359</v>
      </c>
      <c r="E2504" t="s">
        <v>6390</v>
      </c>
      <c r="F2504" t="s">
        <v>6361</v>
      </c>
      <c r="G2504" s="43">
        <v>0</v>
      </c>
      <c r="H2504" s="63">
        <v>0.9</v>
      </c>
    </row>
    <row r="2505" spans="1:8" x14ac:dyDescent="0.55000000000000004">
      <c r="A2505" s="61" t="s">
        <v>7087</v>
      </c>
      <c r="B2505" t="s">
        <v>3649</v>
      </c>
      <c r="C2505">
        <v>9107</v>
      </c>
      <c r="D2505" t="s">
        <v>6363</v>
      </c>
      <c r="E2505" t="s">
        <v>6364</v>
      </c>
      <c r="F2505" t="s">
        <v>6361</v>
      </c>
      <c r="G2505" s="43">
        <v>0</v>
      </c>
      <c r="H2505" s="63">
        <v>0.1</v>
      </c>
    </row>
    <row r="2506" spans="1:8" x14ac:dyDescent="0.55000000000000004">
      <c r="A2506" s="61" t="s">
        <v>7087</v>
      </c>
      <c r="B2506" t="s">
        <v>3649</v>
      </c>
      <c r="C2506">
        <v>9107</v>
      </c>
      <c r="D2506" t="s">
        <v>6362</v>
      </c>
      <c r="E2506" t="s">
        <v>6358</v>
      </c>
      <c r="F2506" t="s">
        <v>6358</v>
      </c>
      <c r="G2506" s="43">
        <v>9.5799999999999996E-2</v>
      </c>
      <c r="H2506" s="63">
        <v>1</v>
      </c>
    </row>
    <row r="2507" spans="1:8" x14ac:dyDescent="0.55000000000000004">
      <c r="A2507" s="61" t="s">
        <v>7087</v>
      </c>
      <c r="B2507" t="s">
        <v>3649</v>
      </c>
      <c r="C2507">
        <v>9107</v>
      </c>
      <c r="D2507" t="s">
        <v>6365</v>
      </c>
      <c r="E2507" t="s">
        <v>6366</v>
      </c>
      <c r="F2507" t="s">
        <v>6361</v>
      </c>
      <c r="G2507" s="43">
        <v>0</v>
      </c>
      <c r="H2507" s="63">
        <v>-0.1</v>
      </c>
    </row>
    <row r="2508" spans="1:8" x14ac:dyDescent="0.55000000000000004">
      <c r="A2508" s="61" t="s">
        <v>7088</v>
      </c>
      <c r="B2508" t="s">
        <v>3649</v>
      </c>
      <c r="C2508">
        <v>9110</v>
      </c>
      <c r="D2508" t="s">
        <v>6359</v>
      </c>
      <c r="E2508" t="s">
        <v>6390</v>
      </c>
      <c r="F2508" t="s">
        <v>6361</v>
      </c>
      <c r="G2508" s="43">
        <v>0</v>
      </c>
      <c r="H2508" s="63">
        <v>0.9</v>
      </c>
    </row>
    <row r="2509" spans="1:8" x14ac:dyDescent="0.55000000000000004">
      <c r="A2509" s="61" t="s">
        <v>7088</v>
      </c>
      <c r="B2509" t="s">
        <v>3649</v>
      </c>
      <c r="C2509">
        <v>9110</v>
      </c>
      <c r="D2509" t="s">
        <v>6363</v>
      </c>
      <c r="E2509" t="s">
        <v>6364</v>
      </c>
      <c r="F2509" t="s">
        <v>6361</v>
      </c>
      <c r="G2509" s="43">
        <v>0</v>
      </c>
      <c r="H2509" s="63">
        <v>0.1</v>
      </c>
    </row>
    <row r="2510" spans="1:8" x14ac:dyDescent="0.55000000000000004">
      <c r="A2510" s="61" t="s">
        <v>7088</v>
      </c>
      <c r="B2510" t="s">
        <v>3649</v>
      </c>
      <c r="C2510">
        <v>9110</v>
      </c>
      <c r="D2510" t="s">
        <v>6362</v>
      </c>
      <c r="E2510" t="s">
        <v>6358</v>
      </c>
      <c r="F2510" t="s">
        <v>6358</v>
      </c>
      <c r="G2510" s="43">
        <v>9.5799999999999996E-2</v>
      </c>
      <c r="H2510" s="63">
        <v>1</v>
      </c>
    </row>
    <row r="2511" spans="1:8" x14ac:dyDescent="0.55000000000000004">
      <c r="A2511" s="61" t="s">
        <v>7088</v>
      </c>
      <c r="B2511" t="s">
        <v>3649</v>
      </c>
      <c r="C2511">
        <v>9110</v>
      </c>
      <c r="D2511" t="s">
        <v>6365</v>
      </c>
      <c r="E2511" t="s">
        <v>6366</v>
      </c>
      <c r="F2511" t="s">
        <v>6361</v>
      </c>
      <c r="G2511" s="43">
        <v>0</v>
      </c>
      <c r="H2511" s="63">
        <v>-0.1</v>
      </c>
    </row>
    <row r="2512" spans="1:8" x14ac:dyDescent="0.55000000000000004">
      <c r="A2512" s="61" t="s">
        <v>7089</v>
      </c>
      <c r="B2512" t="s">
        <v>3649</v>
      </c>
      <c r="C2512">
        <v>9310</v>
      </c>
      <c r="D2512" t="s">
        <v>6359</v>
      </c>
      <c r="E2512" t="s">
        <v>6390</v>
      </c>
      <c r="F2512" t="s">
        <v>6361</v>
      </c>
      <c r="G2512" s="43">
        <v>0</v>
      </c>
      <c r="H2512" s="63">
        <v>0.9</v>
      </c>
    </row>
    <row r="2513" spans="1:8" x14ac:dyDescent="0.55000000000000004">
      <c r="A2513" s="61" t="s">
        <v>7089</v>
      </c>
      <c r="B2513" t="s">
        <v>3649</v>
      </c>
      <c r="C2513">
        <v>9310</v>
      </c>
      <c r="D2513" t="s">
        <v>6363</v>
      </c>
      <c r="E2513" t="s">
        <v>6364</v>
      </c>
      <c r="F2513" t="s">
        <v>6361</v>
      </c>
      <c r="G2513" s="43">
        <v>0</v>
      </c>
      <c r="H2513" s="63">
        <v>0.1</v>
      </c>
    </row>
    <row r="2514" spans="1:8" x14ac:dyDescent="0.55000000000000004">
      <c r="A2514" s="61" t="s">
        <v>7089</v>
      </c>
      <c r="B2514" t="s">
        <v>3649</v>
      </c>
      <c r="C2514">
        <v>9310</v>
      </c>
      <c r="D2514" t="s">
        <v>6362</v>
      </c>
      <c r="E2514" t="s">
        <v>6358</v>
      </c>
      <c r="F2514" t="s">
        <v>6358</v>
      </c>
      <c r="G2514" s="43">
        <v>9.5799999999999996E-2</v>
      </c>
      <c r="H2514" s="63">
        <v>1</v>
      </c>
    </row>
    <row r="2515" spans="1:8" x14ac:dyDescent="0.55000000000000004">
      <c r="A2515" s="61" t="s">
        <v>7089</v>
      </c>
      <c r="B2515" t="s">
        <v>3649</v>
      </c>
      <c r="C2515">
        <v>9310</v>
      </c>
      <c r="D2515" t="s">
        <v>6365</v>
      </c>
      <c r="E2515" t="s">
        <v>6366</v>
      </c>
      <c r="F2515" t="s">
        <v>6361</v>
      </c>
      <c r="G2515" s="43">
        <v>0</v>
      </c>
      <c r="H2515" s="63">
        <v>-0.1</v>
      </c>
    </row>
    <row r="2516" spans="1:8" x14ac:dyDescent="0.55000000000000004">
      <c r="A2516" s="61" t="s">
        <v>7090</v>
      </c>
      <c r="B2516" t="s">
        <v>5572</v>
      </c>
      <c r="C2516">
        <v>8710</v>
      </c>
      <c r="D2516" t="s">
        <v>6359</v>
      </c>
      <c r="E2516" t="s">
        <v>6393</v>
      </c>
      <c r="F2516" t="s">
        <v>6361</v>
      </c>
      <c r="G2516" s="43">
        <v>0</v>
      </c>
      <c r="H2516" s="63">
        <v>0.9</v>
      </c>
    </row>
    <row r="2517" spans="1:8" x14ac:dyDescent="0.55000000000000004">
      <c r="A2517" s="61" t="s">
        <v>7090</v>
      </c>
      <c r="B2517" t="s">
        <v>5572</v>
      </c>
      <c r="C2517">
        <v>8710</v>
      </c>
      <c r="D2517" t="s">
        <v>6363</v>
      </c>
      <c r="E2517" t="s">
        <v>6364</v>
      </c>
      <c r="F2517" t="s">
        <v>6361</v>
      </c>
      <c r="G2517" s="43">
        <v>0</v>
      </c>
      <c r="H2517" s="63">
        <v>0.1</v>
      </c>
    </row>
    <row r="2518" spans="1:8" x14ac:dyDescent="0.55000000000000004">
      <c r="A2518" s="61" t="s">
        <v>7090</v>
      </c>
      <c r="B2518" t="s">
        <v>5572</v>
      </c>
      <c r="C2518">
        <v>8710</v>
      </c>
      <c r="D2518" t="s">
        <v>6362</v>
      </c>
      <c r="E2518" t="s">
        <v>6358</v>
      </c>
      <c r="F2518" t="s">
        <v>6358</v>
      </c>
      <c r="G2518" s="43">
        <v>4.36E-2</v>
      </c>
      <c r="H2518" s="63">
        <v>1</v>
      </c>
    </row>
    <row r="2519" spans="1:8" x14ac:dyDescent="0.55000000000000004">
      <c r="A2519" s="61" t="s">
        <v>7090</v>
      </c>
      <c r="B2519" t="s">
        <v>5572</v>
      </c>
      <c r="C2519">
        <v>8710</v>
      </c>
      <c r="D2519" t="s">
        <v>6365</v>
      </c>
      <c r="E2519" t="s">
        <v>6366</v>
      </c>
      <c r="F2519" t="s">
        <v>6361</v>
      </c>
      <c r="G2519" s="43">
        <v>0</v>
      </c>
      <c r="H2519" s="63">
        <v>-0.1</v>
      </c>
    </row>
    <row r="2520" spans="1:8" x14ac:dyDescent="0.55000000000000004">
      <c r="A2520" s="61" t="s">
        <v>7091</v>
      </c>
      <c r="B2520" t="s">
        <v>5572</v>
      </c>
      <c r="C2520">
        <v>9204</v>
      </c>
      <c r="D2520" t="s">
        <v>6359</v>
      </c>
      <c r="E2520" t="s">
        <v>6394</v>
      </c>
      <c r="F2520" t="s">
        <v>6361</v>
      </c>
      <c r="G2520" s="43">
        <v>0</v>
      </c>
      <c r="H2520" s="63">
        <v>0.9</v>
      </c>
    </row>
    <row r="2521" spans="1:8" x14ac:dyDescent="0.55000000000000004">
      <c r="A2521" s="61" t="s">
        <v>7091</v>
      </c>
      <c r="B2521" t="s">
        <v>5572</v>
      </c>
      <c r="C2521">
        <v>9204</v>
      </c>
      <c r="D2521" t="s">
        <v>6363</v>
      </c>
      <c r="E2521" t="s">
        <v>6364</v>
      </c>
      <c r="F2521" t="s">
        <v>6361</v>
      </c>
      <c r="G2521" s="43">
        <v>0</v>
      </c>
      <c r="H2521" s="63">
        <v>0.1</v>
      </c>
    </row>
    <row r="2522" spans="1:8" x14ac:dyDescent="0.55000000000000004">
      <c r="A2522" s="61" t="s">
        <v>7091</v>
      </c>
      <c r="B2522" t="s">
        <v>5572</v>
      </c>
      <c r="C2522">
        <v>9204</v>
      </c>
      <c r="D2522" t="s">
        <v>6362</v>
      </c>
      <c r="E2522" t="s">
        <v>6358</v>
      </c>
      <c r="F2522" t="s">
        <v>6358</v>
      </c>
      <c r="G2522" s="43">
        <v>4.36E-2</v>
      </c>
      <c r="H2522" s="63">
        <v>1</v>
      </c>
    </row>
    <row r="2523" spans="1:8" x14ac:dyDescent="0.55000000000000004">
      <c r="A2523" s="61" t="s">
        <v>7091</v>
      </c>
      <c r="B2523" t="s">
        <v>5572</v>
      </c>
      <c r="C2523">
        <v>9204</v>
      </c>
      <c r="D2523" t="s">
        <v>6365</v>
      </c>
      <c r="E2523" t="s">
        <v>6366</v>
      </c>
      <c r="F2523" t="s">
        <v>6361</v>
      </c>
      <c r="G2523" s="43">
        <v>0</v>
      </c>
      <c r="H2523" s="63">
        <v>-0.1</v>
      </c>
    </row>
    <row r="2524" spans="1:8" x14ac:dyDescent="0.55000000000000004">
      <c r="A2524" s="61" t="s">
        <v>7092</v>
      </c>
      <c r="B2524" t="s">
        <v>5470</v>
      </c>
      <c r="C2524">
        <v>8701</v>
      </c>
      <c r="D2524" t="s">
        <v>6359</v>
      </c>
      <c r="E2524" t="s">
        <v>6370</v>
      </c>
      <c r="F2524" t="s">
        <v>6361</v>
      </c>
      <c r="G2524" s="43">
        <v>0</v>
      </c>
      <c r="H2524" s="63">
        <v>1</v>
      </c>
    </row>
    <row r="2525" spans="1:8" x14ac:dyDescent="0.55000000000000004">
      <c r="A2525" s="61" t="s">
        <v>7092</v>
      </c>
      <c r="B2525" t="s">
        <v>5470</v>
      </c>
      <c r="C2525">
        <v>8701</v>
      </c>
      <c r="D2525" t="s">
        <v>6362</v>
      </c>
      <c r="E2525" t="s">
        <v>6358</v>
      </c>
      <c r="F2525" t="s">
        <v>6358</v>
      </c>
      <c r="G2525" s="43">
        <v>6.5699999999999995E-2</v>
      </c>
      <c r="H2525" s="63">
        <v>1</v>
      </c>
    </row>
    <row r="2526" spans="1:8" x14ac:dyDescent="0.55000000000000004">
      <c r="A2526" s="61" t="s">
        <v>7093</v>
      </c>
      <c r="B2526" t="s">
        <v>5470</v>
      </c>
      <c r="C2526">
        <v>8710</v>
      </c>
      <c r="D2526" t="s">
        <v>6359</v>
      </c>
      <c r="E2526" t="s">
        <v>6370</v>
      </c>
      <c r="F2526" t="s">
        <v>6361</v>
      </c>
      <c r="G2526" s="43">
        <v>0</v>
      </c>
      <c r="H2526" s="63">
        <v>0.9</v>
      </c>
    </row>
    <row r="2527" spans="1:8" x14ac:dyDescent="0.55000000000000004">
      <c r="A2527" s="61" t="s">
        <v>7093</v>
      </c>
      <c r="B2527" t="s">
        <v>5470</v>
      </c>
      <c r="C2527">
        <v>8710</v>
      </c>
      <c r="D2527" t="s">
        <v>6363</v>
      </c>
      <c r="E2527" t="s">
        <v>6364</v>
      </c>
      <c r="F2527" t="s">
        <v>6361</v>
      </c>
      <c r="G2527" s="43">
        <v>0</v>
      </c>
      <c r="H2527" s="63">
        <v>0.1</v>
      </c>
    </row>
    <row r="2528" spans="1:8" x14ac:dyDescent="0.55000000000000004">
      <c r="A2528" s="61" t="s">
        <v>7093</v>
      </c>
      <c r="B2528" t="s">
        <v>5470</v>
      </c>
      <c r="C2528">
        <v>8710</v>
      </c>
      <c r="D2528" t="s">
        <v>6362</v>
      </c>
      <c r="E2528" t="s">
        <v>6358</v>
      </c>
      <c r="F2528" t="s">
        <v>6358</v>
      </c>
      <c r="G2528" s="43">
        <v>8.2799999999999999E-2</v>
      </c>
      <c r="H2528" s="63">
        <v>1</v>
      </c>
    </row>
    <row r="2529" spans="1:8" x14ac:dyDescent="0.55000000000000004">
      <c r="A2529" s="61" t="s">
        <v>7093</v>
      </c>
      <c r="B2529" t="s">
        <v>5470</v>
      </c>
      <c r="C2529">
        <v>8710</v>
      </c>
      <c r="D2529" t="s">
        <v>6365</v>
      </c>
      <c r="E2529" t="s">
        <v>6366</v>
      </c>
      <c r="F2529" t="s">
        <v>6361</v>
      </c>
      <c r="G2529" s="43">
        <v>0</v>
      </c>
      <c r="H2529" s="63">
        <v>-0.1</v>
      </c>
    </row>
    <row r="2530" spans="1:8" x14ac:dyDescent="0.55000000000000004">
      <c r="A2530" s="61" t="s">
        <v>7094</v>
      </c>
      <c r="B2530" t="s">
        <v>5470</v>
      </c>
      <c r="C2530">
        <v>8711</v>
      </c>
      <c r="D2530" t="s">
        <v>6359</v>
      </c>
      <c r="E2530" t="s">
        <v>6372</v>
      </c>
      <c r="F2530" t="s">
        <v>6361</v>
      </c>
      <c r="G2530" s="43">
        <v>0</v>
      </c>
      <c r="H2530" s="63">
        <v>0.9</v>
      </c>
    </row>
    <row r="2531" spans="1:8" x14ac:dyDescent="0.55000000000000004">
      <c r="A2531" s="61" t="s">
        <v>7094</v>
      </c>
      <c r="B2531" t="s">
        <v>5470</v>
      </c>
      <c r="C2531">
        <v>8711</v>
      </c>
      <c r="D2531" t="s">
        <v>6363</v>
      </c>
      <c r="E2531" t="s">
        <v>6364</v>
      </c>
      <c r="F2531" t="s">
        <v>6361</v>
      </c>
      <c r="G2531" s="43">
        <v>0</v>
      </c>
      <c r="H2531" s="63">
        <v>0.1</v>
      </c>
    </row>
    <row r="2532" spans="1:8" x14ac:dyDescent="0.55000000000000004">
      <c r="A2532" s="61" t="s">
        <v>7094</v>
      </c>
      <c r="B2532" t="s">
        <v>5470</v>
      </c>
      <c r="C2532">
        <v>8711</v>
      </c>
      <c r="D2532" t="s">
        <v>6362</v>
      </c>
      <c r="E2532" t="s">
        <v>6358</v>
      </c>
      <c r="F2532" t="s">
        <v>6358</v>
      </c>
      <c r="G2532" s="43">
        <v>8.2799999999999999E-2</v>
      </c>
      <c r="H2532" s="63">
        <v>1</v>
      </c>
    </row>
    <row r="2533" spans="1:8" x14ac:dyDescent="0.55000000000000004">
      <c r="A2533" s="61" t="s">
        <v>7094</v>
      </c>
      <c r="B2533" t="s">
        <v>5470</v>
      </c>
      <c r="C2533">
        <v>8711</v>
      </c>
      <c r="D2533" t="s">
        <v>6365</v>
      </c>
      <c r="E2533" t="s">
        <v>6366</v>
      </c>
      <c r="F2533" t="s">
        <v>6361</v>
      </c>
      <c r="G2533" s="43">
        <v>0</v>
      </c>
      <c r="H2533" s="63">
        <v>-0.1</v>
      </c>
    </row>
    <row r="2534" spans="1:8" x14ac:dyDescent="0.55000000000000004">
      <c r="A2534" s="61" t="s">
        <v>7095</v>
      </c>
      <c r="B2534" t="s">
        <v>5470</v>
      </c>
      <c r="C2534">
        <v>8713</v>
      </c>
      <c r="D2534" t="s">
        <v>6359</v>
      </c>
      <c r="E2534" t="s">
        <v>6372</v>
      </c>
      <c r="F2534" t="s">
        <v>6361</v>
      </c>
      <c r="G2534" s="43">
        <v>0</v>
      </c>
      <c r="H2534" s="63">
        <v>0.9</v>
      </c>
    </row>
    <row r="2535" spans="1:8" x14ac:dyDescent="0.55000000000000004">
      <c r="A2535" s="61" t="s">
        <v>7095</v>
      </c>
      <c r="B2535" t="s">
        <v>5470</v>
      </c>
      <c r="C2535">
        <v>8713</v>
      </c>
      <c r="D2535" t="s">
        <v>6363</v>
      </c>
      <c r="E2535" t="s">
        <v>6364</v>
      </c>
      <c r="F2535" t="s">
        <v>6361</v>
      </c>
      <c r="G2535" s="43">
        <v>0</v>
      </c>
      <c r="H2535" s="63">
        <v>0.1</v>
      </c>
    </row>
    <row r="2536" spans="1:8" x14ac:dyDescent="0.55000000000000004">
      <c r="A2536" s="61" t="s">
        <v>7095</v>
      </c>
      <c r="B2536" t="s">
        <v>5470</v>
      </c>
      <c r="C2536">
        <v>8713</v>
      </c>
      <c r="D2536" t="s">
        <v>6362</v>
      </c>
      <c r="E2536" t="s">
        <v>6358</v>
      </c>
      <c r="F2536" t="s">
        <v>6358</v>
      </c>
      <c r="G2536" s="43">
        <v>8.2799999999999999E-2</v>
      </c>
      <c r="H2536" s="63">
        <v>1</v>
      </c>
    </row>
    <row r="2537" spans="1:8" x14ac:dyDescent="0.55000000000000004">
      <c r="A2537" s="61" t="s">
        <v>7095</v>
      </c>
      <c r="B2537" t="s">
        <v>5470</v>
      </c>
      <c r="C2537">
        <v>8713</v>
      </c>
      <c r="D2537" t="s">
        <v>6365</v>
      </c>
      <c r="E2537" t="s">
        <v>6366</v>
      </c>
      <c r="F2537" t="s">
        <v>6361</v>
      </c>
      <c r="G2537" s="43">
        <v>0</v>
      </c>
      <c r="H2537" s="63">
        <v>-0.1</v>
      </c>
    </row>
    <row r="2538" spans="1:8" x14ac:dyDescent="0.55000000000000004">
      <c r="A2538" s="61" t="s">
        <v>7096</v>
      </c>
      <c r="B2538" t="s">
        <v>5470</v>
      </c>
      <c r="C2538">
        <v>9101</v>
      </c>
      <c r="D2538" t="s">
        <v>6359</v>
      </c>
      <c r="E2538" t="s">
        <v>6371</v>
      </c>
      <c r="F2538" t="s">
        <v>6361</v>
      </c>
      <c r="G2538" s="43">
        <v>0</v>
      </c>
      <c r="H2538" s="63">
        <v>1</v>
      </c>
    </row>
    <row r="2539" spans="1:8" x14ac:dyDescent="0.55000000000000004">
      <c r="A2539" s="61" t="s">
        <v>7096</v>
      </c>
      <c r="B2539" t="s">
        <v>5470</v>
      </c>
      <c r="C2539">
        <v>9101</v>
      </c>
      <c r="D2539" t="s">
        <v>6362</v>
      </c>
      <c r="E2539" t="s">
        <v>6358</v>
      </c>
      <c r="F2539" t="s">
        <v>6358</v>
      </c>
      <c r="G2539" s="43">
        <v>6.5699999999999995E-2</v>
      </c>
      <c r="H2539" s="63">
        <v>1</v>
      </c>
    </row>
    <row r="2540" spans="1:8" x14ac:dyDescent="0.55000000000000004">
      <c r="A2540" s="61" t="s">
        <v>7097</v>
      </c>
      <c r="B2540" t="s">
        <v>5470</v>
      </c>
      <c r="C2540">
        <v>9307</v>
      </c>
      <c r="D2540" t="s">
        <v>6359</v>
      </c>
      <c r="E2540" t="s">
        <v>6373</v>
      </c>
      <c r="F2540" t="s">
        <v>6361</v>
      </c>
      <c r="G2540" s="43">
        <v>0</v>
      </c>
      <c r="H2540" s="63">
        <v>0.9</v>
      </c>
    </row>
    <row r="2541" spans="1:8" x14ac:dyDescent="0.55000000000000004">
      <c r="A2541" s="61" t="s">
        <v>7097</v>
      </c>
      <c r="B2541" t="s">
        <v>5470</v>
      </c>
      <c r="C2541">
        <v>9307</v>
      </c>
      <c r="D2541" t="s">
        <v>6363</v>
      </c>
      <c r="E2541" t="s">
        <v>6364</v>
      </c>
      <c r="F2541" t="s">
        <v>6361</v>
      </c>
      <c r="G2541" s="43">
        <v>0</v>
      </c>
      <c r="H2541" s="63">
        <v>0.1</v>
      </c>
    </row>
    <row r="2542" spans="1:8" x14ac:dyDescent="0.55000000000000004">
      <c r="A2542" s="61" t="s">
        <v>7097</v>
      </c>
      <c r="B2542" t="s">
        <v>5470</v>
      </c>
      <c r="C2542">
        <v>9307</v>
      </c>
      <c r="D2542" t="s">
        <v>6362</v>
      </c>
      <c r="E2542" t="s">
        <v>6358</v>
      </c>
      <c r="F2542" t="s">
        <v>6358</v>
      </c>
      <c r="G2542" s="43">
        <v>8.2799999999999999E-2</v>
      </c>
      <c r="H2542" s="63">
        <v>1</v>
      </c>
    </row>
    <row r="2543" spans="1:8" x14ac:dyDescent="0.55000000000000004">
      <c r="A2543" s="61" t="s">
        <v>7097</v>
      </c>
      <c r="B2543" t="s">
        <v>5470</v>
      </c>
      <c r="C2543">
        <v>9307</v>
      </c>
      <c r="D2543" t="s">
        <v>6365</v>
      </c>
      <c r="E2543" t="s">
        <v>6366</v>
      </c>
      <c r="F2543" t="s">
        <v>6361</v>
      </c>
      <c r="G2543" s="43">
        <v>0</v>
      </c>
      <c r="H2543" s="63">
        <v>-0.1</v>
      </c>
    </row>
    <row r="2544" spans="1:8" x14ac:dyDescent="0.55000000000000004">
      <c r="A2544" s="61" t="s">
        <v>7098</v>
      </c>
      <c r="B2544" t="s">
        <v>5470</v>
      </c>
      <c r="C2544">
        <v>9309</v>
      </c>
      <c r="D2544" t="s">
        <v>6359</v>
      </c>
      <c r="E2544" t="s">
        <v>6373</v>
      </c>
      <c r="F2544" t="s">
        <v>6361</v>
      </c>
      <c r="G2544" s="43">
        <v>0</v>
      </c>
      <c r="H2544" s="63">
        <v>0.9</v>
      </c>
    </row>
    <row r="2545" spans="1:8" x14ac:dyDescent="0.55000000000000004">
      <c r="A2545" s="61" t="s">
        <v>7098</v>
      </c>
      <c r="B2545" t="s">
        <v>5470</v>
      </c>
      <c r="C2545">
        <v>9309</v>
      </c>
      <c r="D2545" t="s">
        <v>6363</v>
      </c>
      <c r="E2545" t="s">
        <v>6364</v>
      </c>
      <c r="F2545" t="s">
        <v>6361</v>
      </c>
      <c r="G2545" s="43">
        <v>0</v>
      </c>
      <c r="H2545" s="63">
        <v>0.1</v>
      </c>
    </row>
    <row r="2546" spans="1:8" x14ac:dyDescent="0.55000000000000004">
      <c r="A2546" s="61" t="s">
        <v>7098</v>
      </c>
      <c r="B2546" t="s">
        <v>5470</v>
      </c>
      <c r="C2546">
        <v>9309</v>
      </c>
      <c r="D2546" t="s">
        <v>6362</v>
      </c>
      <c r="E2546" t="s">
        <v>6358</v>
      </c>
      <c r="F2546" t="s">
        <v>6358</v>
      </c>
      <c r="G2546" s="43">
        <v>8.2799999999999999E-2</v>
      </c>
      <c r="H2546" s="63">
        <v>1</v>
      </c>
    </row>
    <row r="2547" spans="1:8" x14ac:dyDescent="0.55000000000000004">
      <c r="A2547" s="61" t="s">
        <v>7098</v>
      </c>
      <c r="B2547" t="s">
        <v>5470</v>
      </c>
      <c r="C2547">
        <v>9309</v>
      </c>
      <c r="D2547" t="s">
        <v>6365</v>
      </c>
      <c r="E2547" t="s">
        <v>6366</v>
      </c>
      <c r="F2547" t="s">
        <v>6361</v>
      </c>
      <c r="G2547" s="43">
        <v>0</v>
      </c>
      <c r="H2547" s="63">
        <v>-0.1</v>
      </c>
    </row>
    <row r="2548" spans="1:8" x14ac:dyDescent="0.55000000000000004">
      <c r="A2548" s="61" t="s">
        <v>7099</v>
      </c>
      <c r="B2548" t="s">
        <v>5470</v>
      </c>
      <c r="C2548">
        <v>9310</v>
      </c>
      <c r="D2548" t="s">
        <v>6359</v>
      </c>
      <c r="E2548" t="s">
        <v>6371</v>
      </c>
      <c r="F2548" t="s">
        <v>6361</v>
      </c>
      <c r="G2548" s="43">
        <v>0</v>
      </c>
      <c r="H2548" s="63">
        <v>0.9</v>
      </c>
    </row>
    <row r="2549" spans="1:8" x14ac:dyDescent="0.55000000000000004">
      <c r="A2549" s="61" t="s">
        <v>7099</v>
      </c>
      <c r="B2549" t="s">
        <v>5470</v>
      </c>
      <c r="C2549">
        <v>9310</v>
      </c>
      <c r="D2549" t="s">
        <v>6363</v>
      </c>
      <c r="E2549" t="s">
        <v>6364</v>
      </c>
      <c r="F2549" t="s">
        <v>6361</v>
      </c>
      <c r="G2549" s="43">
        <v>0</v>
      </c>
      <c r="H2549" s="63">
        <v>0.1</v>
      </c>
    </row>
    <row r="2550" spans="1:8" x14ac:dyDescent="0.55000000000000004">
      <c r="A2550" s="61" t="s">
        <v>7099</v>
      </c>
      <c r="B2550" t="s">
        <v>5470</v>
      </c>
      <c r="C2550">
        <v>9310</v>
      </c>
      <c r="D2550" t="s">
        <v>6362</v>
      </c>
      <c r="E2550" t="s">
        <v>6358</v>
      </c>
      <c r="F2550" t="s">
        <v>6358</v>
      </c>
      <c r="G2550" s="43">
        <v>8.2799999999999999E-2</v>
      </c>
      <c r="H2550" s="63">
        <v>1</v>
      </c>
    </row>
    <row r="2551" spans="1:8" x14ac:dyDescent="0.55000000000000004">
      <c r="A2551" s="61" t="s">
        <v>7099</v>
      </c>
      <c r="B2551" t="s">
        <v>5470</v>
      </c>
      <c r="C2551">
        <v>9310</v>
      </c>
      <c r="D2551" t="s">
        <v>6365</v>
      </c>
      <c r="E2551" t="s">
        <v>6366</v>
      </c>
      <c r="F2551" t="s">
        <v>6361</v>
      </c>
      <c r="G2551" s="43">
        <v>0</v>
      </c>
      <c r="H2551" s="63">
        <v>-0.1</v>
      </c>
    </row>
    <row r="2552" spans="1:8" x14ac:dyDescent="0.55000000000000004">
      <c r="A2552" s="61" t="s">
        <v>7100</v>
      </c>
      <c r="B2552" t="s">
        <v>2576</v>
      </c>
      <c r="C2552">
        <v>8707</v>
      </c>
      <c r="D2552" t="s">
        <v>6359</v>
      </c>
      <c r="E2552" t="s">
        <v>6368</v>
      </c>
      <c r="F2552" t="s">
        <v>6361</v>
      </c>
      <c r="G2552" s="43">
        <v>0</v>
      </c>
      <c r="H2552" s="63">
        <v>0.9</v>
      </c>
    </row>
    <row r="2553" spans="1:8" x14ac:dyDescent="0.55000000000000004">
      <c r="A2553" s="61" t="s">
        <v>7100</v>
      </c>
      <c r="B2553" t="s">
        <v>2576</v>
      </c>
      <c r="C2553">
        <v>8707</v>
      </c>
      <c r="D2553" t="s">
        <v>6363</v>
      </c>
      <c r="E2553" t="s">
        <v>6364</v>
      </c>
      <c r="F2553" t="s">
        <v>6361</v>
      </c>
      <c r="G2553" s="43">
        <v>0</v>
      </c>
      <c r="H2553" s="63">
        <v>0.1</v>
      </c>
    </row>
    <row r="2554" spans="1:8" x14ac:dyDescent="0.55000000000000004">
      <c r="A2554" s="61" t="s">
        <v>7100</v>
      </c>
      <c r="B2554" t="s">
        <v>2576</v>
      </c>
      <c r="C2554">
        <v>8707</v>
      </c>
      <c r="D2554" t="s">
        <v>6362</v>
      </c>
      <c r="E2554" t="s">
        <v>6358</v>
      </c>
      <c r="F2554" t="s">
        <v>6358</v>
      </c>
      <c r="G2554" s="43">
        <v>7.1300000000000002E-2</v>
      </c>
      <c r="H2554" s="63">
        <v>1</v>
      </c>
    </row>
    <row r="2555" spans="1:8" x14ac:dyDescent="0.55000000000000004">
      <c r="A2555" s="61" t="s">
        <v>7100</v>
      </c>
      <c r="B2555" t="s">
        <v>2576</v>
      </c>
      <c r="C2555">
        <v>8707</v>
      </c>
      <c r="D2555" t="s">
        <v>6365</v>
      </c>
      <c r="E2555" t="s">
        <v>6366</v>
      </c>
      <c r="F2555" t="s">
        <v>6361</v>
      </c>
      <c r="G2555" s="43">
        <v>0</v>
      </c>
      <c r="H2555" s="63">
        <v>-0.1</v>
      </c>
    </row>
    <row r="2556" spans="1:8" x14ac:dyDescent="0.55000000000000004">
      <c r="A2556" s="61" t="s">
        <v>7101</v>
      </c>
      <c r="B2556" t="s">
        <v>2576</v>
      </c>
      <c r="C2556">
        <v>8710</v>
      </c>
      <c r="D2556" t="s">
        <v>6359</v>
      </c>
      <c r="E2556" t="s">
        <v>6368</v>
      </c>
      <c r="F2556" t="s">
        <v>6361</v>
      </c>
      <c r="G2556" s="43">
        <v>0</v>
      </c>
      <c r="H2556" s="63">
        <v>0.9</v>
      </c>
    </row>
    <row r="2557" spans="1:8" x14ac:dyDescent="0.55000000000000004">
      <c r="A2557" s="61" t="s">
        <v>7101</v>
      </c>
      <c r="B2557" t="s">
        <v>2576</v>
      </c>
      <c r="C2557">
        <v>8710</v>
      </c>
      <c r="D2557" t="s">
        <v>6363</v>
      </c>
      <c r="E2557" t="s">
        <v>6364</v>
      </c>
      <c r="F2557" t="s">
        <v>6361</v>
      </c>
      <c r="G2557" s="43">
        <v>0</v>
      </c>
      <c r="H2557" s="63">
        <v>0.1</v>
      </c>
    </row>
    <row r="2558" spans="1:8" x14ac:dyDescent="0.55000000000000004">
      <c r="A2558" s="61" t="s">
        <v>7101</v>
      </c>
      <c r="B2558" t="s">
        <v>2576</v>
      </c>
      <c r="C2558">
        <v>8710</v>
      </c>
      <c r="D2558" t="s">
        <v>6362</v>
      </c>
      <c r="E2558" t="s">
        <v>6358</v>
      </c>
      <c r="F2558" t="s">
        <v>6358</v>
      </c>
      <c r="G2558" s="43">
        <v>7.1300000000000002E-2</v>
      </c>
      <c r="H2558" s="63">
        <v>1</v>
      </c>
    </row>
    <row r="2559" spans="1:8" x14ac:dyDescent="0.55000000000000004">
      <c r="A2559" s="61" t="s">
        <v>7101</v>
      </c>
      <c r="B2559" t="s">
        <v>2576</v>
      </c>
      <c r="C2559">
        <v>8710</v>
      </c>
      <c r="D2559" t="s">
        <v>6365</v>
      </c>
      <c r="E2559" t="s">
        <v>6366</v>
      </c>
      <c r="F2559" t="s">
        <v>6361</v>
      </c>
      <c r="G2559" s="43">
        <v>0</v>
      </c>
      <c r="H2559" s="63">
        <v>-0.1</v>
      </c>
    </row>
    <row r="2560" spans="1:8" x14ac:dyDescent="0.55000000000000004">
      <c r="A2560" s="61" t="s">
        <v>7102</v>
      </c>
      <c r="B2560" t="s">
        <v>2576</v>
      </c>
      <c r="C2560">
        <v>9203</v>
      </c>
      <c r="D2560" t="s">
        <v>6359</v>
      </c>
      <c r="E2560" t="s">
        <v>6369</v>
      </c>
      <c r="F2560" t="s">
        <v>6361</v>
      </c>
      <c r="G2560" s="43">
        <v>0</v>
      </c>
      <c r="H2560" s="63">
        <v>0.9</v>
      </c>
    </row>
    <row r="2561" spans="1:8" x14ac:dyDescent="0.55000000000000004">
      <c r="A2561" s="61" t="s">
        <v>7102</v>
      </c>
      <c r="B2561" t="s">
        <v>2576</v>
      </c>
      <c r="C2561">
        <v>9203</v>
      </c>
      <c r="D2561" t="s">
        <v>6363</v>
      </c>
      <c r="E2561" t="s">
        <v>6364</v>
      </c>
      <c r="F2561" t="s">
        <v>6361</v>
      </c>
      <c r="G2561" s="43">
        <v>0</v>
      </c>
      <c r="H2561" s="63">
        <v>0.1</v>
      </c>
    </row>
    <row r="2562" spans="1:8" x14ac:dyDescent="0.55000000000000004">
      <c r="A2562" s="61" t="s">
        <v>7102</v>
      </c>
      <c r="B2562" t="s">
        <v>2576</v>
      </c>
      <c r="C2562">
        <v>9203</v>
      </c>
      <c r="D2562" t="s">
        <v>6362</v>
      </c>
      <c r="E2562" t="s">
        <v>6358</v>
      </c>
      <c r="F2562" t="s">
        <v>6358</v>
      </c>
      <c r="G2562" s="43">
        <v>7.1300000000000002E-2</v>
      </c>
      <c r="H2562" s="63">
        <v>1</v>
      </c>
    </row>
    <row r="2563" spans="1:8" x14ac:dyDescent="0.55000000000000004">
      <c r="A2563" s="61" t="s">
        <v>7102</v>
      </c>
      <c r="B2563" t="s">
        <v>2576</v>
      </c>
      <c r="C2563">
        <v>9203</v>
      </c>
      <c r="D2563" t="s">
        <v>6365</v>
      </c>
      <c r="E2563" t="s">
        <v>6366</v>
      </c>
      <c r="F2563" t="s">
        <v>6361</v>
      </c>
      <c r="G2563" s="43">
        <v>0</v>
      </c>
      <c r="H2563" s="63">
        <v>-0.1</v>
      </c>
    </row>
    <row r="2564" spans="1:8" x14ac:dyDescent="0.55000000000000004">
      <c r="A2564" s="61" t="s">
        <v>7103</v>
      </c>
      <c r="B2564" t="s">
        <v>2576</v>
      </c>
      <c r="C2564">
        <v>9304</v>
      </c>
      <c r="D2564" t="s">
        <v>6359</v>
      </c>
      <c r="E2564" t="s">
        <v>6369</v>
      </c>
      <c r="F2564" t="s">
        <v>6361</v>
      </c>
      <c r="G2564" s="43">
        <v>0</v>
      </c>
      <c r="H2564" s="63">
        <v>0.9</v>
      </c>
    </row>
    <row r="2565" spans="1:8" x14ac:dyDescent="0.55000000000000004">
      <c r="A2565" s="61" t="s">
        <v>7103</v>
      </c>
      <c r="B2565" t="s">
        <v>2576</v>
      </c>
      <c r="C2565">
        <v>9304</v>
      </c>
      <c r="D2565" t="s">
        <v>6363</v>
      </c>
      <c r="E2565" t="s">
        <v>6364</v>
      </c>
      <c r="F2565" t="s">
        <v>6361</v>
      </c>
      <c r="G2565" s="43">
        <v>0</v>
      </c>
      <c r="H2565" s="63">
        <v>0.1</v>
      </c>
    </row>
    <row r="2566" spans="1:8" x14ac:dyDescent="0.55000000000000004">
      <c r="A2566" s="61" t="s">
        <v>7103</v>
      </c>
      <c r="B2566" t="s">
        <v>2576</v>
      </c>
      <c r="C2566">
        <v>9304</v>
      </c>
      <c r="D2566" t="s">
        <v>6362</v>
      </c>
      <c r="E2566" t="s">
        <v>6358</v>
      </c>
      <c r="F2566" t="s">
        <v>6358</v>
      </c>
      <c r="G2566" s="43">
        <v>7.1300000000000002E-2</v>
      </c>
      <c r="H2566" s="63">
        <v>1</v>
      </c>
    </row>
    <row r="2567" spans="1:8" x14ac:dyDescent="0.55000000000000004">
      <c r="A2567" s="61" t="s">
        <v>7103</v>
      </c>
      <c r="B2567" t="s">
        <v>2576</v>
      </c>
      <c r="C2567">
        <v>9304</v>
      </c>
      <c r="D2567" t="s">
        <v>6365</v>
      </c>
      <c r="E2567" t="s">
        <v>6366</v>
      </c>
      <c r="F2567" t="s">
        <v>6361</v>
      </c>
      <c r="G2567" s="43">
        <v>0</v>
      </c>
      <c r="H2567" s="63">
        <v>-0.1</v>
      </c>
    </row>
    <row r="2568" spans="1:8" x14ac:dyDescent="0.55000000000000004">
      <c r="A2568" s="61" t="s">
        <v>7104</v>
      </c>
      <c r="B2568" t="s">
        <v>2576</v>
      </c>
      <c r="C2568">
        <v>9310</v>
      </c>
      <c r="D2568" t="s">
        <v>6359</v>
      </c>
      <c r="E2568" t="s">
        <v>6369</v>
      </c>
      <c r="F2568" t="s">
        <v>6361</v>
      </c>
      <c r="G2568" s="43">
        <v>0</v>
      </c>
      <c r="H2568" s="63">
        <v>0.9</v>
      </c>
    </row>
    <row r="2569" spans="1:8" x14ac:dyDescent="0.55000000000000004">
      <c r="A2569" s="61" t="s">
        <v>7104</v>
      </c>
      <c r="B2569" t="s">
        <v>2576</v>
      </c>
      <c r="C2569">
        <v>9310</v>
      </c>
      <c r="D2569" t="s">
        <v>6363</v>
      </c>
      <c r="E2569" t="s">
        <v>6364</v>
      </c>
      <c r="F2569" t="s">
        <v>6361</v>
      </c>
      <c r="G2569" s="43">
        <v>0</v>
      </c>
      <c r="H2569" s="63">
        <v>0.1</v>
      </c>
    </row>
    <row r="2570" spans="1:8" x14ac:dyDescent="0.55000000000000004">
      <c r="A2570" s="61" t="s">
        <v>7104</v>
      </c>
      <c r="B2570" t="s">
        <v>2576</v>
      </c>
      <c r="C2570">
        <v>9310</v>
      </c>
      <c r="D2570" t="s">
        <v>6362</v>
      </c>
      <c r="E2570" t="s">
        <v>6358</v>
      </c>
      <c r="F2570" t="s">
        <v>6358</v>
      </c>
      <c r="G2570" s="43">
        <v>7.1300000000000002E-2</v>
      </c>
      <c r="H2570" s="63">
        <v>1</v>
      </c>
    </row>
    <row r="2571" spans="1:8" x14ac:dyDescent="0.55000000000000004">
      <c r="A2571" s="61" t="s">
        <v>7104</v>
      </c>
      <c r="B2571" t="s">
        <v>2576</v>
      </c>
      <c r="C2571">
        <v>9310</v>
      </c>
      <c r="D2571" t="s">
        <v>6365</v>
      </c>
      <c r="E2571" t="s">
        <v>6366</v>
      </c>
      <c r="F2571" t="s">
        <v>6361</v>
      </c>
      <c r="G2571" s="43">
        <v>0</v>
      </c>
      <c r="H2571" s="63">
        <v>-0.1</v>
      </c>
    </row>
    <row r="2572" spans="1:8" x14ac:dyDescent="0.55000000000000004">
      <c r="A2572" s="61" t="s">
        <v>7105</v>
      </c>
      <c r="B2572" t="s">
        <v>5509</v>
      </c>
      <c r="C2572">
        <v>8701</v>
      </c>
      <c r="D2572" t="s">
        <v>6359</v>
      </c>
      <c r="E2572" t="s">
        <v>6370</v>
      </c>
      <c r="F2572" t="s">
        <v>6361</v>
      </c>
      <c r="G2572" s="43">
        <v>0</v>
      </c>
      <c r="H2572" s="63">
        <v>1</v>
      </c>
    </row>
    <row r="2573" spans="1:8" x14ac:dyDescent="0.55000000000000004">
      <c r="A2573" s="61" t="s">
        <v>7105</v>
      </c>
      <c r="B2573" t="s">
        <v>5509</v>
      </c>
      <c r="C2573">
        <v>8701</v>
      </c>
      <c r="D2573" t="s">
        <v>6362</v>
      </c>
      <c r="E2573" t="s">
        <v>6358</v>
      </c>
      <c r="F2573" t="s">
        <v>6358</v>
      </c>
      <c r="G2573" s="43">
        <v>6.2899999999999998E-2</v>
      </c>
      <c r="H2573" s="63">
        <v>1</v>
      </c>
    </row>
    <row r="2574" spans="1:8" x14ac:dyDescent="0.55000000000000004">
      <c r="A2574" s="61" t="s">
        <v>7106</v>
      </c>
      <c r="B2574" t="s">
        <v>5509</v>
      </c>
      <c r="C2574">
        <v>8710</v>
      </c>
      <c r="D2574" t="s">
        <v>6359</v>
      </c>
      <c r="E2574" t="s">
        <v>6370</v>
      </c>
      <c r="F2574" t="s">
        <v>6361</v>
      </c>
      <c r="G2574" s="43">
        <v>0</v>
      </c>
      <c r="H2574" s="63">
        <v>0.9</v>
      </c>
    </row>
    <row r="2575" spans="1:8" x14ac:dyDescent="0.55000000000000004">
      <c r="A2575" s="61" t="s">
        <v>7106</v>
      </c>
      <c r="B2575" t="s">
        <v>5509</v>
      </c>
      <c r="C2575">
        <v>8710</v>
      </c>
      <c r="D2575" t="s">
        <v>6363</v>
      </c>
      <c r="E2575" t="s">
        <v>6364</v>
      </c>
      <c r="F2575" t="s">
        <v>6361</v>
      </c>
      <c r="G2575" s="43">
        <v>0</v>
      </c>
      <c r="H2575" s="63">
        <v>0.1</v>
      </c>
    </row>
    <row r="2576" spans="1:8" x14ac:dyDescent="0.55000000000000004">
      <c r="A2576" s="61" t="s">
        <v>7106</v>
      </c>
      <c r="B2576" t="s">
        <v>5509</v>
      </c>
      <c r="C2576">
        <v>8710</v>
      </c>
      <c r="D2576" t="s">
        <v>6362</v>
      </c>
      <c r="E2576" t="s">
        <v>6358</v>
      </c>
      <c r="F2576" t="s">
        <v>6358</v>
      </c>
      <c r="G2576" s="43">
        <v>7.9899999999999999E-2</v>
      </c>
      <c r="H2576" s="63">
        <v>1</v>
      </c>
    </row>
    <row r="2577" spans="1:8" x14ac:dyDescent="0.55000000000000004">
      <c r="A2577" s="61" t="s">
        <v>7106</v>
      </c>
      <c r="B2577" t="s">
        <v>5509</v>
      </c>
      <c r="C2577">
        <v>8710</v>
      </c>
      <c r="D2577" t="s">
        <v>6365</v>
      </c>
      <c r="E2577" t="s">
        <v>6366</v>
      </c>
      <c r="F2577" t="s">
        <v>6361</v>
      </c>
      <c r="G2577" s="43">
        <v>0</v>
      </c>
      <c r="H2577" s="63">
        <v>-0.1</v>
      </c>
    </row>
    <row r="2578" spans="1:8" x14ac:dyDescent="0.55000000000000004">
      <c r="A2578" s="61" t="s">
        <v>7107</v>
      </c>
      <c r="B2578" t="s">
        <v>5509</v>
      </c>
      <c r="C2578">
        <v>9101</v>
      </c>
      <c r="D2578" t="s">
        <v>6359</v>
      </c>
      <c r="E2578" t="s">
        <v>6371</v>
      </c>
      <c r="F2578" t="s">
        <v>6361</v>
      </c>
      <c r="G2578" s="43">
        <v>0</v>
      </c>
      <c r="H2578" s="63">
        <v>1</v>
      </c>
    </row>
    <row r="2579" spans="1:8" x14ac:dyDescent="0.55000000000000004">
      <c r="A2579" s="61" t="s">
        <v>7107</v>
      </c>
      <c r="B2579" t="s">
        <v>5509</v>
      </c>
      <c r="C2579">
        <v>9101</v>
      </c>
      <c r="D2579" t="s">
        <v>6362</v>
      </c>
      <c r="E2579" t="s">
        <v>6358</v>
      </c>
      <c r="F2579" t="s">
        <v>6358</v>
      </c>
      <c r="G2579" s="43">
        <v>6.2899999999999998E-2</v>
      </c>
      <c r="H2579" s="63">
        <v>1</v>
      </c>
    </row>
    <row r="2580" spans="1:8" x14ac:dyDescent="0.55000000000000004">
      <c r="A2580" s="61" t="s">
        <v>7108</v>
      </c>
      <c r="B2580" t="s">
        <v>5509</v>
      </c>
      <c r="C2580">
        <v>9204</v>
      </c>
      <c r="D2580" t="s">
        <v>6359</v>
      </c>
      <c r="E2580" t="s">
        <v>6371</v>
      </c>
      <c r="F2580" t="s">
        <v>6361</v>
      </c>
      <c r="G2580" s="43">
        <v>0</v>
      </c>
      <c r="H2580" s="63">
        <v>0.9</v>
      </c>
    </row>
    <row r="2581" spans="1:8" x14ac:dyDescent="0.55000000000000004">
      <c r="A2581" s="61" t="s">
        <v>7108</v>
      </c>
      <c r="B2581" t="s">
        <v>5509</v>
      </c>
      <c r="C2581">
        <v>9204</v>
      </c>
      <c r="D2581" t="s">
        <v>6363</v>
      </c>
      <c r="E2581" t="s">
        <v>6364</v>
      </c>
      <c r="F2581" t="s">
        <v>6361</v>
      </c>
      <c r="G2581" s="43">
        <v>0</v>
      </c>
      <c r="H2581" s="63">
        <v>0.1</v>
      </c>
    </row>
    <row r="2582" spans="1:8" x14ac:dyDescent="0.55000000000000004">
      <c r="A2582" s="61" t="s">
        <v>7108</v>
      </c>
      <c r="B2582" t="s">
        <v>5509</v>
      </c>
      <c r="C2582">
        <v>9204</v>
      </c>
      <c r="D2582" t="s">
        <v>6362</v>
      </c>
      <c r="E2582" t="s">
        <v>6358</v>
      </c>
      <c r="F2582" t="s">
        <v>6358</v>
      </c>
      <c r="G2582" s="43">
        <v>7.9899999999999999E-2</v>
      </c>
      <c r="H2582" s="63">
        <v>1</v>
      </c>
    </row>
    <row r="2583" spans="1:8" x14ac:dyDescent="0.55000000000000004">
      <c r="A2583" s="61" t="s">
        <v>7108</v>
      </c>
      <c r="B2583" t="s">
        <v>5509</v>
      </c>
      <c r="C2583">
        <v>9204</v>
      </c>
      <c r="D2583" t="s">
        <v>6365</v>
      </c>
      <c r="E2583" t="s">
        <v>6366</v>
      </c>
      <c r="F2583" t="s">
        <v>6361</v>
      </c>
      <c r="G2583" s="43">
        <v>0</v>
      </c>
      <c r="H2583" s="63">
        <v>-0.1</v>
      </c>
    </row>
    <row r="2584" spans="1:8" x14ac:dyDescent="0.55000000000000004">
      <c r="A2584" s="61" t="s">
        <v>7109</v>
      </c>
      <c r="B2584" t="s">
        <v>5509</v>
      </c>
      <c r="C2584">
        <v>9310</v>
      </c>
      <c r="D2584" t="s">
        <v>6359</v>
      </c>
      <c r="E2584" t="s">
        <v>6371</v>
      </c>
      <c r="F2584" t="s">
        <v>6361</v>
      </c>
      <c r="G2584" s="43">
        <v>0</v>
      </c>
      <c r="H2584" s="63">
        <v>0.9</v>
      </c>
    </row>
    <row r="2585" spans="1:8" x14ac:dyDescent="0.55000000000000004">
      <c r="A2585" s="61" t="s">
        <v>7109</v>
      </c>
      <c r="B2585" t="s">
        <v>5509</v>
      </c>
      <c r="C2585">
        <v>9310</v>
      </c>
      <c r="D2585" t="s">
        <v>6363</v>
      </c>
      <c r="E2585" t="s">
        <v>6364</v>
      </c>
      <c r="F2585" t="s">
        <v>6361</v>
      </c>
      <c r="G2585" s="43">
        <v>0</v>
      </c>
      <c r="H2585" s="63">
        <v>0.1</v>
      </c>
    </row>
    <row r="2586" spans="1:8" x14ac:dyDescent="0.55000000000000004">
      <c r="A2586" s="61" t="s">
        <v>7109</v>
      </c>
      <c r="B2586" t="s">
        <v>5509</v>
      </c>
      <c r="C2586">
        <v>9310</v>
      </c>
      <c r="D2586" t="s">
        <v>6362</v>
      </c>
      <c r="E2586" t="s">
        <v>6358</v>
      </c>
      <c r="F2586" t="s">
        <v>6358</v>
      </c>
      <c r="G2586" s="43">
        <v>7.9899999999999999E-2</v>
      </c>
      <c r="H2586" s="63">
        <v>1</v>
      </c>
    </row>
    <row r="2587" spans="1:8" x14ac:dyDescent="0.55000000000000004">
      <c r="A2587" s="61" t="s">
        <v>7109</v>
      </c>
      <c r="B2587" t="s">
        <v>5509</v>
      </c>
      <c r="C2587">
        <v>9310</v>
      </c>
      <c r="D2587" t="s">
        <v>6365</v>
      </c>
      <c r="E2587" t="s">
        <v>6366</v>
      </c>
      <c r="F2587" t="s">
        <v>6361</v>
      </c>
      <c r="G2587" s="43">
        <v>0</v>
      </c>
      <c r="H2587" s="63">
        <v>-0.1</v>
      </c>
    </row>
    <row r="2588" spans="1:8" x14ac:dyDescent="0.55000000000000004">
      <c r="A2588" s="61" t="s">
        <v>7110</v>
      </c>
      <c r="B2588" t="s">
        <v>1722</v>
      </c>
      <c r="C2588">
        <v>8710</v>
      </c>
      <c r="D2588" t="s">
        <v>6359</v>
      </c>
      <c r="E2588" t="s">
        <v>6368</v>
      </c>
      <c r="F2588" t="s">
        <v>6361</v>
      </c>
      <c r="G2588" s="43">
        <v>0</v>
      </c>
      <c r="H2588" s="63">
        <v>0.9</v>
      </c>
    </row>
    <row r="2589" spans="1:8" x14ac:dyDescent="0.55000000000000004">
      <c r="A2589" s="61" t="s">
        <v>7110</v>
      </c>
      <c r="B2589" t="s">
        <v>1722</v>
      </c>
      <c r="C2589">
        <v>8710</v>
      </c>
      <c r="D2589" t="s">
        <v>6363</v>
      </c>
      <c r="E2589" t="s">
        <v>6364</v>
      </c>
      <c r="F2589" t="s">
        <v>6361</v>
      </c>
      <c r="G2589" s="43">
        <v>0</v>
      </c>
      <c r="H2589" s="63">
        <v>0.1</v>
      </c>
    </row>
    <row r="2590" spans="1:8" x14ac:dyDescent="0.55000000000000004">
      <c r="A2590" s="61" t="s">
        <v>7110</v>
      </c>
      <c r="B2590" t="s">
        <v>1722</v>
      </c>
      <c r="C2590">
        <v>8710</v>
      </c>
      <c r="D2590" t="s">
        <v>6362</v>
      </c>
      <c r="E2590" t="s">
        <v>6358</v>
      </c>
      <c r="F2590" t="s">
        <v>6358</v>
      </c>
      <c r="G2590" s="62">
        <v>3.6600000000000001E-2</v>
      </c>
      <c r="H2590" s="63">
        <v>1</v>
      </c>
    </row>
    <row r="2591" spans="1:8" x14ac:dyDescent="0.55000000000000004">
      <c r="A2591" s="61" t="s">
        <v>7110</v>
      </c>
      <c r="B2591" t="s">
        <v>1722</v>
      </c>
      <c r="C2591">
        <v>8710</v>
      </c>
      <c r="D2591" t="s">
        <v>6365</v>
      </c>
      <c r="E2591" t="s">
        <v>6366</v>
      </c>
      <c r="F2591" t="s">
        <v>6361</v>
      </c>
      <c r="G2591" s="43">
        <v>0</v>
      </c>
      <c r="H2591" s="63">
        <v>-0.1</v>
      </c>
    </row>
    <row r="2592" spans="1:8" x14ac:dyDescent="0.55000000000000004">
      <c r="A2592" s="61" t="s">
        <v>7111</v>
      </c>
      <c r="B2592" t="s">
        <v>1722</v>
      </c>
      <c r="C2592">
        <v>9310</v>
      </c>
      <c r="D2592" t="s">
        <v>6359</v>
      </c>
      <c r="E2592" t="s">
        <v>6369</v>
      </c>
      <c r="F2592" t="s">
        <v>6361</v>
      </c>
      <c r="G2592" s="43">
        <v>0</v>
      </c>
      <c r="H2592" s="63">
        <v>0.9</v>
      </c>
    </row>
    <row r="2593" spans="1:8" x14ac:dyDescent="0.55000000000000004">
      <c r="A2593" s="61" t="s">
        <v>7111</v>
      </c>
      <c r="B2593" t="s">
        <v>1722</v>
      </c>
      <c r="C2593">
        <v>9310</v>
      </c>
      <c r="D2593" t="s">
        <v>6363</v>
      </c>
      <c r="E2593" t="s">
        <v>6364</v>
      </c>
      <c r="F2593" t="s">
        <v>6361</v>
      </c>
      <c r="G2593" s="43">
        <v>0</v>
      </c>
      <c r="H2593" s="63">
        <v>0.1</v>
      </c>
    </row>
    <row r="2594" spans="1:8" x14ac:dyDescent="0.55000000000000004">
      <c r="A2594" s="61" t="s">
        <v>7111</v>
      </c>
      <c r="B2594" t="s">
        <v>1722</v>
      </c>
      <c r="C2594">
        <v>9310</v>
      </c>
      <c r="D2594" t="s">
        <v>6362</v>
      </c>
      <c r="E2594" t="s">
        <v>6358</v>
      </c>
      <c r="F2594" t="s">
        <v>6358</v>
      </c>
      <c r="G2594" s="62">
        <v>3.6600000000000001E-2</v>
      </c>
      <c r="H2594" s="63">
        <v>1</v>
      </c>
    </row>
    <row r="2595" spans="1:8" x14ac:dyDescent="0.55000000000000004">
      <c r="A2595" s="61" t="s">
        <v>7111</v>
      </c>
      <c r="B2595" t="s">
        <v>1722</v>
      </c>
      <c r="C2595">
        <v>9310</v>
      </c>
      <c r="D2595" t="s">
        <v>6365</v>
      </c>
      <c r="E2595" t="s">
        <v>6366</v>
      </c>
      <c r="F2595" t="s">
        <v>6361</v>
      </c>
      <c r="G2595" s="43">
        <v>0</v>
      </c>
      <c r="H2595" s="63">
        <v>-0.1</v>
      </c>
    </row>
    <row r="2596" spans="1:8" x14ac:dyDescent="0.55000000000000004">
      <c r="A2596" s="61" t="s">
        <v>7112</v>
      </c>
      <c r="B2596" t="s">
        <v>3780</v>
      </c>
      <c r="C2596">
        <v>8701</v>
      </c>
      <c r="D2596" t="s">
        <v>6359</v>
      </c>
      <c r="E2596" t="s">
        <v>6374</v>
      </c>
      <c r="F2596" t="s">
        <v>6361</v>
      </c>
      <c r="G2596" s="43">
        <v>0</v>
      </c>
      <c r="H2596" s="63">
        <v>1</v>
      </c>
    </row>
    <row r="2597" spans="1:8" x14ac:dyDescent="0.55000000000000004">
      <c r="A2597" s="61" t="s">
        <v>7112</v>
      </c>
      <c r="B2597" t="s">
        <v>3780</v>
      </c>
      <c r="C2597">
        <v>8701</v>
      </c>
      <c r="D2597" t="s">
        <v>6362</v>
      </c>
      <c r="E2597" t="s">
        <v>6358</v>
      </c>
      <c r="F2597" t="s">
        <v>6358</v>
      </c>
      <c r="G2597" s="43">
        <v>7.9299999999999995E-2</v>
      </c>
      <c r="H2597" s="63">
        <v>1</v>
      </c>
    </row>
    <row r="2598" spans="1:8" x14ac:dyDescent="0.55000000000000004">
      <c r="A2598" s="61" t="s">
        <v>7113</v>
      </c>
      <c r="B2598" t="s">
        <v>3780</v>
      </c>
      <c r="C2598">
        <v>8710</v>
      </c>
      <c r="D2598" t="s">
        <v>6359</v>
      </c>
      <c r="E2598" t="s">
        <v>6374</v>
      </c>
      <c r="F2598" t="s">
        <v>6361</v>
      </c>
      <c r="G2598" s="43">
        <v>0</v>
      </c>
      <c r="H2598" s="63">
        <v>0.9</v>
      </c>
    </row>
    <row r="2599" spans="1:8" x14ac:dyDescent="0.55000000000000004">
      <c r="A2599" s="61" t="s">
        <v>7113</v>
      </c>
      <c r="B2599" t="s">
        <v>3780</v>
      </c>
      <c r="C2599">
        <v>8710</v>
      </c>
      <c r="D2599" t="s">
        <v>6363</v>
      </c>
      <c r="E2599" t="s">
        <v>6364</v>
      </c>
      <c r="F2599" t="s">
        <v>6361</v>
      </c>
      <c r="G2599" s="43">
        <v>0</v>
      </c>
      <c r="H2599" s="63">
        <v>0.1</v>
      </c>
    </row>
    <row r="2600" spans="1:8" x14ac:dyDescent="0.55000000000000004">
      <c r="A2600" s="61" t="s">
        <v>7113</v>
      </c>
      <c r="B2600" t="s">
        <v>3780</v>
      </c>
      <c r="C2600">
        <v>8710</v>
      </c>
      <c r="D2600" t="s">
        <v>6362</v>
      </c>
      <c r="E2600" t="s">
        <v>6358</v>
      </c>
      <c r="F2600" t="s">
        <v>6358</v>
      </c>
      <c r="G2600" s="43">
        <v>9.4200000000000006E-2</v>
      </c>
      <c r="H2600" s="63">
        <v>1</v>
      </c>
    </row>
    <row r="2601" spans="1:8" x14ac:dyDescent="0.55000000000000004">
      <c r="A2601" s="61" t="s">
        <v>7113</v>
      </c>
      <c r="B2601" t="s">
        <v>3780</v>
      </c>
      <c r="C2601">
        <v>8710</v>
      </c>
      <c r="D2601" t="s">
        <v>6365</v>
      </c>
      <c r="E2601" t="s">
        <v>6366</v>
      </c>
      <c r="F2601" t="s">
        <v>6361</v>
      </c>
      <c r="G2601" s="43">
        <v>0</v>
      </c>
      <c r="H2601" s="63">
        <v>-0.1</v>
      </c>
    </row>
    <row r="2602" spans="1:8" x14ac:dyDescent="0.55000000000000004">
      <c r="A2602" s="61" t="s">
        <v>7114</v>
      </c>
      <c r="B2602" t="s">
        <v>3780</v>
      </c>
      <c r="C2602">
        <v>9101</v>
      </c>
      <c r="D2602" t="s">
        <v>6359</v>
      </c>
      <c r="E2602" t="s">
        <v>6375</v>
      </c>
      <c r="F2602" t="s">
        <v>6361</v>
      </c>
      <c r="G2602" s="43">
        <v>0</v>
      </c>
      <c r="H2602" s="63">
        <v>1</v>
      </c>
    </row>
    <row r="2603" spans="1:8" x14ac:dyDescent="0.55000000000000004">
      <c r="A2603" s="61" t="s">
        <v>7114</v>
      </c>
      <c r="B2603" t="s">
        <v>3780</v>
      </c>
      <c r="C2603">
        <v>9101</v>
      </c>
      <c r="D2603" t="s">
        <v>6362</v>
      </c>
      <c r="E2603" t="s">
        <v>6358</v>
      </c>
      <c r="F2603" t="s">
        <v>6358</v>
      </c>
      <c r="G2603" s="43">
        <v>7.9299999999999995E-2</v>
      </c>
      <c r="H2603" s="63">
        <v>1</v>
      </c>
    </row>
    <row r="2604" spans="1:8" x14ac:dyDescent="0.55000000000000004">
      <c r="A2604" s="61" t="s">
        <v>7115</v>
      </c>
      <c r="B2604" t="s">
        <v>3780</v>
      </c>
      <c r="C2604">
        <v>9310</v>
      </c>
      <c r="D2604" t="s">
        <v>6359</v>
      </c>
      <c r="E2604" t="s">
        <v>6375</v>
      </c>
      <c r="F2604" t="s">
        <v>6361</v>
      </c>
      <c r="G2604" s="43">
        <v>0</v>
      </c>
      <c r="H2604" s="63">
        <v>0.9</v>
      </c>
    </row>
    <row r="2605" spans="1:8" x14ac:dyDescent="0.55000000000000004">
      <c r="A2605" s="61" t="s">
        <v>7115</v>
      </c>
      <c r="B2605" t="s">
        <v>3780</v>
      </c>
      <c r="C2605">
        <v>9310</v>
      </c>
      <c r="D2605" t="s">
        <v>6363</v>
      </c>
      <c r="E2605" t="s">
        <v>6364</v>
      </c>
      <c r="F2605" t="s">
        <v>6361</v>
      </c>
      <c r="G2605" s="43">
        <v>0</v>
      </c>
      <c r="H2605" s="63">
        <v>0.1</v>
      </c>
    </row>
    <row r="2606" spans="1:8" x14ac:dyDescent="0.55000000000000004">
      <c r="A2606" s="61" t="s">
        <v>7115</v>
      </c>
      <c r="B2606" t="s">
        <v>3780</v>
      </c>
      <c r="C2606">
        <v>9310</v>
      </c>
      <c r="D2606" t="s">
        <v>6362</v>
      </c>
      <c r="E2606" t="s">
        <v>6358</v>
      </c>
      <c r="F2606" t="s">
        <v>6358</v>
      </c>
      <c r="G2606" s="43">
        <v>9.4200000000000006E-2</v>
      </c>
      <c r="H2606" s="63">
        <v>1</v>
      </c>
    </row>
    <row r="2607" spans="1:8" x14ac:dyDescent="0.55000000000000004">
      <c r="A2607" s="61" t="s">
        <v>7115</v>
      </c>
      <c r="B2607" t="s">
        <v>3780</v>
      </c>
      <c r="C2607">
        <v>9310</v>
      </c>
      <c r="D2607" t="s">
        <v>6365</v>
      </c>
      <c r="E2607" t="s">
        <v>6366</v>
      </c>
      <c r="F2607" t="s">
        <v>6361</v>
      </c>
      <c r="G2607" s="43">
        <v>0</v>
      </c>
      <c r="H2607" s="63">
        <v>-0.1</v>
      </c>
    </row>
    <row r="2608" spans="1:8" x14ac:dyDescent="0.55000000000000004">
      <c r="A2608" s="61" t="s">
        <v>7116</v>
      </c>
      <c r="B2608" t="s">
        <v>1732</v>
      </c>
      <c r="C2608">
        <v>8710</v>
      </c>
      <c r="D2608" t="s">
        <v>6359</v>
      </c>
      <c r="E2608" t="s">
        <v>6368</v>
      </c>
      <c r="F2608" t="s">
        <v>6361</v>
      </c>
      <c r="G2608" s="43">
        <v>0</v>
      </c>
      <c r="H2608" s="63">
        <v>0.9</v>
      </c>
    </row>
    <row r="2609" spans="1:8" x14ac:dyDescent="0.55000000000000004">
      <c r="A2609" s="61" t="s">
        <v>7116</v>
      </c>
      <c r="B2609" t="s">
        <v>1732</v>
      </c>
      <c r="C2609">
        <v>8710</v>
      </c>
      <c r="D2609" t="s">
        <v>6363</v>
      </c>
      <c r="E2609" t="s">
        <v>6364</v>
      </c>
      <c r="F2609" t="s">
        <v>6361</v>
      </c>
      <c r="G2609" s="43">
        <v>0</v>
      </c>
      <c r="H2609" s="63">
        <v>0.1</v>
      </c>
    </row>
    <row r="2610" spans="1:8" x14ac:dyDescent="0.55000000000000004">
      <c r="A2610" s="61" t="s">
        <v>7116</v>
      </c>
      <c r="B2610" t="s">
        <v>1732</v>
      </c>
      <c r="C2610">
        <v>8710</v>
      </c>
      <c r="D2610" t="s">
        <v>6362</v>
      </c>
      <c r="E2610" t="s">
        <v>6358</v>
      </c>
      <c r="F2610" t="s">
        <v>6358</v>
      </c>
      <c r="G2610" s="62">
        <v>4.5999999999999999E-2</v>
      </c>
      <c r="H2610" s="63">
        <v>1</v>
      </c>
    </row>
    <row r="2611" spans="1:8" x14ac:dyDescent="0.55000000000000004">
      <c r="A2611" s="61" t="s">
        <v>7116</v>
      </c>
      <c r="B2611" t="s">
        <v>1732</v>
      </c>
      <c r="C2611">
        <v>8710</v>
      </c>
      <c r="D2611" t="s">
        <v>6365</v>
      </c>
      <c r="E2611" t="s">
        <v>6366</v>
      </c>
      <c r="F2611" t="s">
        <v>6361</v>
      </c>
      <c r="G2611" s="43">
        <v>0</v>
      </c>
      <c r="H2611" s="63">
        <v>-0.1</v>
      </c>
    </row>
    <row r="2612" spans="1:8" x14ac:dyDescent="0.55000000000000004">
      <c r="A2612" s="61" t="s">
        <v>7117</v>
      </c>
      <c r="B2612" t="s">
        <v>1732</v>
      </c>
      <c r="C2612">
        <v>9204</v>
      </c>
      <c r="D2612" t="s">
        <v>6359</v>
      </c>
      <c r="E2612" t="s">
        <v>6369</v>
      </c>
      <c r="F2612" t="s">
        <v>6361</v>
      </c>
      <c r="G2612" s="43">
        <v>0</v>
      </c>
      <c r="H2612" s="63">
        <v>0.9</v>
      </c>
    </row>
    <row r="2613" spans="1:8" x14ac:dyDescent="0.55000000000000004">
      <c r="A2613" s="61" t="s">
        <v>7117</v>
      </c>
      <c r="B2613" t="s">
        <v>1732</v>
      </c>
      <c r="C2613">
        <v>9204</v>
      </c>
      <c r="D2613" t="s">
        <v>6363</v>
      </c>
      <c r="E2613" t="s">
        <v>6364</v>
      </c>
      <c r="F2613" t="s">
        <v>6361</v>
      </c>
      <c r="G2613" s="43">
        <v>0</v>
      </c>
      <c r="H2613" s="63">
        <v>0.1</v>
      </c>
    </row>
    <row r="2614" spans="1:8" x14ac:dyDescent="0.55000000000000004">
      <c r="A2614" s="61" t="s">
        <v>7117</v>
      </c>
      <c r="B2614" t="s">
        <v>1732</v>
      </c>
      <c r="C2614">
        <v>9204</v>
      </c>
      <c r="D2614" t="s">
        <v>6362</v>
      </c>
      <c r="E2614" t="s">
        <v>6358</v>
      </c>
      <c r="F2614" t="s">
        <v>6358</v>
      </c>
      <c r="G2614" s="62">
        <v>4.5999999999999999E-2</v>
      </c>
      <c r="H2614" s="63">
        <v>1</v>
      </c>
    </row>
    <row r="2615" spans="1:8" x14ac:dyDescent="0.55000000000000004">
      <c r="A2615" s="61" t="s">
        <v>7117</v>
      </c>
      <c r="B2615" t="s">
        <v>1732</v>
      </c>
      <c r="C2615">
        <v>9204</v>
      </c>
      <c r="D2615" t="s">
        <v>6365</v>
      </c>
      <c r="E2615" t="s">
        <v>6366</v>
      </c>
      <c r="F2615" t="s">
        <v>6361</v>
      </c>
      <c r="G2615" s="43">
        <v>0</v>
      </c>
      <c r="H2615" s="63">
        <v>-0.1</v>
      </c>
    </row>
    <row r="2616" spans="1:8" x14ac:dyDescent="0.55000000000000004">
      <c r="A2616" s="61" t="s">
        <v>7118</v>
      </c>
      <c r="B2616" t="s">
        <v>1732</v>
      </c>
      <c r="C2616">
        <v>9310</v>
      </c>
      <c r="D2616" t="s">
        <v>6359</v>
      </c>
      <c r="E2616" t="s">
        <v>6369</v>
      </c>
      <c r="F2616" t="s">
        <v>6361</v>
      </c>
      <c r="G2616" s="43">
        <v>0</v>
      </c>
      <c r="H2616" s="63">
        <v>0.9</v>
      </c>
    </row>
    <row r="2617" spans="1:8" x14ac:dyDescent="0.55000000000000004">
      <c r="A2617" s="61" t="s">
        <v>7118</v>
      </c>
      <c r="B2617" t="s">
        <v>1732</v>
      </c>
      <c r="C2617">
        <v>9310</v>
      </c>
      <c r="D2617" t="s">
        <v>6363</v>
      </c>
      <c r="E2617" t="s">
        <v>6364</v>
      </c>
      <c r="F2617" t="s">
        <v>6361</v>
      </c>
      <c r="G2617" s="43">
        <v>0</v>
      </c>
      <c r="H2617" s="63">
        <v>0.1</v>
      </c>
    </row>
    <row r="2618" spans="1:8" x14ac:dyDescent="0.55000000000000004">
      <c r="A2618" s="61" t="s">
        <v>7118</v>
      </c>
      <c r="B2618" t="s">
        <v>1732</v>
      </c>
      <c r="C2618">
        <v>9310</v>
      </c>
      <c r="D2618" t="s">
        <v>6362</v>
      </c>
      <c r="E2618" t="s">
        <v>6358</v>
      </c>
      <c r="F2618" t="s">
        <v>6358</v>
      </c>
      <c r="G2618" s="62">
        <v>4.5999999999999999E-2</v>
      </c>
      <c r="H2618" s="63">
        <v>1</v>
      </c>
    </row>
    <row r="2619" spans="1:8" x14ac:dyDescent="0.55000000000000004">
      <c r="A2619" s="61" t="s">
        <v>7118</v>
      </c>
      <c r="B2619" t="s">
        <v>1732</v>
      </c>
      <c r="C2619">
        <v>9310</v>
      </c>
      <c r="D2619" t="s">
        <v>6365</v>
      </c>
      <c r="E2619" t="s">
        <v>6366</v>
      </c>
      <c r="F2619" t="s">
        <v>6361</v>
      </c>
      <c r="G2619" s="43">
        <v>0</v>
      </c>
      <c r="H2619" s="63">
        <v>-0.1</v>
      </c>
    </row>
    <row r="2620" spans="1:8" x14ac:dyDescent="0.55000000000000004">
      <c r="A2620" s="61" t="s">
        <v>7119</v>
      </c>
      <c r="B2620" t="s">
        <v>1434</v>
      </c>
      <c r="C2620">
        <v>8710</v>
      </c>
      <c r="D2620" t="s">
        <v>6359</v>
      </c>
      <c r="E2620" t="s">
        <v>6360</v>
      </c>
      <c r="F2620" t="s">
        <v>6361</v>
      </c>
      <c r="G2620" s="43">
        <v>0</v>
      </c>
      <c r="H2620" s="63">
        <v>0.9</v>
      </c>
    </row>
    <row r="2621" spans="1:8" x14ac:dyDescent="0.55000000000000004">
      <c r="A2621" s="61" t="s">
        <v>7119</v>
      </c>
      <c r="B2621" t="s">
        <v>1434</v>
      </c>
      <c r="C2621">
        <v>8710</v>
      </c>
      <c r="D2621" t="s">
        <v>6363</v>
      </c>
      <c r="E2621" t="s">
        <v>6364</v>
      </c>
      <c r="F2621" t="s">
        <v>6361</v>
      </c>
      <c r="G2621" s="43">
        <v>0</v>
      </c>
      <c r="H2621" s="63">
        <v>0.1</v>
      </c>
    </row>
    <row r="2622" spans="1:8" x14ac:dyDescent="0.55000000000000004">
      <c r="A2622" s="61" t="s">
        <v>7119</v>
      </c>
      <c r="B2622" t="s">
        <v>1434</v>
      </c>
      <c r="C2622">
        <v>8710</v>
      </c>
      <c r="D2622" t="s">
        <v>6362</v>
      </c>
      <c r="E2622" t="s">
        <v>6358</v>
      </c>
      <c r="F2622" t="s">
        <v>6358</v>
      </c>
      <c r="G2622" s="43">
        <v>6.4799999999999996E-2</v>
      </c>
      <c r="H2622" s="63">
        <v>1</v>
      </c>
    </row>
    <row r="2623" spans="1:8" x14ac:dyDescent="0.55000000000000004">
      <c r="A2623" s="61" t="s">
        <v>7119</v>
      </c>
      <c r="B2623" t="s">
        <v>1434</v>
      </c>
      <c r="C2623">
        <v>8710</v>
      </c>
      <c r="D2623" t="s">
        <v>6365</v>
      </c>
      <c r="E2623" t="s">
        <v>6366</v>
      </c>
      <c r="F2623" t="s">
        <v>6361</v>
      </c>
      <c r="G2623" s="43">
        <v>0</v>
      </c>
      <c r="H2623" s="63">
        <v>-0.1</v>
      </c>
    </row>
    <row r="2624" spans="1:8" x14ac:dyDescent="0.55000000000000004">
      <c r="A2624" s="61" t="s">
        <v>7120</v>
      </c>
      <c r="B2624" t="s">
        <v>255</v>
      </c>
      <c r="C2624">
        <v>8701</v>
      </c>
      <c r="D2624" t="s">
        <v>6359</v>
      </c>
      <c r="E2624" t="s">
        <v>6370</v>
      </c>
      <c r="F2624" t="s">
        <v>6361</v>
      </c>
      <c r="G2624" s="43">
        <v>0</v>
      </c>
      <c r="H2624" s="63">
        <v>1</v>
      </c>
    </row>
    <row r="2625" spans="1:8" x14ac:dyDescent="0.55000000000000004">
      <c r="A2625" s="61" t="s">
        <v>7120</v>
      </c>
      <c r="B2625" t="s">
        <v>255</v>
      </c>
      <c r="C2625">
        <v>8701</v>
      </c>
      <c r="D2625" t="s">
        <v>6362</v>
      </c>
      <c r="E2625" t="s">
        <v>6358</v>
      </c>
      <c r="F2625" t="s">
        <v>6358</v>
      </c>
      <c r="G2625" s="43">
        <v>0.18160000000000001</v>
      </c>
      <c r="H2625" s="63">
        <v>1</v>
      </c>
    </row>
    <row r="2626" spans="1:8" x14ac:dyDescent="0.55000000000000004">
      <c r="A2626" s="61" t="s">
        <v>7121</v>
      </c>
      <c r="B2626" t="s">
        <v>255</v>
      </c>
      <c r="C2626">
        <v>8710</v>
      </c>
      <c r="D2626" t="s">
        <v>6359</v>
      </c>
      <c r="E2626" t="s">
        <v>6370</v>
      </c>
      <c r="F2626" t="s">
        <v>6361</v>
      </c>
      <c r="G2626" s="43">
        <v>0</v>
      </c>
      <c r="H2626" s="63">
        <v>0.9</v>
      </c>
    </row>
    <row r="2627" spans="1:8" x14ac:dyDescent="0.55000000000000004">
      <c r="A2627" s="61" t="s">
        <v>7121</v>
      </c>
      <c r="B2627" t="s">
        <v>255</v>
      </c>
      <c r="C2627">
        <v>8710</v>
      </c>
      <c r="D2627" t="s">
        <v>6363</v>
      </c>
      <c r="E2627" t="s">
        <v>6364</v>
      </c>
      <c r="F2627" t="s">
        <v>6361</v>
      </c>
      <c r="G2627" s="43">
        <v>0</v>
      </c>
      <c r="H2627" s="63">
        <v>0.1</v>
      </c>
    </row>
    <row r="2628" spans="1:8" x14ac:dyDescent="0.55000000000000004">
      <c r="A2628" s="61" t="s">
        <v>7121</v>
      </c>
      <c r="B2628" t="s">
        <v>255</v>
      </c>
      <c r="C2628">
        <v>8710</v>
      </c>
      <c r="D2628" t="s">
        <v>6362</v>
      </c>
      <c r="E2628" t="s">
        <v>6358</v>
      </c>
      <c r="F2628" t="s">
        <v>6358</v>
      </c>
      <c r="G2628" s="43">
        <v>0.17580000000000001</v>
      </c>
      <c r="H2628" s="63">
        <v>1</v>
      </c>
    </row>
    <row r="2629" spans="1:8" x14ac:dyDescent="0.55000000000000004">
      <c r="A2629" s="61" t="s">
        <v>7121</v>
      </c>
      <c r="B2629" t="s">
        <v>255</v>
      </c>
      <c r="C2629">
        <v>8710</v>
      </c>
      <c r="D2629" t="s">
        <v>6365</v>
      </c>
      <c r="E2629" t="s">
        <v>6366</v>
      </c>
      <c r="F2629" t="s">
        <v>6361</v>
      </c>
      <c r="G2629" s="43">
        <v>0</v>
      </c>
      <c r="H2629" s="63">
        <v>-0.1</v>
      </c>
    </row>
    <row r="2630" spans="1:8" x14ac:dyDescent="0.55000000000000004">
      <c r="A2630" s="61" t="s">
        <v>7122</v>
      </c>
      <c r="B2630" t="s">
        <v>255</v>
      </c>
      <c r="C2630">
        <v>9101</v>
      </c>
      <c r="D2630" t="s">
        <v>6359</v>
      </c>
      <c r="E2630" t="s">
        <v>6371</v>
      </c>
      <c r="F2630" t="s">
        <v>6361</v>
      </c>
      <c r="G2630" s="43">
        <v>0</v>
      </c>
      <c r="H2630" s="63">
        <v>1</v>
      </c>
    </row>
    <row r="2631" spans="1:8" x14ac:dyDescent="0.55000000000000004">
      <c r="A2631" s="61" t="s">
        <v>7122</v>
      </c>
      <c r="B2631" t="s">
        <v>255</v>
      </c>
      <c r="C2631">
        <v>9101</v>
      </c>
      <c r="D2631" t="s">
        <v>6362</v>
      </c>
      <c r="E2631" t="s">
        <v>6358</v>
      </c>
      <c r="F2631" t="s">
        <v>6358</v>
      </c>
      <c r="G2631" s="43">
        <v>0.18160000000000001</v>
      </c>
      <c r="H2631" s="63">
        <v>1</v>
      </c>
    </row>
    <row r="2632" spans="1:8" x14ac:dyDescent="0.55000000000000004">
      <c r="A2632" s="61" t="s">
        <v>7123</v>
      </c>
      <c r="B2632" t="s">
        <v>255</v>
      </c>
      <c r="C2632">
        <v>9110</v>
      </c>
      <c r="D2632" t="s">
        <v>6359</v>
      </c>
      <c r="E2632" t="s">
        <v>6371</v>
      </c>
      <c r="F2632" t="s">
        <v>6361</v>
      </c>
      <c r="G2632" s="43">
        <v>0</v>
      </c>
      <c r="H2632" s="63">
        <v>0.9</v>
      </c>
    </row>
    <row r="2633" spans="1:8" x14ac:dyDescent="0.55000000000000004">
      <c r="A2633" s="61" t="s">
        <v>7123</v>
      </c>
      <c r="B2633" t="s">
        <v>255</v>
      </c>
      <c r="C2633">
        <v>9110</v>
      </c>
      <c r="D2633" t="s">
        <v>6363</v>
      </c>
      <c r="E2633" t="s">
        <v>6364</v>
      </c>
      <c r="F2633" t="s">
        <v>6361</v>
      </c>
      <c r="G2633" s="43">
        <v>0</v>
      </c>
      <c r="H2633" s="63">
        <v>0.1</v>
      </c>
    </row>
    <row r="2634" spans="1:8" x14ac:dyDescent="0.55000000000000004">
      <c r="A2634" s="61" t="s">
        <v>7123</v>
      </c>
      <c r="B2634" t="s">
        <v>255</v>
      </c>
      <c r="C2634">
        <v>9110</v>
      </c>
      <c r="D2634" t="s">
        <v>6362</v>
      </c>
      <c r="E2634" t="s">
        <v>6358</v>
      </c>
      <c r="F2634" t="s">
        <v>6358</v>
      </c>
      <c r="G2634" s="43">
        <v>0.17580000000000001</v>
      </c>
      <c r="H2634" s="63">
        <v>1</v>
      </c>
    </row>
    <row r="2635" spans="1:8" x14ac:dyDescent="0.55000000000000004">
      <c r="A2635" s="61" t="s">
        <v>7123</v>
      </c>
      <c r="B2635" t="s">
        <v>255</v>
      </c>
      <c r="C2635">
        <v>9110</v>
      </c>
      <c r="D2635" t="s">
        <v>6365</v>
      </c>
      <c r="E2635" t="s">
        <v>6366</v>
      </c>
      <c r="F2635" t="s">
        <v>6361</v>
      </c>
      <c r="G2635" s="43">
        <v>0</v>
      </c>
      <c r="H2635" s="63">
        <v>-0.1</v>
      </c>
    </row>
    <row r="2636" spans="1:8" x14ac:dyDescent="0.55000000000000004">
      <c r="A2636" s="61" t="s">
        <v>7124</v>
      </c>
      <c r="B2636" t="s">
        <v>255</v>
      </c>
      <c r="C2636">
        <v>9310</v>
      </c>
      <c r="D2636" t="s">
        <v>6359</v>
      </c>
      <c r="E2636" t="s">
        <v>6371</v>
      </c>
      <c r="F2636" t="s">
        <v>6361</v>
      </c>
      <c r="G2636" s="43">
        <v>0</v>
      </c>
      <c r="H2636" s="63">
        <v>0.9</v>
      </c>
    </row>
    <row r="2637" spans="1:8" x14ac:dyDescent="0.55000000000000004">
      <c r="A2637" s="61" t="s">
        <v>7124</v>
      </c>
      <c r="B2637" t="s">
        <v>255</v>
      </c>
      <c r="C2637">
        <v>9310</v>
      </c>
      <c r="D2637" t="s">
        <v>6363</v>
      </c>
      <c r="E2637" t="s">
        <v>6364</v>
      </c>
      <c r="F2637" t="s">
        <v>6361</v>
      </c>
      <c r="G2637" s="43">
        <v>0</v>
      </c>
      <c r="H2637" s="63">
        <v>0.1</v>
      </c>
    </row>
    <row r="2638" spans="1:8" x14ac:dyDescent="0.55000000000000004">
      <c r="A2638" s="61" t="s">
        <v>7124</v>
      </c>
      <c r="B2638" t="s">
        <v>255</v>
      </c>
      <c r="C2638">
        <v>9310</v>
      </c>
      <c r="D2638" t="s">
        <v>6362</v>
      </c>
      <c r="E2638" t="s">
        <v>6358</v>
      </c>
      <c r="F2638" t="s">
        <v>6358</v>
      </c>
      <c r="G2638" s="43">
        <v>0.17580000000000001</v>
      </c>
      <c r="H2638" s="63">
        <v>1</v>
      </c>
    </row>
    <row r="2639" spans="1:8" x14ac:dyDescent="0.55000000000000004">
      <c r="A2639" s="61" t="s">
        <v>7124</v>
      </c>
      <c r="B2639" t="s">
        <v>255</v>
      </c>
      <c r="C2639">
        <v>9310</v>
      </c>
      <c r="D2639" t="s">
        <v>6365</v>
      </c>
      <c r="E2639" t="s">
        <v>6366</v>
      </c>
      <c r="F2639" t="s">
        <v>6361</v>
      </c>
      <c r="G2639" s="43">
        <v>0</v>
      </c>
      <c r="H2639" s="63">
        <v>-0.1</v>
      </c>
    </row>
    <row r="2640" spans="1:8" x14ac:dyDescent="0.55000000000000004">
      <c r="A2640" s="61" t="s">
        <v>7125</v>
      </c>
      <c r="B2640" t="s">
        <v>1180</v>
      </c>
      <c r="C2640">
        <v>8701</v>
      </c>
      <c r="D2640" t="s">
        <v>6359</v>
      </c>
      <c r="E2640" t="s">
        <v>6370</v>
      </c>
      <c r="F2640" t="s">
        <v>6361</v>
      </c>
      <c r="G2640" s="43">
        <v>0</v>
      </c>
      <c r="H2640" s="63">
        <v>1</v>
      </c>
    </row>
    <row r="2641" spans="1:8" x14ac:dyDescent="0.55000000000000004">
      <c r="A2641" s="61" t="s">
        <v>7125</v>
      </c>
      <c r="B2641" t="s">
        <v>1180</v>
      </c>
      <c r="C2641">
        <v>8701</v>
      </c>
      <c r="D2641" t="s">
        <v>6362</v>
      </c>
      <c r="E2641" t="s">
        <v>6358</v>
      </c>
      <c r="F2641" t="s">
        <v>6358</v>
      </c>
      <c r="G2641" s="43">
        <v>5.6500000000000002E-2</v>
      </c>
      <c r="H2641" s="63">
        <v>1</v>
      </c>
    </row>
    <row r="2642" spans="1:8" x14ac:dyDescent="0.55000000000000004">
      <c r="A2642" s="61" t="s">
        <v>7126</v>
      </c>
      <c r="B2642" t="s">
        <v>1180</v>
      </c>
      <c r="C2642">
        <v>8710</v>
      </c>
      <c r="D2642" t="s">
        <v>6359</v>
      </c>
      <c r="E2642" t="s">
        <v>6370</v>
      </c>
      <c r="F2642" t="s">
        <v>6361</v>
      </c>
      <c r="G2642" s="43">
        <v>0</v>
      </c>
      <c r="H2642" s="63">
        <v>0.9</v>
      </c>
    </row>
    <row r="2643" spans="1:8" x14ac:dyDescent="0.55000000000000004">
      <c r="A2643" s="61" t="s">
        <v>7126</v>
      </c>
      <c r="B2643" t="s">
        <v>1180</v>
      </c>
      <c r="C2643">
        <v>8710</v>
      </c>
      <c r="D2643" t="s">
        <v>6363</v>
      </c>
      <c r="E2643" t="s">
        <v>6364</v>
      </c>
      <c r="F2643" t="s">
        <v>6361</v>
      </c>
      <c r="G2643" s="43">
        <v>0</v>
      </c>
      <c r="H2643" s="63">
        <v>0.1</v>
      </c>
    </row>
    <row r="2644" spans="1:8" x14ac:dyDescent="0.55000000000000004">
      <c r="A2644" s="61" t="s">
        <v>7126</v>
      </c>
      <c r="B2644" t="s">
        <v>1180</v>
      </c>
      <c r="C2644">
        <v>8710</v>
      </c>
      <c r="D2644" t="s">
        <v>6362</v>
      </c>
      <c r="E2644" t="s">
        <v>6358</v>
      </c>
      <c r="F2644" t="s">
        <v>6358</v>
      </c>
      <c r="G2644" s="43">
        <v>7.2499999999999995E-2</v>
      </c>
      <c r="H2644" s="63">
        <v>1</v>
      </c>
    </row>
    <row r="2645" spans="1:8" x14ac:dyDescent="0.55000000000000004">
      <c r="A2645" s="61" t="s">
        <v>7126</v>
      </c>
      <c r="B2645" t="s">
        <v>1180</v>
      </c>
      <c r="C2645">
        <v>8710</v>
      </c>
      <c r="D2645" t="s">
        <v>6365</v>
      </c>
      <c r="E2645" t="s">
        <v>6366</v>
      </c>
      <c r="F2645" t="s">
        <v>6361</v>
      </c>
      <c r="G2645" s="43">
        <v>0</v>
      </c>
      <c r="H2645" s="63">
        <v>-0.1</v>
      </c>
    </row>
    <row r="2646" spans="1:8" x14ac:dyDescent="0.55000000000000004">
      <c r="A2646" s="61" t="s">
        <v>7127</v>
      </c>
      <c r="B2646" t="s">
        <v>1180</v>
      </c>
      <c r="C2646">
        <v>9300</v>
      </c>
      <c r="D2646" t="s">
        <v>6359</v>
      </c>
      <c r="E2646" t="s">
        <v>6371</v>
      </c>
      <c r="F2646" t="s">
        <v>6361</v>
      </c>
      <c r="G2646" s="43">
        <v>0</v>
      </c>
      <c r="H2646" s="63">
        <v>1</v>
      </c>
    </row>
    <row r="2647" spans="1:8" x14ac:dyDescent="0.55000000000000004">
      <c r="A2647" s="61" t="s">
        <v>7127</v>
      </c>
      <c r="B2647" t="s">
        <v>1180</v>
      </c>
      <c r="C2647">
        <v>9300</v>
      </c>
      <c r="D2647" t="s">
        <v>6362</v>
      </c>
      <c r="E2647" t="s">
        <v>6358</v>
      </c>
      <c r="F2647" t="s">
        <v>6358</v>
      </c>
      <c r="G2647" s="43">
        <v>5.6500000000000002E-2</v>
      </c>
      <c r="H2647" s="63">
        <v>1</v>
      </c>
    </row>
    <row r="2648" spans="1:8" x14ac:dyDescent="0.55000000000000004">
      <c r="A2648" s="61" t="s">
        <v>7128</v>
      </c>
      <c r="B2648" t="s">
        <v>1180</v>
      </c>
      <c r="C2648">
        <v>9310</v>
      </c>
      <c r="D2648" t="s">
        <v>6359</v>
      </c>
      <c r="E2648" t="s">
        <v>6371</v>
      </c>
      <c r="F2648" t="s">
        <v>6361</v>
      </c>
      <c r="G2648" s="43">
        <v>0</v>
      </c>
      <c r="H2648" s="63">
        <v>0.9</v>
      </c>
    </row>
    <row r="2649" spans="1:8" x14ac:dyDescent="0.55000000000000004">
      <c r="A2649" s="61" t="s">
        <v>7128</v>
      </c>
      <c r="B2649" t="s">
        <v>1180</v>
      </c>
      <c r="C2649">
        <v>9310</v>
      </c>
      <c r="D2649" t="s">
        <v>6363</v>
      </c>
      <c r="E2649" t="s">
        <v>6364</v>
      </c>
      <c r="F2649" t="s">
        <v>6361</v>
      </c>
      <c r="G2649" s="43">
        <v>0</v>
      </c>
      <c r="H2649" s="63">
        <v>0.1</v>
      </c>
    </row>
    <row r="2650" spans="1:8" x14ac:dyDescent="0.55000000000000004">
      <c r="A2650" s="61" t="s">
        <v>7128</v>
      </c>
      <c r="B2650" t="s">
        <v>1180</v>
      </c>
      <c r="C2650">
        <v>9310</v>
      </c>
      <c r="D2650" t="s">
        <v>6362</v>
      </c>
      <c r="E2650" t="s">
        <v>6358</v>
      </c>
      <c r="F2650" t="s">
        <v>6358</v>
      </c>
      <c r="G2650" s="43">
        <v>7.2499999999999995E-2</v>
      </c>
      <c r="H2650" s="63">
        <v>1</v>
      </c>
    </row>
    <row r="2651" spans="1:8" x14ac:dyDescent="0.55000000000000004">
      <c r="A2651" s="61" t="s">
        <v>7128</v>
      </c>
      <c r="B2651" t="s">
        <v>1180</v>
      </c>
      <c r="C2651">
        <v>9310</v>
      </c>
      <c r="D2651" t="s">
        <v>6365</v>
      </c>
      <c r="E2651" t="s">
        <v>6366</v>
      </c>
      <c r="F2651" t="s">
        <v>6361</v>
      </c>
      <c r="G2651" s="43">
        <v>0</v>
      </c>
      <c r="H2651" s="63">
        <v>-0.1</v>
      </c>
    </row>
    <row r="2652" spans="1:8" x14ac:dyDescent="0.55000000000000004">
      <c r="A2652" s="61" t="s">
        <v>7129</v>
      </c>
      <c r="B2652" t="s">
        <v>2605</v>
      </c>
      <c r="C2652">
        <v>8707</v>
      </c>
      <c r="D2652" t="s">
        <v>6359</v>
      </c>
      <c r="E2652" t="s">
        <v>6368</v>
      </c>
      <c r="F2652" t="s">
        <v>6361</v>
      </c>
      <c r="G2652" s="43">
        <v>0</v>
      </c>
      <c r="H2652" s="63">
        <v>0.9</v>
      </c>
    </row>
    <row r="2653" spans="1:8" x14ac:dyDescent="0.55000000000000004">
      <c r="A2653" s="61" t="s">
        <v>7129</v>
      </c>
      <c r="B2653" t="s">
        <v>2605</v>
      </c>
      <c r="C2653">
        <v>8707</v>
      </c>
      <c r="D2653" t="s">
        <v>6363</v>
      </c>
      <c r="E2653" t="s">
        <v>6364</v>
      </c>
      <c r="F2653" t="s">
        <v>6361</v>
      </c>
      <c r="G2653" s="43">
        <v>0</v>
      </c>
      <c r="H2653" s="63">
        <v>0.1</v>
      </c>
    </row>
    <row r="2654" spans="1:8" x14ac:dyDescent="0.55000000000000004">
      <c r="A2654" s="61" t="s">
        <v>7129</v>
      </c>
      <c r="B2654" t="s">
        <v>2605</v>
      </c>
      <c r="C2654">
        <v>8707</v>
      </c>
      <c r="D2654" t="s">
        <v>6362</v>
      </c>
      <c r="E2654" t="s">
        <v>6358</v>
      </c>
      <c r="F2654" t="s">
        <v>6358</v>
      </c>
      <c r="G2654" s="43">
        <v>0.1116</v>
      </c>
      <c r="H2654" s="63">
        <v>1</v>
      </c>
    </row>
    <row r="2655" spans="1:8" x14ac:dyDescent="0.55000000000000004">
      <c r="A2655" s="61" t="s">
        <v>7129</v>
      </c>
      <c r="B2655" t="s">
        <v>2605</v>
      </c>
      <c r="C2655">
        <v>8707</v>
      </c>
      <c r="D2655" t="s">
        <v>6365</v>
      </c>
      <c r="E2655" t="s">
        <v>6366</v>
      </c>
      <c r="F2655" t="s">
        <v>6361</v>
      </c>
      <c r="G2655" s="43">
        <v>0</v>
      </c>
      <c r="H2655" s="63">
        <v>-0.1</v>
      </c>
    </row>
    <row r="2656" spans="1:8" x14ac:dyDescent="0.55000000000000004">
      <c r="A2656" s="61" t="s">
        <v>7130</v>
      </c>
      <c r="B2656" t="s">
        <v>2605</v>
      </c>
      <c r="C2656">
        <v>8710</v>
      </c>
      <c r="D2656" t="s">
        <v>6359</v>
      </c>
      <c r="E2656" t="s">
        <v>6368</v>
      </c>
      <c r="F2656" t="s">
        <v>6361</v>
      </c>
      <c r="G2656" s="43">
        <v>0</v>
      </c>
      <c r="H2656" s="63">
        <v>0.9</v>
      </c>
    </row>
    <row r="2657" spans="1:8" x14ac:dyDescent="0.55000000000000004">
      <c r="A2657" s="61" t="s">
        <v>7130</v>
      </c>
      <c r="B2657" t="s">
        <v>2605</v>
      </c>
      <c r="C2657">
        <v>8710</v>
      </c>
      <c r="D2657" t="s">
        <v>6363</v>
      </c>
      <c r="E2657" t="s">
        <v>6364</v>
      </c>
      <c r="F2657" t="s">
        <v>6361</v>
      </c>
      <c r="G2657" s="43">
        <v>0</v>
      </c>
      <c r="H2657" s="63">
        <v>0.1</v>
      </c>
    </row>
    <row r="2658" spans="1:8" x14ac:dyDescent="0.55000000000000004">
      <c r="A2658" s="61" t="s">
        <v>7130</v>
      </c>
      <c r="B2658" t="s">
        <v>2605</v>
      </c>
      <c r="C2658">
        <v>8710</v>
      </c>
      <c r="D2658" t="s">
        <v>6362</v>
      </c>
      <c r="E2658" t="s">
        <v>6358</v>
      </c>
      <c r="F2658" t="s">
        <v>6358</v>
      </c>
      <c r="G2658" s="43">
        <v>0.1116</v>
      </c>
      <c r="H2658" s="63">
        <v>1</v>
      </c>
    </row>
    <row r="2659" spans="1:8" x14ac:dyDescent="0.55000000000000004">
      <c r="A2659" s="61" t="s">
        <v>7130</v>
      </c>
      <c r="B2659" t="s">
        <v>2605</v>
      </c>
      <c r="C2659">
        <v>8710</v>
      </c>
      <c r="D2659" t="s">
        <v>6365</v>
      </c>
      <c r="E2659" t="s">
        <v>6366</v>
      </c>
      <c r="F2659" t="s">
        <v>6361</v>
      </c>
      <c r="G2659" s="43">
        <v>0</v>
      </c>
      <c r="H2659" s="63">
        <v>-0.1</v>
      </c>
    </row>
    <row r="2660" spans="1:8" x14ac:dyDescent="0.55000000000000004">
      <c r="A2660" s="61" t="s">
        <v>7131</v>
      </c>
      <c r="B2660" t="s">
        <v>2605</v>
      </c>
      <c r="C2660">
        <v>9203</v>
      </c>
      <c r="D2660" t="s">
        <v>6359</v>
      </c>
      <c r="E2660" t="s">
        <v>6369</v>
      </c>
      <c r="F2660" t="s">
        <v>6361</v>
      </c>
      <c r="G2660" s="43">
        <v>0</v>
      </c>
      <c r="H2660" s="63">
        <v>0.9</v>
      </c>
    </row>
    <row r="2661" spans="1:8" x14ac:dyDescent="0.55000000000000004">
      <c r="A2661" s="61" t="s">
        <v>7131</v>
      </c>
      <c r="B2661" t="s">
        <v>2605</v>
      </c>
      <c r="C2661">
        <v>9203</v>
      </c>
      <c r="D2661" t="s">
        <v>6363</v>
      </c>
      <c r="E2661" t="s">
        <v>6364</v>
      </c>
      <c r="F2661" t="s">
        <v>6361</v>
      </c>
      <c r="G2661" s="43">
        <v>0</v>
      </c>
      <c r="H2661" s="63">
        <v>0.1</v>
      </c>
    </row>
    <row r="2662" spans="1:8" x14ac:dyDescent="0.55000000000000004">
      <c r="A2662" s="61" t="s">
        <v>7131</v>
      </c>
      <c r="B2662" t="s">
        <v>2605</v>
      </c>
      <c r="C2662">
        <v>9203</v>
      </c>
      <c r="D2662" t="s">
        <v>6362</v>
      </c>
      <c r="E2662" t="s">
        <v>6358</v>
      </c>
      <c r="F2662" t="s">
        <v>6358</v>
      </c>
      <c r="G2662" s="43">
        <v>0.1116</v>
      </c>
      <c r="H2662" s="63">
        <v>1</v>
      </c>
    </row>
    <row r="2663" spans="1:8" x14ac:dyDescent="0.55000000000000004">
      <c r="A2663" s="61" t="s">
        <v>7131</v>
      </c>
      <c r="B2663" t="s">
        <v>2605</v>
      </c>
      <c r="C2663">
        <v>9203</v>
      </c>
      <c r="D2663" t="s">
        <v>6365</v>
      </c>
      <c r="E2663" t="s">
        <v>6366</v>
      </c>
      <c r="F2663" t="s">
        <v>6361</v>
      </c>
      <c r="G2663" s="43">
        <v>0</v>
      </c>
      <c r="H2663" s="63">
        <v>-0.1</v>
      </c>
    </row>
    <row r="2664" spans="1:8" x14ac:dyDescent="0.55000000000000004">
      <c r="A2664" s="61" t="s">
        <v>7132</v>
      </c>
      <c r="B2664" t="s">
        <v>2605</v>
      </c>
      <c r="C2664">
        <v>9304</v>
      </c>
      <c r="D2664" t="s">
        <v>6359</v>
      </c>
      <c r="E2664" t="s">
        <v>6369</v>
      </c>
      <c r="F2664" t="s">
        <v>6361</v>
      </c>
      <c r="G2664" s="43">
        <v>0</v>
      </c>
      <c r="H2664" s="63">
        <v>0.9</v>
      </c>
    </row>
    <row r="2665" spans="1:8" x14ac:dyDescent="0.55000000000000004">
      <c r="A2665" s="61" t="s">
        <v>7132</v>
      </c>
      <c r="B2665" t="s">
        <v>2605</v>
      </c>
      <c r="C2665">
        <v>9304</v>
      </c>
      <c r="D2665" t="s">
        <v>6363</v>
      </c>
      <c r="E2665" t="s">
        <v>6364</v>
      </c>
      <c r="F2665" t="s">
        <v>6361</v>
      </c>
      <c r="G2665" s="43">
        <v>0</v>
      </c>
      <c r="H2665" s="63">
        <v>0.1</v>
      </c>
    </row>
    <row r="2666" spans="1:8" x14ac:dyDescent="0.55000000000000004">
      <c r="A2666" s="61" t="s">
        <v>7132</v>
      </c>
      <c r="B2666" t="s">
        <v>2605</v>
      </c>
      <c r="C2666">
        <v>9304</v>
      </c>
      <c r="D2666" t="s">
        <v>6362</v>
      </c>
      <c r="E2666" t="s">
        <v>6358</v>
      </c>
      <c r="F2666" t="s">
        <v>6358</v>
      </c>
      <c r="G2666" s="43">
        <v>0.1116</v>
      </c>
      <c r="H2666" s="63">
        <v>1</v>
      </c>
    </row>
    <row r="2667" spans="1:8" x14ac:dyDescent="0.55000000000000004">
      <c r="A2667" s="61" t="s">
        <v>7132</v>
      </c>
      <c r="B2667" t="s">
        <v>2605</v>
      </c>
      <c r="C2667">
        <v>9304</v>
      </c>
      <c r="D2667" t="s">
        <v>6365</v>
      </c>
      <c r="E2667" t="s">
        <v>6366</v>
      </c>
      <c r="F2667" t="s">
        <v>6361</v>
      </c>
      <c r="G2667" s="43">
        <v>0</v>
      </c>
      <c r="H2667" s="63">
        <v>-0.1</v>
      </c>
    </row>
    <row r="2668" spans="1:8" x14ac:dyDescent="0.55000000000000004">
      <c r="A2668" s="61" t="s">
        <v>7133</v>
      </c>
      <c r="B2668" t="s">
        <v>2605</v>
      </c>
      <c r="C2668">
        <v>9310</v>
      </c>
      <c r="D2668" t="s">
        <v>6359</v>
      </c>
      <c r="E2668" t="s">
        <v>6369</v>
      </c>
      <c r="F2668" t="s">
        <v>6361</v>
      </c>
      <c r="G2668" s="43">
        <v>0</v>
      </c>
      <c r="H2668" s="63">
        <v>0.9</v>
      </c>
    </row>
    <row r="2669" spans="1:8" x14ac:dyDescent="0.55000000000000004">
      <c r="A2669" s="61" t="s">
        <v>7133</v>
      </c>
      <c r="B2669" t="s">
        <v>2605</v>
      </c>
      <c r="C2669">
        <v>9310</v>
      </c>
      <c r="D2669" t="s">
        <v>6363</v>
      </c>
      <c r="E2669" t="s">
        <v>6364</v>
      </c>
      <c r="F2669" t="s">
        <v>6361</v>
      </c>
      <c r="G2669" s="43">
        <v>0</v>
      </c>
      <c r="H2669" s="63">
        <v>0.1</v>
      </c>
    </row>
    <row r="2670" spans="1:8" x14ac:dyDescent="0.55000000000000004">
      <c r="A2670" s="61" t="s">
        <v>7133</v>
      </c>
      <c r="B2670" t="s">
        <v>2605</v>
      </c>
      <c r="C2670">
        <v>9310</v>
      </c>
      <c r="D2670" t="s">
        <v>6362</v>
      </c>
      <c r="E2670" t="s">
        <v>6358</v>
      </c>
      <c r="F2670" t="s">
        <v>6358</v>
      </c>
      <c r="G2670" s="43">
        <v>0.1116</v>
      </c>
      <c r="H2670" s="63">
        <v>1</v>
      </c>
    </row>
    <row r="2671" spans="1:8" x14ac:dyDescent="0.55000000000000004">
      <c r="A2671" s="61" t="s">
        <v>7133</v>
      </c>
      <c r="B2671" t="s">
        <v>2605</v>
      </c>
      <c r="C2671">
        <v>9310</v>
      </c>
      <c r="D2671" t="s">
        <v>6365</v>
      </c>
      <c r="E2671" t="s">
        <v>6366</v>
      </c>
      <c r="F2671" t="s">
        <v>6361</v>
      </c>
      <c r="G2671" s="43">
        <v>0</v>
      </c>
      <c r="H2671" s="63">
        <v>-0.1</v>
      </c>
    </row>
    <row r="2672" spans="1:8" x14ac:dyDescent="0.55000000000000004">
      <c r="A2672" s="61" t="s">
        <v>7134</v>
      </c>
      <c r="B2672" t="s">
        <v>2774</v>
      </c>
      <c r="C2672">
        <v>8701</v>
      </c>
      <c r="D2672" t="s">
        <v>6359</v>
      </c>
      <c r="E2672" t="s">
        <v>6368</v>
      </c>
      <c r="F2672" t="s">
        <v>6361</v>
      </c>
      <c r="G2672" s="43">
        <v>0</v>
      </c>
      <c r="H2672" s="63">
        <v>1</v>
      </c>
    </row>
    <row r="2673" spans="1:8" x14ac:dyDescent="0.55000000000000004">
      <c r="A2673" s="61" t="s">
        <v>7134</v>
      </c>
      <c r="B2673" t="s">
        <v>2774</v>
      </c>
      <c r="C2673">
        <v>8701</v>
      </c>
      <c r="D2673" t="s">
        <v>6362</v>
      </c>
      <c r="E2673" t="s">
        <v>6358</v>
      </c>
      <c r="F2673" t="s">
        <v>6358</v>
      </c>
      <c r="G2673" s="43">
        <v>3.5400000000000001E-2</v>
      </c>
      <c r="H2673" s="63">
        <v>1</v>
      </c>
    </row>
    <row r="2674" spans="1:8" x14ac:dyDescent="0.55000000000000004">
      <c r="A2674" s="61" t="s">
        <v>7135</v>
      </c>
      <c r="B2674" t="s">
        <v>2774</v>
      </c>
      <c r="C2674">
        <v>8710</v>
      </c>
      <c r="D2674" t="s">
        <v>6359</v>
      </c>
      <c r="E2674" t="s">
        <v>6368</v>
      </c>
      <c r="F2674" t="s">
        <v>6361</v>
      </c>
      <c r="G2674" s="43">
        <v>0</v>
      </c>
      <c r="H2674" s="63">
        <v>0.9</v>
      </c>
    </row>
    <row r="2675" spans="1:8" x14ac:dyDescent="0.55000000000000004">
      <c r="A2675" s="61" t="s">
        <v>7135</v>
      </c>
      <c r="B2675" t="s">
        <v>2774</v>
      </c>
      <c r="C2675">
        <v>8710</v>
      </c>
      <c r="D2675" t="s">
        <v>6363</v>
      </c>
      <c r="E2675" t="s">
        <v>6364</v>
      </c>
      <c r="F2675" t="s">
        <v>6361</v>
      </c>
      <c r="G2675" s="43">
        <v>0</v>
      </c>
      <c r="H2675" s="63">
        <v>0.1</v>
      </c>
    </row>
    <row r="2676" spans="1:8" x14ac:dyDescent="0.55000000000000004">
      <c r="A2676" s="61" t="s">
        <v>7135</v>
      </c>
      <c r="B2676" t="s">
        <v>2774</v>
      </c>
      <c r="C2676">
        <v>8710</v>
      </c>
      <c r="D2676" t="s">
        <v>6362</v>
      </c>
      <c r="E2676" t="s">
        <v>6358</v>
      </c>
      <c r="F2676" t="s">
        <v>6358</v>
      </c>
      <c r="G2676" s="43">
        <v>2.4E-2</v>
      </c>
      <c r="H2676" s="63">
        <v>1</v>
      </c>
    </row>
    <row r="2677" spans="1:8" x14ac:dyDescent="0.55000000000000004">
      <c r="A2677" s="61" t="s">
        <v>7135</v>
      </c>
      <c r="B2677" t="s">
        <v>2774</v>
      </c>
      <c r="C2677">
        <v>8710</v>
      </c>
      <c r="D2677" t="s">
        <v>6365</v>
      </c>
      <c r="E2677" t="s">
        <v>6366</v>
      </c>
      <c r="F2677" t="s">
        <v>6361</v>
      </c>
      <c r="G2677" s="43">
        <v>0</v>
      </c>
      <c r="H2677" s="63">
        <v>-0.1</v>
      </c>
    </row>
    <row r="2678" spans="1:8" x14ac:dyDescent="0.55000000000000004">
      <c r="A2678" s="61" t="s">
        <v>7136</v>
      </c>
      <c r="B2678" t="s">
        <v>2774</v>
      </c>
      <c r="C2678">
        <v>9101</v>
      </c>
      <c r="D2678" t="s">
        <v>6359</v>
      </c>
      <c r="E2678" t="s">
        <v>6369</v>
      </c>
      <c r="F2678" t="s">
        <v>6361</v>
      </c>
      <c r="G2678" s="43">
        <v>0</v>
      </c>
      <c r="H2678" s="63">
        <v>1</v>
      </c>
    </row>
    <row r="2679" spans="1:8" x14ac:dyDescent="0.55000000000000004">
      <c r="A2679" s="61" t="s">
        <v>7136</v>
      </c>
      <c r="B2679" t="s">
        <v>2774</v>
      </c>
      <c r="C2679">
        <v>9101</v>
      </c>
      <c r="D2679" t="s">
        <v>6362</v>
      </c>
      <c r="E2679" t="s">
        <v>6358</v>
      </c>
      <c r="F2679" t="s">
        <v>6358</v>
      </c>
      <c r="G2679" s="43">
        <v>3.5400000000000001E-2</v>
      </c>
      <c r="H2679" s="63">
        <v>1</v>
      </c>
    </row>
    <row r="2680" spans="1:8" x14ac:dyDescent="0.55000000000000004">
      <c r="A2680" s="61" t="s">
        <v>7137</v>
      </c>
      <c r="B2680" t="s">
        <v>2774</v>
      </c>
      <c r="C2680">
        <v>9110</v>
      </c>
      <c r="D2680" t="s">
        <v>6359</v>
      </c>
      <c r="E2680" t="s">
        <v>6369</v>
      </c>
      <c r="F2680" t="s">
        <v>6361</v>
      </c>
      <c r="G2680" s="43">
        <v>0</v>
      </c>
      <c r="H2680" s="63">
        <v>0.9</v>
      </c>
    </row>
    <row r="2681" spans="1:8" x14ac:dyDescent="0.55000000000000004">
      <c r="A2681" s="61" t="s">
        <v>7137</v>
      </c>
      <c r="B2681" t="s">
        <v>2774</v>
      </c>
      <c r="C2681">
        <v>9110</v>
      </c>
      <c r="D2681" t="s">
        <v>6363</v>
      </c>
      <c r="E2681" t="s">
        <v>6364</v>
      </c>
      <c r="F2681" t="s">
        <v>6361</v>
      </c>
      <c r="G2681" s="43">
        <v>0</v>
      </c>
      <c r="H2681" s="63">
        <v>0.1</v>
      </c>
    </row>
    <row r="2682" spans="1:8" x14ac:dyDescent="0.55000000000000004">
      <c r="A2682" s="61" t="s">
        <v>7137</v>
      </c>
      <c r="B2682" t="s">
        <v>2774</v>
      </c>
      <c r="C2682">
        <v>9110</v>
      </c>
      <c r="D2682" t="s">
        <v>6362</v>
      </c>
      <c r="E2682" t="s">
        <v>6358</v>
      </c>
      <c r="F2682" t="s">
        <v>6358</v>
      </c>
      <c r="G2682" s="43">
        <v>2.4E-2</v>
      </c>
      <c r="H2682" s="63">
        <v>1</v>
      </c>
    </row>
    <row r="2683" spans="1:8" x14ac:dyDescent="0.55000000000000004">
      <c r="A2683" s="61" t="s">
        <v>7137</v>
      </c>
      <c r="B2683" t="s">
        <v>2774</v>
      </c>
      <c r="C2683">
        <v>9110</v>
      </c>
      <c r="D2683" t="s">
        <v>6365</v>
      </c>
      <c r="E2683" t="s">
        <v>6366</v>
      </c>
      <c r="F2683" t="s">
        <v>6361</v>
      </c>
      <c r="G2683" s="43">
        <v>0</v>
      </c>
      <c r="H2683" s="63">
        <v>-0.1</v>
      </c>
    </row>
    <row r="2684" spans="1:8" x14ac:dyDescent="0.55000000000000004">
      <c r="A2684" s="61" t="s">
        <v>7138</v>
      </c>
      <c r="B2684" t="s">
        <v>2774</v>
      </c>
      <c r="C2684">
        <v>9204</v>
      </c>
      <c r="D2684" t="s">
        <v>6359</v>
      </c>
      <c r="E2684" t="s">
        <v>6369</v>
      </c>
      <c r="F2684" t="s">
        <v>6361</v>
      </c>
      <c r="G2684" s="43">
        <v>0</v>
      </c>
      <c r="H2684" s="63">
        <v>0.9</v>
      </c>
    </row>
    <row r="2685" spans="1:8" x14ac:dyDescent="0.55000000000000004">
      <c r="A2685" s="61" t="s">
        <v>7138</v>
      </c>
      <c r="B2685" t="s">
        <v>2774</v>
      </c>
      <c r="C2685">
        <v>9204</v>
      </c>
      <c r="D2685" t="s">
        <v>6363</v>
      </c>
      <c r="E2685" t="s">
        <v>6364</v>
      </c>
      <c r="F2685" t="s">
        <v>6361</v>
      </c>
      <c r="G2685" s="43">
        <v>0</v>
      </c>
      <c r="H2685" s="63">
        <v>0.1</v>
      </c>
    </row>
    <row r="2686" spans="1:8" x14ac:dyDescent="0.55000000000000004">
      <c r="A2686" s="61" t="s">
        <v>7138</v>
      </c>
      <c r="B2686" t="s">
        <v>2774</v>
      </c>
      <c r="C2686">
        <v>9204</v>
      </c>
      <c r="D2686" t="s">
        <v>6362</v>
      </c>
      <c r="E2686" t="s">
        <v>6358</v>
      </c>
      <c r="F2686" t="s">
        <v>6358</v>
      </c>
      <c r="G2686" s="43">
        <v>2.4E-2</v>
      </c>
      <c r="H2686" s="63">
        <v>1</v>
      </c>
    </row>
    <row r="2687" spans="1:8" x14ac:dyDescent="0.55000000000000004">
      <c r="A2687" s="61" t="s">
        <v>7138</v>
      </c>
      <c r="B2687" t="s">
        <v>2774</v>
      </c>
      <c r="C2687">
        <v>9204</v>
      </c>
      <c r="D2687" t="s">
        <v>6365</v>
      </c>
      <c r="E2687" t="s">
        <v>6366</v>
      </c>
      <c r="F2687" t="s">
        <v>6361</v>
      </c>
      <c r="G2687" s="43">
        <v>0</v>
      </c>
      <c r="H2687" s="63">
        <v>-0.1</v>
      </c>
    </row>
    <row r="2688" spans="1:8" x14ac:dyDescent="0.55000000000000004">
      <c r="A2688" s="61" t="s">
        <v>7139</v>
      </c>
      <c r="B2688" t="s">
        <v>2774</v>
      </c>
      <c r="C2688">
        <v>9310</v>
      </c>
      <c r="D2688" t="s">
        <v>6359</v>
      </c>
      <c r="E2688" t="s">
        <v>6369</v>
      </c>
      <c r="F2688" t="s">
        <v>6361</v>
      </c>
      <c r="G2688" s="43">
        <v>0</v>
      </c>
      <c r="H2688" s="63">
        <v>0.9</v>
      </c>
    </row>
    <row r="2689" spans="1:8" x14ac:dyDescent="0.55000000000000004">
      <c r="A2689" s="61" t="s">
        <v>7139</v>
      </c>
      <c r="B2689" t="s">
        <v>2774</v>
      </c>
      <c r="C2689">
        <v>9310</v>
      </c>
      <c r="D2689" t="s">
        <v>6363</v>
      </c>
      <c r="E2689" t="s">
        <v>6364</v>
      </c>
      <c r="F2689" t="s">
        <v>6361</v>
      </c>
      <c r="G2689" s="43">
        <v>0</v>
      </c>
      <c r="H2689" s="63">
        <v>0.1</v>
      </c>
    </row>
    <row r="2690" spans="1:8" x14ac:dyDescent="0.55000000000000004">
      <c r="A2690" s="61" t="s">
        <v>7139</v>
      </c>
      <c r="B2690" t="s">
        <v>2774</v>
      </c>
      <c r="C2690">
        <v>9310</v>
      </c>
      <c r="D2690" t="s">
        <v>6362</v>
      </c>
      <c r="E2690" t="s">
        <v>6358</v>
      </c>
      <c r="F2690" t="s">
        <v>6358</v>
      </c>
      <c r="G2690" s="43">
        <v>2.4E-2</v>
      </c>
      <c r="H2690" s="63">
        <v>1</v>
      </c>
    </row>
    <row r="2691" spans="1:8" x14ac:dyDescent="0.55000000000000004">
      <c r="A2691" s="61" t="s">
        <v>7139</v>
      </c>
      <c r="B2691" t="s">
        <v>2774</v>
      </c>
      <c r="C2691">
        <v>9310</v>
      </c>
      <c r="D2691" t="s">
        <v>6365</v>
      </c>
      <c r="E2691" t="s">
        <v>6366</v>
      </c>
      <c r="F2691" t="s">
        <v>6361</v>
      </c>
      <c r="G2691" s="43">
        <v>0</v>
      </c>
      <c r="H2691" s="63">
        <v>-0.1</v>
      </c>
    </row>
    <row r="2692" spans="1:8" x14ac:dyDescent="0.55000000000000004">
      <c r="A2692" s="61" t="s">
        <v>7140</v>
      </c>
      <c r="B2692" t="s">
        <v>565</v>
      </c>
      <c r="C2692">
        <v>8705</v>
      </c>
      <c r="D2692" t="s">
        <v>6359</v>
      </c>
      <c r="E2692" t="s">
        <v>6389</v>
      </c>
      <c r="F2692" t="s">
        <v>6361</v>
      </c>
      <c r="G2692" s="43">
        <v>0</v>
      </c>
      <c r="H2692" s="63">
        <v>0.9</v>
      </c>
    </row>
    <row r="2693" spans="1:8" x14ac:dyDescent="0.55000000000000004">
      <c r="A2693" s="61" t="s">
        <v>7140</v>
      </c>
      <c r="B2693" t="s">
        <v>565</v>
      </c>
      <c r="C2693">
        <v>8705</v>
      </c>
      <c r="D2693" t="s">
        <v>6363</v>
      </c>
      <c r="E2693" t="s">
        <v>6364</v>
      </c>
      <c r="F2693" t="s">
        <v>6361</v>
      </c>
      <c r="G2693" s="43">
        <v>0</v>
      </c>
      <c r="H2693" s="63">
        <v>0.1</v>
      </c>
    </row>
    <row r="2694" spans="1:8" x14ac:dyDescent="0.55000000000000004">
      <c r="A2694" s="61" t="s">
        <v>7140</v>
      </c>
      <c r="B2694" t="s">
        <v>565</v>
      </c>
      <c r="C2694">
        <v>8705</v>
      </c>
      <c r="D2694" t="s">
        <v>6362</v>
      </c>
      <c r="E2694" t="s">
        <v>6358</v>
      </c>
      <c r="F2694" t="s">
        <v>6358</v>
      </c>
      <c r="G2694" s="62">
        <v>4.7E-2</v>
      </c>
      <c r="H2694" s="63">
        <v>1</v>
      </c>
    </row>
    <row r="2695" spans="1:8" x14ac:dyDescent="0.55000000000000004">
      <c r="A2695" s="61" t="s">
        <v>7140</v>
      </c>
      <c r="B2695" t="s">
        <v>565</v>
      </c>
      <c r="C2695">
        <v>8705</v>
      </c>
      <c r="D2695" t="s">
        <v>6365</v>
      </c>
      <c r="E2695" t="s">
        <v>6366</v>
      </c>
      <c r="F2695" t="s">
        <v>6361</v>
      </c>
      <c r="G2695" s="43">
        <v>0</v>
      </c>
      <c r="H2695" s="63">
        <v>-0.1</v>
      </c>
    </row>
    <row r="2696" spans="1:8" x14ac:dyDescent="0.55000000000000004">
      <c r="A2696" s="61" t="s">
        <v>7140</v>
      </c>
      <c r="B2696" t="s">
        <v>565</v>
      </c>
      <c r="C2696">
        <v>8705</v>
      </c>
      <c r="D2696" t="s">
        <v>6384</v>
      </c>
      <c r="E2696" t="s">
        <v>6385</v>
      </c>
      <c r="F2696" t="s">
        <v>6361</v>
      </c>
      <c r="G2696" s="43">
        <v>0</v>
      </c>
      <c r="H2696" s="63">
        <v>1</v>
      </c>
    </row>
    <row r="2697" spans="1:8" x14ac:dyDescent="0.55000000000000004">
      <c r="A2697" s="61" t="s">
        <v>7140</v>
      </c>
      <c r="B2697" t="s">
        <v>565</v>
      </c>
      <c r="C2697">
        <v>8705</v>
      </c>
      <c r="D2697" t="s">
        <v>6386</v>
      </c>
      <c r="E2697" t="s">
        <v>6387</v>
      </c>
      <c r="F2697" t="s">
        <v>6361</v>
      </c>
      <c r="G2697" s="43">
        <v>0</v>
      </c>
      <c r="H2697" s="63">
        <v>1</v>
      </c>
    </row>
    <row r="2698" spans="1:8" x14ac:dyDescent="0.55000000000000004">
      <c r="A2698" s="61" t="s">
        <v>7141</v>
      </c>
      <c r="B2698" t="s">
        <v>565</v>
      </c>
      <c r="C2698">
        <v>9105</v>
      </c>
      <c r="D2698" t="s">
        <v>6359</v>
      </c>
      <c r="E2698" t="s">
        <v>6390</v>
      </c>
      <c r="F2698" t="s">
        <v>6361</v>
      </c>
      <c r="G2698" s="43">
        <v>0</v>
      </c>
      <c r="H2698" s="63">
        <v>0.9</v>
      </c>
    </row>
    <row r="2699" spans="1:8" x14ac:dyDescent="0.55000000000000004">
      <c r="A2699" s="61" t="s">
        <v>7141</v>
      </c>
      <c r="B2699" t="s">
        <v>565</v>
      </c>
      <c r="C2699">
        <v>9105</v>
      </c>
      <c r="D2699" t="s">
        <v>6363</v>
      </c>
      <c r="E2699" t="s">
        <v>6364</v>
      </c>
      <c r="F2699" t="s">
        <v>6361</v>
      </c>
      <c r="G2699" s="43">
        <v>0</v>
      </c>
      <c r="H2699" s="63">
        <v>0.1</v>
      </c>
    </row>
    <row r="2700" spans="1:8" x14ac:dyDescent="0.55000000000000004">
      <c r="A2700" s="61" t="s">
        <v>7141</v>
      </c>
      <c r="B2700" t="s">
        <v>565</v>
      </c>
      <c r="C2700">
        <v>9105</v>
      </c>
      <c r="D2700" t="s">
        <v>6362</v>
      </c>
      <c r="E2700" t="s">
        <v>6358</v>
      </c>
      <c r="F2700" t="s">
        <v>6358</v>
      </c>
      <c r="G2700" s="62">
        <v>4.7E-2</v>
      </c>
      <c r="H2700" s="63">
        <v>1</v>
      </c>
    </row>
    <row r="2701" spans="1:8" x14ac:dyDescent="0.55000000000000004">
      <c r="A2701" s="61" t="s">
        <v>7141</v>
      </c>
      <c r="B2701" t="s">
        <v>565</v>
      </c>
      <c r="C2701">
        <v>9105</v>
      </c>
      <c r="D2701" t="s">
        <v>6365</v>
      </c>
      <c r="E2701" t="s">
        <v>6366</v>
      </c>
      <c r="F2701" t="s">
        <v>6361</v>
      </c>
      <c r="G2701" s="43">
        <v>0</v>
      </c>
      <c r="H2701" s="63">
        <v>-0.1</v>
      </c>
    </row>
    <row r="2702" spans="1:8" x14ac:dyDescent="0.55000000000000004">
      <c r="A2702" s="61" t="s">
        <v>7141</v>
      </c>
      <c r="B2702" t="s">
        <v>565</v>
      </c>
      <c r="C2702">
        <v>9105</v>
      </c>
      <c r="D2702" t="s">
        <v>6384</v>
      </c>
      <c r="E2702" t="s">
        <v>6385</v>
      </c>
      <c r="F2702" t="s">
        <v>6361</v>
      </c>
      <c r="G2702" s="43">
        <v>0</v>
      </c>
      <c r="H2702" s="63">
        <v>1</v>
      </c>
    </row>
    <row r="2703" spans="1:8" x14ac:dyDescent="0.55000000000000004">
      <c r="A2703" s="61" t="s">
        <v>7141</v>
      </c>
      <c r="B2703" t="s">
        <v>565</v>
      </c>
      <c r="C2703">
        <v>9105</v>
      </c>
      <c r="D2703" t="s">
        <v>6386</v>
      </c>
      <c r="E2703" t="s">
        <v>6387</v>
      </c>
      <c r="F2703" t="s">
        <v>6361</v>
      </c>
      <c r="G2703" s="43">
        <v>0</v>
      </c>
      <c r="H2703" s="63">
        <v>1</v>
      </c>
    </row>
    <row r="2704" spans="1:8" x14ac:dyDescent="0.55000000000000004">
      <c r="A2704" s="61" t="s">
        <v>7142</v>
      </c>
      <c r="B2704" t="s">
        <v>2932</v>
      </c>
      <c r="C2704">
        <v>8710</v>
      </c>
      <c r="D2704" t="s">
        <v>6359</v>
      </c>
      <c r="E2704" t="s">
        <v>6368</v>
      </c>
      <c r="F2704" t="s">
        <v>6361</v>
      </c>
      <c r="G2704" s="43">
        <v>0</v>
      </c>
      <c r="H2704" s="63">
        <v>0.9</v>
      </c>
    </row>
    <row r="2705" spans="1:8" x14ac:dyDescent="0.55000000000000004">
      <c r="A2705" s="61" t="s">
        <v>7142</v>
      </c>
      <c r="B2705" t="s">
        <v>2932</v>
      </c>
      <c r="C2705">
        <v>8710</v>
      </c>
      <c r="D2705" t="s">
        <v>6363</v>
      </c>
      <c r="E2705" t="s">
        <v>6364</v>
      </c>
      <c r="F2705" t="s">
        <v>6361</v>
      </c>
      <c r="G2705" s="43">
        <v>0</v>
      </c>
      <c r="H2705" s="63">
        <v>0.1</v>
      </c>
    </row>
    <row r="2706" spans="1:8" x14ac:dyDescent="0.55000000000000004">
      <c r="A2706" s="61" t="s">
        <v>7142</v>
      </c>
      <c r="B2706" t="s">
        <v>2932</v>
      </c>
      <c r="C2706">
        <v>8710</v>
      </c>
      <c r="D2706" t="s">
        <v>6362</v>
      </c>
      <c r="E2706" t="s">
        <v>6358</v>
      </c>
      <c r="F2706" t="s">
        <v>6358</v>
      </c>
      <c r="G2706" s="43">
        <v>3.95E-2</v>
      </c>
      <c r="H2706" s="63">
        <v>1</v>
      </c>
    </row>
    <row r="2707" spans="1:8" x14ac:dyDescent="0.55000000000000004">
      <c r="A2707" s="61" t="s">
        <v>7142</v>
      </c>
      <c r="B2707" t="s">
        <v>2932</v>
      </c>
      <c r="C2707">
        <v>8710</v>
      </c>
      <c r="D2707" t="s">
        <v>6365</v>
      </c>
      <c r="E2707" t="s">
        <v>6366</v>
      </c>
      <c r="F2707" t="s">
        <v>6361</v>
      </c>
      <c r="G2707" s="43">
        <v>0</v>
      </c>
      <c r="H2707" s="63">
        <v>-0.1</v>
      </c>
    </row>
    <row r="2708" spans="1:8" x14ac:dyDescent="0.55000000000000004">
      <c r="A2708" s="61" t="s">
        <v>7143</v>
      </c>
      <c r="B2708" t="s">
        <v>2932</v>
      </c>
      <c r="C2708">
        <v>8711</v>
      </c>
      <c r="D2708" t="s">
        <v>6359</v>
      </c>
      <c r="E2708" t="s">
        <v>6378</v>
      </c>
      <c r="F2708" t="s">
        <v>6361</v>
      </c>
      <c r="G2708" s="43">
        <v>0</v>
      </c>
      <c r="H2708" s="63">
        <v>0.9</v>
      </c>
    </row>
    <row r="2709" spans="1:8" x14ac:dyDescent="0.55000000000000004">
      <c r="A2709" s="61" t="s">
        <v>7143</v>
      </c>
      <c r="B2709" t="s">
        <v>2932</v>
      </c>
      <c r="C2709">
        <v>8711</v>
      </c>
      <c r="D2709" t="s">
        <v>6363</v>
      </c>
      <c r="E2709" t="s">
        <v>6364</v>
      </c>
      <c r="F2709" t="s">
        <v>6361</v>
      </c>
      <c r="G2709" s="43">
        <v>0</v>
      </c>
      <c r="H2709" s="63">
        <v>0.1</v>
      </c>
    </row>
    <row r="2710" spans="1:8" x14ac:dyDescent="0.55000000000000004">
      <c r="A2710" s="61" t="s">
        <v>7143</v>
      </c>
      <c r="B2710" t="s">
        <v>2932</v>
      </c>
      <c r="C2710">
        <v>8711</v>
      </c>
      <c r="D2710" t="s">
        <v>6362</v>
      </c>
      <c r="E2710" t="s">
        <v>6358</v>
      </c>
      <c r="F2710" t="s">
        <v>6358</v>
      </c>
      <c r="G2710" s="43">
        <v>3.95E-2</v>
      </c>
      <c r="H2710" s="63">
        <v>1</v>
      </c>
    </row>
    <row r="2711" spans="1:8" x14ac:dyDescent="0.55000000000000004">
      <c r="A2711" s="61" t="s">
        <v>7143</v>
      </c>
      <c r="B2711" t="s">
        <v>2932</v>
      </c>
      <c r="C2711">
        <v>8711</v>
      </c>
      <c r="D2711" t="s">
        <v>6365</v>
      </c>
      <c r="E2711" t="s">
        <v>6366</v>
      </c>
      <c r="F2711" t="s">
        <v>6361</v>
      </c>
      <c r="G2711" s="43">
        <v>0</v>
      </c>
      <c r="H2711" s="63">
        <v>-0.1</v>
      </c>
    </row>
    <row r="2712" spans="1:8" x14ac:dyDescent="0.55000000000000004">
      <c r="A2712" s="61" t="s">
        <v>7144</v>
      </c>
      <c r="B2712" t="s">
        <v>2932</v>
      </c>
      <c r="C2712">
        <v>8713</v>
      </c>
      <c r="D2712" t="s">
        <v>6359</v>
      </c>
      <c r="E2712" t="s">
        <v>6378</v>
      </c>
      <c r="F2712" t="s">
        <v>6361</v>
      </c>
      <c r="G2712" s="43">
        <v>0</v>
      </c>
      <c r="H2712" s="63">
        <v>0.9</v>
      </c>
    </row>
    <row r="2713" spans="1:8" x14ac:dyDescent="0.55000000000000004">
      <c r="A2713" s="61" t="s">
        <v>7144</v>
      </c>
      <c r="B2713" t="s">
        <v>2932</v>
      </c>
      <c r="C2713">
        <v>8713</v>
      </c>
      <c r="D2713" t="s">
        <v>6363</v>
      </c>
      <c r="E2713" t="s">
        <v>6364</v>
      </c>
      <c r="F2713" t="s">
        <v>6361</v>
      </c>
      <c r="G2713" s="43">
        <v>0</v>
      </c>
      <c r="H2713" s="63">
        <v>0.1</v>
      </c>
    </row>
    <row r="2714" spans="1:8" x14ac:dyDescent="0.55000000000000004">
      <c r="A2714" s="61" t="s">
        <v>7144</v>
      </c>
      <c r="B2714" t="s">
        <v>2932</v>
      </c>
      <c r="C2714">
        <v>8713</v>
      </c>
      <c r="D2714" t="s">
        <v>6362</v>
      </c>
      <c r="E2714" t="s">
        <v>6358</v>
      </c>
      <c r="F2714" t="s">
        <v>6358</v>
      </c>
      <c r="G2714" s="43">
        <v>3.95E-2</v>
      </c>
      <c r="H2714" s="63">
        <v>1</v>
      </c>
    </row>
    <row r="2715" spans="1:8" x14ac:dyDescent="0.55000000000000004">
      <c r="A2715" s="61" t="s">
        <v>7144</v>
      </c>
      <c r="B2715" t="s">
        <v>2932</v>
      </c>
      <c r="C2715">
        <v>8713</v>
      </c>
      <c r="D2715" t="s">
        <v>6365</v>
      </c>
      <c r="E2715" t="s">
        <v>6366</v>
      </c>
      <c r="F2715" t="s">
        <v>6361</v>
      </c>
      <c r="G2715" s="43">
        <v>0</v>
      </c>
      <c r="H2715" s="63">
        <v>-0.1</v>
      </c>
    </row>
    <row r="2716" spans="1:8" x14ac:dyDescent="0.55000000000000004">
      <c r="A2716" s="61" t="s">
        <v>7145</v>
      </c>
      <c r="B2716" t="s">
        <v>2932</v>
      </c>
      <c r="C2716">
        <v>9307</v>
      </c>
      <c r="D2716" t="s">
        <v>6359</v>
      </c>
      <c r="E2716" t="s">
        <v>6379</v>
      </c>
      <c r="F2716" t="s">
        <v>6361</v>
      </c>
      <c r="G2716" s="43">
        <v>0</v>
      </c>
      <c r="H2716" s="63">
        <v>0.9</v>
      </c>
    </row>
    <row r="2717" spans="1:8" x14ac:dyDescent="0.55000000000000004">
      <c r="A2717" s="61" t="s">
        <v>7145</v>
      </c>
      <c r="B2717" t="s">
        <v>2932</v>
      </c>
      <c r="C2717">
        <v>9307</v>
      </c>
      <c r="D2717" t="s">
        <v>6363</v>
      </c>
      <c r="E2717" t="s">
        <v>6364</v>
      </c>
      <c r="F2717" t="s">
        <v>6361</v>
      </c>
      <c r="G2717" s="43">
        <v>0</v>
      </c>
      <c r="H2717" s="63">
        <v>0.1</v>
      </c>
    </row>
    <row r="2718" spans="1:8" x14ac:dyDescent="0.55000000000000004">
      <c r="A2718" s="61" t="s">
        <v>7145</v>
      </c>
      <c r="B2718" t="s">
        <v>2932</v>
      </c>
      <c r="C2718">
        <v>9307</v>
      </c>
      <c r="D2718" t="s">
        <v>6362</v>
      </c>
      <c r="E2718" t="s">
        <v>6358</v>
      </c>
      <c r="F2718" t="s">
        <v>6358</v>
      </c>
      <c r="G2718" s="43">
        <v>3.95E-2</v>
      </c>
      <c r="H2718" s="63">
        <v>1</v>
      </c>
    </row>
    <row r="2719" spans="1:8" x14ac:dyDescent="0.55000000000000004">
      <c r="A2719" s="61" t="s">
        <v>7145</v>
      </c>
      <c r="B2719" t="s">
        <v>2932</v>
      </c>
      <c r="C2719">
        <v>9307</v>
      </c>
      <c r="D2719" t="s">
        <v>6365</v>
      </c>
      <c r="E2719" t="s">
        <v>6366</v>
      </c>
      <c r="F2719" t="s">
        <v>6361</v>
      </c>
      <c r="G2719" s="43">
        <v>0</v>
      </c>
      <c r="H2719" s="63">
        <v>-0.1</v>
      </c>
    </row>
    <row r="2720" spans="1:8" x14ac:dyDescent="0.55000000000000004">
      <c r="A2720" s="61" t="s">
        <v>7146</v>
      </c>
      <c r="B2720" t="s">
        <v>2932</v>
      </c>
      <c r="C2720">
        <v>9309</v>
      </c>
      <c r="D2720" t="s">
        <v>6359</v>
      </c>
      <c r="E2720" t="s">
        <v>6379</v>
      </c>
      <c r="F2720" t="s">
        <v>6361</v>
      </c>
      <c r="G2720" s="43">
        <v>0</v>
      </c>
      <c r="H2720" s="63">
        <v>0.9</v>
      </c>
    </row>
    <row r="2721" spans="1:8" x14ac:dyDescent="0.55000000000000004">
      <c r="A2721" s="61" t="s">
        <v>7146</v>
      </c>
      <c r="B2721" t="s">
        <v>2932</v>
      </c>
      <c r="C2721">
        <v>9309</v>
      </c>
      <c r="D2721" t="s">
        <v>6363</v>
      </c>
      <c r="E2721" t="s">
        <v>6364</v>
      </c>
      <c r="F2721" t="s">
        <v>6361</v>
      </c>
      <c r="G2721" s="43">
        <v>0</v>
      </c>
      <c r="H2721" s="63">
        <v>0.1</v>
      </c>
    </row>
    <row r="2722" spans="1:8" x14ac:dyDescent="0.55000000000000004">
      <c r="A2722" s="61" t="s">
        <v>7146</v>
      </c>
      <c r="B2722" t="s">
        <v>2932</v>
      </c>
      <c r="C2722">
        <v>9309</v>
      </c>
      <c r="D2722" t="s">
        <v>6362</v>
      </c>
      <c r="E2722" t="s">
        <v>6358</v>
      </c>
      <c r="F2722" t="s">
        <v>6358</v>
      </c>
      <c r="G2722" s="43">
        <v>3.95E-2</v>
      </c>
      <c r="H2722" s="63">
        <v>1</v>
      </c>
    </row>
    <row r="2723" spans="1:8" x14ac:dyDescent="0.55000000000000004">
      <c r="A2723" s="61" t="s">
        <v>7146</v>
      </c>
      <c r="B2723" t="s">
        <v>2932</v>
      </c>
      <c r="C2723">
        <v>9309</v>
      </c>
      <c r="D2723" t="s">
        <v>6365</v>
      </c>
      <c r="E2723" t="s">
        <v>6366</v>
      </c>
      <c r="F2723" t="s">
        <v>6361</v>
      </c>
      <c r="G2723" s="43">
        <v>0</v>
      </c>
      <c r="H2723" s="63">
        <v>-0.1</v>
      </c>
    </row>
    <row r="2724" spans="1:8" x14ac:dyDescent="0.55000000000000004">
      <c r="A2724" s="61" t="s">
        <v>7147</v>
      </c>
      <c r="B2724" t="s">
        <v>2932</v>
      </c>
      <c r="C2724">
        <v>9310</v>
      </c>
      <c r="D2724" t="s">
        <v>6359</v>
      </c>
      <c r="E2724" t="s">
        <v>6369</v>
      </c>
      <c r="F2724" t="s">
        <v>6361</v>
      </c>
      <c r="G2724" s="43">
        <v>0</v>
      </c>
      <c r="H2724" s="63">
        <v>0.9</v>
      </c>
    </row>
    <row r="2725" spans="1:8" x14ac:dyDescent="0.55000000000000004">
      <c r="A2725" s="61" t="s">
        <v>7147</v>
      </c>
      <c r="B2725" t="s">
        <v>2932</v>
      </c>
      <c r="C2725">
        <v>9310</v>
      </c>
      <c r="D2725" t="s">
        <v>6363</v>
      </c>
      <c r="E2725" t="s">
        <v>6364</v>
      </c>
      <c r="F2725" t="s">
        <v>6361</v>
      </c>
      <c r="G2725" s="43">
        <v>0</v>
      </c>
      <c r="H2725" s="63">
        <v>0.1</v>
      </c>
    </row>
    <row r="2726" spans="1:8" x14ac:dyDescent="0.55000000000000004">
      <c r="A2726" s="61" t="s">
        <v>7147</v>
      </c>
      <c r="B2726" t="s">
        <v>2932</v>
      </c>
      <c r="C2726">
        <v>9310</v>
      </c>
      <c r="D2726" t="s">
        <v>6362</v>
      </c>
      <c r="E2726" t="s">
        <v>6358</v>
      </c>
      <c r="F2726" t="s">
        <v>6358</v>
      </c>
      <c r="G2726" s="43">
        <v>3.95E-2</v>
      </c>
      <c r="H2726" s="63">
        <v>1</v>
      </c>
    </row>
    <row r="2727" spans="1:8" x14ac:dyDescent="0.55000000000000004">
      <c r="A2727" s="61" t="s">
        <v>7147</v>
      </c>
      <c r="B2727" t="s">
        <v>2932</v>
      </c>
      <c r="C2727">
        <v>9310</v>
      </c>
      <c r="D2727" t="s">
        <v>6365</v>
      </c>
      <c r="E2727" t="s">
        <v>6366</v>
      </c>
      <c r="F2727" t="s">
        <v>6361</v>
      </c>
      <c r="G2727" s="43">
        <v>0</v>
      </c>
      <c r="H2727" s="63">
        <v>-0.1</v>
      </c>
    </row>
    <row r="2728" spans="1:8" x14ac:dyDescent="0.55000000000000004">
      <c r="A2728" s="61" t="s">
        <v>7148</v>
      </c>
      <c r="B2728" t="s">
        <v>2056</v>
      </c>
      <c r="C2728">
        <v>8701</v>
      </c>
      <c r="D2728" t="s">
        <v>6359</v>
      </c>
      <c r="E2728" t="s">
        <v>6360</v>
      </c>
      <c r="F2728" t="s">
        <v>6361</v>
      </c>
      <c r="G2728" s="43">
        <v>0</v>
      </c>
      <c r="H2728" s="63">
        <v>1</v>
      </c>
    </row>
    <row r="2729" spans="1:8" x14ac:dyDescent="0.55000000000000004">
      <c r="A2729" s="61" t="s">
        <v>7148</v>
      </c>
      <c r="B2729" t="s">
        <v>2056</v>
      </c>
      <c r="C2729">
        <v>8701</v>
      </c>
      <c r="D2729" t="s">
        <v>6362</v>
      </c>
      <c r="E2729" t="s">
        <v>6358</v>
      </c>
      <c r="F2729" t="s">
        <v>6358</v>
      </c>
      <c r="G2729" s="43">
        <v>4.41E-2</v>
      </c>
      <c r="H2729" s="63">
        <v>1</v>
      </c>
    </row>
    <row r="2730" spans="1:8" x14ac:dyDescent="0.55000000000000004">
      <c r="A2730" s="61" t="s">
        <v>7149</v>
      </c>
      <c r="B2730" t="s">
        <v>2056</v>
      </c>
      <c r="C2730">
        <v>8710</v>
      </c>
      <c r="D2730" t="s">
        <v>6359</v>
      </c>
      <c r="E2730" t="s">
        <v>6360</v>
      </c>
      <c r="F2730" t="s">
        <v>6361</v>
      </c>
      <c r="G2730" s="43">
        <v>0</v>
      </c>
      <c r="H2730" s="63">
        <v>0.9</v>
      </c>
    </row>
    <row r="2731" spans="1:8" x14ac:dyDescent="0.55000000000000004">
      <c r="A2731" s="61" t="s">
        <v>7149</v>
      </c>
      <c r="B2731" t="s">
        <v>2056</v>
      </c>
      <c r="C2731">
        <v>8710</v>
      </c>
      <c r="D2731" t="s">
        <v>6363</v>
      </c>
      <c r="E2731" t="s">
        <v>6364</v>
      </c>
      <c r="F2731" t="s">
        <v>6361</v>
      </c>
      <c r="G2731" s="43">
        <v>0</v>
      </c>
      <c r="H2731" s="63">
        <v>0.1</v>
      </c>
    </row>
    <row r="2732" spans="1:8" x14ac:dyDescent="0.55000000000000004">
      <c r="A2732" s="61" t="s">
        <v>7149</v>
      </c>
      <c r="B2732" t="s">
        <v>2056</v>
      </c>
      <c r="C2732">
        <v>8710</v>
      </c>
      <c r="D2732" t="s">
        <v>6362</v>
      </c>
      <c r="E2732" t="s">
        <v>6358</v>
      </c>
      <c r="F2732" t="s">
        <v>6358</v>
      </c>
      <c r="G2732" s="43">
        <v>5.1900000000000002E-2</v>
      </c>
      <c r="H2732" s="63">
        <v>1</v>
      </c>
    </row>
    <row r="2733" spans="1:8" x14ac:dyDescent="0.55000000000000004">
      <c r="A2733" s="61" t="s">
        <v>7149</v>
      </c>
      <c r="B2733" t="s">
        <v>2056</v>
      </c>
      <c r="C2733">
        <v>8710</v>
      </c>
      <c r="D2733" t="s">
        <v>6365</v>
      </c>
      <c r="E2733" t="s">
        <v>6366</v>
      </c>
      <c r="F2733" t="s">
        <v>6361</v>
      </c>
      <c r="G2733" s="43">
        <v>0</v>
      </c>
      <c r="H2733" s="63">
        <v>-0.1</v>
      </c>
    </row>
    <row r="2734" spans="1:8" x14ac:dyDescent="0.55000000000000004">
      <c r="A2734" s="61" t="s">
        <v>7150</v>
      </c>
      <c r="B2734" t="s">
        <v>2056</v>
      </c>
      <c r="C2734">
        <v>9101</v>
      </c>
      <c r="D2734" t="s">
        <v>6359</v>
      </c>
      <c r="E2734" t="s">
        <v>6367</v>
      </c>
      <c r="F2734" t="s">
        <v>6361</v>
      </c>
      <c r="G2734" s="43">
        <v>0</v>
      </c>
      <c r="H2734" s="63">
        <v>1</v>
      </c>
    </row>
    <row r="2735" spans="1:8" x14ac:dyDescent="0.55000000000000004">
      <c r="A2735" s="61" t="s">
        <v>7150</v>
      </c>
      <c r="B2735" t="s">
        <v>2056</v>
      </c>
      <c r="C2735">
        <v>9101</v>
      </c>
      <c r="D2735" t="s">
        <v>6362</v>
      </c>
      <c r="E2735" t="s">
        <v>6358</v>
      </c>
      <c r="F2735" t="s">
        <v>6358</v>
      </c>
      <c r="G2735" s="43">
        <v>4.41E-2</v>
      </c>
      <c r="H2735" s="63">
        <v>1</v>
      </c>
    </row>
    <row r="2736" spans="1:8" x14ac:dyDescent="0.55000000000000004">
      <c r="A2736" s="61" t="s">
        <v>7151</v>
      </c>
      <c r="B2736" t="s">
        <v>2056</v>
      </c>
      <c r="C2736">
        <v>9110</v>
      </c>
      <c r="D2736" t="s">
        <v>6359</v>
      </c>
      <c r="E2736" t="s">
        <v>6367</v>
      </c>
      <c r="F2736" t="s">
        <v>6361</v>
      </c>
      <c r="G2736" s="43">
        <v>0</v>
      </c>
      <c r="H2736" s="63">
        <v>0.9</v>
      </c>
    </row>
    <row r="2737" spans="1:8" x14ac:dyDescent="0.55000000000000004">
      <c r="A2737" s="61" t="s">
        <v>7151</v>
      </c>
      <c r="B2737" t="s">
        <v>2056</v>
      </c>
      <c r="C2737">
        <v>9110</v>
      </c>
      <c r="D2737" t="s">
        <v>6363</v>
      </c>
      <c r="E2737" t="s">
        <v>6364</v>
      </c>
      <c r="F2737" t="s">
        <v>6361</v>
      </c>
      <c r="G2737" s="43">
        <v>0</v>
      </c>
      <c r="H2737" s="63">
        <v>0.1</v>
      </c>
    </row>
    <row r="2738" spans="1:8" x14ac:dyDescent="0.55000000000000004">
      <c r="A2738" s="61" t="s">
        <v>7151</v>
      </c>
      <c r="B2738" t="s">
        <v>2056</v>
      </c>
      <c r="C2738">
        <v>9110</v>
      </c>
      <c r="D2738" t="s">
        <v>6362</v>
      </c>
      <c r="E2738" t="s">
        <v>6358</v>
      </c>
      <c r="F2738" t="s">
        <v>6358</v>
      </c>
      <c r="G2738" s="43">
        <v>5.1900000000000002E-2</v>
      </c>
      <c r="H2738" s="63">
        <v>1</v>
      </c>
    </row>
    <row r="2739" spans="1:8" x14ac:dyDescent="0.55000000000000004">
      <c r="A2739" s="61" t="s">
        <v>7151</v>
      </c>
      <c r="B2739" t="s">
        <v>2056</v>
      </c>
      <c r="C2739">
        <v>9110</v>
      </c>
      <c r="D2739" t="s">
        <v>6365</v>
      </c>
      <c r="E2739" t="s">
        <v>6366</v>
      </c>
      <c r="F2739" t="s">
        <v>6361</v>
      </c>
      <c r="G2739" s="43">
        <v>0</v>
      </c>
      <c r="H2739" s="63">
        <v>-0.1</v>
      </c>
    </row>
    <row r="2740" spans="1:8" x14ac:dyDescent="0.55000000000000004">
      <c r="A2740" s="61" t="s">
        <v>7152</v>
      </c>
      <c r="B2740" t="s">
        <v>5361</v>
      </c>
      <c r="C2740">
        <v>8502</v>
      </c>
      <c r="D2740" t="s">
        <v>6359</v>
      </c>
      <c r="E2740" t="s">
        <v>6360</v>
      </c>
      <c r="F2740" t="s">
        <v>6361</v>
      </c>
      <c r="G2740" s="43">
        <v>0</v>
      </c>
      <c r="H2740" s="63">
        <v>0.9</v>
      </c>
    </row>
    <row r="2741" spans="1:8" x14ac:dyDescent="0.55000000000000004">
      <c r="A2741" s="61" t="s">
        <v>7152</v>
      </c>
      <c r="B2741" t="s">
        <v>5361</v>
      </c>
      <c r="C2741">
        <v>8502</v>
      </c>
      <c r="D2741" t="s">
        <v>6363</v>
      </c>
      <c r="E2741" t="s">
        <v>6364</v>
      </c>
      <c r="F2741" t="s">
        <v>6361</v>
      </c>
      <c r="G2741" s="43">
        <v>0</v>
      </c>
      <c r="H2741" s="63">
        <v>0.1</v>
      </c>
    </row>
    <row r="2742" spans="1:8" x14ac:dyDescent="0.55000000000000004">
      <c r="A2742" s="61" t="s">
        <v>7152</v>
      </c>
      <c r="B2742" t="s">
        <v>5361</v>
      </c>
      <c r="C2742">
        <v>8502</v>
      </c>
      <c r="D2742" t="s">
        <v>6362</v>
      </c>
      <c r="E2742" t="s">
        <v>6358</v>
      </c>
      <c r="F2742" t="s">
        <v>6358</v>
      </c>
      <c r="G2742" s="43">
        <v>9.6000000000000002E-2</v>
      </c>
      <c r="H2742" s="63">
        <v>1</v>
      </c>
    </row>
    <row r="2743" spans="1:8" x14ac:dyDescent="0.55000000000000004">
      <c r="A2743" s="61" t="s">
        <v>7152</v>
      </c>
      <c r="B2743" t="s">
        <v>5361</v>
      </c>
      <c r="C2743">
        <v>8502</v>
      </c>
      <c r="D2743" t="s">
        <v>6365</v>
      </c>
      <c r="E2743" t="s">
        <v>6366</v>
      </c>
      <c r="F2743" t="s">
        <v>6361</v>
      </c>
      <c r="G2743" s="43">
        <v>0</v>
      </c>
      <c r="H2743" s="63">
        <v>-0.1</v>
      </c>
    </row>
    <row r="2744" spans="1:8" x14ac:dyDescent="0.55000000000000004">
      <c r="A2744" s="61" t="s">
        <v>7153</v>
      </c>
      <c r="B2744" t="s">
        <v>5361</v>
      </c>
      <c r="C2744">
        <v>8510</v>
      </c>
      <c r="D2744" t="s">
        <v>6359</v>
      </c>
      <c r="E2744" t="s">
        <v>6360</v>
      </c>
      <c r="F2744" t="s">
        <v>6361</v>
      </c>
      <c r="G2744" s="43">
        <v>0</v>
      </c>
      <c r="H2744" s="63">
        <v>0.9</v>
      </c>
    </row>
    <row r="2745" spans="1:8" x14ac:dyDescent="0.55000000000000004">
      <c r="A2745" s="61" t="s">
        <v>7153</v>
      </c>
      <c r="B2745" t="s">
        <v>5361</v>
      </c>
      <c r="C2745">
        <v>8510</v>
      </c>
      <c r="D2745" t="s">
        <v>6363</v>
      </c>
      <c r="E2745" t="s">
        <v>6364</v>
      </c>
      <c r="F2745" t="s">
        <v>6361</v>
      </c>
      <c r="G2745" s="43">
        <v>0</v>
      </c>
      <c r="H2745" s="63">
        <v>0.1</v>
      </c>
    </row>
    <row r="2746" spans="1:8" x14ac:dyDescent="0.55000000000000004">
      <c r="A2746" s="61" t="s">
        <v>7153</v>
      </c>
      <c r="B2746" t="s">
        <v>5361</v>
      </c>
      <c r="C2746">
        <v>8510</v>
      </c>
      <c r="D2746" t="s">
        <v>6362</v>
      </c>
      <c r="E2746" t="s">
        <v>6358</v>
      </c>
      <c r="F2746" t="s">
        <v>6358</v>
      </c>
      <c r="G2746" s="43">
        <v>9.6000000000000002E-2</v>
      </c>
      <c r="H2746" s="63">
        <v>1</v>
      </c>
    </row>
    <row r="2747" spans="1:8" x14ac:dyDescent="0.55000000000000004">
      <c r="A2747" s="61" t="s">
        <v>7153</v>
      </c>
      <c r="B2747" t="s">
        <v>5361</v>
      </c>
      <c r="C2747">
        <v>8510</v>
      </c>
      <c r="D2747" t="s">
        <v>6365</v>
      </c>
      <c r="E2747" t="s">
        <v>6366</v>
      </c>
      <c r="F2747" t="s">
        <v>6361</v>
      </c>
      <c r="G2747" s="43">
        <v>0</v>
      </c>
      <c r="H2747" s="63">
        <v>-0.1</v>
      </c>
    </row>
    <row r="2748" spans="1:8" x14ac:dyDescent="0.55000000000000004">
      <c r="A2748" s="61" t="s">
        <v>7154</v>
      </c>
      <c r="B2748" t="s">
        <v>5361</v>
      </c>
      <c r="C2748">
        <v>8708</v>
      </c>
      <c r="D2748" t="s">
        <v>6359</v>
      </c>
      <c r="E2748" t="s">
        <v>6360</v>
      </c>
      <c r="F2748" t="s">
        <v>6361</v>
      </c>
      <c r="G2748" s="43">
        <v>0</v>
      </c>
      <c r="H2748" s="63">
        <v>0.9</v>
      </c>
    </row>
    <row r="2749" spans="1:8" x14ac:dyDescent="0.55000000000000004">
      <c r="A2749" s="61" t="s">
        <v>7154</v>
      </c>
      <c r="B2749" t="s">
        <v>5361</v>
      </c>
      <c r="C2749">
        <v>8708</v>
      </c>
      <c r="D2749" t="s">
        <v>6363</v>
      </c>
      <c r="E2749" t="s">
        <v>6364</v>
      </c>
      <c r="F2749" t="s">
        <v>6361</v>
      </c>
      <c r="G2749" s="43">
        <v>0</v>
      </c>
      <c r="H2749" s="63">
        <v>0.1</v>
      </c>
    </row>
    <row r="2750" spans="1:8" x14ac:dyDescent="0.55000000000000004">
      <c r="A2750" s="61" t="s">
        <v>7154</v>
      </c>
      <c r="B2750" t="s">
        <v>5361</v>
      </c>
      <c r="C2750">
        <v>8708</v>
      </c>
      <c r="D2750" t="s">
        <v>6362</v>
      </c>
      <c r="E2750" t="s">
        <v>6358</v>
      </c>
      <c r="F2750" t="s">
        <v>6358</v>
      </c>
      <c r="G2750" s="43">
        <v>9.6000000000000002E-2</v>
      </c>
      <c r="H2750" s="63">
        <v>1</v>
      </c>
    </row>
    <row r="2751" spans="1:8" x14ac:dyDescent="0.55000000000000004">
      <c r="A2751" s="61" t="s">
        <v>7154</v>
      </c>
      <c r="B2751" t="s">
        <v>5361</v>
      </c>
      <c r="C2751">
        <v>8708</v>
      </c>
      <c r="D2751" t="s">
        <v>6365</v>
      </c>
      <c r="E2751" t="s">
        <v>6366</v>
      </c>
      <c r="F2751" t="s">
        <v>6361</v>
      </c>
      <c r="G2751" s="43">
        <v>0</v>
      </c>
      <c r="H2751" s="63">
        <v>-0.1</v>
      </c>
    </row>
    <row r="2752" spans="1:8" x14ac:dyDescent="0.55000000000000004">
      <c r="A2752" s="61" t="s">
        <v>7155</v>
      </c>
      <c r="B2752" t="s">
        <v>5361</v>
      </c>
      <c r="C2752">
        <v>8710</v>
      </c>
      <c r="D2752" t="s">
        <v>6359</v>
      </c>
      <c r="E2752" t="s">
        <v>6360</v>
      </c>
      <c r="F2752" t="s">
        <v>6361</v>
      </c>
      <c r="G2752" s="43">
        <v>0</v>
      </c>
      <c r="H2752" s="63">
        <v>0.9</v>
      </c>
    </row>
    <row r="2753" spans="1:8" x14ac:dyDescent="0.55000000000000004">
      <c r="A2753" s="61" t="s">
        <v>7155</v>
      </c>
      <c r="B2753" t="s">
        <v>5361</v>
      </c>
      <c r="C2753">
        <v>8710</v>
      </c>
      <c r="D2753" t="s">
        <v>6363</v>
      </c>
      <c r="E2753" t="s">
        <v>6364</v>
      </c>
      <c r="F2753" t="s">
        <v>6361</v>
      </c>
      <c r="G2753" s="43">
        <v>0</v>
      </c>
      <c r="H2753" s="63">
        <v>0.1</v>
      </c>
    </row>
    <row r="2754" spans="1:8" x14ac:dyDescent="0.55000000000000004">
      <c r="A2754" s="61" t="s">
        <v>7155</v>
      </c>
      <c r="B2754" t="s">
        <v>5361</v>
      </c>
      <c r="C2754">
        <v>8710</v>
      </c>
      <c r="D2754" t="s">
        <v>6362</v>
      </c>
      <c r="E2754" t="s">
        <v>6358</v>
      </c>
      <c r="F2754" t="s">
        <v>6358</v>
      </c>
      <c r="G2754" s="43">
        <v>9.6000000000000002E-2</v>
      </c>
      <c r="H2754" s="63">
        <v>1</v>
      </c>
    </row>
    <row r="2755" spans="1:8" x14ac:dyDescent="0.55000000000000004">
      <c r="A2755" s="61" t="s">
        <v>7155</v>
      </c>
      <c r="B2755" t="s">
        <v>5361</v>
      </c>
      <c r="C2755">
        <v>8710</v>
      </c>
      <c r="D2755" t="s">
        <v>6365</v>
      </c>
      <c r="E2755" t="s">
        <v>6366</v>
      </c>
      <c r="F2755" t="s">
        <v>6361</v>
      </c>
      <c r="G2755" s="43">
        <v>0</v>
      </c>
      <c r="H2755" s="63">
        <v>-0.1</v>
      </c>
    </row>
    <row r="2756" spans="1:8" x14ac:dyDescent="0.55000000000000004">
      <c r="A2756" s="61" t="s">
        <v>7156</v>
      </c>
      <c r="B2756" t="s">
        <v>5361</v>
      </c>
      <c r="C2756">
        <v>9107</v>
      </c>
      <c r="D2756" t="s">
        <v>6359</v>
      </c>
      <c r="E2756" t="s">
        <v>6367</v>
      </c>
      <c r="F2756" t="s">
        <v>6361</v>
      </c>
      <c r="G2756" s="43">
        <v>0</v>
      </c>
      <c r="H2756" s="63">
        <v>0.9</v>
      </c>
    </row>
    <row r="2757" spans="1:8" x14ac:dyDescent="0.55000000000000004">
      <c r="A2757" s="61" t="s">
        <v>7156</v>
      </c>
      <c r="B2757" t="s">
        <v>5361</v>
      </c>
      <c r="C2757">
        <v>9107</v>
      </c>
      <c r="D2757" t="s">
        <v>6363</v>
      </c>
      <c r="E2757" t="s">
        <v>6364</v>
      </c>
      <c r="F2757" t="s">
        <v>6361</v>
      </c>
      <c r="G2757" s="43">
        <v>0</v>
      </c>
      <c r="H2757" s="63">
        <v>0.1</v>
      </c>
    </row>
    <row r="2758" spans="1:8" x14ac:dyDescent="0.55000000000000004">
      <c r="A2758" s="61" t="s">
        <v>7156</v>
      </c>
      <c r="B2758" t="s">
        <v>5361</v>
      </c>
      <c r="C2758">
        <v>9107</v>
      </c>
      <c r="D2758" t="s">
        <v>6362</v>
      </c>
      <c r="E2758" t="s">
        <v>6358</v>
      </c>
      <c r="F2758" t="s">
        <v>6358</v>
      </c>
      <c r="G2758" s="43">
        <v>9.6000000000000002E-2</v>
      </c>
      <c r="H2758" s="63">
        <v>1</v>
      </c>
    </row>
    <row r="2759" spans="1:8" x14ac:dyDescent="0.55000000000000004">
      <c r="A2759" s="61" t="s">
        <v>7156</v>
      </c>
      <c r="B2759" t="s">
        <v>5361</v>
      </c>
      <c r="C2759">
        <v>9107</v>
      </c>
      <c r="D2759" t="s">
        <v>6365</v>
      </c>
      <c r="E2759" t="s">
        <v>6366</v>
      </c>
      <c r="F2759" t="s">
        <v>6361</v>
      </c>
      <c r="G2759" s="43">
        <v>0</v>
      </c>
      <c r="H2759" s="63">
        <v>-0.1</v>
      </c>
    </row>
    <row r="2760" spans="1:8" x14ac:dyDescent="0.55000000000000004">
      <c r="A2760" s="61" t="s">
        <v>7157</v>
      </c>
      <c r="B2760" t="s">
        <v>5361</v>
      </c>
      <c r="C2760">
        <v>9110</v>
      </c>
      <c r="D2760" t="s">
        <v>6359</v>
      </c>
      <c r="E2760" t="s">
        <v>6367</v>
      </c>
      <c r="F2760" t="s">
        <v>6361</v>
      </c>
      <c r="G2760" s="43">
        <v>0</v>
      </c>
      <c r="H2760" s="63">
        <v>0.9</v>
      </c>
    </row>
    <row r="2761" spans="1:8" x14ac:dyDescent="0.55000000000000004">
      <c r="A2761" s="61" t="s">
        <v>7157</v>
      </c>
      <c r="B2761" t="s">
        <v>5361</v>
      </c>
      <c r="C2761">
        <v>9110</v>
      </c>
      <c r="D2761" t="s">
        <v>6363</v>
      </c>
      <c r="E2761" t="s">
        <v>6364</v>
      </c>
      <c r="F2761" t="s">
        <v>6361</v>
      </c>
      <c r="G2761" s="43">
        <v>0</v>
      </c>
      <c r="H2761" s="63">
        <v>0.1</v>
      </c>
    </row>
    <row r="2762" spans="1:8" x14ac:dyDescent="0.55000000000000004">
      <c r="A2762" s="61" t="s">
        <v>7157</v>
      </c>
      <c r="B2762" t="s">
        <v>5361</v>
      </c>
      <c r="C2762">
        <v>9110</v>
      </c>
      <c r="D2762" t="s">
        <v>6362</v>
      </c>
      <c r="E2762" t="s">
        <v>6358</v>
      </c>
      <c r="F2762" t="s">
        <v>6358</v>
      </c>
      <c r="G2762" s="43">
        <v>9.6000000000000002E-2</v>
      </c>
      <c r="H2762" s="63">
        <v>1</v>
      </c>
    </row>
    <row r="2763" spans="1:8" x14ac:dyDescent="0.55000000000000004">
      <c r="A2763" s="61" t="s">
        <v>7157</v>
      </c>
      <c r="B2763" t="s">
        <v>5361</v>
      </c>
      <c r="C2763">
        <v>9110</v>
      </c>
      <c r="D2763" t="s">
        <v>6365</v>
      </c>
      <c r="E2763" t="s">
        <v>6366</v>
      </c>
      <c r="F2763" t="s">
        <v>6361</v>
      </c>
      <c r="G2763" s="43">
        <v>0</v>
      </c>
      <c r="H2763" s="63">
        <v>-0.1</v>
      </c>
    </row>
    <row r="2764" spans="1:8" x14ac:dyDescent="0.55000000000000004">
      <c r="A2764" s="61" t="s">
        <v>7158</v>
      </c>
      <c r="B2764" t="s">
        <v>591</v>
      </c>
      <c r="C2764">
        <v>8705</v>
      </c>
      <c r="D2764" t="s">
        <v>6359</v>
      </c>
      <c r="E2764" t="s">
        <v>6383</v>
      </c>
      <c r="F2764" t="s">
        <v>6361</v>
      </c>
      <c r="G2764" s="43">
        <v>0</v>
      </c>
      <c r="H2764" s="63">
        <v>0.9</v>
      </c>
    </row>
    <row r="2765" spans="1:8" x14ac:dyDescent="0.55000000000000004">
      <c r="A2765" s="61" t="s">
        <v>7158</v>
      </c>
      <c r="B2765" t="s">
        <v>591</v>
      </c>
      <c r="C2765">
        <v>8705</v>
      </c>
      <c r="D2765" t="s">
        <v>6363</v>
      </c>
      <c r="E2765" t="s">
        <v>6364</v>
      </c>
      <c r="F2765" t="s">
        <v>6361</v>
      </c>
      <c r="G2765" s="43">
        <v>0</v>
      </c>
      <c r="H2765" s="63">
        <v>0.1</v>
      </c>
    </row>
    <row r="2766" spans="1:8" x14ac:dyDescent="0.55000000000000004">
      <c r="A2766" s="61" t="s">
        <v>7158</v>
      </c>
      <c r="B2766" t="s">
        <v>591</v>
      </c>
      <c r="C2766">
        <v>8705</v>
      </c>
      <c r="D2766" t="s">
        <v>6362</v>
      </c>
      <c r="E2766" t="s">
        <v>6358</v>
      </c>
      <c r="F2766" t="s">
        <v>6358</v>
      </c>
      <c r="G2766" s="43">
        <v>5.96E-2</v>
      </c>
      <c r="H2766" s="63">
        <v>1</v>
      </c>
    </row>
    <row r="2767" spans="1:8" x14ac:dyDescent="0.55000000000000004">
      <c r="A2767" s="61" t="s">
        <v>7158</v>
      </c>
      <c r="B2767" t="s">
        <v>591</v>
      </c>
      <c r="C2767">
        <v>8705</v>
      </c>
      <c r="D2767" t="s">
        <v>6365</v>
      </c>
      <c r="E2767" t="s">
        <v>6366</v>
      </c>
      <c r="F2767" t="s">
        <v>6361</v>
      </c>
      <c r="G2767" s="43">
        <v>0</v>
      </c>
      <c r="H2767" s="63">
        <v>-0.1</v>
      </c>
    </row>
    <row r="2768" spans="1:8" x14ac:dyDescent="0.55000000000000004">
      <c r="A2768" s="61" t="s">
        <v>7158</v>
      </c>
      <c r="B2768" t="s">
        <v>591</v>
      </c>
      <c r="C2768">
        <v>8705</v>
      </c>
      <c r="D2768" t="s">
        <v>6384</v>
      </c>
      <c r="E2768" t="s">
        <v>6385</v>
      </c>
      <c r="F2768" t="s">
        <v>6361</v>
      </c>
      <c r="G2768" s="43">
        <v>0</v>
      </c>
      <c r="H2768" s="63">
        <v>1</v>
      </c>
    </row>
    <row r="2769" spans="1:8" x14ac:dyDescent="0.55000000000000004">
      <c r="A2769" s="61" t="s">
        <v>7158</v>
      </c>
      <c r="B2769" t="s">
        <v>591</v>
      </c>
      <c r="C2769">
        <v>8705</v>
      </c>
      <c r="D2769" t="s">
        <v>6386</v>
      </c>
      <c r="E2769" t="s">
        <v>6387</v>
      </c>
      <c r="F2769" t="s">
        <v>6361</v>
      </c>
      <c r="G2769" s="43">
        <v>0</v>
      </c>
      <c r="H2769" s="63">
        <v>1</v>
      </c>
    </row>
    <row r="2770" spans="1:8" x14ac:dyDescent="0.55000000000000004">
      <c r="A2770" s="61" t="s">
        <v>7159</v>
      </c>
      <c r="B2770" t="s">
        <v>591</v>
      </c>
      <c r="C2770">
        <v>9105</v>
      </c>
      <c r="D2770" t="s">
        <v>6359</v>
      </c>
      <c r="E2770" t="s">
        <v>6388</v>
      </c>
      <c r="F2770" t="s">
        <v>6361</v>
      </c>
      <c r="G2770" s="43">
        <v>0</v>
      </c>
      <c r="H2770" s="63">
        <v>0.9</v>
      </c>
    </row>
    <row r="2771" spans="1:8" x14ac:dyDescent="0.55000000000000004">
      <c r="A2771" s="61" t="s">
        <v>7159</v>
      </c>
      <c r="B2771" t="s">
        <v>591</v>
      </c>
      <c r="C2771">
        <v>9105</v>
      </c>
      <c r="D2771" t="s">
        <v>6363</v>
      </c>
      <c r="E2771" t="s">
        <v>6364</v>
      </c>
      <c r="F2771" t="s">
        <v>6361</v>
      </c>
      <c r="G2771" s="43">
        <v>0</v>
      </c>
      <c r="H2771" s="63">
        <v>0.1</v>
      </c>
    </row>
    <row r="2772" spans="1:8" x14ac:dyDescent="0.55000000000000004">
      <c r="A2772" s="61" t="s">
        <v>7159</v>
      </c>
      <c r="B2772" t="s">
        <v>591</v>
      </c>
      <c r="C2772">
        <v>9105</v>
      </c>
      <c r="D2772" t="s">
        <v>6362</v>
      </c>
      <c r="E2772" t="s">
        <v>6358</v>
      </c>
      <c r="F2772" t="s">
        <v>6358</v>
      </c>
      <c r="G2772" s="43">
        <v>5.96E-2</v>
      </c>
      <c r="H2772" s="63">
        <v>1</v>
      </c>
    </row>
    <row r="2773" spans="1:8" x14ac:dyDescent="0.55000000000000004">
      <c r="A2773" s="61" t="s">
        <v>7159</v>
      </c>
      <c r="B2773" t="s">
        <v>591</v>
      </c>
      <c r="C2773">
        <v>9105</v>
      </c>
      <c r="D2773" t="s">
        <v>6365</v>
      </c>
      <c r="E2773" t="s">
        <v>6366</v>
      </c>
      <c r="F2773" t="s">
        <v>6361</v>
      </c>
      <c r="G2773" s="43">
        <v>0</v>
      </c>
      <c r="H2773" s="63">
        <v>-0.1</v>
      </c>
    </row>
    <row r="2774" spans="1:8" x14ac:dyDescent="0.55000000000000004">
      <c r="A2774" s="61" t="s">
        <v>7159</v>
      </c>
      <c r="B2774" t="s">
        <v>591</v>
      </c>
      <c r="C2774">
        <v>9105</v>
      </c>
      <c r="D2774" t="s">
        <v>6384</v>
      </c>
      <c r="E2774" t="s">
        <v>6385</v>
      </c>
      <c r="F2774" t="s">
        <v>6361</v>
      </c>
      <c r="G2774" s="43">
        <v>0</v>
      </c>
      <c r="H2774" s="63">
        <v>1</v>
      </c>
    </row>
    <row r="2775" spans="1:8" x14ac:dyDescent="0.55000000000000004">
      <c r="A2775" s="61" t="s">
        <v>7159</v>
      </c>
      <c r="B2775" t="s">
        <v>591</v>
      </c>
      <c r="C2775">
        <v>9105</v>
      </c>
      <c r="D2775" t="s">
        <v>6386</v>
      </c>
      <c r="E2775" t="s">
        <v>6387</v>
      </c>
      <c r="F2775" t="s">
        <v>6361</v>
      </c>
      <c r="G2775" s="43">
        <v>0</v>
      </c>
      <c r="H2775" s="63">
        <v>1</v>
      </c>
    </row>
    <row r="2776" spans="1:8" x14ac:dyDescent="0.55000000000000004">
      <c r="A2776" s="61" t="s">
        <v>7160</v>
      </c>
      <c r="B2776" t="s">
        <v>591</v>
      </c>
      <c r="C2776">
        <v>9303</v>
      </c>
      <c r="D2776" t="s">
        <v>6359</v>
      </c>
      <c r="E2776" t="s">
        <v>6388</v>
      </c>
      <c r="F2776" t="s">
        <v>6361</v>
      </c>
      <c r="G2776" s="43">
        <v>0</v>
      </c>
      <c r="H2776" s="63">
        <v>0.9</v>
      </c>
    </row>
    <row r="2777" spans="1:8" x14ac:dyDescent="0.55000000000000004">
      <c r="A2777" s="61" t="s">
        <v>7160</v>
      </c>
      <c r="B2777" t="s">
        <v>591</v>
      </c>
      <c r="C2777">
        <v>9303</v>
      </c>
      <c r="D2777" t="s">
        <v>6363</v>
      </c>
      <c r="E2777" t="s">
        <v>6364</v>
      </c>
      <c r="F2777" t="s">
        <v>6361</v>
      </c>
      <c r="G2777" s="43">
        <v>0</v>
      </c>
      <c r="H2777" s="63">
        <v>0.1</v>
      </c>
    </row>
    <row r="2778" spans="1:8" x14ac:dyDescent="0.55000000000000004">
      <c r="A2778" s="61" t="s">
        <v>7160</v>
      </c>
      <c r="B2778" t="s">
        <v>591</v>
      </c>
      <c r="C2778">
        <v>9303</v>
      </c>
      <c r="D2778" t="s">
        <v>6362</v>
      </c>
      <c r="E2778" t="s">
        <v>6358</v>
      </c>
      <c r="F2778" t="s">
        <v>6358</v>
      </c>
      <c r="G2778" s="43">
        <v>5.96E-2</v>
      </c>
      <c r="H2778" s="63">
        <v>1</v>
      </c>
    </row>
    <row r="2779" spans="1:8" x14ac:dyDescent="0.55000000000000004">
      <c r="A2779" s="61" t="s">
        <v>7160</v>
      </c>
      <c r="B2779" t="s">
        <v>591</v>
      </c>
      <c r="C2779">
        <v>9303</v>
      </c>
      <c r="D2779" t="s">
        <v>6365</v>
      </c>
      <c r="E2779" t="s">
        <v>6366</v>
      </c>
      <c r="F2779" t="s">
        <v>6361</v>
      </c>
      <c r="G2779" s="43">
        <v>0</v>
      </c>
      <c r="H2779" s="63">
        <v>-0.1</v>
      </c>
    </row>
    <row r="2780" spans="1:8" x14ac:dyDescent="0.55000000000000004">
      <c r="A2780" s="61" t="s">
        <v>7160</v>
      </c>
      <c r="B2780" t="s">
        <v>591</v>
      </c>
      <c r="C2780">
        <v>9303</v>
      </c>
      <c r="D2780" t="s">
        <v>6384</v>
      </c>
      <c r="E2780" t="s">
        <v>6385</v>
      </c>
      <c r="F2780" t="s">
        <v>6361</v>
      </c>
      <c r="G2780" s="43">
        <v>0</v>
      </c>
      <c r="H2780" s="63">
        <v>1</v>
      </c>
    </row>
    <row r="2781" spans="1:8" x14ac:dyDescent="0.55000000000000004">
      <c r="A2781" s="61" t="s">
        <v>7160</v>
      </c>
      <c r="B2781" t="s">
        <v>591</v>
      </c>
      <c r="C2781">
        <v>9303</v>
      </c>
      <c r="D2781" t="s">
        <v>6386</v>
      </c>
      <c r="E2781" t="s">
        <v>6387</v>
      </c>
      <c r="F2781" t="s">
        <v>6361</v>
      </c>
      <c r="G2781" s="43">
        <v>0</v>
      </c>
      <c r="H2781" s="63">
        <v>1</v>
      </c>
    </row>
    <row r="2782" spans="1:8" x14ac:dyDescent="0.55000000000000004">
      <c r="A2782" s="61" t="s">
        <v>7161</v>
      </c>
      <c r="B2782" t="s">
        <v>2800</v>
      </c>
      <c r="C2782">
        <v>8710</v>
      </c>
      <c r="D2782" t="s">
        <v>6359</v>
      </c>
      <c r="E2782" t="s">
        <v>6360</v>
      </c>
      <c r="F2782" t="s">
        <v>6361</v>
      </c>
      <c r="G2782" s="43">
        <v>0</v>
      </c>
      <c r="H2782" s="63">
        <v>0.9</v>
      </c>
    </row>
    <row r="2783" spans="1:8" x14ac:dyDescent="0.55000000000000004">
      <c r="A2783" s="61" t="s">
        <v>7161</v>
      </c>
      <c r="B2783" t="s">
        <v>2800</v>
      </c>
      <c r="C2783">
        <v>8710</v>
      </c>
      <c r="D2783" t="s">
        <v>6363</v>
      </c>
      <c r="E2783" t="s">
        <v>6364</v>
      </c>
      <c r="F2783" t="s">
        <v>6361</v>
      </c>
      <c r="G2783" s="43">
        <v>0</v>
      </c>
      <c r="H2783" s="63">
        <v>0.1</v>
      </c>
    </row>
    <row r="2784" spans="1:8" x14ac:dyDescent="0.55000000000000004">
      <c r="A2784" s="61" t="s">
        <v>7161</v>
      </c>
      <c r="B2784" t="s">
        <v>2800</v>
      </c>
      <c r="C2784">
        <v>8710</v>
      </c>
      <c r="D2784" t="s">
        <v>6362</v>
      </c>
      <c r="E2784" t="s">
        <v>6358</v>
      </c>
      <c r="F2784" t="s">
        <v>6358</v>
      </c>
      <c r="G2784" s="43">
        <v>7.9899999999999999E-2</v>
      </c>
      <c r="H2784" s="63">
        <v>1</v>
      </c>
    </row>
    <row r="2785" spans="1:8" x14ac:dyDescent="0.55000000000000004">
      <c r="A2785" s="61" t="s">
        <v>7161</v>
      </c>
      <c r="B2785" t="s">
        <v>2800</v>
      </c>
      <c r="C2785">
        <v>8710</v>
      </c>
      <c r="D2785" t="s">
        <v>6365</v>
      </c>
      <c r="E2785" t="s">
        <v>6366</v>
      </c>
      <c r="F2785" t="s">
        <v>6361</v>
      </c>
      <c r="G2785" s="43">
        <v>0</v>
      </c>
      <c r="H2785" s="63">
        <v>-0.1</v>
      </c>
    </row>
    <row r="2786" spans="1:8" x14ac:dyDescent="0.55000000000000004">
      <c r="A2786" s="61" t="s">
        <v>7162</v>
      </c>
      <c r="B2786" t="s">
        <v>2800</v>
      </c>
      <c r="C2786">
        <v>9101</v>
      </c>
      <c r="D2786" t="s">
        <v>6359</v>
      </c>
      <c r="E2786" t="s">
        <v>6367</v>
      </c>
      <c r="F2786" t="s">
        <v>6361</v>
      </c>
      <c r="G2786" s="43">
        <v>0</v>
      </c>
      <c r="H2786" s="63">
        <v>1</v>
      </c>
    </row>
    <row r="2787" spans="1:8" x14ac:dyDescent="0.55000000000000004">
      <c r="A2787" s="61" t="s">
        <v>7162</v>
      </c>
      <c r="B2787" t="s">
        <v>2800</v>
      </c>
      <c r="C2787">
        <v>9101</v>
      </c>
      <c r="D2787" t="s">
        <v>6362</v>
      </c>
      <c r="E2787" t="s">
        <v>6358</v>
      </c>
      <c r="F2787" t="s">
        <v>6358</v>
      </c>
      <c r="G2787" s="43">
        <v>9.7500000000000003E-2</v>
      </c>
      <c r="H2787" s="63">
        <v>1</v>
      </c>
    </row>
    <row r="2788" spans="1:8" x14ac:dyDescent="0.55000000000000004">
      <c r="A2788" s="61" t="s">
        <v>7163</v>
      </c>
      <c r="B2788" t="s">
        <v>2800</v>
      </c>
      <c r="C2788">
        <v>9110</v>
      </c>
      <c r="D2788" t="s">
        <v>6359</v>
      </c>
      <c r="E2788" t="s">
        <v>6367</v>
      </c>
      <c r="F2788" t="s">
        <v>6361</v>
      </c>
      <c r="G2788" s="43">
        <v>0</v>
      </c>
      <c r="H2788" s="63">
        <v>0.9</v>
      </c>
    </row>
    <row r="2789" spans="1:8" x14ac:dyDescent="0.55000000000000004">
      <c r="A2789" s="61" t="s">
        <v>7163</v>
      </c>
      <c r="B2789" t="s">
        <v>2800</v>
      </c>
      <c r="C2789">
        <v>9110</v>
      </c>
      <c r="D2789" t="s">
        <v>6363</v>
      </c>
      <c r="E2789" t="s">
        <v>6364</v>
      </c>
      <c r="F2789" t="s">
        <v>6361</v>
      </c>
      <c r="G2789" s="43">
        <v>0</v>
      </c>
      <c r="H2789" s="63">
        <v>0.1</v>
      </c>
    </row>
    <row r="2790" spans="1:8" x14ac:dyDescent="0.55000000000000004">
      <c r="A2790" s="61" t="s">
        <v>7163</v>
      </c>
      <c r="B2790" t="s">
        <v>2800</v>
      </c>
      <c r="C2790">
        <v>9110</v>
      </c>
      <c r="D2790" t="s">
        <v>6362</v>
      </c>
      <c r="E2790" t="s">
        <v>6358</v>
      </c>
      <c r="F2790" t="s">
        <v>6358</v>
      </c>
      <c r="G2790" s="43">
        <v>7.9899999999999999E-2</v>
      </c>
      <c r="H2790" s="63">
        <v>1</v>
      </c>
    </row>
    <row r="2791" spans="1:8" x14ac:dyDescent="0.55000000000000004">
      <c r="A2791" s="61" t="s">
        <v>7163</v>
      </c>
      <c r="B2791" t="s">
        <v>2800</v>
      </c>
      <c r="C2791">
        <v>9110</v>
      </c>
      <c r="D2791" t="s">
        <v>6365</v>
      </c>
      <c r="E2791" t="s">
        <v>6366</v>
      </c>
      <c r="F2791" t="s">
        <v>6361</v>
      </c>
      <c r="G2791" s="43">
        <v>0</v>
      </c>
      <c r="H2791" s="63">
        <v>-0.1</v>
      </c>
    </row>
    <row r="2792" spans="1:8" x14ac:dyDescent="0.55000000000000004">
      <c r="A2792" s="61" t="s">
        <v>7164</v>
      </c>
      <c r="B2792" t="s">
        <v>2800</v>
      </c>
      <c r="C2792">
        <v>9204</v>
      </c>
      <c r="D2792" t="s">
        <v>6359</v>
      </c>
      <c r="E2792" t="s">
        <v>6367</v>
      </c>
      <c r="F2792" t="s">
        <v>6361</v>
      </c>
      <c r="G2792" s="43">
        <v>0</v>
      </c>
      <c r="H2792" s="63">
        <v>0.9</v>
      </c>
    </row>
    <row r="2793" spans="1:8" x14ac:dyDescent="0.55000000000000004">
      <c r="A2793" s="61" t="s">
        <v>7164</v>
      </c>
      <c r="B2793" t="s">
        <v>2800</v>
      </c>
      <c r="C2793">
        <v>9204</v>
      </c>
      <c r="D2793" t="s">
        <v>6363</v>
      </c>
      <c r="E2793" t="s">
        <v>6364</v>
      </c>
      <c r="F2793" t="s">
        <v>6361</v>
      </c>
      <c r="G2793" s="43">
        <v>0</v>
      </c>
      <c r="H2793" s="63">
        <v>0.1</v>
      </c>
    </row>
    <row r="2794" spans="1:8" x14ac:dyDescent="0.55000000000000004">
      <c r="A2794" s="61" t="s">
        <v>7164</v>
      </c>
      <c r="B2794" t="s">
        <v>2800</v>
      </c>
      <c r="C2794">
        <v>9204</v>
      </c>
      <c r="D2794" t="s">
        <v>6362</v>
      </c>
      <c r="E2794" t="s">
        <v>6358</v>
      </c>
      <c r="F2794" t="s">
        <v>6358</v>
      </c>
      <c r="G2794" s="43">
        <v>7.9899999999999999E-2</v>
      </c>
      <c r="H2794" s="63">
        <v>1</v>
      </c>
    </row>
    <row r="2795" spans="1:8" x14ac:dyDescent="0.55000000000000004">
      <c r="A2795" s="61" t="s">
        <v>7164</v>
      </c>
      <c r="B2795" t="s">
        <v>2800</v>
      </c>
      <c r="C2795">
        <v>9204</v>
      </c>
      <c r="D2795" t="s">
        <v>6365</v>
      </c>
      <c r="E2795" t="s">
        <v>6366</v>
      </c>
      <c r="F2795" t="s">
        <v>6361</v>
      </c>
      <c r="G2795" s="43">
        <v>0</v>
      </c>
      <c r="H2795" s="63">
        <v>-0.1</v>
      </c>
    </row>
    <row r="2796" spans="1:8" x14ac:dyDescent="0.55000000000000004">
      <c r="A2796" s="61" t="s">
        <v>7165</v>
      </c>
      <c r="B2796" t="s">
        <v>2070</v>
      </c>
      <c r="C2796">
        <v>8701</v>
      </c>
      <c r="D2796" t="s">
        <v>6359</v>
      </c>
      <c r="E2796" t="s">
        <v>6360</v>
      </c>
      <c r="F2796" t="s">
        <v>6361</v>
      </c>
      <c r="G2796" s="43">
        <v>0</v>
      </c>
      <c r="H2796" s="63">
        <v>1</v>
      </c>
    </row>
    <row r="2797" spans="1:8" x14ac:dyDescent="0.55000000000000004">
      <c r="A2797" s="61" t="s">
        <v>7165</v>
      </c>
      <c r="B2797" t="s">
        <v>2070</v>
      </c>
      <c r="C2797">
        <v>8701</v>
      </c>
      <c r="D2797" t="s">
        <v>6362</v>
      </c>
      <c r="E2797" t="s">
        <v>6358</v>
      </c>
      <c r="F2797" t="s">
        <v>6358</v>
      </c>
      <c r="G2797" s="43">
        <v>9.3600000000000003E-2</v>
      </c>
      <c r="H2797" s="63">
        <v>1</v>
      </c>
    </row>
    <row r="2798" spans="1:8" x14ac:dyDescent="0.55000000000000004">
      <c r="A2798" s="61" t="s">
        <v>7166</v>
      </c>
      <c r="B2798" t="s">
        <v>2070</v>
      </c>
      <c r="C2798">
        <v>8710</v>
      </c>
      <c r="D2798" t="s">
        <v>6359</v>
      </c>
      <c r="E2798" t="s">
        <v>6360</v>
      </c>
      <c r="F2798" t="s">
        <v>6361</v>
      </c>
      <c r="G2798" s="43">
        <v>0</v>
      </c>
      <c r="H2798" s="63">
        <v>0.9</v>
      </c>
    </row>
    <row r="2799" spans="1:8" x14ac:dyDescent="0.55000000000000004">
      <c r="A2799" s="61" t="s">
        <v>7166</v>
      </c>
      <c r="B2799" t="s">
        <v>2070</v>
      </c>
      <c r="C2799">
        <v>8710</v>
      </c>
      <c r="D2799" t="s">
        <v>6363</v>
      </c>
      <c r="E2799" t="s">
        <v>6364</v>
      </c>
      <c r="F2799" t="s">
        <v>6361</v>
      </c>
      <c r="G2799" s="43">
        <v>0</v>
      </c>
      <c r="H2799" s="63">
        <v>0.1</v>
      </c>
    </row>
    <row r="2800" spans="1:8" x14ac:dyDescent="0.55000000000000004">
      <c r="A2800" s="61" t="s">
        <v>7166</v>
      </c>
      <c r="B2800" t="s">
        <v>2070</v>
      </c>
      <c r="C2800">
        <v>8710</v>
      </c>
      <c r="D2800" t="s">
        <v>6362</v>
      </c>
      <c r="E2800" t="s">
        <v>6358</v>
      </c>
      <c r="F2800" t="s">
        <v>6358</v>
      </c>
      <c r="G2800" s="43">
        <v>8.3599999999999994E-2</v>
      </c>
      <c r="H2800" s="63">
        <v>1</v>
      </c>
    </row>
    <row r="2801" spans="1:8" x14ac:dyDescent="0.55000000000000004">
      <c r="A2801" s="61" t="s">
        <v>7166</v>
      </c>
      <c r="B2801" t="s">
        <v>2070</v>
      </c>
      <c r="C2801">
        <v>8710</v>
      </c>
      <c r="D2801" t="s">
        <v>6365</v>
      </c>
      <c r="E2801" t="s">
        <v>6366</v>
      </c>
      <c r="F2801" t="s">
        <v>6361</v>
      </c>
      <c r="G2801" s="43">
        <v>0</v>
      </c>
      <c r="H2801" s="63">
        <v>-0.1</v>
      </c>
    </row>
    <row r="2802" spans="1:8" x14ac:dyDescent="0.55000000000000004">
      <c r="A2802" s="61" t="s">
        <v>7167</v>
      </c>
      <c r="B2802" t="s">
        <v>2070</v>
      </c>
      <c r="C2802">
        <v>9101</v>
      </c>
      <c r="D2802" t="s">
        <v>6359</v>
      </c>
      <c r="E2802" t="s">
        <v>6367</v>
      </c>
      <c r="F2802" t="s">
        <v>6361</v>
      </c>
      <c r="G2802" s="43">
        <v>0</v>
      </c>
      <c r="H2802" s="63">
        <v>1</v>
      </c>
    </row>
    <row r="2803" spans="1:8" x14ac:dyDescent="0.55000000000000004">
      <c r="A2803" s="61" t="s">
        <v>7167</v>
      </c>
      <c r="B2803" t="s">
        <v>2070</v>
      </c>
      <c r="C2803">
        <v>9101</v>
      </c>
      <c r="D2803" t="s">
        <v>6362</v>
      </c>
      <c r="E2803" t="s">
        <v>6358</v>
      </c>
      <c r="F2803" t="s">
        <v>6358</v>
      </c>
      <c r="G2803" s="43">
        <v>9.3600000000000003E-2</v>
      </c>
      <c r="H2803" s="63">
        <v>1</v>
      </c>
    </row>
    <row r="2804" spans="1:8" x14ac:dyDescent="0.55000000000000004">
      <c r="A2804" s="61" t="s">
        <v>7168</v>
      </c>
      <c r="B2804" t="s">
        <v>2070</v>
      </c>
      <c r="C2804">
        <v>9110</v>
      </c>
      <c r="D2804" t="s">
        <v>6359</v>
      </c>
      <c r="E2804" t="s">
        <v>6367</v>
      </c>
      <c r="F2804" t="s">
        <v>6361</v>
      </c>
      <c r="G2804" s="43">
        <v>0</v>
      </c>
      <c r="H2804" s="63">
        <v>0.9</v>
      </c>
    </row>
    <row r="2805" spans="1:8" x14ac:dyDescent="0.55000000000000004">
      <c r="A2805" s="61" t="s">
        <v>7168</v>
      </c>
      <c r="B2805" t="s">
        <v>2070</v>
      </c>
      <c r="C2805">
        <v>9110</v>
      </c>
      <c r="D2805" t="s">
        <v>6363</v>
      </c>
      <c r="E2805" t="s">
        <v>6364</v>
      </c>
      <c r="F2805" t="s">
        <v>6361</v>
      </c>
      <c r="G2805" s="43">
        <v>0</v>
      </c>
      <c r="H2805" s="63">
        <v>0.1</v>
      </c>
    </row>
    <row r="2806" spans="1:8" x14ac:dyDescent="0.55000000000000004">
      <c r="A2806" s="61" t="s">
        <v>7168</v>
      </c>
      <c r="B2806" t="s">
        <v>2070</v>
      </c>
      <c r="C2806">
        <v>9110</v>
      </c>
      <c r="D2806" t="s">
        <v>6362</v>
      </c>
      <c r="E2806" t="s">
        <v>6358</v>
      </c>
      <c r="F2806" t="s">
        <v>6358</v>
      </c>
      <c r="G2806" s="43">
        <v>8.3599999999999994E-2</v>
      </c>
      <c r="H2806" s="63">
        <v>1</v>
      </c>
    </row>
    <row r="2807" spans="1:8" x14ac:dyDescent="0.55000000000000004">
      <c r="A2807" s="61" t="s">
        <v>7168</v>
      </c>
      <c r="B2807" t="s">
        <v>2070</v>
      </c>
      <c r="C2807">
        <v>9110</v>
      </c>
      <c r="D2807" t="s">
        <v>6365</v>
      </c>
      <c r="E2807" t="s">
        <v>6366</v>
      </c>
      <c r="F2807" t="s">
        <v>6361</v>
      </c>
      <c r="G2807" s="43">
        <v>0</v>
      </c>
      <c r="H2807" s="63">
        <v>-0.1</v>
      </c>
    </row>
    <row r="2808" spans="1:8" x14ac:dyDescent="0.55000000000000004">
      <c r="A2808" s="61" t="s">
        <v>7169</v>
      </c>
      <c r="B2808" t="s">
        <v>4488</v>
      </c>
      <c r="C2808">
        <v>8701</v>
      </c>
      <c r="D2808" t="s">
        <v>6359</v>
      </c>
      <c r="E2808" t="s">
        <v>6374</v>
      </c>
      <c r="F2808" t="s">
        <v>6361</v>
      </c>
      <c r="G2808" s="43">
        <v>0</v>
      </c>
      <c r="H2808" s="63">
        <v>1</v>
      </c>
    </row>
    <row r="2809" spans="1:8" x14ac:dyDescent="0.55000000000000004">
      <c r="A2809" s="61" t="s">
        <v>7169</v>
      </c>
      <c r="B2809" t="s">
        <v>4488</v>
      </c>
      <c r="C2809">
        <v>8701</v>
      </c>
      <c r="D2809" t="s">
        <v>6362</v>
      </c>
      <c r="E2809" t="s">
        <v>6358</v>
      </c>
      <c r="F2809" t="s">
        <v>6358</v>
      </c>
      <c r="G2809" s="43">
        <v>6.8199999999999997E-2</v>
      </c>
      <c r="H2809" s="63">
        <v>1</v>
      </c>
    </row>
    <row r="2810" spans="1:8" x14ac:dyDescent="0.55000000000000004">
      <c r="A2810" s="61" t="s">
        <v>7170</v>
      </c>
      <c r="B2810" t="s">
        <v>4488</v>
      </c>
      <c r="C2810">
        <v>8710</v>
      </c>
      <c r="D2810" t="s">
        <v>6359</v>
      </c>
      <c r="E2810" t="s">
        <v>6374</v>
      </c>
      <c r="F2810" t="s">
        <v>6361</v>
      </c>
      <c r="G2810" s="43">
        <v>0</v>
      </c>
      <c r="H2810" s="63">
        <v>0.9</v>
      </c>
    </row>
    <row r="2811" spans="1:8" x14ac:dyDescent="0.55000000000000004">
      <c r="A2811" s="61" t="s">
        <v>7170</v>
      </c>
      <c r="B2811" t="s">
        <v>4488</v>
      </c>
      <c r="C2811">
        <v>8710</v>
      </c>
      <c r="D2811" t="s">
        <v>6363</v>
      </c>
      <c r="E2811" t="s">
        <v>6364</v>
      </c>
      <c r="F2811" t="s">
        <v>6361</v>
      </c>
      <c r="G2811" s="43">
        <v>0</v>
      </c>
      <c r="H2811" s="63">
        <v>0.1</v>
      </c>
    </row>
    <row r="2812" spans="1:8" x14ac:dyDescent="0.55000000000000004">
      <c r="A2812" s="61" t="s">
        <v>7170</v>
      </c>
      <c r="B2812" t="s">
        <v>4488</v>
      </c>
      <c r="C2812">
        <v>8710</v>
      </c>
      <c r="D2812" t="s">
        <v>6362</v>
      </c>
      <c r="E2812" t="s">
        <v>6358</v>
      </c>
      <c r="F2812" t="s">
        <v>6358</v>
      </c>
      <c r="G2812" s="43">
        <v>8.3699999999999997E-2</v>
      </c>
      <c r="H2812" s="63">
        <v>1</v>
      </c>
    </row>
    <row r="2813" spans="1:8" x14ac:dyDescent="0.55000000000000004">
      <c r="A2813" s="61" t="s">
        <v>7170</v>
      </c>
      <c r="B2813" t="s">
        <v>4488</v>
      </c>
      <c r="C2813">
        <v>8710</v>
      </c>
      <c r="D2813" t="s">
        <v>6365</v>
      </c>
      <c r="E2813" t="s">
        <v>6366</v>
      </c>
      <c r="F2813" t="s">
        <v>6361</v>
      </c>
      <c r="G2813" s="43">
        <v>0</v>
      </c>
      <c r="H2813" s="63">
        <v>-0.1</v>
      </c>
    </row>
    <row r="2814" spans="1:8" x14ac:dyDescent="0.55000000000000004">
      <c r="A2814" s="61" t="s">
        <v>7171</v>
      </c>
      <c r="B2814" t="s">
        <v>4488</v>
      </c>
      <c r="C2814">
        <v>9204</v>
      </c>
      <c r="D2814" t="s">
        <v>6359</v>
      </c>
      <c r="E2814" t="s">
        <v>6375</v>
      </c>
      <c r="F2814" t="s">
        <v>6361</v>
      </c>
      <c r="G2814" s="43">
        <v>0</v>
      </c>
      <c r="H2814" s="63">
        <v>0.9</v>
      </c>
    </row>
    <row r="2815" spans="1:8" x14ac:dyDescent="0.55000000000000004">
      <c r="A2815" s="61" t="s">
        <v>7171</v>
      </c>
      <c r="B2815" t="s">
        <v>4488</v>
      </c>
      <c r="C2815">
        <v>9204</v>
      </c>
      <c r="D2815" t="s">
        <v>6363</v>
      </c>
      <c r="E2815" t="s">
        <v>6364</v>
      </c>
      <c r="F2815" t="s">
        <v>6361</v>
      </c>
      <c r="G2815" s="43">
        <v>0</v>
      </c>
      <c r="H2815" s="63">
        <v>0.1</v>
      </c>
    </row>
    <row r="2816" spans="1:8" x14ac:dyDescent="0.55000000000000004">
      <c r="A2816" s="61" t="s">
        <v>7171</v>
      </c>
      <c r="B2816" t="s">
        <v>4488</v>
      </c>
      <c r="C2816">
        <v>9204</v>
      </c>
      <c r="D2816" t="s">
        <v>6362</v>
      </c>
      <c r="E2816" t="s">
        <v>6358</v>
      </c>
      <c r="F2816" t="s">
        <v>6358</v>
      </c>
      <c r="G2816" s="43">
        <v>8.3699999999999997E-2</v>
      </c>
      <c r="H2816" s="63">
        <v>1</v>
      </c>
    </row>
    <row r="2817" spans="1:8" x14ac:dyDescent="0.55000000000000004">
      <c r="A2817" s="61" t="s">
        <v>7171</v>
      </c>
      <c r="B2817" t="s">
        <v>4488</v>
      </c>
      <c r="C2817">
        <v>9204</v>
      </c>
      <c r="D2817" t="s">
        <v>6365</v>
      </c>
      <c r="E2817" t="s">
        <v>6366</v>
      </c>
      <c r="F2817" t="s">
        <v>6361</v>
      </c>
      <c r="G2817" s="43">
        <v>0</v>
      </c>
      <c r="H2817" s="63">
        <v>-0.1</v>
      </c>
    </row>
    <row r="2818" spans="1:8" x14ac:dyDescent="0.55000000000000004">
      <c r="A2818" s="61" t="s">
        <v>7172</v>
      </c>
      <c r="B2818" t="s">
        <v>4488</v>
      </c>
      <c r="C2818">
        <v>9310</v>
      </c>
      <c r="D2818" t="s">
        <v>6359</v>
      </c>
      <c r="E2818" t="s">
        <v>6375</v>
      </c>
      <c r="F2818" t="s">
        <v>6361</v>
      </c>
      <c r="G2818" s="43">
        <v>0</v>
      </c>
      <c r="H2818" s="63">
        <v>0.9</v>
      </c>
    </row>
    <row r="2819" spans="1:8" x14ac:dyDescent="0.55000000000000004">
      <c r="A2819" s="61" t="s">
        <v>7172</v>
      </c>
      <c r="B2819" t="s">
        <v>4488</v>
      </c>
      <c r="C2819">
        <v>9310</v>
      </c>
      <c r="D2819" t="s">
        <v>6363</v>
      </c>
      <c r="E2819" t="s">
        <v>6364</v>
      </c>
      <c r="F2819" t="s">
        <v>6361</v>
      </c>
      <c r="G2819" s="43">
        <v>0</v>
      </c>
      <c r="H2819" s="63">
        <v>0.1</v>
      </c>
    </row>
    <row r="2820" spans="1:8" x14ac:dyDescent="0.55000000000000004">
      <c r="A2820" s="61" t="s">
        <v>7172</v>
      </c>
      <c r="B2820" t="s">
        <v>4488</v>
      </c>
      <c r="C2820">
        <v>9310</v>
      </c>
      <c r="D2820" t="s">
        <v>6362</v>
      </c>
      <c r="E2820" t="s">
        <v>6358</v>
      </c>
      <c r="F2820" t="s">
        <v>6358</v>
      </c>
      <c r="G2820" s="43">
        <v>8.3699999999999997E-2</v>
      </c>
      <c r="H2820" s="63">
        <v>1</v>
      </c>
    </row>
    <row r="2821" spans="1:8" x14ac:dyDescent="0.55000000000000004">
      <c r="A2821" s="61" t="s">
        <v>7172</v>
      </c>
      <c r="B2821" t="s">
        <v>4488</v>
      </c>
      <c r="C2821">
        <v>9310</v>
      </c>
      <c r="D2821" t="s">
        <v>6365</v>
      </c>
      <c r="E2821" t="s">
        <v>6366</v>
      </c>
      <c r="F2821" t="s">
        <v>6361</v>
      </c>
      <c r="G2821" s="43">
        <v>0</v>
      </c>
      <c r="H2821" s="63">
        <v>-0.1</v>
      </c>
    </row>
    <row r="2822" spans="1:8" x14ac:dyDescent="0.55000000000000004">
      <c r="A2822" s="61" t="s">
        <v>7173</v>
      </c>
      <c r="B2822" t="s">
        <v>5591</v>
      </c>
      <c r="C2822">
        <v>8710</v>
      </c>
      <c r="D2822" t="s">
        <v>6359</v>
      </c>
      <c r="E2822" t="s">
        <v>6393</v>
      </c>
      <c r="F2822" t="s">
        <v>6361</v>
      </c>
      <c r="G2822" s="43">
        <v>0</v>
      </c>
      <c r="H2822" s="63">
        <v>0.9</v>
      </c>
    </row>
    <row r="2823" spans="1:8" x14ac:dyDescent="0.55000000000000004">
      <c r="A2823" s="61" t="s">
        <v>7173</v>
      </c>
      <c r="B2823" t="s">
        <v>5591</v>
      </c>
      <c r="C2823">
        <v>8710</v>
      </c>
      <c r="D2823" t="s">
        <v>6363</v>
      </c>
      <c r="E2823" t="s">
        <v>6364</v>
      </c>
      <c r="F2823" t="s">
        <v>6361</v>
      </c>
      <c r="G2823" s="43">
        <v>0</v>
      </c>
      <c r="H2823" s="63">
        <v>0.1</v>
      </c>
    </row>
    <row r="2824" spans="1:8" x14ac:dyDescent="0.55000000000000004">
      <c r="A2824" s="61" t="s">
        <v>7173</v>
      </c>
      <c r="B2824" t="s">
        <v>5591</v>
      </c>
      <c r="C2824">
        <v>8710</v>
      </c>
      <c r="D2824" t="s">
        <v>6362</v>
      </c>
      <c r="E2824" t="s">
        <v>6358</v>
      </c>
      <c r="F2824" t="s">
        <v>6358</v>
      </c>
      <c r="G2824" s="43">
        <v>4.4499999999999998E-2</v>
      </c>
      <c r="H2824" s="63">
        <v>1</v>
      </c>
    </row>
    <row r="2825" spans="1:8" x14ac:dyDescent="0.55000000000000004">
      <c r="A2825" s="61" t="s">
        <v>7173</v>
      </c>
      <c r="B2825" t="s">
        <v>5591</v>
      </c>
      <c r="C2825">
        <v>8710</v>
      </c>
      <c r="D2825" t="s">
        <v>6365</v>
      </c>
      <c r="E2825" t="s">
        <v>6366</v>
      </c>
      <c r="F2825" t="s">
        <v>6361</v>
      </c>
      <c r="G2825" s="43">
        <v>0</v>
      </c>
      <c r="H2825" s="63">
        <v>-0.1</v>
      </c>
    </row>
    <row r="2826" spans="1:8" x14ac:dyDescent="0.55000000000000004">
      <c r="A2826" s="61" t="s">
        <v>7174</v>
      </c>
      <c r="B2826" t="s">
        <v>5591</v>
      </c>
      <c r="C2826">
        <v>9204</v>
      </c>
      <c r="D2826" t="s">
        <v>6359</v>
      </c>
      <c r="E2826" t="s">
        <v>6394</v>
      </c>
      <c r="F2826" t="s">
        <v>6361</v>
      </c>
      <c r="G2826" s="43">
        <v>0</v>
      </c>
      <c r="H2826" s="63">
        <v>0.9</v>
      </c>
    </row>
    <row r="2827" spans="1:8" x14ac:dyDescent="0.55000000000000004">
      <c r="A2827" s="61" t="s">
        <v>7174</v>
      </c>
      <c r="B2827" t="s">
        <v>5591</v>
      </c>
      <c r="C2827">
        <v>9204</v>
      </c>
      <c r="D2827" t="s">
        <v>6363</v>
      </c>
      <c r="E2827" t="s">
        <v>6364</v>
      </c>
      <c r="F2827" t="s">
        <v>6361</v>
      </c>
      <c r="G2827" s="43">
        <v>0</v>
      </c>
      <c r="H2827" s="63">
        <v>0.1</v>
      </c>
    </row>
    <row r="2828" spans="1:8" x14ac:dyDescent="0.55000000000000004">
      <c r="A2828" s="61" t="s">
        <v>7174</v>
      </c>
      <c r="B2828" t="s">
        <v>5591</v>
      </c>
      <c r="C2828">
        <v>9204</v>
      </c>
      <c r="D2828" t="s">
        <v>6362</v>
      </c>
      <c r="E2828" t="s">
        <v>6358</v>
      </c>
      <c r="F2828" t="s">
        <v>6358</v>
      </c>
      <c r="G2828" s="43">
        <v>4.4499999999999998E-2</v>
      </c>
      <c r="H2828" s="63">
        <v>1</v>
      </c>
    </row>
    <row r="2829" spans="1:8" x14ac:dyDescent="0.55000000000000004">
      <c r="A2829" s="61" t="s">
        <v>7174</v>
      </c>
      <c r="B2829" t="s">
        <v>5591</v>
      </c>
      <c r="C2829">
        <v>9204</v>
      </c>
      <c r="D2829" t="s">
        <v>6365</v>
      </c>
      <c r="E2829" t="s">
        <v>6366</v>
      </c>
      <c r="F2829" t="s">
        <v>6361</v>
      </c>
      <c r="G2829" s="43">
        <v>0</v>
      </c>
      <c r="H2829" s="63">
        <v>-0.1</v>
      </c>
    </row>
    <row r="2830" spans="1:8" x14ac:dyDescent="0.55000000000000004">
      <c r="A2830" s="61" t="s">
        <v>7175</v>
      </c>
      <c r="B2830" t="s">
        <v>3194</v>
      </c>
      <c r="C2830">
        <v>8701</v>
      </c>
      <c r="D2830" t="s">
        <v>6359</v>
      </c>
      <c r="E2830" t="s">
        <v>6370</v>
      </c>
      <c r="F2830" t="s">
        <v>6361</v>
      </c>
      <c r="G2830" s="43">
        <v>0</v>
      </c>
      <c r="H2830" s="63">
        <v>1</v>
      </c>
    </row>
    <row r="2831" spans="1:8" x14ac:dyDescent="0.55000000000000004">
      <c r="A2831" s="61" t="s">
        <v>7175</v>
      </c>
      <c r="B2831" t="s">
        <v>3194</v>
      </c>
      <c r="C2831">
        <v>8701</v>
      </c>
      <c r="D2831" t="s">
        <v>6362</v>
      </c>
      <c r="E2831" t="s">
        <v>6358</v>
      </c>
      <c r="F2831" t="s">
        <v>6358</v>
      </c>
      <c r="G2831" s="43">
        <v>6.6000000000000003E-2</v>
      </c>
      <c r="H2831" s="63">
        <v>1</v>
      </c>
    </row>
    <row r="2832" spans="1:8" x14ac:dyDescent="0.55000000000000004">
      <c r="A2832" s="61" t="s">
        <v>7176</v>
      </c>
      <c r="B2832" t="s">
        <v>3194</v>
      </c>
      <c r="C2832">
        <v>8710</v>
      </c>
      <c r="D2832" t="s">
        <v>6359</v>
      </c>
      <c r="E2832" t="s">
        <v>6370</v>
      </c>
      <c r="F2832" t="s">
        <v>6361</v>
      </c>
      <c r="G2832" s="43">
        <v>0</v>
      </c>
      <c r="H2832" s="63">
        <v>0.9</v>
      </c>
    </row>
    <row r="2833" spans="1:8" x14ac:dyDescent="0.55000000000000004">
      <c r="A2833" s="61" t="s">
        <v>7176</v>
      </c>
      <c r="B2833" t="s">
        <v>3194</v>
      </c>
      <c r="C2833">
        <v>8710</v>
      </c>
      <c r="D2833" t="s">
        <v>6363</v>
      </c>
      <c r="E2833" t="s">
        <v>6364</v>
      </c>
      <c r="F2833" t="s">
        <v>6361</v>
      </c>
      <c r="G2833" s="43">
        <v>0</v>
      </c>
      <c r="H2833" s="63">
        <v>0.1</v>
      </c>
    </row>
    <row r="2834" spans="1:8" x14ac:dyDescent="0.55000000000000004">
      <c r="A2834" s="61" t="s">
        <v>7176</v>
      </c>
      <c r="B2834" t="s">
        <v>3194</v>
      </c>
      <c r="C2834">
        <v>8710</v>
      </c>
      <c r="D2834" t="s">
        <v>6362</v>
      </c>
      <c r="E2834" t="s">
        <v>6358</v>
      </c>
      <c r="F2834" t="s">
        <v>6358</v>
      </c>
      <c r="G2834" s="43">
        <v>8.3799999999999999E-2</v>
      </c>
      <c r="H2834" s="63">
        <v>1</v>
      </c>
    </row>
    <row r="2835" spans="1:8" x14ac:dyDescent="0.55000000000000004">
      <c r="A2835" s="61" t="s">
        <v>7176</v>
      </c>
      <c r="B2835" t="s">
        <v>3194</v>
      </c>
      <c r="C2835">
        <v>8710</v>
      </c>
      <c r="D2835" t="s">
        <v>6365</v>
      </c>
      <c r="E2835" t="s">
        <v>6366</v>
      </c>
      <c r="F2835" t="s">
        <v>6361</v>
      </c>
      <c r="G2835" s="43">
        <v>0</v>
      </c>
      <c r="H2835" s="63">
        <v>-0.1</v>
      </c>
    </row>
    <row r="2836" spans="1:8" x14ac:dyDescent="0.55000000000000004">
      <c r="A2836" s="61" t="s">
        <v>7177</v>
      </c>
      <c r="B2836" t="s">
        <v>3194</v>
      </c>
      <c r="C2836">
        <v>9101</v>
      </c>
      <c r="D2836" t="s">
        <v>6359</v>
      </c>
      <c r="E2836" t="s">
        <v>6371</v>
      </c>
      <c r="F2836" t="s">
        <v>6361</v>
      </c>
      <c r="G2836" s="43">
        <v>0</v>
      </c>
      <c r="H2836" s="63">
        <v>1</v>
      </c>
    </row>
    <row r="2837" spans="1:8" x14ac:dyDescent="0.55000000000000004">
      <c r="A2837" s="61" t="s">
        <v>7177</v>
      </c>
      <c r="B2837" t="s">
        <v>3194</v>
      </c>
      <c r="C2837">
        <v>9101</v>
      </c>
      <c r="D2837" t="s">
        <v>6362</v>
      </c>
      <c r="E2837" t="s">
        <v>6358</v>
      </c>
      <c r="F2837" t="s">
        <v>6358</v>
      </c>
      <c r="G2837" s="43">
        <v>6.6000000000000003E-2</v>
      </c>
      <c r="H2837" s="63">
        <v>1</v>
      </c>
    </row>
    <row r="2838" spans="1:8" x14ac:dyDescent="0.55000000000000004">
      <c r="A2838" s="61" t="s">
        <v>7178</v>
      </c>
      <c r="B2838" t="s">
        <v>3194</v>
      </c>
      <c r="C2838">
        <v>9204</v>
      </c>
      <c r="D2838" t="s">
        <v>6359</v>
      </c>
      <c r="E2838" t="s">
        <v>6371</v>
      </c>
      <c r="F2838" t="s">
        <v>6361</v>
      </c>
      <c r="G2838" s="43">
        <v>0</v>
      </c>
      <c r="H2838" s="63">
        <v>0.9</v>
      </c>
    </row>
    <row r="2839" spans="1:8" x14ac:dyDescent="0.55000000000000004">
      <c r="A2839" s="61" t="s">
        <v>7178</v>
      </c>
      <c r="B2839" t="s">
        <v>3194</v>
      </c>
      <c r="C2839">
        <v>9204</v>
      </c>
      <c r="D2839" t="s">
        <v>6363</v>
      </c>
      <c r="E2839" t="s">
        <v>6364</v>
      </c>
      <c r="F2839" t="s">
        <v>6361</v>
      </c>
      <c r="G2839" s="43">
        <v>0</v>
      </c>
      <c r="H2839" s="63">
        <v>0.1</v>
      </c>
    </row>
    <row r="2840" spans="1:8" x14ac:dyDescent="0.55000000000000004">
      <c r="A2840" s="61" t="s">
        <v>7178</v>
      </c>
      <c r="B2840" t="s">
        <v>3194</v>
      </c>
      <c r="C2840">
        <v>9204</v>
      </c>
      <c r="D2840" t="s">
        <v>6362</v>
      </c>
      <c r="E2840" t="s">
        <v>6358</v>
      </c>
      <c r="F2840" t="s">
        <v>6358</v>
      </c>
      <c r="G2840" s="43">
        <v>8.3799999999999999E-2</v>
      </c>
      <c r="H2840" s="63">
        <v>1</v>
      </c>
    </row>
    <row r="2841" spans="1:8" x14ac:dyDescent="0.55000000000000004">
      <c r="A2841" s="61" t="s">
        <v>7178</v>
      </c>
      <c r="B2841" t="s">
        <v>3194</v>
      </c>
      <c r="C2841">
        <v>9204</v>
      </c>
      <c r="D2841" t="s">
        <v>6365</v>
      </c>
      <c r="E2841" t="s">
        <v>6366</v>
      </c>
      <c r="F2841" t="s">
        <v>6361</v>
      </c>
      <c r="G2841" s="43">
        <v>0</v>
      </c>
      <c r="H2841" s="63">
        <v>-0.1</v>
      </c>
    </row>
    <row r="2842" spans="1:8" x14ac:dyDescent="0.55000000000000004">
      <c r="A2842" s="61" t="s">
        <v>7179</v>
      </c>
      <c r="B2842" t="s">
        <v>3194</v>
      </c>
      <c r="C2842">
        <v>9300</v>
      </c>
      <c r="D2842" t="s">
        <v>6359</v>
      </c>
      <c r="E2842" t="s">
        <v>6371</v>
      </c>
      <c r="F2842" t="s">
        <v>6361</v>
      </c>
      <c r="G2842" s="43">
        <v>0</v>
      </c>
      <c r="H2842" s="63">
        <v>1</v>
      </c>
    </row>
    <row r="2843" spans="1:8" x14ac:dyDescent="0.55000000000000004">
      <c r="A2843" s="61" t="s">
        <v>7179</v>
      </c>
      <c r="B2843" t="s">
        <v>3194</v>
      </c>
      <c r="C2843">
        <v>9300</v>
      </c>
      <c r="D2843" t="s">
        <v>6362</v>
      </c>
      <c r="E2843" t="s">
        <v>6358</v>
      </c>
      <c r="F2843" t="s">
        <v>6358</v>
      </c>
      <c r="G2843" s="43">
        <v>6.6000000000000003E-2</v>
      </c>
      <c r="H2843" s="63">
        <v>1</v>
      </c>
    </row>
    <row r="2844" spans="1:8" x14ac:dyDescent="0.55000000000000004">
      <c r="A2844" s="61" t="s">
        <v>7180</v>
      </c>
      <c r="B2844" t="s">
        <v>3194</v>
      </c>
      <c r="C2844">
        <v>9310</v>
      </c>
      <c r="D2844" t="s">
        <v>6359</v>
      </c>
      <c r="E2844" t="s">
        <v>6371</v>
      </c>
      <c r="F2844" t="s">
        <v>6361</v>
      </c>
      <c r="G2844" s="43">
        <v>0</v>
      </c>
      <c r="H2844" s="63">
        <v>0.9</v>
      </c>
    </row>
    <row r="2845" spans="1:8" x14ac:dyDescent="0.55000000000000004">
      <c r="A2845" s="61" t="s">
        <v>7180</v>
      </c>
      <c r="B2845" t="s">
        <v>3194</v>
      </c>
      <c r="C2845">
        <v>9310</v>
      </c>
      <c r="D2845" t="s">
        <v>6363</v>
      </c>
      <c r="E2845" t="s">
        <v>6364</v>
      </c>
      <c r="F2845" t="s">
        <v>6361</v>
      </c>
      <c r="G2845" s="43">
        <v>0</v>
      </c>
      <c r="H2845" s="63">
        <v>0.1</v>
      </c>
    </row>
    <row r="2846" spans="1:8" x14ac:dyDescent="0.55000000000000004">
      <c r="A2846" s="61" t="s">
        <v>7180</v>
      </c>
      <c r="B2846" t="s">
        <v>3194</v>
      </c>
      <c r="C2846">
        <v>9310</v>
      </c>
      <c r="D2846" t="s">
        <v>6362</v>
      </c>
      <c r="E2846" t="s">
        <v>6358</v>
      </c>
      <c r="F2846" t="s">
        <v>6358</v>
      </c>
      <c r="G2846" s="43">
        <v>8.3799999999999999E-2</v>
      </c>
      <c r="H2846" s="63">
        <v>1</v>
      </c>
    </row>
    <row r="2847" spans="1:8" x14ac:dyDescent="0.55000000000000004">
      <c r="A2847" s="61" t="s">
        <v>7180</v>
      </c>
      <c r="B2847" t="s">
        <v>3194</v>
      </c>
      <c r="C2847">
        <v>9310</v>
      </c>
      <c r="D2847" t="s">
        <v>6365</v>
      </c>
      <c r="E2847" t="s">
        <v>6366</v>
      </c>
      <c r="F2847" t="s">
        <v>6361</v>
      </c>
      <c r="G2847" s="43">
        <v>0</v>
      </c>
      <c r="H2847" s="63">
        <v>-0.1</v>
      </c>
    </row>
    <row r="2848" spans="1:8" x14ac:dyDescent="0.55000000000000004">
      <c r="A2848" s="61" t="s">
        <v>7181</v>
      </c>
      <c r="B2848" t="s">
        <v>1903</v>
      </c>
      <c r="C2848">
        <v>8701</v>
      </c>
      <c r="D2848" t="s">
        <v>6359</v>
      </c>
      <c r="E2848" t="s">
        <v>6370</v>
      </c>
      <c r="F2848" t="s">
        <v>6361</v>
      </c>
      <c r="G2848" s="43">
        <v>0</v>
      </c>
      <c r="H2848" s="63">
        <v>1</v>
      </c>
    </row>
    <row r="2849" spans="1:8" x14ac:dyDescent="0.55000000000000004">
      <c r="A2849" s="61" t="s">
        <v>7181</v>
      </c>
      <c r="B2849" t="s">
        <v>1903</v>
      </c>
      <c r="C2849">
        <v>8701</v>
      </c>
      <c r="D2849" t="s">
        <v>6362</v>
      </c>
      <c r="E2849" t="s">
        <v>6358</v>
      </c>
      <c r="F2849" t="s">
        <v>6358</v>
      </c>
      <c r="G2849" s="43">
        <v>9.9900000000000003E-2</v>
      </c>
      <c r="H2849" s="63">
        <v>1</v>
      </c>
    </row>
    <row r="2850" spans="1:8" x14ac:dyDescent="0.55000000000000004">
      <c r="A2850" s="61" t="s">
        <v>7182</v>
      </c>
      <c r="B2850" t="s">
        <v>1903</v>
      </c>
      <c r="C2850">
        <v>8710</v>
      </c>
      <c r="D2850" t="s">
        <v>6359</v>
      </c>
      <c r="E2850" t="s">
        <v>6370</v>
      </c>
      <c r="F2850" t="s">
        <v>6361</v>
      </c>
      <c r="G2850" s="43">
        <v>0</v>
      </c>
      <c r="H2850" s="63">
        <v>0.9</v>
      </c>
    </row>
    <row r="2851" spans="1:8" x14ac:dyDescent="0.55000000000000004">
      <c r="A2851" s="61" t="s">
        <v>7182</v>
      </c>
      <c r="B2851" t="s">
        <v>1903</v>
      </c>
      <c r="C2851">
        <v>8710</v>
      </c>
      <c r="D2851" t="s">
        <v>6363</v>
      </c>
      <c r="E2851" t="s">
        <v>6364</v>
      </c>
      <c r="F2851" t="s">
        <v>6361</v>
      </c>
      <c r="G2851" s="43">
        <v>0</v>
      </c>
      <c r="H2851" s="63">
        <v>0.1</v>
      </c>
    </row>
    <row r="2852" spans="1:8" x14ac:dyDescent="0.55000000000000004">
      <c r="A2852" s="61" t="s">
        <v>7182</v>
      </c>
      <c r="B2852" t="s">
        <v>1903</v>
      </c>
      <c r="C2852">
        <v>8710</v>
      </c>
      <c r="D2852" t="s">
        <v>6362</v>
      </c>
      <c r="E2852" t="s">
        <v>6358</v>
      </c>
      <c r="F2852" t="s">
        <v>6358</v>
      </c>
      <c r="G2852" s="43">
        <v>9.4600000000000004E-2</v>
      </c>
      <c r="H2852" s="63">
        <v>1</v>
      </c>
    </row>
    <row r="2853" spans="1:8" x14ac:dyDescent="0.55000000000000004">
      <c r="A2853" s="61" t="s">
        <v>7182</v>
      </c>
      <c r="B2853" t="s">
        <v>1903</v>
      </c>
      <c r="C2853">
        <v>8710</v>
      </c>
      <c r="D2853" t="s">
        <v>6365</v>
      </c>
      <c r="E2853" t="s">
        <v>6366</v>
      </c>
      <c r="F2853" t="s">
        <v>6361</v>
      </c>
      <c r="G2853" s="43">
        <v>0</v>
      </c>
      <c r="H2853" s="63">
        <v>-0.1</v>
      </c>
    </row>
    <row r="2854" spans="1:8" x14ac:dyDescent="0.55000000000000004">
      <c r="A2854" s="61" t="s">
        <v>7183</v>
      </c>
      <c r="B2854" t="s">
        <v>1903</v>
      </c>
      <c r="C2854">
        <v>9101</v>
      </c>
      <c r="D2854" t="s">
        <v>6359</v>
      </c>
      <c r="E2854" t="s">
        <v>6371</v>
      </c>
      <c r="F2854" t="s">
        <v>6361</v>
      </c>
      <c r="G2854" s="43">
        <v>0</v>
      </c>
      <c r="H2854" s="63">
        <v>1</v>
      </c>
    </row>
    <row r="2855" spans="1:8" x14ac:dyDescent="0.55000000000000004">
      <c r="A2855" s="61" t="s">
        <v>7183</v>
      </c>
      <c r="B2855" t="s">
        <v>1903</v>
      </c>
      <c r="C2855">
        <v>9101</v>
      </c>
      <c r="D2855" t="s">
        <v>6362</v>
      </c>
      <c r="E2855" t="s">
        <v>6358</v>
      </c>
      <c r="F2855" t="s">
        <v>6358</v>
      </c>
      <c r="G2855" s="43">
        <v>9.9900000000000003E-2</v>
      </c>
      <c r="H2855" s="63">
        <v>1</v>
      </c>
    </row>
    <row r="2856" spans="1:8" x14ac:dyDescent="0.55000000000000004">
      <c r="A2856" s="61" t="s">
        <v>7184</v>
      </c>
      <c r="B2856" t="s">
        <v>1903</v>
      </c>
      <c r="C2856">
        <v>9110</v>
      </c>
      <c r="D2856" t="s">
        <v>6359</v>
      </c>
      <c r="E2856" t="s">
        <v>6371</v>
      </c>
      <c r="F2856" t="s">
        <v>6361</v>
      </c>
      <c r="G2856" s="43">
        <v>0</v>
      </c>
      <c r="H2856" s="63">
        <v>0.9</v>
      </c>
    </row>
    <row r="2857" spans="1:8" x14ac:dyDescent="0.55000000000000004">
      <c r="A2857" s="61" t="s">
        <v>7184</v>
      </c>
      <c r="B2857" t="s">
        <v>1903</v>
      </c>
      <c r="C2857">
        <v>9110</v>
      </c>
      <c r="D2857" t="s">
        <v>6363</v>
      </c>
      <c r="E2857" t="s">
        <v>6364</v>
      </c>
      <c r="F2857" t="s">
        <v>6361</v>
      </c>
      <c r="G2857" s="43">
        <v>0</v>
      </c>
      <c r="H2857" s="63">
        <v>0.1</v>
      </c>
    </row>
    <row r="2858" spans="1:8" x14ac:dyDescent="0.55000000000000004">
      <c r="A2858" s="61" t="s">
        <v>7184</v>
      </c>
      <c r="B2858" t="s">
        <v>1903</v>
      </c>
      <c r="C2858">
        <v>9110</v>
      </c>
      <c r="D2858" t="s">
        <v>6362</v>
      </c>
      <c r="E2858" t="s">
        <v>6358</v>
      </c>
      <c r="F2858" t="s">
        <v>6358</v>
      </c>
      <c r="G2858" s="43">
        <v>9.4600000000000004E-2</v>
      </c>
      <c r="H2858" s="63">
        <v>1</v>
      </c>
    </row>
    <row r="2859" spans="1:8" x14ac:dyDescent="0.55000000000000004">
      <c r="A2859" s="61" t="s">
        <v>7184</v>
      </c>
      <c r="B2859" t="s">
        <v>1903</v>
      </c>
      <c r="C2859">
        <v>9110</v>
      </c>
      <c r="D2859" t="s">
        <v>6365</v>
      </c>
      <c r="E2859" t="s">
        <v>6366</v>
      </c>
      <c r="F2859" t="s">
        <v>6361</v>
      </c>
      <c r="G2859" s="43">
        <v>0</v>
      </c>
      <c r="H2859" s="63">
        <v>-0.1</v>
      </c>
    </row>
    <row r="2860" spans="1:8" x14ac:dyDescent="0.55000000000000004">
      <c r="A2860" s="61" t="s">
        <v>7185</v>
      </c>
      <c r="B2860" t="s">
        <v>1903</v>
      </c>
      <c r="C2860">
        <v>9200</v>
      </c>
      <c r="D2860" t="s">
        <v>6359</v>
      </c>
      <c r="E2860" t="s">
        <v>6371</v>
      </c>
      <c r="F2860" t="s">
        <v>6361</v>
      </c>
      <c r="G2860" s="43">
        <v>0</v>
      </c>
      <c r="H2860" s="63">
        <v>1</v>
      </c>
    </row>
    <row r="2861" spans="1:8" x14ac:dyDescent="0.55000000000000004">
      <c r="A2861" s="61" t="s">
        <v>7185</v>
      </c>
      <c r="B2861" t="s">
        <v>1903</v>
      </c>
      <c r="C2861">
        <v>9200</v>
      </c>
      <c r="D2861" t="s">
        <v>6362</v>
      </c>
      <c r="E2861" t="s">
        <v>6358</v>
      </c>
      <c r="F2861" t="s">
        <v>6358</v>
      </c>
      <c r="G2861" s="43">
        <v>9.9900000000000003E-2</v>
      </c>
      <c r="H2861" s="63">
        <v>1</v>
      </c>
    </row>
    <row r="2862" spans="1:8" x14ac:dyDescent="0.55000000000000004">
      <c r="A2862" s="61" t="s">
        <v>7186</v>
      </c>
      <c r="B2862" t="s">
        <v>1903</v>
      </c>
      <c r="C2862">
        <v>9204</v>
      </c>
      <c r="D2862" t="s">
        <v>6359</v>
      </c>
      <c r="E2862" t="s">
        <v>6371</v>
      </c>
      <c r="F2862" t="s">
        <v>6361</v>
      </c>
      <c r="G2862" s="43">
        <v>0</v>
      </c>
      <c r="H2862" s="63">
        <v>0.9</v>
      </c>
    </row>
    <row r="2863" spans="1:8" x14ac:dyDescent="0.55000000000000004">
      <c r="A2863" s="61" t="s">
        <v>7186</v>
      </c>
      <c r="B2863" t="s">
        <v>1903</v>
      </c>
      <c r="C2863">
        <v>9204</v>
      </c>
      <c r="D2863" t="s">
        <v>6363</v>
      </c>
      <c r="E2863" t="s">
        <v>6364</v>
      </c>
      <c r="F2863" t="s">
        <v>6361</v>
      </c>
      <c r="G2863" s="43">
        <v>0</v>
      </c>
      <c r="H2863" s="63">
        <v>0.1</v>
      </c>
    </row>
    <row r="2864" spans="1:8" x14ac:dyDescent="0.55000000000000004">
      <c r="A2864" s="61" t="s">
        <v>7186</v>
      </c>
      <c r="B2864" t="s">
        <v>1903</v>
      </c>
      <c r="C2864">
        <v>9204</v>
      </c>
      <c r="D2864" t="s">
        <v>6362</v>
      </c>
      <c r="E2864" t="s">
        <v>6358</v>
      </c>
      <c r="F2864" t="s">
        <v>6358</v>
      </c>
      <c r="G2864" s="43">
        <v>9.4600000000000004E-2</v>
      </c>
      <c r="H2864" s="63">
        <v>1</v>
      </c>
    </row>
    <row r="2865" spans="1:8" x14ac:dyDescent="0.55000000000000004">
      <c r="A2865" s="61" t="s">
        <v>7186</v>
      </c>
      <c r="B2865" t="s">
        <v>1903</v>
      </c>
      <c r="C2865">
        <v>9204</v>
      </c>
      <c r="D2865" t="s">
        <v>6365</v>
      </c>
      <c r="E2865" t="s">
        <v>6366</v>
      </c>
      <c r="F2865" t="s">
        <v>6361</v>
      </c>
      <c r="G2865" s="43">
        <v>0</v>
      </c>
      <c r="H2865" s="63">
        <v>-0.1</v>
      </c>
    </row>
    <row r="2866" spans="1:8" x14ac:dyDescent="0.55000000000000004">
      <c r="A2866" s="61" t="s">
        <v>7187</v>
      </c>
      <c r="B2866" t="s">
        <v>1903</v>
      </c>
      <c r="C2866">
        <v>9310</v>
      </c>
      <c r="D2866" t="s">
        <v>6359</v>
      </c>
      <c r="E2866" t="s">
        <v>6371</v>
      </c>
      <c r="F2866" t="s">
        <v>6361</v>
      </c>
      <c r="G2866" s="43">
        <v>0</v>
      </c>
      <c r="H2866" s="63">
        <v>0.9</v>
      </c>
    </row>
    <row r="2867" spans="1:8" x14ac:dyDescent="0.55000000000000004">
      <c r="A2867" s="61" t="s">
        <v>7187</v>
      </c>
      <c r="B2867" t="s">
        <v>1903</v>
      </c>
      <c r="C2867">
        <v>9310</v>
      </c>
      <c r="D2867" t="s">
        <v>6363</v>
      </c>
      <c r="E2867" t="s">
        <v>6364</v>
      </c>
      <c r="F2867" t="s">
        <v>6361</v>
      </c>
      <c r="G2867" s="43">
        <v>0</v>
      </c>
      <c r="H2867" s="63">
        <v>0.1</v>
      </c>
    </row>
    <row r="2868" spans="1:8" x14ac:dyDescent="0.55000000000000004">
      <c r="A2868" s="61" t="s">
        <v>7187</v>
      </c>
      <c r="B2868" t="s">
        <v>1903</v>
      </c>
      <c r="C2868">
        <v>9310</v>
      </c>
      <c r="D2868" t="s">
        <v>6362</v>
      </c>
      <c r="E2868" t="s">
        <v>6358</v>
      </c>
      <c r="F2868" t="s">
        <v>6358</v>
      </c>
      <c r="G2868" s="43">
        <v>9.4600000000000004E-2</v>
      </c>
      <c r="H2868" s="63">
        <v>1</v>
      </c>
    </row>
    <row r="2869" spans="1:8" x14ac:dyDescent="0.55000000000000004">
      <c r="A2869" s="61" t="s">
        <v>7187</v>
      </c>
      <c r="B2869" t="s">
        <v>1903</v>
      </c>
      <c r="C2869">
        <v>9310</v>
      </c>
      <c r="D2869" t="s">
        <v>6365</v>
      </c>
      <c r="E2869" t="s">
        <v>6366</v>
      </c>
      <c r="F2869" t="s">
        <v>6361</v>
      </c>
      <c r="G2869" s="43">
        <v>0</v>
      </c>
      <c r="H2869" s="63">
        <v>-0.1</v>
      </c>
    </row>
    <row r="2870" spans="1:8" x14ac:dyDescent="0.55000000000000004">
      <c r="A2870" s="61" t="s">
        <v>7188</v>
      </c>
      <c r="B2870" t="s">
        <v>2328</v>
      </c>
      <c r="C2870">
        <v>8701</v>
      </c>
      <c r="D2870" t="s">
        <v>6359</v>
      </c>
      <c r="E2870" t="s">
        <v>6370</v>
      </c>
      <c r="F2870" t="s">
        <v>6361</v>
      </c>
      <c r="G2870" s="43">
        <v>0</v>
      </c>
      <c r="H2870" s="63">
        <v>1</v>
      </c>
    </row>
    <row r="2871" spans="1:8" x14ac:dyDescent="0.55000000000000004">
      <c r="A2871" s="61" t="s">
        <v>7188</v>
      </c>
      <c r="B2871" t="s">
        <v>2328</v>
      </c>
      <c r="C2871">
        <v>8701</v>
      </c>
      <c r="D2871" t="s">
        <v>6362</v>
      </c>
      <c r="E2871" t="s">
        <v>6358</v>
      </c>
      <c r="F2871" t="s">
        <v>6358</v>
      </c>
      <c r="G2871" s="43">
        <v>0.11840000000000001</v>
      </c>
      <c r="H2871" s="63">
        <v>1</v>
      </c>
    </row>
    <row r="2872" spans="1:8" x14ac:dyDescent="0.55000000000000004">
      <c r="A2872" s="61" t="s">
        <v>7189</v>
      </c>
      <c r="B2872" t="s">
        <v>2328</v>
      </c>
      <c r="C2872">
        <v>8710</v>
      </c>
      <c r="D2872" t="s">
        <v>6359</v>
      </c>
      <c r="E2872" t="s">
        <v>6370</v>
      </c>
      <c r="F2872" t="s">
        <v>6361</v>
      </c>
      <c r="G2872" s="43">
        <v>0</v>
      </c>
      <c r="H2872" s="63">
        <v>0.9</v>
      </c>
    </row>
    <row r="2873" spans="1:8" x14ac:dyDescent="0.55000000000000004">
      <c r="A2873" s="61" t="s">
        <v>7189</v>
      </c>
      <c r="B2873" t="s">
        <v>2328</v>
      </c>
      <c r="C2873">
        <v>8710</v>
      </c>
      <c r="D2873" t="s">
        <v>6363</v>
      </c>
      <c r="E2873" t="s">
        <v>6364</v>
      </c>
      <c r="F2873" t="s">
        <v>6361</v>
      </c>
      <c r="G2873" s="43">
        <v>0</v>
      </c>
      <c r="H2873" s="63">
        <v>0.1</v>
      </c>
    </row>
    <row r="2874" spans="1:8" x14ac:dyDescent="0.55000000000000004">
      <c r="A2874" s="61" t="s">
        <v>7189</v>
      </c>
      <c r="B2874" t="s">
        <v>2328</v>
      </c>
      <c r="C2874">
        <v>8710</v>
      </c>
      <c r="D2874" t="s">
        <v>6362</v>
      </c>
      <c r="E2874" t="s">
        <v>6358</v>
      </c>
      <c r="F2874" t="s">
        <v>6358</v>
      </c>
      <c r="G2874" s="43">
        <v>0.1226</v>
      </c>
      <c r="H2874" s="63">
        <v>1</v>
      </c>
    </row>
    <row r="2875" spans="1:8" x14ac:dyDescent="0.55000000000000004">
      <c r="A2875" s="61" t="s">
        <v>7189</v>
      </c>
      <c r="B2875" t="s">
        <v>2328</v>
      </c>
      <c r="C2875">
        <v>8710</v>
      </c>
      <c r="D2875" t="s">
        <v>6365</v>
      </c>
      <c r="E2875" t="s">
        <v>6366</v>
      </c>
      <c r="F2875" t="s">
        <v>6361</v>
      </c>
      <c r="G2875" s="43">
        <v>0</v>
      </c>
      <c r="H2875" s="63">
        <v>-0.1</v>
      </c>
    </row>
    <row r="2876" spans="1:8" x14ac:dyDescent="0.55000000000000004">
      <c r="A2876" s="61" t="s">
        <v>7190</v>
      </c>
      <c r="B2876" t="s">
        <v>2328</v>
      </c>
      <c r="C2876">
        <v>9101</v>
      </c>
      <c r="D2876" t="s">
        <v>6359</v>
      </c>
      <c r="E2876" t="s">
        <v>6371</v>
      </c>
      <c r="F2876" t="s">
        <v>6361</v>
      </c>
      <c r="G2876" s="43">
        <v>0</v>
      </c>
      <c r="H2876" s="63">
        <v>1</v>
      </c>
    </row>
    <row r="2877" spans="1:8" x14ac:dyDescent="0.55000000000000004">
      <c r="A2877" s="61" t="s">
        <v>7190</v>
      </c>
      <c r="B2877" t="s">
        <v>2328</v>
      </c>
      <c r="C2877">
        <v>9101</v>
      </c>
      <c r="D2877" t="s">
        <v>6362</v>
      </c>
      <c r="E2877" t="s">
        <v>6358</v>
      </c>
      <c r="F2877" t="s">
        <v>6358</v>
      </c>
      <c r="G2877" s="43">
        <v>0.11840000000000001</v>
      </c>
      <c r="H2877" s="63">
        <v>1</v>
      </c>
    </row>
    <row r="2878" spans="1:8" x14ac:dyDescent="0.55000000000000004">
      <c r="A2878" s="61" t="s">
        <v>7191</v>
      </c>
      <c r="B2878" t="s">
        <v>2328</v>
      </c>
      <c r="C2878">
        <v>9300</v>
      </c>
      <c r="D2878" t="s">
        <v>6359</v>
      </c>
      <c r="E2878" t="s">
        <v>6371</v>
      </c>
      <c r="F2878" t="s">
        <v>6361</v>
      </c>
      <c r="G2878" s="43">
        <v>0</v>
      </c>
      <c r="H2878" s="63">
        <v>1</v>
      </c>
    </row>
    <row r="2879" spans="1:8" x14ac:dyDescent="0.55000000000000004">
      <c r="A2879" s="61" t="s">
        <v>7191</v>
      </c>
      <c r="B2879" t="s">
        <v>2328</v>
      </c>
      <c r="C2879">
        <v>9300</v>
      </c>
      <c r="D2879" t="s">
        <v>6362</v>
      </c>
      <c r="E2879" t="s">
        <v>6358</v>
      </c>
      <c r="F2879" t="s">
        <v>6358</v>
      </c>
      <c r="G2879" s="43">
        <v>0.11840000000000001</v>
      </c>
      <c r="H2879" s="63">
        <v>1</v>
      </c>
    </row>
    <row r="2880" spans="1:8" x14ac:dyDescent="0.55000000000000004">
      <c r="A2880" s="61" t="s">
        <v>7192</v>
      </c>
      <c r="B2880" t="s">
        <v>2328</v>
      </c>
      <c r="C2880">
        <v>9310</v>
      </c>
      <c r="D2880" t="s">
        <v>6359</v>
      </c>
      <c r="E2880" t="s">
        <v>6371</v>
      </c>
      <c r="F2880" t="s">
        <v>6361</v>
      </c>
      <c r="G2880" s="43">
        <v>0</v>
      </c>
      <c r="H2880" s="63">
        <v>0.9</v>
      </c>
    </row>
    <row r="2881" spans="1:8" x14ac:dyDescent="0.55000000000000004">
      <c r="A2881" s="61" t="s">
        <v>7192</v>
      </c>
      <c r="B2881" t="s">
        <v>2328</v>
      </c>
      <c r="C2881">
        <v>9310</v>
      </c>
      <c r="D2881" t="s">
        <v>6363</v>
      </c>
      <c r="E2881" t="s">
        <v>6364</v>
      </c>
      <c r="F2881" t="s">
        <v>6361</v>
      </c>
      <c r="G2881" s="43">
        <v>0</v>
      </c>
      <c r="H2881" s="63">
        <v>0.1</v>
      </c>
    </row>
    <row r="2882" spans="1:8" x14ac:dyDescent="0.55000000000000004">
      <c r="A2882" s="61" t="s">
        <v>7192</v>
      </c>
      <c r="B2882" t="s">
        <v>2328</v>
      </c>
      <c r="C2882">
        <v>9310</v>
      </c>
      <c r="D2882" t="s">
        <v>6362</v>
      </c>
      <c r="E2882" t="s">
        <v>6358</v>
      </c>
      <c r="F2882" t="s">
        <v>6358</v>
      </c>
      <c r="G2882" s="43">
        <v>0.1226</v>
      </c>
      <c r="H2882" s="63">
        <v>1</v>
      </c>
    </row>
    <row r="2883" spans="1:8" x14ac:dyDescent="0.55000000000000004">
      <c r="A2883" s="61" t="s">
        <v>7192</v>
      </c>
      <c r="B2883" t="s">
        <v>2328</v>
      </c>
      <c r="C2883">
        <v>9310</v>
      </c>
      <c r="D2883" t="s">
        <v>6365</v>
      </c>
      <c r="E2883" t="s">
        <v>6366</v>
      </c>
      <c r="F2883" t="s">
        <v>6361</v>
      </c>
      <c r="G2883" s="43">
        <v>0</v>
      </c>
      <c r="H2883" s="63">
        <v>-0.1</v>
      </c>
    </row>
    <row r="2884" spans="1:8" x14ac:dyDescent="0.55000000000000004">
      <c r="A2884" s="61" t="s">
        <v>7193</v>
      </c>
      <c r="B2884" t="s">
        <v>4491</v>
      </c>
      <c r="C2884">
        <v>8710</v>
      </c>
      <c r="D2884" t="s">
        <v>6359</v>
      </c>
      <c r="E2884" t="s">
        <v>6376</v>
      </c>
      <c r="F2884" t="s">
        <v>6361</v>
      </c>
      <c r="G2884" s="43">
        <v>0</v>
      </c>
      <c r="H2884" s="63">
        <v>0.9</v>
      </c>
    </row>
    <row r="2885" spans="1:8" x14ac:dyDescent="0.55000000000000004">
      <c r="A2885" s="61" t="s">
        <v>7193</v>
      </c>
      <c r="B2885" t="s">
        <v>4491</v>
      </c>
      <c r="C2885">
        <v>8710</v>
      </c>
      <c r="D2885" t="s">
        <v>6363</v>
      </c>
      <c r="E2885" t="s">
        <v>6364</v>
      </c>
      <c r="F2885" t="s">
        <v>6361</v>
      </c>
      <c r="G2885" s="43">
        <v>0</v>
      </c>
      <c r="H2885" s="63">
        <v>0.1</v>
      </c>
    </row>
    <row r="2886" spans="1:8" x14ac:dyDescent="0.55000000000000004">
      <c r="A2886" s="61" t="s">
        <v>7193</v>
      </c>
      <c r="B2886" t="s">
        <v>4491</v>
      </c>
      <c r="C2886">
        <v>8710</v>
      </c>
      <c r="D2886" t="s">
        <v>6362</v>
      </c>
      <c r="E2886" t="s">
        <v>6358</v>
      </c>
      <c r="F2886" t="s">
        <v>6358</v>
      </c>
      <c r="G2886" s="43">
        <v>5.5599999999999997E-2</v>
      </c>
      <c r="H2886" s="63">
        <v>1</v>
      </c>
    </row>
    <row r="2887" spans="1:8" x14ac:dyDescent="0.55000000000000004">
      <c r="A2887" s="61" t="s">
        <v>7193</v>
      </c>
      <c r="B2887" t="s">
        <v>4491</v>
      </c>
      <c r="C2887">
        <v>8710</v>
      </c>
      <c r="D2887" t="s">
        <v>6365</v>
      </c>
      <c r="E2887" t="s">
        <v>6366</v>
      </c>
      <c r="F2887" t="s">
        <v>6361</v>
      </c>
      <c r="G2887" s="43">
        <v>0</v>
      </c>
      <c r="H2887" s="63">
        <v>-0.1</v>
      </c>
    </row>
    <row r="2888" spans="1:8" x14ac:dyDescent="0.55000000000000004">
      <c r="A2888" s="61" t="s">
        <v>7194</v>
      </c>
      <c r="B2888" t="s">
        <v>4491</v>
      </c>
      <c r="C2888">
        <v>9310</v>
      </c>
      <c r="D2888" t="s">
        <v>6359</v>
      </c>
      <c r="E2888" t="s">
        <v>6377</v>
      </c>
      <c r="F2888" t="s">
        <v>6361</v>
      </c>
      <c r="G2888" s="43">
        <v>0</v>
      </c>
      <c r="H2888" s="63">
        <v>0.9</v>
      </c>
    </row>
    <row r="2889" spans="1:8" x14ac:dyDescent="0.55000000000000004">
      <c r="A2889" s="61" t="s">
        <v>7194</v>
      </c>
      <c r="B2889" t="s">
        <v>4491</v>
      </c>
      <c r="C2889">
        <v>9310</v>
      </c>
      <c r="D2889" t="s">
        <v>6363</v>
      </c>
      <c r="E2889" t="s">
        <v>6364</v>
      </c>
      <c r="F2889" t="s">
        <v>6361</v>
      </c>
      <c r="G2889" s="43">
        <v>0</v>
      </c>
      <c r="H2889" s="63">
        <v>0.1</v>
      </c>
    </row>
    <row r="2890" spans="1:8" x14ac:dyDescent="0.55000000000000004">
      <c r="A2890" s="61" t="s">
        <v>7194</v>
      </c>
      <c r="B2890" t="s">
        <v>4491</v>
      </c>
      <c r="C2890">
        <v>9310</v>
      </c>
      <c r="D2890" t="s">
        <v>6362</v>
      </c>
      <c r="E2890" t="s">
        <v>6358</v>
      </c>
      <c r="F2890" t="s">
        <v>6358</v>
      </c>
      <c r="G2890" s="43">
        <v>5.5599999999999997E-2</v>
      </c>
      <c r="H2890" s="63">
        <v>1</v>
      </c>
    </row>
    <row r="2891" spans="1:8" x14ac:dyDescent="0.55000000000000004">
      <c r="A2891" s="61" t="s">
        <v>7194</v>
      </c>
      <c r="B2891" t="s">
        <v>4491</v>
      </c>
      <c r="C2891">
        <v>9310</v>
      </c>
      <c r="D2891" t="s">
        <v>6365</v>
      </c>
      <c r="E2891" t="s">
        <v>6366</v>
      </c>
      <c r="F2891" t="s">
        <v>6361</v>
      </c>
      <c r="G2891" s="43">
        <v>0</v>
      </c>
      <c r="H2891" s="63">
        <v>-0.1</v>
      </c>
    </row>
    <row r="2892" spans="1:8" x14ac:dyDescent="0.55000000000000004">
      <c r="A2892" s="61" t="s">
        <v>7195</v>
      </c>
      <c r="B2892" t="s">
        <v>1446</v>
      </c>
      <c r="C2892">
        <v>8701</v>
      </c>
      <c r="D2892" t="s">
        <v>6359</v>
      </c>
      <c r="E2892" t="s">
        <v>6360</v>
      </c>
      <c r="F2892" t="s">
        <v>6361</v>
      </c>
      <c r="G2892" s="43">
        <v>0</v>
      </c>
      <c r="H2892" s="63">
        <v>1</v>
      </c>
    </row>
    <row r="2893" spans="1:8" x14ac:dyDescent="0.55000000000000004">
      <c r="A2893" s="61" t="s">
        <v>7195</v>
      </c>
      <c r="B2893" t="s">
        <v>1446</v>
      </c>
      <c r="C2893">
        <v>8701</v>
      </c>
      <c r="D2893" t="s">
        <v>6362</v>
      </c>
      <c r="E2893" t="s">
        <v>6358</v>
      </c>
      <c r="F2893" t="s">
        <v>6358</v>
      </c>
      <c r="G2893" s="43">
        <v>8.4400000000000003E-2</v>
      </c>
      <c r="H2893" s="63">
        <v>1</v>
      </c>
    </row>
    <row r="2894" spans="1:8" x14ac:dyDescent="0.55000000000000004">
      <c r="A2894" s="61" t="s">
        <v>7196</v>
      </c>
      <c r="B2894" t="s">
        <v>1446</v>
      </c>
      <c r="C2894">
        <v>8710</v>
      </c>
      <c r="D2894" t="s">
        <v>6359</v>
      </c>
      <c r="E2894" t="s">
        <v>6360</v>
      </c>
      <c r="F2894" t="s">
        <v>6361</v>
      </c>
      <c r="G2894" s="43">
        <v>0</v>
      </c>
      <c r="H2894" s="63">
        <v>0.9</v>
      </c>
    </row>
    <row r="2895" spans="1:8" x14ac:dyDescent="0.55000000000000004">
      <c r="A2895" s="61" t="s">
        <v>7196</v>
      </c>
      <c r="B2895" t="s">
        <v>1446</v>
      </c>
      <c r="C2895">
        <v>8710</v>
      </c>
      <c r="D2895" t="s">
        <v>6363</v>
      </c>
      <c r="E2895" t="s">
        <v>6364</v>
      </c>
      <c r="F2895" t="s">
        <v>6361</v>
      </c>
      <c r="G2895" s="43">
        <v>0</v>
      </c>
      <c r="H2895" s="63">
        <v>0.1</v>
      </c>
    </row>
    <row r="2896" spans="1:8" x14ac:dyDescent="0.55000000000000004">
      <c r="A2896" s="61" t="s">
        <v>7196</v>
      </c>
      <c r="B2896" t="s">
        <v>1446</v>
      </c>
      <c r="C2896">
        <v>8710</v>
      </c>
      <c r="D2896" t="s">
        <v>6362</v>
      </c>
      <c r="E2896" t="s">
        <v>6358</v>
      </c>
      <c r="F2896" t="s">
        <v>6358</v>
      </c>
      <c r="G2896" s="43">
        <v>6.8099999999999994E-2</v>
      </c>
      <c r="H2896" s="63">
        <v>1</v>
      </c>
    </row>
    <row r="2897" spans="1:8" x14ac:dyDescent="0.55000000000000004">
      <c r="A2897" s="61" t="s">
        <v>7196</v>
      </c>
      <c r="B2897" t="s">
        <v>1446</v>
      </c>
      <c r="C2897">
        <v>8710</v>
      </c>
      <c r="D2897" t="s">
        <v>6365</v>
      </c>
      <c r="E2897" t="s">
        <v>6366</v>
      </c>
      <c r="F2897" t="s">
        <v>6361</v>
      </c>
      <c r="G2897" s="43">
        <v>0</v>
      </c>
      <c r="H2897" s="63">
        <v>-0.1</v>
      </c>
    </row>
    <row r="2898" spans="1:8" x14ac:dyDescent="0.55000000000000004">
      <c r="A2898" s="61" t="s">
        <v>7197</v>
      </c>
      <c r="B2898" t="s">
        <v>1446</v>
      </c>
      <c r="C2898">
        <v>9101</v>
      </c>
      <c r="D2898" t="s">
        <v>6359</v>
      </c>
      <c r="E2898" t="s">
        <v>6367</v>
      </c>
      <c r="F2898" t="s">
        <v>6361</v>
      </c>
      <c r="G2898" s="43">
        <v>0</v>
      </c>
      <c r="H2898" s="63">
        <v>1</v>
      </c>
    </row>
    <row r="2899" spans="1:8" x14ac:dyDescent="0.55000000000000004">
      <c r="A2899" s="61" t="s">
        <v>7197</v>
      </c>
      <c r="B2899" t="s">
        <v>1446</v>
      </c>
      <c r="C2899">
        <v>9101</v>
      </c>
      <c r="D2899" t="s">
        <v>6362</v>
      </c>
      <c r="E2899" t="s">
        <v>6358</v>
      </c>
      <c r="F2899" t="s">
        <v>6358</v>
      </c>
      <c r="G2899" s="43">
        <v>8.4400000000000003E-2</v>
      </c>
      <c r="H2899" s="63">
        <v>1</v>
      </c>
    </row>
    <row r="2900" spans="1:8" x14ac:dyDescent="0.55000000000000004">
      <c r="A2900" s="61" t="s">
        <v>7198</v>
      </c>
      <c r="B2900" t="s">
        <v>1446</v>
      </c>
      <c r="C2900">
        <v>9110</v>
      </c>
      <c r="D2900" t="s">
        <v>6359</v>
      </c>
      <c r="E2900" t="s">
        <v>6367</v>
      </c>
      <c r="F2900" t="s">
        <v>6361</v>
      </c>
      <c r="G2900" s="43">
        <v>0</v>
      </c>
      <c r="H2900" s="63">
        <v>0.9</v>
      </c>
    </row>
    <row r="2901" spans="1:8" x14ac:dyDescent="0.55000000000000004">
      <c r="A2901" s="61" t="s">
        <v>7198</v>
      </c>
      <c r="B2901" t="s">
        <v>1446</v>
      </c>
      <c r="C2901">
        <v>9110</v>
      </c>
      <c r="D2901" t="s">
        <v>6363</v>
      </c>
      <c r="E2901" t="s">
        <v>6364</v>
      </c>
      <c r="F2901" t="s">
        <v>6361</v>
      </c>
      <c r="G2901" s="43">
        <v>0</v>
      </c>
      <c r="H2901" s="63">
        <v>0.1</v>
      </c>
    </row>
    <row r="2902" spans="1:8" x14ac:dyDescent="0.55000000000000004">
      <c r="A2902" s="61" t="s">
        <v>7198</v>
      </c>
      <c r="B2902" t="s">
        <v>1446</v>
      </c>
      <c r="C2902">
        <v>9110</v>
      </c>
      <c r="D2902" t="s">
        <v>6362</v>
      </c>
      <c r="E2902" t="s">
        <v>6358</v>
      </c>
      <c r="F2902" t="s">
        <v>6358</v>
      </c>
      <c r="G2902" s="43">
        <v>6.8099999999999994E-2</v>
      </c>
      <c r="H2902" s="63">
        <v>1</v>
      </c>
    </row>
    <row r="2903" spans="1:8" x14ac:dyDescent="0.55000000000000004">
      <c r="A2903" s="61" t="s">
        <v>7198</v>
      </c>
      <c r="B2903" t="s">
        <v>1446</v>
      </c>
      <c r="C2903">
        <v>9110</v>
      </c>
      <c r="D2903" t="s">
        <v>6365</v>
      </c>
      <c r="E2903" t="s">
        <v>6366</v>
      </c>
      <c r="F2903" t="s">
        <v>6361</v>
      </c>
      <c r="G2903" s="43">
        <v>0</v>
      </c>
      <c r="H2903" s="63">
        <v>-0.1</v>
      </c>
    </row>
    <row r="2904" spans="1:8" x14ac:dyDescent="0.55000000000000004">
      <c r="A2904" s="61" t="s">
        <v>7199</v>
      </c>
      <c r="B2904" t="s">
        <v>1446</v>
      </c>
      <c r="C2904">
        <v>9204</v>
      </c>
      <c r="D2904" t="s">
        <v>6359</v>
      </c>
      <c r="E2904" t="s">
        <v>6367</v>
      </c>
      <c r="F2904" t="s">
        <v>6361</v>
      </c>
      <c r="G2904" s="43">
        <v>0</v>
      </c>
      <c r="H2904" s="63">
        <v>0.9</v>
      </c>
    </row>
    <row r="2905" spans="1:8" x14ac:dyDescent="0.55000000000000004">
      <c r="A2905" s="61" t="s">
        <v>7199</v>
      </c>
      <c r="B2905" t="s">
        <v>1446</v>
      </c>
      <c r="C2905">
        <v>9204</v>
      </c>
      <c r="D2905" t="s">
        <v>6363</v>
      </c>
      <c r="E2905" t="s">
        <v>6364</v>
      </c>
      <c r="F2905" t="s">
        <v>6361</v>
      </c>
      <c r="G2905" s="43">
        <v>0</v>
      </c>
      <c r="H2905" s="63">
        <v>0.1</v>
      </c>
    </row>
    <row r="2906" spans="1:8" x14ac:dyDescent="0.55000000000000004">
      <c r="A2906" s="61" t="s">
        <v>7199</v>
      </c>
      <c r="B2906" t="s">
        <v>1446</v>
      </c>
      <c r="C2906">
        <v>9204</v>
      </c>
      <c r="D2906" t="s">
        <v>6362</v>
      </c>
      <c r="E2906" t="s">
        <v>6358</v>
      </c>
      <c r="F2906" t="s">
        <v>6358</v>
      </c>
      <c r="G2906" s="43">
        <v>6.8099999999999994E-2</v>
      </c>
      <c r="H2906" s="63">
        <v>1</v>
      </c>
    </row>
    <row r="2907" spans="1:8" x14ac:dyDescent="0.55000000000000004">
      <c r="A2907" s="61" t="s">
        <v>7199</v>
      </c>
      <c r="B2907" t="s">
        <v>1446</v>
      </c>
      <c r="C2907">
        <v>9204</v>
      </c>
      <c r="D2907" t="s">
        <v>6365</v>
      </c>
      <c r="E2907" t="s">
        <v>6366</v>
      </c>
      <c r="F2907" t="s">
        <v>6361</v>
      </c>
      <c r="G2907" s="43">
        <v>0</v>
      </c>
      <c r="H2907" s="63">
        <v>-0.1</v>
      </c>
    </row>
    <row r="2908" spans="1:8" x14ac:dyDescent="0.55000000000000004">
      <c r="A2908" s="61" t="s">
        <v>7200</v>
      </c>
      <c r="B2908" t="s">
        <v>1446</v>
      </c>
      <c r="C2908">
        <v>9310</v>
      </c>
      <c r="D2908" t="s">
        <v>6359</v>
      </c>
      <c r="E2908" t="s">
        <v>6367</v>
      </c>
      <c r="F2908" t="s">
        <v>6361</v>
      </c>
      <c r="G2908" s="43">
        <v>0</v>
      </c>
      <c r="H2908" s="63">
        <v>0.9</v>
      </c>
    </row>
    <row r="2909" spans="1:8" x14ac:dyDescent="0.55000000000000004">
      <c r="A2909" s="61" t="s">
        <v>7200</v>
      </c>
      <c r="B2909" t="s">
        <v>1446</v>
      </c>
      <c r="C2909">
        <v>9310</v>
      </c>
      <c r="D2909" t="s">
        <v>6363</v>
      </c>
      <c r="E2909" t="s">
        <v>6364</v>
      </c>
      <c r="F2909" t="s">
        <v>6361</v>
      </c>
      <c r="G2909" s="43">
        <v>0</v>
      </c>
      <c r="H2909" s="63">
        <v>0.1</v>
      </c>
    </row>
    <row r="2910" spans="1:8" x14ac:dyDescent="0.55000000000000004">
      <c r="A2910" s="61" t="s">
        <v>7200</v>
      </c>
      <c r="B2910" t="s">
        <v>1446</v>
      </c>
      <c r="C2910">
        <v>9310</v>
      </c>
      <c r="D2910" t="s">
        <v>6362</v>
      </c>
      <c r="E2910" t="s">
        <v>6358</v>
      </c>
      <c r="F2910" t="s">
        <v>6358</v>
      </c>
      <c r="G2910" s="43">
        <v>6.8099999999999994E-2</v>
      </c>
      <c r="H2910" s="63">
        <v>1</v>
      </c>
    </row>
    <row r="2911" spans="1:8" x14ac:dyDescent="0.55000000000000004">
      <c r="A2911" s="61" t="s">
        <v>7200</v>
      </c>
      <c r="B2911" t="s">
        <v>1446</v>
      </c>
      <c r="C2911">
        <v>9310</v>
      </c>
      <c r="D2911" t="s">
        <v>6365</v>
      </c>
      <c r="E2911" t="s">
        <v>6366</v>
      </c>
      <c r="F2911" t="s">
        <v>6361</v>
      </c>
      <c r="G2911" s="43">
        <v>0</v>
      </c>
      <c r="H2911" s="63">
        <v>-0.1</v>
      </c>
    </row>
    <row r="2912" spans="1:8" x14ac:dyDescent="0.55000000000000004">
      <c r="A2912" s="61" t="s">
        <v>7201</v>
      </c>
      <c r="B2912" t="s">
        <v>4669</v>
      </c>
      <c r="C2912">
        <v>8701</v>
      </c>
      <c r="D2912" t="s">
        <v>6359</v>
      </c>
      <c r="E2912" t="s">
        <v>6360</v>
      </c>
      <c r="F2912" t="s">
        <v>6361</v>
      </c>
      <c r="G2912" s="43">
        <v>0</v>
      </c>
      <c r="H2912" s="63">
        <v>1</v>
      </c>
    </row>
    <row r="2913" spans="1:8" x14ac:dyDescent="0.55000000000000004">
      <c r="A2913" s="61" t="s">
        <v>7201</v>
      </c>
      <c r="B2913" t="s">
        <v>4669</v>
      </c>
      <c r="C2913">
        <v>8701</v>
      </c>
      <c r="D2913" t="s">
        <v>6362</v>
      </c>
      <c r="E2913" t="s">
        <v>6358</v>
      </c>
      <c r="F2913" t="s">
        <v>6358</v>
      </c>
      <c r="G2913" s="43">
        <v>8.4400000000000003E-2</v>
      </c>
      <c r="H2913" s="63">
        <v>1</v>
      </c>
    </row>
    <row r="2914" spans="1:8" x14ac:dyDescent="0.55000000000000004">
      <c r="A2914" s="61" t="s">
        <v>7202</v>
      </c>
      <c r="B2914" t="s">
        <v>4669</v>
      </c>
      <c r="C2914">
        <v>8710</v>
      </c>
      <c r="D2914" t="s">
        <v>6359</v>
      </c>
      <c r="E2914" t="s">
        <v>6360</v>
      </c>
      <c r="F2914" t="s">
        <v>6361</v>
      </c>
      <c r="G2914" s="43">
        <v>0</v>
      </c>
      <c r="H2914" s="63">
        <v>0.9</v>
      </c>
    </row>
    <row r="2915" spans="1:8" x14ac:dyDescent="0.55000000000000004">
      <c r="A2915" s="61" t="s">
        <v>7202</v>
      </c>
      <c r="B2915" t="s">
        <v>4669</v>
      </c>
      <c r="C2915">
        <v>8710</v>
      </c>
      <c r="D2915" t="s">
        <v>6363</v>
      </c>
      <c r="E2915" t="s">
        <v>6364</v>
      </c>
      <c r="F2915" t="s">
        <v>6361</v>
      </c>
      <c r="G2915" s="43">
        <v>0</v>
      </c>
      <c r="H2915" s="63">
        <v>0.1</v>
      </c>
    </row>
    <row r="2916" spans="1:8" x14ac:dyDescent="0.55000000000000004">
      <c r="A2916" s="61" t="s">
        <v>7202</v>
      </c>
      <c r="B2916" t="s">
        <v>4669</v>
      </c>
      <c r="C2916">
        <v>8710</v>
      </c>
      <c r="D2916" t="s">
        <v>6362</v>
      </c>
      <c r="E2916" t="s">
        <v>6358</v>
      </c>
      <c r="F2916" t="s">
        <v>6358</v>
      </c>
      <c r="G2916" s="43">
        <v>6.8099999999999994E-2</v>
      </c>
      <c r="H2916" s="63">
        <v>1</v>
      </c>
    </row>
    <row r="2917" spans="1:8" x14ac:dyDescent="0.55000000000000004">
      <c r="A2917" s="61" t="s">
        <v>7202</v>
      </c>
      <c r="B2917" t="s">
        <v>4669</v>
      </c>
      <c r="C2917">
        <v>8710</v>
      </c>
      <c r="D2917" t="s">
        <v>6365</v>
      </c>
      <c r="E2917" t="s">
        <v>6366</v>
      </c>
      <c r="F2917" t="s">
        <v>6361</v>
      </c>
      <c r="G2917" s="43">
        <v>0</v>
      </c>
      <c r="H2917" s="63">
        <v>-0.1</v>
      </c>
    </row>
    <row r="2918" spans="1:8" x14ac:dyDescent="0.55000000000000004">
      <c r="A2918" s="61" t="s">
        <v>7203</v>
      </c>
      <c r="B2918" t="s">
        <v>4669</v>
      </c>
      <c r="C2918">
        <v>9101</v>
      </c>
      <c r="D2918" t="s">
        <v>6359</v>
      </c>
      <c r="E2918" t="s">
        <v>6367</v>
      </c>
      <c r="F2918" t="s">
        <v>6361</v>
      </c>
      <c r="G2918" s="43">
        <v>0</v>
      </c>
      <c r="H2918" s="63">
        <v>1</v>
      </c>
    </row>
    <row r="2919" spans="1:8" x14ac:dyDescent="0.55000000000000004">
      <c r="A2919" s="61" t="s">
        <v>7203</v>
      </c>
      <c r="B2919" t="s">
        <v>4669</v>
      </c>
      <c r="C2919">
        <v>9101</v>
      </c>
      <c r="D2919" t="s">
        <v>6362</v>
      </c>
      <c r="E2919" t="s">
        <v>6358</v>
      </c>
      <c r="F2919" t="s">
        <v>6358</v>
      </c>
      <c r="G2919" s="43">
        <v>8.4400000000000003E-2</v>
      </c>
      <c r="H2919" s="63">
        <v>1</v>
      </c>
    </row>
    <row r="2920" spans="1:8" x14ac:dyDescent="0.55000000000000004">
      <c r="A2920" s="61" t="s">
        <v>7204</v>
      </c>
      <c r="B2920" t="s">
        <v>4669</v>
      </c>
      <c r="C2920">
        <v>9110</v>
      </c>
      <c r="D2920" t="s">
        <v>6359</v>
      </c>
      <c r="E2920" t="s">
        <v>6367</v>
      </c>
      <c r="F2920" t="s">
        <v>6361</v>
      </c>
      <c r="G2920" s="43">
        <v>0</v>
      </c>
      <c r="H2920" s="63">
        <v>0.9</v>
      </c>
    </row>
    <row r="2921" spans="1:8" x14ac:dyDescent="0.55000000000000004">
      <c r="A2921" s="61" t="s">
        <v>7204</v>
      </c>
      <c r="B2921" t="s">
        <v>4669</v>
      </c>
      <c r="C2921">
        <v>9110</v>
      </c>
      <c r="D2921" t="s">
        <v>6363</v>
      </c>
      <c r="E2921" t="s">
        <v>6364</v>
      </c>
      <c r="F2921" t="s">
        <v>6361</v>
      </c>
      <c r="G2921" s="43">
        <v>0</v>
      </c>
      <c r="H2921" s="63">
        <v>0.1</v>
      </c>
    </row>
    <row r="2922" spans="1:8" x14ac:dyDescent="0.55000000000000004">
      <c r="A2922" s="61" t="s">
        <v>7204</v>
      </c>
      <c r="B2922" t="s">
        <v>4669</v>
      </c>
      <c r="C2922">
        <v>9110</v>
      </c>
      <c r="D2922" t="s">
        <v>6362</v>
      </c>
      <c r="E2922" t="s">
        <v>6358</v>
      </c>
      <c r="F2922" t="s">
        <v>6358</v>
      </c>
      <c r="G2922" s="43">
        <v>6.8099999999999994E-2</v>
      </c>
      <c r="H2922" s="63">
        <v>1</v>
      </c>
    </row>
    <row r="2923" spans="1:8" x14ac:dyDescent="0.55000000000000004">
      <c r="A2923" s="61" t="s">
        <v>7204</v>
      </c>
      <c r="B2923" t="s">
        <v>4669</v>
      </c>
      <c r="C2923">
        <v>9110</v>
      </c>
      <c r="D2923" t="s">
        <v>6365</v>
      </c>
      <c r="E2923" t="s">
        <v>6366</v>
      </c>
      <c r="F2923" t="s">
        <v>6361</v>
      </c>
      <c r="G2923" s="43">
        <v>0</v>
      </c>
      <c r="H2923" s="63">
        <v>-0.1</v>
      </c>
    </row>
    <row r="2924" spans="1:8" x14ac:dyDescent="0.55000000000000004">
      <c r="A2924" s="61" t="s">
        <v>7205</v>
      </c>
      <c r="B2924" t="s">
        <v>4598</v>
      </c>
      <c r="C2924">
        <v>8701</v>
      </c>
      <c r="D2924" t="s">
        <v>6359</v>
      </c>
      <c r="E2924" t="s">
        <v>6370</v>
      </c>
      <c r="F2924" t="s">
        <v>6361</v>
      </c>
      <c r="G2924" s="43">
        <v>0</v>
      </c>
      <c r="H2924" s="63">
        <v>1</v>
      </c>
    </row>
    <row r="2925" spans="1:8" x14ac:dyDescent="0.55000000000000004">
      <c r="A2925" s="61" t="s">
        <v>7205</v>
      </c>
      <c r="B2925" t="s">
        <v>4598</v>
      </c>
      <c r="C2925">
        <v>8701</v>
      </c>
      <c r="D2925" t="s">
        <v>6362</v>
      </c>
      <c r="E2925" t="s">
        <v>6358</v>
      </c>
      <c r="F2925" t="s">
        <v>6358</v>
      </c>
      <c r="G2925" s="43">
        <v>5.9799999999999999E-2</v>
      </c>
      <c r="H2925" s="63">
        <v>1</v>
      </c>
    </row>
    <row r="2926" spans="1:8" x14ac:dyDescent="0.55000000000000004">
      <c r="A2926" s="61" t="s">
        <v>7206</v>
      </c>
      <c r="B2926" t="s">
        <v>4598</v>
      </c>
      <c r="C2926">
        <v>8710</v>
      </c>
      <c r="D2926" t="s">
        <v>6359</v>
      </c>
      <c r="E2926" t="s">
        <v>6370</v>
      </c>
      <c r="F2926" t="s">
        <v>6361</v>
      </c>
      <c r="G2926" s="43">
        <v>0</v>
      </c>
      <c r="H2926" s="63">
        <v>0.9</v>
      </c>
    </row>
    <row r="2927" spans="1:8" x14ac:dyDescent="0.55000000000000004">
      <c r="A2927" s="61" t="s">
        <v>7206</v>
      </c>
      <c r="B2927" t="s">
        <v>4598</v>
      </c>
      <c r="C2927">
        <v>8710</v>
      </c>
      <c r="D2927" t="s">
        <v>6363</v>
      </c>
      <c r="E2927" t="s">
        <v>6364</v>
      </c>
      <c r="F2927" t="s">
        <v>6361</v>
      </c>
      <c r="G2927" s="43">
        <v>0</v>
      </c>
      <c r="H2927" s="63">
        <v>0.1</v>
      </c>
    </row>
    <row r="2928" spans="1:8" x14ac:dyDescent="0.55000000000000004">
      <c r="A2928" s="61" t="s">
        <v>7206</v>
      </c>
      <c r="B2928" t="s">
        <v>4598</v>
      </c>
      <c r="C2928">
        <v>8710</v>
      </c>
      <c r="D2928" t="s">
        <v>6362</v>
      </c>
      <c r="E2928" t="s">
        <v>6358</v>
      </c>
      <c r="F2928" t="s">
        <v>6358</v>
      </c>
      <c r="G2928" s="43">
        <v>7.7700000000000005E-2</v>
      </c>
      <c r="H2928" s="63">
        <v>1</v>
      </c>
    </row>
    <row r="2929" spans="1:8" x14ac:dyDescent="0.55000000000000004">
      <c r="A2929" s="61" t="s">
        <v>7206</v>
      </c>
      <c r="B2929" t="s">
        <v>4598</v>
      </c>
      <c r="C2929">
        <v>8710</v>
      </c>
      <c r="D2929" t="s">
        <v>6365</v>
      </c>
      <c r="E2929" t="s">
        <v>6366</v>
      </c>
      <c r="F2929" t="s">
        <v>6361</v>
      </c>
      <c r="G2929" s="43">
        <v>0</v>
      </c>
      <c r="H2929" s="63">
        <v>-0.1</v>
      </c>
    </row>
    <row r="2930" spans="1:8" x14ac:dyDescent="0.55000000000000004">
      <c r="A2930" s="61" t="s">
        <v>7207</v>
      </c>
      <c r="B2930" t="s">
        <v>4598</v>
      </c>
      <c r="C2930">
        <v>9101</v>
      </c>
      <c r="D2930" t="s">
        <v>6359</v>
      </c>
      <c r="E2930" t="s">
        <v>6371</v>
      </c>
      <c r="F2930" t="s">
        <v>6361</v>
      </c>
      <c r="G2930" s="43">
        <v>0</v>
      </c>
      <c r="H2930" s="63">
        <v>1</v>
      </c>
    </row>
    <row r="2931" spans="1:8" x14ac:dyDescent="0.55000000000000004">
      <c r="A2931" s="61" t="s">
        <v>7207</v>
      </c>
      <c r="B2931" t="s">
        <v>4598</v>
      </c>
      <c r="C2931">
        <v>9101</v>
      </c>
      <c r="D2931" t="s">
        <v>6362</v>
      </c>
      <c r="E2931" t="s">
        <v>6358</v>
      </c>
      <c r="F2931" t="s">
        <v>6358</v>
      </c>
      <c r="G2931" s="43">
        <v>5.9799999999999999E-2</v>
      </c>
      <c r="H2931" s="63">
        <v>1</v>
      </c>
    </row>
    <row r="2932" spans="1:8" x14ac:dyDescent="0.55000000000000004">
      <c r="A2932" s="61" t="s">
        <v>7208</v>
      </c>
      <c r="B2932" t="s">
        <v>4598</v>
      </c>
      <c r="C2932">
        <v>9204</v>
      </c>
      <c r="D2932" t="s">
        <v>6359</v>
      </c>
      <c r="E2932" t="s">
        <v>6371</v>
      </c>
      <c r="F2932" t="s">
        <v>6361</v>
      </c>
      <c r="G2932" s="43">
        <v>0</v>
      </c>
      <c r="H2932" s="63">
        <v>0.9</v>
      </c>
    </row>
    <row r="2933" spans="1:8" x14ac:dyDescent="0.55000000000000004">
      <c r="A2933" s="61" t="s">
        <v>7208</v>
      </c>
      <c r="B2933" t="s">
        <v>4598</v>
      </c>
      <c r="C2933">
        <v>9204</v>
      </c>
      <c r="D2933" t="s">
        <v>6363</v>
      </c>
      <c r="E2933" t="s">
        <v>6364</v>
      </c>
      <c r="F2933" t="s">
        <v>6361</v>
      </c>
      <c r="G2933" s="43">
        <v>0</v>
      </c>
      <c r="H2933" s="63">
        <v>0.1</v>
      </c>
    </row>
    <row r="2934" spans="1:8" x14ac:dyDescent="0.55000000000000004">
      <c r="A2934" s="61" t="s">
        <v>7208</v>
      </c>
      <c r="B2934" t="s">
        <v>4598</v>
      </c>
      <c r="C2934">
        <v>9204</v>
      </c>
      <c r="D2934" t="s">
        <v>6362</v>
      </c>
      <c r="E2934" t="s">
        <v>6358</v>
      </c>
      <c r="F2934" t="s">
        <v>6358</v>
      </c>
      <c r="G2934" s="43">
        <v>7.7700000000000005E-2</v>
      </c>
      <c r="H2934" s="63">
        <v>1</v>
      </c>
    </row>
    <row r="2935" spans="1:8" x14ac:dyDescent="0.55000000000000004">
      <c r="A2935" s="61" t="s">
        <v>7208</v>
      </c>
      <c r="B2935" t="s">
        <v>4598</v>
      </c>
      <c r="C2935">
        <v>9204</v>
      </c>
      <c r="D2935" t="s">
        <v>6365</v>
      </c>
      <c r="E2935" t="s">
        <v>6366</v>
      </c>
      <c r="F2935" t="s">
        <v>6361</v>
      </c>
      <c r="G2935" s="43">
        <v>0</v>
      </c>
      <c r="H2935" s="63">
        <v>-0.1</v>
      </c>
    </row>
    <row r="2936" spans="1:8" x14ac:dyDescent="0.55000000000000004">
      <c r="A2936" s="61" t="s">
        <v>7209</v>
      </c>
      <c r="B2936" t="s">
        <v>4598</v>
      </c>
      <c r="C2936">
        <v>9310</v>
      </c>
      <c r="D2936" t="s">
        <v>6359</v>
      </c>
      <c r="E2936" t="s">
        <v>6371</v>
      </c>
      <c r="F2936" t="s">
        <v>6361</v>
      </c>
      <c r="G2936" s="43">
        <v>0</v>
      </c>
      <c r="H2936" s="63">
        <v>0.9</v>
      </c>
    </row>
    <row r="2937" spans="1:8" x14ac:dyDescent="0.55000000000000004">
      <c r="A2937" s="61" t="s">
        <v>7209</v>
      </c>
      <c r="B2937" t="s">
        <v>4598</v>
      </c>
      <c r="C2937">
        <v>9310</v>
      </c>
      <c r="D2937" t="s">
        <v>6363</v>
      </c>
      <c r="E2937" t="s">
        <v>6364</v>
      </c>
      <c r="F2937" t="s">
        <v>6361</v>
      </c>
      <c r="G2937" s="43">
        <v>0</v>
      </c>
      <c r="H2937" s="63">
        <v>0.1</v>
      </c>
    </row>
    <row r="2938" spans="1:8" x14ac:dyDescent="0.55000000000000004">
      <c r="A2938" s="61" t="s">
        <v>7209</v>
      </c>
      <c r="B2938" t="s">
        <v>4598</v>
      </c>
      <c r="C2938">
        <v>9310</v>
      </c>
      <c r="D2938" t="s">
        <v>6362</v>
      </c>
      <c r="E2938" t="s">
        <v>6358</v>
      </c>
      <c r="F2938" t="s">
        <v>6358</v>
      </c>
      <c r="G2938" s="43">
        <v>7.7700000000000005E-2</v>
      </c>
      <c r="H2938" s="63">
        <v>1</v>
      </c>
    </row>
    <row r="2939" spans="1:8" x14ac:dyDescent="0.55000000000000004">
      <c r="A2939" s="61" t="s">
        <v>7209</v>
      </c>
      <c r="B2939" t="s">
        <v>4598</v>
      </c>
      <c r="C2939">
        <v>9310</v>
      </c>
      <c r="D2939" t="s">
        <v>6365</v>
      </c>
      <c r="E2939" t="s">
        <v>6366</v>
      </c>
      <c r="F2939" t="s">
        <v>6361</v>
      </c>
      <c r="G2939" s="43">
        <v>0</v>
      </c>
      <c r="H2939" s="63">
        <v>-0.1</v>
      </c>
    </row>
    <row r="2940" spans="1:8" x14ac:dyDescent="0.55000000000000004">
      <c r="A2940" s="61" t="s">
        <v>7210</v>
      </c>
      <c r="B2940" t="s">
        <v>5618</v>
      </c>
      <c r="C2940">
        <v>8710</v>
      </c>
      <c r="D2940" t="s">
        <v>6359</v>
      </c>
      <c r="E2940" t="s">
        <v>6360</v>
      </c>
      <c r="F2940" t="s">
        <v>6361</v>
      </c>
      <c r="G2940" s="43">
        <v>0</v>
      </c>
      <c r="H2940" s="63">
        <v>0.9</v>
      </c>
    </row>
    <row r="2941" spans="1:8" x14ac:dyDescent="0.55000000000000004">
      <c r="A2941" s="61" t="s">
        <v>7210</v>
      </c>
      <c r="B2941" t="s">
        <v>5618</v>
      </c>
      <c r="C2941">
        <v>8710</v>
      </c>
      <c r="D2941" t="s">
        <v>6363</v>
      </c>
      <c r="E2941" t="s">
        <v>6364</v>
      </c>
      <c r="F2941" t="s">
        <v>6361</v>
      </c>
      <c r="G2941" s="43">
        <v>0</v>
      </c>
      <c r="H2941" s="63">
        <v>0.1</v>
      </c>
    </row>
    <row r="2942" spans="1:8" x14ac:dyDescent="0.55000000000000004">
      <c r="A2942" s="61" t="s">
        <v>7210</v>
      </c>
      <c r="B2942" t="s">
        <v>5618</v>
      </c>
      <c r="C2942">
        <v>8710</v>
      </c>
      <c r="D2942" t="s">
        <v>6362</v>
      </c>
      <c r="E2942" t="s">
        <v>6358</v>
      </c>
      <c r="F2942" t="s">
        <v>6358</v>
      </c>
      <c r="G2942" s="62">
        <v>0.11409999999999999</v>
      </c>
      <c r="H2942" s="63">
        <v>1</v>
      </c>
    </row>
    <row r="2943" spans="1:8" x14ac:dyDescent="0.55000000000000004">
      <c r="A2943" s="61" t="s">
        <v>7210</v>
      </c>
      <c r="B2943" t="s">
        <v>5618</v>
      </c>
      <c r="C2943">
        <v>8710</v>
      </c>
      <c r="D2943" t="s">
        <v>6365</v>
      </c>
      <c r="E2943" t="s">
        <v>6366</v>
      </c>
      <c r="F2943" t="s">
        <v>6361</v>
      </c>
      <c r="G2943" s="43">
        <v>0</v>
      </c>
      <c r="H2943" s="63">
        <v>-0.1</v>
      </c>
    </row>
    <row r="2944" spans="1:8" x14ac:dyDescent="0.55000000000000004">
      <c r="A2944" s="61" t="s">
        <v>7211</v>
      </c>
      <c r="B2944" t="s">
        <v>5618</v>
      </c>
      <c r="C2944">
        <v>9110</v>
      </c>
      <c r="D2944" t="s">
        <v>6359</v>
      </c>
      <c r="E2944" t="s">
        <v>6367</v>
      </c>
      <c r="F2944" t="s">
        <v>6361</v>
      </c>
      <c r="G2944" s="43">
        <v>0</v>
      </c>
      <c r="H2944" s="63">
        <v>0.9</v>
      </c>
    </row>
    <row r="2945" spans="1:8" x14ac:dyDescent="0.55000000000000004">
      <c r="A2945" s="61" t="s">
        <v>7211</v>
      </c>
      <c r="B2945" t="s">
        <v>5618</v>
      </c>
      <c r="C2945">
        <v>9110</v>
      </c>
      <c r="D2945" t="s">
        <v>6363</v>
      </c>
      <c r="E2945" t="s">
        <v>6364</v>
      </c>
      <c r="F2945" t="s">
        <v>6361</v>
      </c>
      <c r="G2945" s="43">
        <v>0</v>
      </c>
      <c r="H2945" s="63">
        <v>0.1</v>
      </c>
    </row>
    <row r="2946" spans="1:8" x14ac:dyDescent="0.55000000000000004">
      <c r="A2946" s="61" t="s">
        <v>7211</v>
      </c>
      <c r="B2946" t="s">
        <v>5618</v>
      </c>
      <c r="C2946">
        <v>9110</v>
      </c>
      <c r="D2946" t="s">
        <v>6362</v>
      </c>
      <c r="E2946" t="s">
        <v>6358</v>
      </c>
      <c r="F2946" t="s">
        <v>6358</v>
      </c>
      <c r="G2946" s="62">
        <v>0.11409999999999999</v>
      </c>
      <c r="H2946" s="63">
        <v>1</v>
      </c>
    </row>
    <row r="2947" spans="1:8" x14ac:dyDescent="0.55000000000000004">
      <c r="A2947" s="61" t="s">
        <v>7211</v>
      </c>
      <c r="B2947" t="s">
        <v>5618</v>
      </c>
      <c r="C2947">
        <v>9110</v>
      </c>
      <c r="D2947" t="s">
        <v>6365</v>
      </c>
      <c r="E2947" t="s">
        <v>6366</v>
      </c>
      <c r="F2947" t="s">
        <v>6361</v>
      </c>
      <c r="G2947" s="43">
        <v>0</v>
      </c>
      <c r="H2947" s="63">
        <v>-0.1</v>
      </c>
    </row>
    <row r="2948" spans="1:8" x14ac:dyDescent="0.55000000000000004">
      <c r="A2948" s="61" t="s">
        <v>7212</v>
      </c>
      <c r="B2948" t="s">
        <v>5618</v>
      </c>
      <c r="C2948">
        <v>9204</v>
      </c>
      <c r="D2948" t="s">
        <v>6359</v>
      </c>
      <c r="E2948" t="s">
        <v>6367</v>
      </c>
      <c r="F2948" t="s">
        <v>6361</v>
      </c>
      <c r="G2948" s="43">
        <v>0</v>
      </c>
      <c r="H2948" s="63">
        <v>0.9</v>
      </c>
    </row>
    <row r="2949" spans="1:8" x14ac:dyDescent="0.55000000000000004">
      <c r="A2949" s="61" t="s">
        <v>7212</v>
      </c>
      <c r="B2949" t="s">
        <v>5618</v>
      </c>
      <c r="C2949">
        <v>9204</v>
      </c>
      <c r="D2949" t="s">
        <v>6363</v>
      </c>
      <c r="E2949" t="s">
        <v>6364</v>
      </c>
      <c r="F2949" t="s">
        <v>6361</v>
      </c>
      <c r="G2949" s="43">
        <v>0</v>
      </c>
      <c r="H2949" s="63">
        <v>0.1</v>
      </c>
    </row>
    <row r="2950" spans="1:8" x14ac:dyDescent="0.55000000000000004">
      <c r="A2950" s="61" t="s">
        <v>7212</v>
      </c>
      <c r="B2950" t="s">
        <v>5618</v>
      </c>
      <c r="C2950">
        <v>9204</v>
      </c>
      <c r="D2950" t="s">
        <v>6362</v>
      </c>
      <c r="E2950" t="s">
        <v>6358</v>
      </c>
      <c r="F2950" t="s">
        <v>6358</v>
      </c>
      <c r="G2950" s="62">
        <v>0.11409999999999999</v>
      </c>
      <c r="H2950" s="63">
        <v>1</v>
      </c>
    </row>
    <row r="2951" spans="1:8" x14ac:dyDescent="0.55000000000000004">
      <c r="A2951" s="61" t="s">
        <v>7212</v>
      </c>
      <c r="B2951" t="s">
        <v>5618</v>
      </c>
      <c r="C2951">
        <v>9204</v>
      </c>
      <c r="D2951" t="s">
        <v>6365</v>
      </c>
      <c r="E2951" t="s">
        <v>6366</v>
      </c>
      <c r="F2951" t="s">
        <v>6361</v>
      </c>
      <c r="G2951" s="43">
        <v>0</v>
      </c>
      <c r="H2951" s="63">
        <v>-0.1</v>
      </c>
    </row>
    <row r="2952" spans="1:8" x14ac:dyDescent="0.55000000000000004">
      <c r="A2952" s="61" t="s">
        <v>7213</v>
      </c>
      <c r="B2952" t="s">
        <v>2939</v>
      </c>
      <c r="C2952">
        <v>8701</v>
      </c>
      <c r="D2952" t="s">
        <v>6359</v>
      </c>
      <c r="E2952" t="s">
        <v>6370</v>
      </c>
      <c r="F2952" t="s">
        <v>6361</v>
      </c>
      <c r="G2952" s="43">
        <v>0</v>
      </c>
      <c r="H2952" s="63">
        <v>1</v>
      </c>
    </row>
    <row r="2953" spans="1:8" x14ac:dyDescent="0.55000000000000004">
      <c r="A2953" s="61" t="s">
        <v>7213</v>
      </c>
      <c r="B2953" t="s">
        <v>2939</v>
      </c>
      <c r="C2953">
        <v>8701</v>
      </c>
      <c r="D2953" t="s">
        <v>6362</v>
      </c>
      <c r="E2953" t="s">
        <v>6358</v>
      </c>
      <c r="F2953" t="s">
        <v>6358</v>
      </c>
      <c r="G2953" s="43">
        <v>0.1711</v>
      </c>
      <c r="H2953" s="63">
        <v>1</v>
      </c>
    </row>
    <row r="2954" spans="1:8" x14ac:dyDescent="0.55000000000000004">
      <c r="A2954" s="61" t="s">
        <v>7214</v>
      </c>
      <c r="B2954" t="s">
        <v>2939</v>
      </c>
      <c r="C2954">
        <v>8710</v>
      </c>
      <c r="D2954" t="s">
        <v>6359</v>
      </c>
      <c r="E2954" t="s">
        <v>6370</v>
      </c>
      <c r="F2954" t="s">
        <v>6361</v>
      </c>
      <c r="G2954" s="43">
        <v>0</v>
      </c>
      <c r="H2954" s="63">
        <v>0.9</v>
      </c>
    </row>
    <row r="2955" spans="1:8" x14ac:dyDescent="0.55000000000000004">
      <c r="A2955" s="61" t="s">
        <v>7214</v>
      </c>
      <c r="B2955" t="s">
        <v>2939</v>
      </c>
      <c r="C2955">
        <v>8710</v>
      </c>
      <c r="D2955" t="s">
        <v>6363</v>
      </c>
      <c r="E2955" t="s">
        <v>6364</v>
      </c>
      <c r="F2955" t="s">
        <v>6361</v>
      </c>
      <c r="G2955" s="43">
        <v>0</v>
      </c>
      <c r="H2955" s="63">
        <v>0.1</v>
      </c>
    </row>
    <row r="2956" spans="1:8" x14ac:dyDescent="0.55000000000000004">
      <c r="A2956" s="61" t="s">
        <v>7214</v>
      </c>
      <c r="B2956" t="s">
        <v>2939</v>
      </c>
      <c r="C2956">
        <v>8710</v>
      </c>
      <c r="D2956" t="s">
        <v>6362</v>
      </c>
      <c r="E2956" t="s">
        <v>6358</v>
      </c>
      <c r="F2956" t="s">
        <v>6358</v>
      </c>
      <c r="G2956" s="62">
        <v>0.1663</v>
      </c>
      <c r="H2956" s="63">
        <v>1</v>
      </c>
    </row>
    <row r="2957" spans="1:8" x14ac:dyDescent="0.55000000000000004">
      <c r="A2957" s="61" t="s">
        <v>7214</v>
      </c>
      <c r="B2957" t="s">
        <v>2939</v>
      </c>
      <c r="C2957">
        <v>8710</v>
      </c>
      <c r="D2957" t="s">
        <v>6365</v>
      </c>
      <c r="E2957" t="s">
        <v>6366</v>
      </c>
      <c r="F2957" t="s">
        <v>6361</v>
      </c>
      <c r="G2957" s="43">
        <v>0</v>
      </c>
      <c r="H2957" s="63">
        <v>-0.1</v>
      </c>
    </row>
    <row r="2958" spans="1:8" x14ac:dyDescent="0.55000000000000004">
      <c r="A2958" s="61" t="s">
        <v>7215</v>
      </c>
      <c r="B2958" t="s">
        <v>2939</v>
      </c>
      <c r="C2958">
        <v>9101</v>
      </c>
      <c r="D2958" t="s">
        <v>6359</v>
      </c>
      <c r="E2958" t="s">
        <v>6371</v>
      </c>
      <c r="F2958" t="s">
        <v>6361</v>
      </c>
      <c r="G2958" s="43">
        <v>0</v>
      </c>
      <c r="H2958" s="63">
        <v>1</v>
      </c>
    </row>
    <row r="2959" spans="1:8" x14ac:dyDescent="0.55000000000000004">
      <c r="A2959" s="61" t="s">
        <v>7215</v>
      </c>
      <c r="B2959" t="s">
        <v>2939</v>
      </c>
      <c r="C2959">
        <v>9101</v>
      </c>
      <c r="D2959" t="s">
        <v>6362</v>
      </c>
      <c r="E2959" t="s">
        <v>6358</v>
      </c>
      <c r="F2959" t="s">
        <v>6358</v>
      </c>
      <c r="G2959" s="43">
        <v>0.1711</v>
      </c>
      <c r="H2959" s="63">
        <v>1</v>
      </c>
    </row>
    <row r="2960" spans="1:8" x14ac:dyDescent="0.55000000000000004">
      <c r="A2960" s="61" t="s">
        <v>7216</v>
      </c>
      <c r="B2960" t="s">
        <v>2939</v>
      </c>
      <c r="C2960">
        <v>9110</v>
      </c>
      <c r="D2960" t="s">
        <v>6359</v>
      </c>
      <c r="E2960" t="s">
        <v>6371</v>
      </c>
      <c r="F2960" t="s">
        <v>6361</v>
      </c>
      <c r="G2960" s="43">
        <v>0</v>
      </c>
      <c r="H2960" s="63">
        <v>0.9</v>
      </c>
    </row>
    <row r="2961" spans="1:8" x14ac:dyDescent="0.55000000000000004">
      <c r="A2961" s="61" t="s">
        <v>7216</v>
      </c>
      <c r="B2961" t="s">
        <v>2939</v>
      </c>
      <c r="C2961">
        <v>9110</v>
      </c>
      <c r="D2961" t="s">
        <v>6363</v>
      </c>
      <c r="E2961" t="s">
        <v>6364</v>
      </c>
      <c r="F2961" t="s">
        <v>6361</v>
      </c>
      <c r="G2961" s="43">
        <v>0</v>
      </c>
      <c r="H2961" s="63">
        <v>0.1</v>
      </c>
    </row>
    <row r="2962" spans="1:8" x14ac:dyDescent="0.55000000000000004">
      <c r="A2962" s="61" t="s">
        <v>7216</v>
      </c>
      <c r="B2962" t="s">
        <v>2939</v>
      </c>
      <c r="C2962">
        <v>9110</v>
      </c>
      <c r="D2962" t="s">
        <v>6362</v>
      </c>
      <c r="E2962" t="s">
        <v>6358</v>
      </c>
      <c r="F2962" t="s">
        <v>6358</v>
      </c>
      <c r="G2962" s="62">
        <v>0.1663</v>
      </c>
      <c r="H2962" s="63">
        <v>1</v>
      </c>
    </row>
    <row r="2963" spans="1:8" x14ac:dyDescent="0.55000000000000004">
      <c r="A2963" s="61" t="s">
        <v>7216</v>
      </c>
      <c r="B2963" t="s">
        <v>2939</v>
      </c>
      <c r="C2963">
        <v>9110</v>
      </c>
      <c r="D2963" t="s">
        <v>6365</v>
      </c>
      <c r="E2963" t="s">
        <v>6366</v>
      </c>
      <c r="F2963" t="s">
        <v>6361</v>
      </c>
      <c r="G2963" s="43">
        <v>0</v>
      </c>
      <c r="H2963" s="63">
        <v>-0.1</v>
      </c>
    </row>
    <row r="2964" spans="1:8" x14ac:dyDescent="0.55000000000000004">
      <c r="A2964" s="61" t="s">
        <v>7217</v>
      </c>
      <c r="B2964" t="s">
        <v>2939</v>
      </c>
      <c r="C2964">
        <v>9310</v>
      </c>
      <c r="D2964" t="s">
        <v>6359</v>
      </c>
      <c r="E2964" t="s">
        <v>6371</v>
      </c>
      <c r="F2964" t="s">
        <v>6361</v>
      </c>
      <c r="G2964" s="43">
        <v>0</v>
      </c>
      <c r="H2964" s="63">
        <v>0.9</v>
      </c>
    </row>
    <row r="2965" spans="1:8" x14ac:dyDescent="0.55000000000000004">
      <c r="A2965" s="61" t="s">
        <v>7217</v>
      </c>
      <c r="B2965" t="s">
        <v>2939</v>
      </c>
      <c r="C2965">
        <v>9310</v>
      </c>
      <c r="D2965" t="s">
        <v>6363</v>
      </c>
      <c r="E2965" t="s">
        <v>6364</v>
      </c>
      <c r="F2965" t="s">
        <v>6361</v>
      </c>
      <c r="G2965" s="43">
        <v>0</v>
      </c>
      <c r="H2965" s="63">
        <v>0.1</v>
      </c>
    </row>
    <row r="2966" spans="1:8" x14ac:dyDescent="0.55000000000000004">
      <c r="A2966" s="61" t="s">
        <v>7217</v>
      </c>
      <c r="B2966" t="s">
        <v>2939</v>
      </c>
      <c r="C2966">
        <v>9310</v>
      </c>
      <c r="D2966" t="s">
        <v>6362</v>
      </c>
      <c r="E2966" t="s">
        <v>6358</v>
      </c>
      <c r="F2966" t="s">
        <v>6358</v>
      </c>
      <c r="G2966" s="62">
        <v>0.1663</v>
      </c>
      <c r="H2966" s="63">
        <v>1</v>
      </c>
    </row>
    <row r="2967" spans="1:8" x14ac:dyDescent="0.55000000000000004">
      <c r="A2967" s="61" t="s">
        <v>7217</v>
      </c>
      <c r="B2967" t="s">
        <v>2939</v>
      </c>
      <c r="C2967">
        <v>9310</v>
      </c>
      <c r="D2967" t="s">
        <v>6365</v>
      </c>
      <c r="E2967" t="s">
        <v>6366</v>
      </c>
      <c r="F2967" t="s">
        <v>6361</v>
      </c>
      <c r="G2967" s="43">
        <v>0</v>
      </c>
      <c r="H2967" s="63">
        <v>-0.1</v>
      </c>
    </row>
    <row r="2968" spans="1:8" x14ac:dyDescent="0.55000000000000004">
      <c r="A2968" s="61" t="s">
        <v>7218</v>
      </c>
      <c r="B2968" t="s">
        <v>627</v>
      </c>
      <c r="C2968">
        <v>8705</v>
      </c>
      <c r="D2968" t="s">
        <v>6359</v>
      </c>
      <c r="E2968" t="s">
        <v>6389</v>
      </c>
      <c r="F2968" t="s">
        <v>6361</v>
      </c>
      <c r="G2968" s="43">
        <v>0</v>
      </c>
      <c r="H2968" s="63">
        <v>0.9</v>
      </c>
    </row>
    <row r="2969" spans="1:8" x14ac:dyDescent="0.55000000000000004">
      <c r="A2969" s="61" t="s">
        <v>7218</v>
      </c>
      <c r="B2969" t="s">
        <v>627</v>
      </c>
      <c r="C2969">
        <v>8705</v>
      </c>
      <c r="D2969" t="s">
        <v>6363</v>
      </c>
      <c r="E2969" t="s">
        <v>6364</v>
      </c>
      <c r="F2969" t="s">
        <v>6361</v>
      </c>
      <c r="G2969" s="43">
        <v>0</v>
      </c>
      <c r="H2969" s="63">
        <v>0.1</v>
      </c>
    </row>
    <row r="2970" spans="1:8" x14ac:dyDescent="0.55000000000000004">
      <c r="A2970" s="61" t="s">
        <v>7218</v>
      </c>
      <c r="B2970" t="s">
        <v>627</v>
      </c>
      <c r="C2970">
        <v>8705</v>
      </c>
      <c r="D2970" t="s">
        <v>6362</v>
      </c>
      <c r="E2970" t="s">
        <v>6358</v>
      </c>
      <c r="F2970" t="s">
        <v>6358</v>
      </c>
      <c r="G2970" s="43">
        <v>4.6100000000000002E-2</v>
      </c>
      <c r="H2970" s="63">
        <v>1</v>
      </c>
    </row>
    <row r="2971" spans="1:8" x14ac:dyDescent="0.55000000000000004">
      <c r="A2971" s="61" t="s">
        <v>7218</v>
      </c>
      <c r="B2971" t="s">
        <v>627</v>
      </c>
      <c r="C2971">
        <v>8705</v>
      </c>
      <c r="D2971" t="s">
        <v>6365</v>
      </c>
      <c r="E2971" t="s">
        <v>6366</v>
      </c>
      <c r="F2971" t="s">
        <v>6361</v>
      </c>
      <c r="G2971" s="43">
        <v>0</v>
      </c>
      <c r="H2971" s="63">
        <v>-0.1</v>
      </c>
    </row>
    <row r="2972" spans="1:8" x14ac:dyDescent="0.55000000000000004">
      <c r="A2972" s="61" t="s">
        <v>7218</v>
      </c>
      <c r="B2972" t="s">
        <v>627</v>
      </c>
      <c r="C2972">
        <v>8705</v>
      </c>
      <c r="D2972" t="s">
        <v>6384</v>
      </c>
      <c r="E2972" t="s">
        <v>6385</v>
      </c>
      <c r="F2972" t="s">
        <v>6361</v>
      </c>
      <c r="G2972" s="43">
        <v>0</v>
      </c>
      <c r="H2972" s="63">
        <v>1</v>
      </c>
    </row>
    <row r="2973" spans="1:8" x14ac:dyDescent="0.55000000000000004">
      <c r="A2973" s="61" t="s">
        <v>7218</v>
      </c>
      <c r="B2973" t="s">
        <v>627</v>
      </c>
      <c r="C2973">
        <v>8705</v>
      </c>
      <c r="D2973" t="s">
        <v>6386</v>
      </c>
      <c r="E2973" t="s">
        <v>6387</v>
      </c>
      <c r="F2973" t="s">
        <v>6361</v>
      </c>
      <c r="G2973" s="43">
        <v>0</v>
      </c>
      <c r="H2973" s="63">
        <v>1</v>
      </c>
    </row>
    <row r="2974" spans="1:8" x14ac:dyDescent="0.55000000000000004">
      <c r="A2974" s="61" t="s">
        <v>7219</v>
      </c>
      <c r="B2974" t="s">
        <v>627</v>
      </c>
      <c r="C2974">
        <v>9105</v>
      </c>
      <c r="D2974" t="s">
        <v>6359</v>
      </c>
      <c r="E2974" t="s">
        <v>6390</v>
      </c>
      <c r="F2974" t="s">
        <v>6361</v>
      </c>
      <c r="G2974" s="43">
        <v>0</v>
      </c>
      <c r="H2974" s="63">
        <v>0.9</v>
      </c>
    </row>
    <row r="2975" spans="1:8" x14ac:dyDescent="0.55000000000000004">
      <c r="A2975" s="61" t="s">
        <v>7219</v>
      </c>
      <c r="B2975" t="s">
        <v>627</v>
      </c>
      <c r="C2975">
        <v>9105</v>
      </c>
      <c r="D2975" t="s">
        <v>6363</v>
      </c>
      <c r="E2975" t="s">
        <v>6364</v>
      </c>
      <c r="F2975" t="s">
        <v>6361</v>
      </c>
      <c r="G2975" s="43">
        <v>0</v>
      </c>
      <c r="H2975" s="63">
        <v>0.1</v>
      </c>
    </row>
    <row r="2976" spans="1:8" x14ac:dyDescent="0.55000000000000004">
      <c r="A2976" s="61" t="s">
        <v>7219</v>
      </c>
      <c r="B2976" t="s">
        <v>627</v>
      </c>
      <c r="C2976">
        <v>9105</v>
      </c>
      <c r="D2976" t="s">
        <v>6362</v>
      </c>
      <c r="E2976" t="s">
        <v>6358</v>
      </c>
      <c r="F2976" t="s">
        <v>6358</v>
      </c>
      <c r="G2976" s="43">
        <v>4.6100000000000002E-2</v>
      </c>
      <c r="H2976" s="63">
        <v>1</v>
      </c>
    </row>
    <row r="2977" spans="1:8" x14ac:dyDescent="0.55000000000000004">
      <c r="A2977" s="61" t="s">
        <v>7219</v>
      </c>
      <c r="B2977" t="s">
        <v>627</v>
      </c>
      <c r="C2977">
        <v>9105</v>
      </c>
      <c r="D2977" t="s">
        <v>6365</v>
      </c>
      <c r="E2977" t="s">
        <v>6366</v>
      </c>
      <c r="F2977" t="s">
        <v>6361</v>
      </c>
      <c r="G2977" s="43">
        <v>0</v>
      </c>
      <c r="H2977" s="63">
        <v>-0.1</v>
      </c>
    </row>
    <row r="2978" spans="1:8" x14ac:dyDescent="0.55000000000000004">
      <c r="A2978" s="61" t="s">
        <v>7219</v>
      </c>
      <c r="B2978" t="s">
        <v>627</v>
      </c>
      <c r="C2978">
        <v>9105</v>
      </c>
      <c r="D2978" t="s">
        <v>6384</v>
      </c>
      <c r="E2978" t="s">
        <v>6385</v>
      </c>
      <c r="F2978" t="s">
        <v>6361</v>
      </c>
      <c r="G2978" s="43">
        <v>0</v>
      </c>
      <c r="H2978" s="63">
        <v>1</v>
      </c>
    </row>
    <row r="2979" spans="1:8" x14ac:dyDescent="0.55000000000000004">
      <c r="A2979" s="61" t="s">
        <v>7219</v>
      </c>
      <c r="B2979" t="s">
        <v>627</v>
      </c>
      <c r="C2979">
        <v>9105</v>
      </c>
      <c r="D2979" t="s">
        <v>6386</v>
      </c>
      <c r="E2979" t="s">
        <v>6387</v>
      </c>
      <c r="F2979" t="s">
        <v>6361</v>
      </c>
      <c r="G2979" s="43">
        <v>0</v>
      </c>
      <c r="H2979" s="63">
        <v>1</v>
      </c>
    </row>
    <row r="2980" spans="1:8" x14ac:dyDescent="0.55000000000000004">
      <c r="A2980" s="61" t="s">
        <v>7220</v>
      </c>
      <c r="B2980" t="s">
        <v>5632</v>
      </c>
      <c r="C2980">
        <v>8710</v>
      </c>
      <c r="D2980" t="s">
        <v>6359</v>
      </c>
      <c r="E2980" t="s">
        <v>6393</v>
      </c>
      <c r="F2980" t="s">
        <v>6361</v>
      </c>
      <c r="G2980" s="43">
        <v>0</v>
      </c>
      <c r="H2980" s="63">
        <v>0.9</v>
      </c>
    </row>
    <row r="2981" spans="1:8" x14ac:dyDescent="0.55000000000000004">
      <c r="A2981" s="61" t="s">
        <v>7220</v>
      </c>
      <c r="B2981" t="s">
        <v>5632</v>
      </c>
      <c r="C2981">
        <v>8710</v>
      </c>
      <c r="D2981" t="s">
        <v>6363</v>
      </c>
      <c r="E2981" t="s">
        <v>6364</v>
      </c>
      <c r="F2981" t="s">
        <v>6361</v>
      </c>
      <c r="G2981" s="43">
        <v>0</v>
      </c>
      <c r="H2981" s="63">
        <v>0.1</v>
      </c>
    </row>
    <row r="2982" spans="1:8" x14ac:dyDescent="0.55000000000000004">
      <c r="A2982" s="61" t="s">
        <v>7220</v>
      </c>
      <c r="B2982" t="s">
        <v>5632</v>
      </c>
      <c r="C2982">
        <v>8710</v>
      </c>
      <c r="D2982" t="s">
        <v>6362</v>
      </c>
      <c r="E2982" t="s">
        <v>6358</v>
      </c>
      <c r="F2982" t="s">
        <v>6358</v>
      </c>
      <c r="G2982" s="43">
        <v>4.58E-2</v>
      </c>
      <c r="H2982" s="63">
        <v>1</v>
      </c>
    </row>
    <row r="2983" spans="1:8" x14ac:dyDescent="0.55000000000000004">
      <c r="A2983" s="61" t="s">
        <v>7220</v>
      </c>
      <c r="B2983" t="s">
        <v>5632</v>
      </c>
      <c r="C2983">
        <v>8710</v>
      </c>
      <c r="D2983" t="s">
        <v>6365</v>
      </c>
      <c r="E2983" t="s">
        <v>6366</v>
      </c>
      <c r="F2983" t="s">
        <v>6361</v>
      </c>
      <c r="G2983" s="43">
        <v>0</v>
      </c>
      <c r="H2983" s="63">
        <v>-0.1</v>
      </c>
    </row>
    <row r="2984" spans="1:8" x14ac:dyDescent="0.55000000000000004">
      <c r="A2984" s="61" t="s">
        <v>7221</v>
      </c>
      <c r="B2984" t="s">
        <v>5632</v>
      </c>
      <c r="C2984">
        <v>9110</v>
      </c>
      <c r="D2984" t="s">
        <v>6359</v>
      </c>
      <c r="E2984" t="s">
        <v>6394</v>
      </c>
      <c r="F2984" t="s">
        <v>6361</v>
      </c>
      <c r="G2984" s="43">
        <v>0</v>
      </c>
      <c r="H2984" s="63">
        <v>0.9</v>
      </c>
    </row>
    <row r="2985" spans="1:8" x14ac:dyDescent="0.55000000000000004">
      <c r="A2985" s="61" t="s">
        <v>7221</v>
      </c>
      <c r="B2985" t="s">
        <v>5632</v>
      </c>
      <c r="C2985">
        <v>9110</v>
      </c>
      <c r="D2985" t="s">
        <v>6363</v>
      </c>
      <c r="E2985" t="s">
        <v>6364</v>
      </c>
      <c r="F2985" t="s">
        <v>6361</v>
      </c>
      <c r="G2985" s="43">
        <v>0</v>
      </c>
      <c r="H2985" s="63">
        <v>0.1</v>
      </c>
    </row>
    <row r="2986" spans="1:8" x14ac:dyDescent="0.55000000000000004">
      <c r="A2986" s="61" t="s">
        <v>7221</v>
      </c>
      <c r="B2986" t="s">
        <v>5632</v>
      </c>
      <c r="C2986">
        <v>9110</v>
      </c>
      <c r="D2986" t="s">
        <v>6362</v>
      </c>
      <c r="E2986" t="s">
        <v>6358</v>
      </c>
      <c r="F2986" t="s">
        <v>6358</v>
      </c>
      <c r="G2986" s="43">
        <v>4.58E-2</v>
      </c>
      <c r="H2986" s="63">
        <v>1</v>
      </c>
    </row>
    <row r="2987" spans="1:8" x14ac:dyDescent="0.55000000000000004">
      <c r="A2987" s="61" t="s">
        <v>7221</v>
      </c>
      <c r="B2987" t="s">
        <v>5632</v>
      </c>
      <c r="C2987">
        <v>9110</v>
      </c>
      <c r="D2987" t="s">
        <v>6365</v>
      </c>
      <c r="E2987" t="s">
        <v>6366</v>
      </c>
      <c r="F2987" t="s">
        <v>6361</v>
      </c>
      <c r="G2987" s="43">
        <v>0</v>
      </c>
      <c r="H2987" s="63">
        <v>-0.1</v>
      </c>
    </row>
    <row r="2988" spans="1:8" x14ac:dyDescent="0.55000000000000004">
      <c r="A2988" s="61" t="s">
        <v>7222</v>
      </c>
      <c r="B2988" t="s">
        <v>5632</v>
      </c>
      <c r="C2988">
        <v>9204</v>
      </c>
      <c r="D2988" t="s">
        <v>6359</v>
      </c>
      <c r="E2988" t="s">
        <v>6394</v>
      </c>
      <c r="F2988" t="s">
        <v>6361</v>
      </c>
      <c r="G2988" s="43">
        <v>0</v>
      </c>
      <c r="H2988" s="63">
        <v>0.9</v>
      </c>
    </row>
    <row r="2989" spans="1:8" x14ac:dyDescent="0.55000000000000004">
      <c r="A2989" s="61" t="s">
        <v>7222</v>
      </c>
      <c r="B2989" t="s">
        <v>5632</v>
      </c>
      <c r="C2989">
        <v>9204</v>
      </c>
      <c r="D2989" t="s">
        <v>6363</v>
      </c>
      <c r="E2989" t="s">
        <v>6364</v>
      </c>
      <c r="F2989" t="s">
        <v>6361</v>
      </c>
      <c r="G2989" s="43">
        <v>0</v>
      </c>
      <c r="H2989" s="63">
        <v>0.1</v>
      </c>
    </row>
    <row r="2990" spans="1:8" x14ac:dyDescent="0.55000000000000004">
      <c r="A2990" s="61" t="s">
        <v>7222</v>
      </c>
      <c r="B2990" t="s">
        <v>5632</v>
      </c>
      <c r="C2990">
        <v>9204</v>
      </c>
      <c r="D2990" t="s">
        <v>6362</v>
      </c>
      <c r="E2990" t="s">
        <v>6358</v>
      </c>
      <c r="F2990" t="s">
        <v>6358</v>
      </c>
      <c r="G2990" s="43">
        <v>4.58E-2</v>
      </c>
      <c r="H2990" s="63">
        <v>1</v>
      </c>
    </row>
    <row r="2991" spans="1:8" x14ac:dyDescent="0.55000000000000004">
      <c r="A2991" s="61" t="s">
        <v>7222</v>
      </c>
      <c r="B2991" t="s">
        <v>5632</v>
      </c>
      <c r="C2991">
        <v>9204</v>
      </c>
      <c r="D2991" t="s">
        <v>6365</v>
      </c>
      <c r="E2991" t="s">
        <v>6366</v>
      </c>
      <c r="F2991" t="s">
        <v>6361</v>
      </c>
      <c r="G2991" s="43">
        <v>0</v>
      </c>
      <c r="H2991" s="63">
        <v>-0.1</v>
      </c>
    </row>
    <row r="2992" spans="1:8" x14ac:dyDescent="0.55000000000000004">
      <c r="A2992" s="61" t="s">
        <v>7223</v>
      </c>
      <c r="B2992" t="s">
        <v>966</v>
      </c>
      <c r="C2992">
        <v>8710</v>
      </c>
      <c r="D2992" t="s">
        <v>6359</v>
      </c>
      <c r="E2992" t="s">
        <v>6370</v>
      </c>
      <c r="F2992" t="s">
        <v>6361</v>
      </c>
      <c r="G2992" s="43">
        <v>0</v>
      </c>
      <c r="H2992" s="63">
        <v>0.9</v>
      </c>
    </row>
    <row r="2993" spans="1:8" x14ac:dyDescent="0.55000000000000004">
      <c r="A2993" s="61" t="s">
        <v>7223</v>
      </c>
      <c r="B2993" t="s">
        <v>966</v>
      </c>
      <c r="C2993">
        <v>8710</v>
      </c>
      <c r="D2993" t="s">
        <v>6363</v>
      </c>
      <c r="E2993" t="s">
        <v>6364</v>
      </c>
      <c r="F2993" t="s">
        <v>6361</v>
      </c>
      <c r="G2993" s="43">
        <v>0</v>
      </c>
      <c r="H2993" s="63">
        <v>0.1</v>
      </c>
    </row>
    <row r="2994" spans="1:8" x14ac:dyDescent="0.55000000000000004">
      <c r="A2994" s="61" t="s">
        <v>7223</v>
      </c>
      <c r="B2994" t="s">
        <v>966</v>
      </c>
      <c r="C2994">
        <v>8710</v>
      </c>
      <c r="D2994" t="s">
        <v>6362</v>
      </c>
      <c r="E2994" t="s">
        <v>6358</v>
      </c>
      <c r="F2994" t="s">
        <v>6358</v>
      </c>
      <c r="G2994" s="62">
        <v>0.1817</v>
      </c>
      <c r="H2994" s="63">
        <v>1</v>
      </c>
    </row>
    <row r="2995" spans="1:8" x14ac:dyDescent="0.55000000000000004">
      <c r="A2995" s="61" t="s">
        <v>7223</v>
      </c>
      <c r="B2995" t="s">
        <v>966</v>
      </c>
      <c r="C2995">
        <v>8710</v>
      </c>
      <c r="D2995" t="s">
        <v>6365</v>
      </c>
      <c r="E2995" t="s">
        <v>6366</v>
      </c>
      <c r="F2995" t="s">
        <v>6361</v>
      </c>
      <c r="G2995" s="43">
        <v>0</v>
      </c>
      <c r="H2995" s="63">
        <v>-0.1</v>
      </c>
    </row>
    <row r="2996" spans="1:8" x14ac:dyDescent="0.55000000000000004">
      <c r="A2996" s="61" t="s">
        <v>7224</v>
      </c>
      <c r="B2996" t="s">
        <v>966</v>
      </c>
      <c r="C2996">
        <v>9310</v>
      </c>
      <c r="D2996" t="s">
        <v>6359</v>
      </c>
      <c r="E2996" t="s">
        <v>6371</v>
      </c>
      <c r="F2996" t="s">
        <v>6361</v>
      </c>
      <c r="G2996" s="43">
        <v>0</v>
      </c>
      <c r="H2996" s="63">
        <v>0.9</v>
      </c>
    </row>
    <row r="2997" spans="1:8" x14ac:dyDescent="0.55000000000000004">
      <c r="A2997" s="61" t="s">
        <v>7224</v>
      </c>
      <c r="B2997" t="s">
        <v>966</v>
      </c>
      <c r="C2997">
        <v>9310</v>
      </c>
      <c r="D2997" t="s">
        <v>6363</v>
      </c>
      <c r="E2997" t="s">
        <v>6364</v>
      </c>
      <c r="F2997" t="s">
        <v>6361</v>
      </c>
      <c r="G2997" s="43">
        <v>0</v>
      </c>
      <c r="H2997" s="63">
        <v>0.1</v>
      </c>
    </row>
    <row r="2998" spans="1:8" x14ac:dyDescent="0.55000000000000004">
      <c r="A2998" s="61" t="s">
        <v>7224</v>
      </c>
      <c r="B2998" t="s">
        <v>966</v>
      </c>
      <c r="C2998">
        <v>9310</v>
      </c>
      <c r="D2998" t="s">
        <v>6362</v>
      </c>
      <c r="E2998" t="s">
        <v>6358</v>
      </c>
      <c r="F2998" t="s">
        <v>6358</v>
      </c>
      <c r="G2998" s="62">
        <v>0.1817</v>
      </c>
      <c r="H2998" s="63">
        <v>1</v>
      </c>
    </row>
    <row r="2999" spans="1:8" x14ac:dyDescent="0.55000000000000004">
      <c r="A2999" s="61" t="s">
        <v>7224</v>
      </c>
      <c r="B2999" t="s">
        <v>966</v>
      </c>
      <c r="C2999">
        <v>9310</v>
      </c>
      <c r="D2999" t="s">
        <v>6365</v>
      </c>
      <c r="E2999" t="s">
        <v>6366</v>
      </c>
      <c r="F2999" t="s">
        <v>6361</v>
      </c>
      <c r="G2999" s="43">
        <v>0</v>
      </c>
      <c r="H2999" s="63">
        <v>-0.1</v>
      </c>
    </row>
    <row r="3000" spans="1:8" x14ac:dyDescent="0.55000000000000004">
      <c r="A3000" s="61" t="s">
        <v>7225</v>
      </c>
      <c r="B3000" t="s">
        <v>2620</v>
      </c>
      <c r="C3000">
        <v>8707</v>
      </c>
      <c r="D3000" t="s">
        <v>6359</v>
      </c>
      <c r="E3000" t="s">
        <v>6368</v>
      </c>
      <c r="F3000" t="s">
        <v>6361</v>
      </c>
      <c r="G3000" s="43">
        <v>0</v>
      </c>
      <c r="H3000" s="63">
        <v>0.9</v>
      </c>
    </row>
    <row r="3001" spans="1:8" x14ac:dyDescent="0.55000000000000004">
      <c r="A3001" s="61" t="s">
        <v>7225</v>
      </c>
      <c r="B3001" t="s">
        <v>2620</v>
      </c>
      <c r="C3001">
        <v>8707</v>
      </c>
      <c r="D3001" t="s">
        <v>6363</v>
      </c>
      <c r="E3001" t="s">
        <v>6364</v>
      </c>
      <c r="F3001" t="s">
        <v>6361</v>
      </c>
      <c r="G3001" s="43">
        <v>0</v>
      </c>
      <c r="H3001" s="63">
        <v>0.1</v>
      </c>
    </row>
    <row r="3002" spans="1:8" x14ac:dyDescent="0.55000000000000004">
      <c r="A3002" s="61" t="s">
        <v>7225</v>
      </c>
      <c r="B3002" t="s">
        <v>2620</v>
      </c>
      <c r="C3002">
        <v>8707</v>
      </c>
      <c r="D3002" t="s">
        <v>6362</v>
      </c>
      <c r="E3002" t="s">
        <v>6358</v>
      </c>
      <c r="F3002" t="s">
        <v>6358</v>
      </c>
      <c r="G3002" s="43">
        <v>7.1199999999999999E-2</v>
      </c>
      <c r="H3002" s="63">
        <v>1</v>
      </c>
    </row>
    <row r="3003" spans="1:8" x14ac:dyDescent="0.55000000000000004">
      <c r="A3003" s="61" t="s">
        <v>7225</v>
      </c>
      <c r="B3003" t="s">
        <v>2620</v>
      </c>
      <c r="C3003">
        <v>8707</v>
      </c>
      <c r="D3003" t="s">
        <v>6365</v>
      </c>
      <c r="E3003" t="s">
        <v>6366</v>
      </c>
      <c r="F3003" t="s">
        <v>6361</v>
      </c>
      <c r="G3003" s="43">
        <v>0</v>
      </c>
      <c r="H3003" s="63">
        <v>-0.1</v>
      </c>
    </row>
    <row r="3004" spans="1:8" x14ac:dyDescent="0.55000000000000004">
      <c r="A3004" s="61" t="s">
        <v>7226</v>
      </c>
      <c r="B3004" t="s">
        <v>2620</v>
      </c>
      <c r="C3004">
        <v>9304</v>
      </c>
      <c r="D3004" t="s">
        <v>6359</v>
      </c>
      <c r="E3004" t="s">
        <v>6369</v>
      </c>
      <c r="F3004" t="s">
        <v>6361</v>
      </c>
      <c r="G3004" s="43">
        <v>0</v>
      </c>
      <c r="H3004" s="63">
        <v>0.9</v>
      </c>
    </row>
    <row r="3005" spans="1:8" x14ac:dyDescent="0.55000000000000004">
      <c r="A3005" s="61" t="s">
        <v>7226</v>
      </c>
      <c r="B3005" t="s">
        <v>2620</v>
      </c>
      <c r="C3005">
        <v>9304</v>
      </c>
      <c r="D3005" t="s">
        <v>6363</v>
      </c>
      <c r="E3005" t="s">
        <v>6364</v>
      </c>
      <c r="F3005" t="s">
        <v>6361</v>
      </c>
      <c r="G3005" s="43">
        <v>0</v>
      </c>
      <c r="H3005" s="63">
        <v>0.1</v>
      </c>
    </row>
    <row r="3006" spans="1:8" x14ac:dyDescent="0.55000000000000004">
      <c r="A3006" s="61" t="s">
        <v>7226</v>
      </c>
      <c r="B3006" t="s">
        <v>2620</v>
      </c>
      <c r="C3006">
        <v>9304</v>
      </c>
      <c r="D3006" t="s">
        <v>6362</v>
      </c>
      <c r="E3006" t="s">
        <v>6358</v>
      </c>
      <c r="F3006" t="s">
        <v>6358</v>
      </c>
      <c r="G3006" s="43">
        <v>7.1199999999999999E-2</v>
      </c>
      <c r="H3006" s="63">
        <v>1</v>
      </c>
    </row>
    <row r="3007" spans="1:8" x14ac:dyDescent="0.55000000000000004">
      <c r="A3007" s="61" t="s">
        <v>7226</v>
      </c>
      <c r="B3007" t="s">
        <v>2620</v>
      </c>
      <c r="C3007">
        <v>9304</v>
      </c>
      <c r="D3007" t="s">
        <v>6365</v>
      </c>
      <c r="E3007" t="s">
        <v>6366</v>
      </c>
      <c r="F3007" t="s">
        <v>6361</v>
      </c>
      <c r="G3007" s="43">
        <v>0</v>
      </c>
      <c r="H3007" s="63">
        <v>-0.1</v>
      </c>
    </row>
    <row r="3008" spans="1:8" x14ac:dyDescent="0.55000000000000004">
      <c r="A3008" s="61" t="s">
        <v>7227</v>
      </c>
      <c r="B3008" t="s">
        <v>3520</v>
      </c>
      <c r="C3008">
        <v>8711</v>
      </c>
      <c r="D3008" t="s">
        <v>6359</v>
      </c>
      <c r="E3008" t="s">
        <v>6372</v>
      </c>
      <c r="F3008" t="s">
        <v>6361</v>
      </c>
      <c r="G3008" s="43">
        <v>0</v>
      </c>
      <c r="H3008" s="63">
        <v>0.9</v>
      </c>
    </row>
    <row r="3009" spans="1:8" x14ac:dyDescent="0.55000000000000004">
      <c r="A3009" s="61" t="s">
        <v>7227</v>
      </c>
      <c r="B3009" t="s">
        <v>3520</v>
      </c>
      <c r="C3009">
        <v>8711</v>
      </c>
      <c r="D3009" t="s">
        <v>6363</v>
      </c>
      <c r="E3009" t="s">
        <v>6364</v>
      </c>
      <c r="F3009" t="s">
        <v>6361</v>
      </c>
      <c r="G3009" s="43">
        <v>0</v>
      </c>
      <c r="H3009" s="63">
        <v>0.1</v>
      </c>
    </row>
    <row r="3010" spans="1:8" x14ac:dyDescent="0.55000000000000004">
      <c r="A3010" s="61" t="s">
        <v>7227</v>
      </c>
      <c r="B3010" t="s">
        <v>3520</v>
      </c>
      <c r="C3010">
        <v>8711</v>
      </c>
      <c r="D3010" t="s">
        <v>6362</v>
      </c>
      <c r="E3010" t="s">
        <v>6358</v>
      </c>
      <c r="F3010" t="s">
        <v>6358</v>
      </c>
      <c r="G3010" s="43">
        <v>9.98E-2</v>
      </c>
      <c r="H3010" s="63">
        <v>1</v>
      </c>
    </row>
    <row r="3011" spans="1:8" x14ac:dyDescent="0.55000000000000004">
      <c r="A3011" s="61" t="s">
        <v>7227</v>
      </c>
      <c r="B3011" t="s">
        <v>3520</v>
      </c>
      <c r="C3011">
        <v>8711</v>
      </c>
      <c r="D3011" t="s">
        <v>6365</v>
      </c>
      <c r="E3011" t="s">
        <v>6366</v>
      </c>
      <c r="F3011" t="s">
        <v>6361</v>
      </c>
      <c r="G3011" s="43">
        <v>0</v>
      </c>
      <c r="H3011" s="63">
        <v>-0.1</v>
      </c>
    </row>
    <row r="3012" spans="1:8" x14ac:dyDescent="0.55000000000000004">
      <c r="A3012" s="61" t="s">
        <v>7228</v>
      </c>
      <c r="B3012" t="s">
        <v>3520</v>
      </c>
      <c r="C3012">
        <v>8712</v>
      </c>
      <c r="D3012" t="s">
        <v>6359</v>
      </c>
      <c r="E3012" t="s">
        <v>6372</v>
      </c>
      <c r="F3012" t="s">
        <v>6361</v>
      </c>
      <c r="G3012" s="43">
        <v>0</v>
      </c>
      <c r="H3012" s="63">
        <v>0.9</v>
      </c>
    </row>
    <row r="3013" spans="1:8" x14ac:dyDescent="0.55000000000000004">
      <c r="A3013" s="61" t="s">
        <v>7228</v>
      </c>
      <c r="B3013" t="s">
        <v>3520</v>
      </c>
      <c r="C3013">
        <v>8712</v>
      </c>
      <c r="D3013" t="s">
        <v>6363</v>
      </c>
      <c r="E3013" t="s">
        <v>6364</v>
      </c>
      <c r="F3013" t="s">
        <v>6361</v>
      </c>
      <c r="G3013" s="43">
        <v>0</v>
      </c>
      <c r="H3013" s="63">
        <v>0.1</v>
      </c>
    </row>
    <row r="3014" spans="1:8" x14ac:dyDescent="0.55000000000000004">
      <c r="A3014" s="61" t="s">
        <v>7228</v>
      </c>
      <c r="B3014" t="s">
        <v>3520</v>
      </c>
      <c r="C3014">
        <v>8712</v>
      </c>
      <c r="D3014" t="s">
        <v>6362</v>
      </c>
      <c r="E3014" t="s">
        <v>6358</v>
      </c>
      <c r="F3014" t="s">
        <v>6358</v>
      </c>
      <c r="G3014" s="43">
        <v>9.98E-2</v>
      </c>
      <c r="H3014" s="63">
        <v>1</v>
      </c>
    </row>
    <row r="3015" spans="1:8" x14ac:dyDescent="0.55000000000000004">
      <c r="A3015" s="61" t="s">
        <v>7228</v>
      </c>
      <c r="B3015" t="s">
        <v>3520</v>
      </c>
      <c r="C3015">
        <v>8712</v>
      </c>
      <c r="D3015" t="s">
        <v>6365</v>
      </c>
      <c r="E3015" t="s">
        <v>6366</v>
      </c>
      <c r="F3015" t="s">
        <v>6361</v>
      </c>
      <c r="G3015" s="43">
        <v>0</v>
      </c>
      <c r="H3015" s="63">
        <v>-0.1</v>
      </c>
    </row>
    <row r="3016" spans="1:8" x14ac:dyDescent="0.55000000000000004">
      <c r="A3016" s="61" t="s">
        <v>7229</v>
      </c>
      <c r="B3016" t="s">
        <v>3520</v>
      </c>
      <c r="C3016">
        <v>8713</v>
      </c>
      <c r="D3016" t="s">
        <v>6359</v>
      </c>
      <c r="E3016" t="s">
        <v>6372</v>
      </c>
      <c r="F3016" t="s">
        <v>6361</v>
      </c>
      <c r="G3016" s="43">
        <v>0</v>
      </c>
      <c r="H3016" s="63">
        <v>0.9</v>
      </c>
    </row>
    <row r="3017" spans="1:8" x14ac:dyDescent="0.55000000000000004">
      <c r="A3017" s="61" t="s">
        <v>7229</v>
      </c>
      <c r="B3017" t="s">
        <v>3520</v>
      </c>
      <c r="C3017">
        <v>8713</v>
      </c>
      <c r="D3017" t="s">
        <v>6363</v>
      </c>
      <c r="E3017" t="s">
        <v>6364</v>
      </c>
      <c r="F3017" t="s">
        <v>6361</v>
      </c>
      <c r="G3017" s="43">
        <v>0</v>
      </c>
      <c r="H3017" s="63">
        <v>0.1</v>
      </c>
    </row>
    <row r="3018" spans="1:8" x14ac:dyDescent="0.55000000000000004">
      <c r="A3018" s="61" t="s">
        <v>7229</v>
      </c>
      <c r="B3018" t="s">
        <v>3520</v>
      </c>
      <c r="C3018">
        <v>8713</v>
      </c>
      <c r="D3018" t="s">
        <v>6362</v>
      </c>
      <c r="E3018" t="s">
        <v>6358</v>
      </c>
      <c r="F3018" t="s">
        <v>6358</v>
      </c>
      <c r="G3018" s="43">
        <v>9.98E-2</v>
      </c>
      <c r="H3018" s="63">
        <v>1</v>
      </c>
    </row>
    <row r="3019" spans="1:8" x14ac:dyDescent="0.55000000000000004">
      <c r="A3019" s="61" t="s">
        <v>7229</v>
      </c>
      <c r="B3019" t="s">
        <v>3520</v>
      </c>
      <c r="C3019">
        <v>8713</v>
      </c>
      <c r="D3019" t="s">
        <v>6365</v>
      </c>
      <c r="E3019" t="s">
        <v>6366</v>
      </c>
      <c r="F3019" t="s">
        <v>6361</v>
      </c>
      <c r="G3019" s="43">
        <v>0</v>
      </c>
      <c r="H3019" s="63">
        <v>-0.1</v>
      </c>
    </row>
    <row r="3020" spans="1:8" x14ac:dyDescent="0.55000000000000004">
      <c r="A3020" s="61" t="s">
        <v>7230</v>
      </c>
      <c r="B3020" t="s">
        <v>3520</v>
      </c>
      <c r="C3020">
        <v>9307</v>
      </c>
      <c r="D3020" t="s">
        <v>6359</v>
      </c>
      <c r="E3020" t="s">
        <v>6373</v>
      </c>
      <c r="F3020" t="s">
        <v>6361</v>
      </c>
      <c r="G3020" s="43">
        <v>0</v>
      </c>
      <c r="H3020" s="63">
        <v>0.9</v>
      </c>
    </row>
    <row r="3021" spans="1:8" x14ac:dyDescent="0.55000000000000004">
      <c r="A3021" s="61" t="s">
        <v>7230</v>
      </c>
      <c r="B3021" t="s">
        <v>3520</v>
      </c>
      <c r="C3021">
        <v>9307</v>
      </c>
      <c r="D3021" t="s">
        <v>6363</v>
      </c>
      <c r="E3021" t="s">
        <v>6364</v>
      </c>
      <c r="F3021" t="s">
        <v>6361</v>
      </c>
      <c r="G3021" s="43">
        <v>0</v>
      </c>
      <c r="H3021" s="63">
        <v>0.1</v>
      </c>
    </row>
    <row r="3022" spans="1:8" x14ac:dyDescent="0.55000000000000004">
      <c r="A3022" s="61" t="s">
        <v>7230</v>
      </c>
      <c r="B3022" t="s">
        <v>3520</v>
      </c>
      <c r="C3022">
        <v>9307</v>
      </c>
      <c r="D3022" t="s">
        <v>6362</v>
      </c>
      <c r="E3022" t="s">
        <v>6358</v>
      </c>
      <c r="F3022" t="s">
        <v>6358</v>
      </c>
      <c r="G3022" s="43">
        <v>9.98E-2</v>
      </c>
      <c r="H3022" s="63">
        <v>1</v>
      </c>
    </row>
    <row r="3023" spans="1:8" x14ac:dyDescent="0.55000000000000004">
      <c r="A3023" s="61" t="s">
        <v>7230</v>
      </c>
      <c r="B3023" t="s">
        <v>3520</v>
      </c>
      <c r="C3023">
        <v>9307</v>
      </c>
      <c r="D3023" t="s">
        <v>6365</v>
      </c>
      <c r="E3023" t="s">
        <v>6366</v>
      </c>
      <c r="F3023" t="s">
        <v>6361</v>
      </c>
      <c r="G3023" s="43">
        <v>0</v>
      </c>
      <c r="H3023" s="63">
        <v>-0.1</v>
      </c>
    </row>
    <row r="3024" spans="1:8" x14ac:dyDescent="0.55000000000000004">
      <c r="A3024" s="61" t="s">
        <v>7231</v>
      </c>
      <c r="B3024" t="s">
        <v>3520</v>
      </c>
      <c r="C3024">
        <v>9308</v>
      </c>
      <c r="D3024" t="s">
        <v>6359</v>
      </c>
      <c r="E3024" t="s">
        <v>6373</v>
      </c>
      <c r="F3024" t="s">
        <v>6361</v>
      </c>
      <c r="G3024" s="43">
        <v>0</v>
      </c>
      <c r="H3024" s="63">
        <v>0.9</v>
      </c>
    </row>
    <row r="3025" spans="1:8" x14ac:dyDescent="0.55000000000000004">
      <c r="A3025" s="61" t="s">
        <v>7231</v>
      </c>
      <c r="B3025" t="s">
        <v>3520</v>
      </c>
      <c r="C3025">
        <v>9308</v>
      </c>
      <c r="D3025" t="s">
        <v>6363</v>
      </c>
      <c r="E3025" t="s">
        <v>6364</v>
      </c>
      <c r="F3025" t="s">
        <v>6361</v>
      </c>
      <c r="G3025" s="43">
        <v>0</v>
      </c>
      <c r="H3025" s="63">
        <v>0.1</v>
      </c>
    </row>
    <row r="3026" spans="1:8" x14ac:dyDescent="0.55000000000000004">
      <c r="A3026" s="61" t="s">
        <v>7231</v>
      </c>
      <c r="B3026" t="s">
        <v>3520</v>
      </c>
      <c r="C3026">
        <v>9308</v>
      </c>
      <c r="D3026" t="s">
        <v>6362</v>
      </c>
      <c r="E3026" t="s">
        <v>6358</v>
      </c>
      <c r="F3026" t="s">
        <v>6358</v>
      </c>
      <c r="G3026" s="43">
        <v>9.98E-2</v>
      </c>
      <c r="H3026" s="63">
        <v>1</v>
      </c>
    </row>
    <row r="3027" spans="1:8" x14ac:dyDescent="0.55000000000000004">
      <c r="A3027" s="61" t="s">
        <v>7231</v>
      </c>
      <c r="B3027" t="s">
        <v>3520</v>
      </c>
      <c r="C3027">
        <v>9308</v>
      </c>
      <c r="D3027" t="s">
        <v>6365</v>
      </c>
      <c r="E3027" t="s">
        <v>6366</v>
      </c>
      <c r="F3027" t="s">
        <v>6361</v>
      </c>
      <c r="G3027" s="43">
        <v>0</v>
      </c>
      <c r="H3027" s="63">
        <v>-0.1</v>
      </c>
    </row>
    <row r="3028" spans="1:8" x14ac:dyDescent="0.55000000000000004">
      <c r="A3028" s="61" t="s">
        <v>7232</v>
      </c>
      <c r="B3028" t="s">
        <v>3520</v>
      </c>
      <c r="C3028">
        <v>9309</v>
      </c>
      <c r="D3028" t="s">
        <v>6359</v>
      </c>
      <c r="E3028" t="s">
        <v>6373</v>
      </c>
      <c r="F3028" t="s">
        <v>6361</v>
      </c>
      <c r="G3028" s="43">
        <v>0</v>
      </c>
      <c r="H3028" s="63">
        <v>0.9</v>
      </c>
    </row>
    <row r="3029" spans="1:8" x14ac:dyDescent="0.55000000000000004">
      <c r="A3029" s="61" t="s">
        <v>7232</v>
      </c>
      <c r="B3029" t="s">
        <v>3520</v>
      </c>
      <c r="C3029">
        <v>9309</v>
      </c>
      <c r="D3029" t="s">
        <v>6363</v>
      </c>
      <c r="E3029" t="s">
        <v>6364</v>
      </c>
      <c r="F3029" t="s">
        <v>6361</v>
      </c>
      <c r="G3029" s="43">
        <v>0</v>
      </c>
      <c r="H3029" s="63">
        <v>0.1</v>
      </c>
    </row>
    <row r="3030" spans="1:8" x14ac:dyDescent="0.55000000000000004">
      <c r="A3030" s="61" t="s">
        <v>7232</v>
      </c>
      <c r="B3030" t="s">
        <v>3520</v>
      </c>
      <c r="C3030">
        <v>9309</v>
      </c>
      <c r="D3030" t="s">
        <v>6362</v>
      </c>
      <c r="E3030" t="s">
        <v>6358</v>
      </c>
      <c r="F3030" t="s">
        <v>6358</v>
      </c>
      <c r="G3030" s="43">
        <v>9.98E-2</v>
      </c>
      <c r="H3030" s="63">
        <v>1</v>
      </c>
    </row>
    <row r="3031" spans="1:8" x14ac:dyDescent="0.55000000000000004">
      <c r="A3031" s="61" t="s">
        <v>7232</v>
      </c>
      <c r="B3031" t="s">
        <v>3520</v>
      </c>
      <c r="C3031">
        <v>9309</v>
      </c>
      <c r="D3031" t="s">
        <v>6365</v>
      </c>
      <c r="E3031" t="s">
        <v>6366</v>
      </c>
      <c r="F3031" t="s">
        <v>6361</v>
      </c>
      <c r="G3031" s="43">
        <v>0</v>
      </c>
      <c r="H3031" s="63">
        <v>-0.1</v>
      </c>
    </row>
    <row r="3032" spans="1:8" x14ac:dyDescent="0.55000000000000004">
      <c r="A3032" s="61" t="s">
        <v>7233</v>
      </c>
      <c r="B3032" t="s">
        <v>4061</v>
      </c>
      <c r="C3032">
        <v>8701</v>
      </c>
      <c r="D3032" t="s">
        <v>6359</v>
      </c>
      <c r="E3032" t="s">
        <v>6368</v>
      </c>
      <c r="F3032" t="s">
        <v>6361</v>
      </c>
      <c r="G3032" s="43">
        <v>0</v>
      </c>
      <c r="H3032" s="63">
        <v>1</v>
      </c>
    </row>
    <row r="3033" spans="1:8" x14ac:dyDescent="0.55000000000000004">
      <c r="A3033" s="61" t="s">
        <v>7233</v>
      </c>
      <c r="B3033" t="s">
        <v>4061</v>
      </c>
      <c r="C3033">
        <v>8701</v>
      </c>
      <c r="D3033" t="s">
        <v>6362</v>
      </c>
      <c r="E3033" t="s">
        <v>6358</v>
      </c>
      <c r="F3033" t="s">
        <v>6358</v>
      </c>
      <c r="G3033" s="43">
        <v>2.3699999999999999E-2</v>
      </c>
      <c r="H3033" s="63">
        <v>1</v>
      </c>
    </row>
    <row r="3034" spans="1:8" x14ac:dyDescent="0.55000000000000004">
      <c r="A3034" s="61" t="s">
        <v>7234</v>
      </c>
      <c r="B3034" t="s">
        <v>4061</v>
      </c>
      <c r="C3034">
        <v>8710</v>
      </c>
      <c r="D3034" t="s">
        <v>6359</v>
      </c>
      <c r="E3034" t="s">
        <v>6368</v>
      </c>
      <c r="F3034" t="s">
        <v>6361</v>
      </c>
      <c r="G3034" s="43">
        <v>0</v>
      </c>
      <c r="H3034" s="63">
        <v>0.9</v>
      </c>
    </row>
    <row r="3035" spans="1:8" x14ac:dyDescent="0.55000000000000004">
      <c r="A3035" s="61" t="s">
        <v>7234</v>
      </c>
      <c r="B3035" t="s">
        <v>4061</v>
      </c>
      <c r="C3035">
        <v>8710</v>
      </c>
      <c r="D3035" t="s">
        <v>6363</v>
      </c>
      <c r="E3035" t="s">
        <v>6364</v>
      </c>
      <c r="F3035" t="s">
        <v>6361</v>
      </c>
      <c r="G3035" s="43">
        <v>0</v>
      </c>
      <c r="H3035" s="63">
        <v>0.1</v>
      </c>
    </row>
    <row r="3036" spans="1:8" x14ac:dyDescent="0.55000000000000004">
      <c r="A3036" s="61" t="s">
        <v>7234</v>
      </c>
      <c r="B3036" t="s">
        <v>4061</v>
      </c>
      <c r="C3036">
        <v>8710</v>
      </c>
      <c r="D3036" t="s">
        <v>6362</v>
      </c>
      <c r="E3036" t="s">
        <v>6358</v>
      </c>
      <c r="F3036" t="s">
        <v>6358</v>
      </c>
      <c r="G3036" s="62">
        <v>2.5999999999999999E-2</v>
      </c>
      <c r="H3036" s="63">
        <v>1</v>
      </c>
    </row>
    <row r="3037" spans="1:8" x14ac:dyDescent="0.55000000000000004">
      <c r="A3037" s="61" t="s">
        <v>7234</v>
      </c>
      <c r="B3037" t="s">
        <v>4061</v>
      </c>
      <c r="C3037">
        <v>8710</v>
      </c>
      <c r="D3037" t="s">
        <v>6365</v>
      </c>
      <c r="E3037" t="s">
        <v>6366</v>
      </c>
      <c r="F3037" t="s">
        <v>6361</v>
      </c>
      <c r="G3037" s="43">
        <v>0</v>
      </c>
      <c r="H3037" s="63">
        <v>-0.1</v>
      </c>
    </row>
    <row r="3038" spans="1:8" x14ac:dyDescent="0.55000000000000004">
      <c r="A3038" s="61" t="s">
        <v>7235</v>
      </c>
      <c r="B3038" t="s">
        <v>4061</v>
      </c>
      <c r="C3038">
        <v>9101</v>
      </c>
      <c r="D3038" t="s">
        <v>6359</v>
      </c>
      <c r="E3038" t="s">
        <v>6369</v>
      </c>
      <c r="F3038" t="s">
        <v>6361</v>
      </c>
      <c r="G3038" s="43">
        <v>0</v>
      </c>
      <c r="H3038" s="63">
        <v>1</v>
      </c>
    </row>
    <row r="3039" spans="1:8" x14ac:dyDescent="0.55000000000000004">
      <c r="A3039" s="61" t="s">
        <v>7235</v>
      </c>
      <c r="B3039" t="s">
        <v>4061</v>
      </c>
      <c r="C3039">
        <v>9101</v>
      </c>
      <c r="D3039" t="s">
        <v>6362</v>
      </c>
      <c r="E3039" t="s">
        <v>6358</v>
      </c>
      <c r="F3039" t="s">
        <v>6358</v>
      </c>
      <c r="G3039" s="43">
        <v>2.3699999999999999E-2</v>
      </c>
      <c r="H3039" s="63">
        <v>1</v>
      </c>
    </row>
    <row r="3040" spans="1:8" x14ac:dyDescent="0.55000000000000004">
      <c r="A3040" s="61" t="s">
        <v>7236</v>
      </c>
      <c r="B3040" t="s">
        <v>4061</v>
      </c>
      <c r="C3040">
        <v>9204</v>
      </c>
      <c r="D3040" t="s">
        <v>6359</v>
      </c>
      <c r="E3040" t="s">
        <v>6369</v>
      </c>
      <c r="F3040" t="s">
        <v>6361</v>
      </c>
      <c r="G3040" s="43">
        <v>0</v>
      </c>
      <c r="H3040" s="63">
        <v>0.9</v>
      </c>
    </row>
    <row r="3041" spans="1:8" x14ac:dyDescent="0.55000000000000004">
      <c r="A3041" s="61" t="s">
        <v>7236</v>
      </c>
      <c r="B3041" t="s">
        <v>4061</v>
      </c>
      <c r="C3041">
        <v>9204</v>
      </c>
      <c r="D3041" t="s">
        <v>6363</v>
      </c>
      <c r="E3041" t="s">
        <v>6364</v>
      </c>
      <c r="F3041" t="s">
        <v>6361</v>
      </c>
      <c r="G3041" s="43">
        <v>0</v>
      </c>
      <c r="H3041" s="63">
        <v>0.1</v>
      </c>
    </row>
    <row r="3042" spans="1:8" x14ac:dyDescent="0.55000000000000004">
      <c r="A3042" s="61" t="s">
        <v>7236</v>
      </c>
      <c r="B3042" t="s">
        <v>4061</v>
      </c>
      <c r="C3042">
        <v>9204</v>
      </c>
      <c r="D3042" t="s">
        <v>6362</v>
      </c>
      <c r="E3042" t="s">
        <v>6358</v>
      </c>
      <c r="F3042" t="s">
        <v>6358</v>
      </c>
      <c r="G3042" s="62">
        <v>2.5999999999999999E-2</v>
      </c>
      <c r="H3042" s="63">
        <v>1</v>
      </c>
    </row>
    <row r="3043" spans="1:8" x14ac:dyDescent="0.55000000000000004">
      <c r="A3043" s="61" t="s">
        <v>7236</v>
      </c>
      <c r="B3043" t="s">
        <v>4061</v>
      </c>
      <c r="C3043">
        <v>9204</v>
      </c>
      <c r="D3043" t="s">
        <v>6365</v>
      </c>
      <c r="E3043" t="s">
        <v>6366</v>
      </c>
      <c r="F3043" t="s">
        <v>6361</v>
      </c>
      <c r="G3043" s="43">
        <v>0</v>
      </c>
      <c r="H3043" s="63">
        <v>-0.1</v>
      </c>
    </row>
    <row r="3044" spans="1:8" x14ac:dyDescent="0.55000000000000004">
      <c r="A3044" s="61" t="s">
        <v>7237</v>
      </c>
      <c r="B3044" t="s">
        <v>4061</v>
      </c>
      <c r="C3044">
        <v>9310</v>
      </c>
      <c r="D3044" t="s">
        <v>6359</v>
      </c>
      <c r="E3044" t="s">
        <v>6369</v>
      </c>
      <c r="F3044" t="s">
        <v>6361</v>
      </c>
      <c r="G3044" s="43">
        <v>0</v>
      </c>
      <c r="H3044" s="63">
        <v>0.9</v>
      </c>
    </row>
    <row r="3045" spans="1:8" x14ac:dyDescent="0.55000000000000004">
      <c r="A3045" s="61" t="s">
        <v>7237</v>
      </c>
      <c r="B3045" t="s">
        <v>4061</v>
      </c>
      <c r="C3045">
        <v>9310</v>
      </c>
      <c r="D3045" t="s">
        <v>6363</v>
      </c>
      <c r="E3045" t="s">
        <v>6364</v>
      </c>
      <c r="F3045" t="s">
        <v>6361</v>
      </c>
      <c r="G3045" s="43">
        <v>0</v>
      </c>
      <c r="H3045" s="63">
        <v>0.1</v>
      </c>
    </row>
    <row r="3046" spans="1:8" x14ac:dyDescent="0.55000000000000004">
      <c r="A3046" s="61" t="s">
        <v>7237</v>
      </c>
      <c r="B3046" t="s">
        <v>4061</v>
      </c>
      <c r="C3046">
        <v>9310</v>
      </c>
      <c r="D3046" t="s">
        <v>6362</v>
      </c>
      <c r="E3046" t="s">
        <v>6358</v>
      </c>
      <c r="F3046" t="s">
        <v>6358</v>
      </c>
      <c r="G3046" s="62">
        <v>2.5999999999999999E-2</v>
      </c>
      <c r="H3046" s="63">
        <v>1</v>
      </c>
    </row>
    <row r="3047" spans="1:8" x14ac:dyDescent="0.55000000000000004">
      <c r="A3047" s="61" t="s">
        <v>7237</v>
      </c>
      <c r="B3047" t="s">
        <v>4061</v>
      </c>
      <c r="C3047">
        <v>9310</v>
      </c>
      <c r="D3047" t="s">
        <v>6365</v>
      </c>
      <c r="E3047" t="s">
        <v>6366</v>
      </c>
      <c r="F3047" t="s">
        <v>6361</v>
      </c>
      <c r="G3047" s="43">
        <v>0</v>
      </c>
      <c r="H3047" s="63">
        <v>-0.1</v>
      </c>
    </row>
    <row r="3048" spans="1:8" x14ac:dyDescent="0.55000000000000004">
      <c r="A3048" s="61" t="s">
        <v>7238</v>
      </c>
      <c r="B3048" t="s">
        <v>2085</v>
      </c>
      <c r="C3048">
        <v>8701</v>
      </c>
      <c r="D3048" t="s">
        <v>6359</v>
      </c>
      <c r="E3048" t="s">
        <v>6360</v>
      </c>
      <c r="F3048" t="s">
        <v>6361</v>
      </c>
      <c r="G3048" s="43">
        <v>0</v>
      </c>
      <c r="H3048" s="63">
        <v>1</v>
      </c>
    </row>
    <row r="3049" spans="1:8" x14ac:dyDescent="0.55000000000000004">
      <c r="A3049" s="61" t="s">
        <v>7238</v>
      </c>
      <c r="B3049" t="s">
        <v>2085</v>
      </c>
      <c r="C3049">
        <v>8701</v>
      </c>
      <c r="D3049" t="s">
        <v>6362</v>
      </c>
      <c r="E3049" t="s">
        <v>6358</v>
      </c>
      <c r="F3049" t="s">
        <v>6358</v>
      </c>
      <c r="G3049" s="43">
        <v>6.6100000000000006E-2</v>
      </c>
      <c r="H3049" s="63">
        <v>1</v>
      </c>
    </row>
    <row r="3050" spans="1:8" x14ac:dyDescent="0.55000000000000004">
      <c r="A3050" s="61" t="s">
        <v>7239</v>
      </c>
      <c r="B3050" t="s">
        <v>2085</v>
      </c>
      <c r="C3050">
        <v>8710</v>
      </c>
      <c r="D3050" t="s">
        <v>6359</v>
      </c>
      <c r="E3050" t="s">
        <v>6360</v>
      </c>
      <c r="F3050" t="s">
        <v>6361</v>
      </c>
      <c r="G3050" s="43">
        <v>0</v>
      </c>
      <c r="H3050" s="63">
        <v>0.9</v>
      </c>
    </row>
    <row r="3051" spans="1:8" x14ac:dyDescent="0.55000000000000004">
      <c r="A3051" s="61" t="s">
        <v>7239</v>
      </c>
      <c r="B3051" t="s">
        <v>2085</v>
      </c>
      <c r="C3051">
        <v>8710</v>
      </c>
      <c r="D3051" t="s">
        <v>6363</v>
      </c>
      <c r="E3051" t="s">
        <v>6364</v>
      </c>
      <c r="F3051" t="s">
        <v>6361</v>
      </c>
      <c r="G3051" s="43">
        <v>0</v>
      </c>
      <c r="H3051" s="63">
        <v>0.1</v>
      </c>
    </row>
    <row r="3052" spans="1:8" x14ac:dyDescent="0.55000000000000004">
      <c r="A3052" s="61" t="s">
        <v>7239</v>
      </c>
      <c r="B3052" t="s">
        <v>2085</v>
      </c>
      <c r="C3052">
        <v>8710</v>
      </c>
      <c r="D3052" t="s">
        <v>6362</v>
      </c>
      <c r="E3052" t="s">
        <v>6358</v>
      </c>
      <c r="F3052" t="s">
        <v>6358</v>
      </c>
      <c r="G3052" s="43">
        <v>7.1599999999999997E-2</v>
      </c>
      <c r="H3052" s="63">
        <v>1</v>
      </c>
    </row>
    <row r="3053" spans="1:8" x14ac:dyDescent="0.55000000000000004">
      <c r="A3053" s="61" t="s">
        <v>7239</v>
      </c>
      <c r="B3053" t="s">
        <v>2085</v>
      </c>
      <c r="C3053">
        <v>8710</v>
      </c>
      <c r="D3053" t="s">
        <v>6365</v>
      </c>
      <c r="E3053" t="s">
        <v>6366</v>
      </c>
      <c r="F3053" t="s">
        <v>6361</v>
      </c>
      <c r="G3053" s="43">
        <v>0</v>
      </c>
      <c r="H3053" s="63">
        <v>-0.1</v>
      </c>
    </row>
    <row r="3054" spans="1:8" x14ac:dyDescent="0.55000000000000004">
      <c r="A3054" s="61" t="s">
        <v>7240</v>
      </c>
      <c r="B3054" t="s">
        <v>2085</v>
      </c>
      <c r="C3054">
        <v>9101</v>
      </c>
      <c r="D3054" t="s">
        <v>6359</v>
      </c>
      <c r="E3054" t="s">
        <v>6367</v>
      </c>
      <c r="F3054" t="s">
        <v>6361</v>
      </c>
      <c r="G3054" s="43">
        <v>0</v>
      </c>
      <c r="H3054" s="63">
        <v>1</v>
      </c>
    </row>
    <row r="3055" spans="1:8" x14ac:dyDescent="0.55000000000000004">
      <c r="A3055" s="61" t="s">
        <v>7240</v>
      </c>
      <c r="B3055" t="s">
        <v>2085</v>
      </c>
      <c r="C3055">
        <v>9101</v>
      </c>
      <c r="D3055" t="s">
        <v>6362</v>
      </c>
      <c r="E3055" t="s">
        <v>6358</v>
      </c>
      <c r="F3055" t="s">
        <v>6358</v>
      </c>
      <c r="G3055" s="43">
        <v>6.6100000000000006E-2</v>
      </c>
      <c r="H3055" s="63">
        <v>1</v>
      </c>
    </row>
    <row r="3056" spans="1:8" x14ac:dyDescent="0.55000000000000004">
      <c r="A3056" s="61" t="s">
        <v>7241</v>
      </c>
      <c r="B3056" t="s">
        <v>2085</v>
      </c>
      <c r="C3056">
        <v>9110</v>
      </c>
      <c r="D3056" t="s">
        <v>6359</v>
      </c>
      <c r="E3056" t="s">
        <v>6367</v>
      </c>
      <c r="F3056" t="s">
        <v>6361</v>
      </c>
      <c r="G3056" s="43">
        <v>0</v>
      </c>
      <c r="H3056" s="63">
        <v>0.9</v>
      </c>
    </row>
    <row r="3057" spans="1:8" x14ac:dyDescent="0.55000000000000004">
      <c r="A3057" s="61" t="s">
        <v>7241</v>
      </c>
      <c r="B3057" t="s">
        <v>2085</v>
      </c>
      <c r="C3057">
        <v>9110</v>
      </c>
      <c r="D3057" t="s">
        <v>6363</v>
      </c>
      <c r="E3057" t="s">
        <v>6364</v>
      </c>
      <c r="F3057" t="s">
        <v>6361</v>
      </c>
      <c r="G3057" s="43">
        <v>0</v>
      </c>
      <c r="H3057" s="63">
        <v>0.1</v>
      </c>
    </row>
    <row r="3058" spans="1:8" x14ac:dyDescent="0.55000000000000004">
      <c r="A3058" s="61" t="s">
        <v>7241</v>
      </c>
      <c r="B3058" t="s">
        <v>2085</v>
      </c>
      <c r="C3058">
        <v>9110</v>
      </c>
      <c r="D3058" t="s">
        <v>6362</v>
      </c>
      <c r="E3058" t="s">
        <v>6358</v>
      </c>
      <c r="F3058" t="s">
        <v>6358</v>
      </c>
      <c r="G3058" s="43">
        <v>7.1599999999999997E-2</v>
      </c>
      <c r="H3058" s="63">
        <v>1</v>
      </c>
    </row>
    <row r="3059" spans="1:8" x14ac:dyDescent="0.55000000000000004">
      <c r="A3059" s="61" t="s">
        <v>7241</v>
      </c>
      <c r="B3059" t="s">
        <v>2085</v>
      </c>
      <c r="C3059">
        <v>9110</v>
      </c>
      <c r="D3059" t="s">
        <v>6365</v>
      </c>
      <c r="E3059" t="s">
        <v>6366</v>
      </c>
      <c r="F3059" t="s">
        <v>6361</v>
      </c>
      <c r="G3059" s="43">
        <v>0</v>
      </c>
      <c r="H3059" s="63">
        <v>-0.1</v>
      </c>
    </row>
    <row r="3060" spans="1:8" x14ac:dyDescent="0.55000000000000004">
      <c r="A3060" s="61" t="s">
        <v>7242</v>
      </c>
      <c r="B3060" t="s">
        <v>325</v>
      </c>
      <c r="C3060">
        <v>8710</v>
      </c>
      <c r="D3060" t="s">
        <v>6359</v>
      </c>
      <c r="E3060" t="s">
        <v>6370</v>
      </c>
      <c r="F3060" t="s">
        <v>6361</v>
      </c>
      <c r="G3060" s="43">
        <v>0</v>
      </c>
      <c r="H3060" s="63">
        <v>0.9</v>
      </c>
    </row>
    <row r="3061" spans="1:8" x14ac:dyDescent="0.55000000000000004">
      <c r="A3061" s="61" t="s">
        <v>7242</v>
      </c>
      <c r="B3061" t="s">
        <v>325</v>
      </c>
      <c r="C3061">
        <v>8710</v>
      </c>
      <c r="D3061" t="s">
        <v>6363</v>
      </c>
      <c r="E3061" t="s">
        <v>6364</v>
      </c>
      <c r="F3061" t="s">
        <v>6361</v>
      </c>
      <c r="G3061" s="43">
        <v>0</v>
      </c>
      <c r="H3061" s="63">
        <v>0.1</v>
      </c>
    </row>
    <row r="3062" spans="1:8" x14ac:dyDescent="0.55000000000000004">
      <c r="A3062" s="61" t="s">
        <v>7242</v>
      </c>
      <c r="B3062" t="s">
        <v>325</v>
      </c>
      <c r="C3062">
        <v>8710</v>
      </c>
      <c r="D3062" t="s">
        <v>6362</v>
      </c>
      <c r="E3062" t="s">
        <v>6358</v>
      </c>
      <c r="F3062" t="s">
        <v>6358</v>
      </c>
      <c r="G3062" s="43">
        <v>6.4699999999999994E-2</v>
      </c>
      <c r="H3062" s="63">
        <v>1</v>
      </c>
    </row>
    <row r="3063" spans="1:8" x14ac:dyDescent="0.55000000000000004">
      <c r="A3063" s="61" t="s">
        <v>7242</v>
      </c>
      <c r="B3063" t="s">
        <v>325</v>
      </c>
      <c r="C3063">
        <v>8710</v>
      </c>
      <c r="D3063" t="s">
        <v>6365</v>
      </c>
      <c r="E3063" t="s">
        <v>6366</v>
      </c>
      <c r="F3063" t="s">
        <v>6361</v>
      </c>
      <c r="G3063" s="43">
        <v>0</v>
      </c>
      <c r="H3063" s="63">
        <v>-0.1</v>
      </c>
    </row>
    <row r="3064" spans="1:8" x14ac:dyDescent="0.55000000000000004">
      <c r="A3064" s="61" t="s">
        <v>7243</v>
      </c>
      <c r="B3064" t="s">
        <v>325</v>
      </c>
      <c r="C3064">
        <v>9110</v>
      </c>
      <c r="D3064" t="s">
        <v>6359</v>
      </c>
      <c r="E3064" t="s">
        <v>6371</v>
      </c>
      <c r="F3064" t="s">
        <v>6361</v>
      </c>
      <c r="G3064" s="43">
        <v>0</v>
      </c>
      <c r="H3064" s="63">
        <v>0.9</v>
      </c>
    </row>
    <row r="3065" spans="1:8" x14ac:dyDescent="0.55000000000000004">
      <c r="A3065" s="61" t="s">
        <v>7243</v>
      </c>
      <c r="B3065" t="s">
        <v>325</v>
      </c>
      <c r="C3065">
        <v>9110</v>
      </c>
      <c r="D3065" t="s">
        <v>6363</v>
      </c>
      <c r="E3065" t="s">
        <v>6364</v>
      </c>
      <c r="F3065" t="s">
        <v>6361</v>
      </c>
      <c r="G3065" s="43">
        <v>0</v>
      </c>
      <c r="H3065" s="63">
        <v>0.1</v>
      </c>
    </row>
    <row r="3066" spans="1:8" x14ac:dyDescent="0.55000000000000004">
      <c r="A3066" s="61" t="s">
        <v>7243</v>
      </c>
      <c r="B3066" t="s">
        <v>325</v>
      </c>
      <c r="C3066">
        <v>9110</v>
      </c>
      <c r="D3066" t="s">
        <v>6362</v>
      </c>
      <c r="E3066" t="s">
        <v>6358</v>
      </c>
      <c r="F3066" t="s">
        <v>6358</v>
      </c>
      <c r="G3066" s="43">
        <v>6.4699999999999994E-2</v>
      </c>
      <c r="H3066" s="63">
        <v>1</v>
      </c>
    </row>
    <row r="3067" spans="1:8" x14ac:dyDescent="0.55000000000000004">
      <c r="A3067" s="61" t="s">
        <v>7243</v>
      </c>
      <c r="B3067" t="s">
        <v>325</v>
      </c>
      <c r="C3067">
        <v>9110</v>
      </c>
      <c r="D3067" t="s">
        <v>6365</v>
      </c>
      <c r="E3067" t="s">
        <v>6366</v>
      </c>
      <c r="F3067" t="s">
        <v>6361</v>
      </c>
      <c r="G3067" s="43">
        <v>0</v>
      </c>
      <c r="H3067" s="63">
        <v>-0.1</v>
      </c>
    </row>
    <row r="3068" spans="1:8" x14ac:dyDescent="0.55000000000000004">
      <c r="A3068" s="61" t="s">
        <v>7244</v>
      </c>
      <c r="B3068" t="s">
        <v>4149</v>
      </c>
      <c r="C3068">
        <v>8701</v>
      </c>
      <c r="D3068" t="s">
        <v>6359</v>
      </c>
      <c r="E3068" t="s">
        <v>6370</v>
      </c>
      <c r="F3068" t="s">
        <v>6361</v>
      </c>
      <c r="G3068" s="43">
        <v>0</v>
      </c>
      <c r="H3068" s="63">
        <v>1</v>
      </c>
    </row>
    <row r="3069" spans="1:8" x14ac:dyDescent="0.55000000000000004">
      <c r="A3069" s="61" t="s">
        <v>7244</v>
      </c>
      <c r="B3069" t="s">
        <v>4149</v>
      </c>
      <c r="C3069">
        <v>8701</v>
      </c>
      <c r="D3069" t="s">
        <v>6362</v>
      </c>
      <c r="E3069" t="s">
        <v>6358</v>
      </c>
      <c r="F3069" t="s">
        <v>6358</v>
      </c>
      <c r="G3069" s="43">
        <v>7.6600000000000001E-2</v>
      </c>
      <c r="H3069" s="63">
        <v>1</v>
      </c>
    </row>
    <row r="3070" spans="1:8" x14ac:dyDescent="0.55000000000000004">
      <c r="A3070" s="61" t="s">
        <v>7245</v>
      </c>
      <c r="B3070" t="s">
        <v>4149</v>
      </c>
      <c r="C3070">
        <v>8710</v>
      </c>
      <c r="D3070" t="s">
        <v>6359</v>
      </c>
      <c r="E3070" t="s">
        <v>6370</v>
      </c>
      <c r="F3070" t="s">
        <v>6361</v>
      </c>
      <c r="G3070" s="43">
        <v>0</v>
      </c>
      <c r="H3070" s="63">
        <v>0.9</v>
      </c>
    </row>
    <row r="3071" spans="1:8" x14ac:dyDescent="0.55000000000000004">
      <c r="A3071" s="61" t="s">
        <v>7245</v>
      </c>
      <c r="B3071" t="s">
        <v>4149</v>
      </c>
      <c r="C3071">
        <v>8710</v>
      </c>
      <c r="D3071" t="s">
        <v>6363</v>
      </c>
      <c r="E3071" t="s">
        <v>6364</v>
      </c>
      <c r="F3071" t="s">
        <v>6361</v>
      </c>
      <c r="G3071" s="43">
        <v>0</v>
      </c>
      <c r="H3071" s="63">
        <v>0.1</v>
      </c>
    </row>
    <row r="3072" spans="1:8" x14ac:dyDescent="0.55000000000000004">
      <c r="A3072" s="61" t="s">
        <v>7245</v>
      </c>
      <c r="B3072" t="s">
        <v>4149</v>
      </c>
      <c r="C3072">
        <v>8710</v>
      </c>
      <c r="D3072" t="s">
        <v>6362</v>
      </c>
      <c r="E3072" t="s">
        <v>6358</v>
      </c>
      <c r="F3072" t="s">
        <v>6358</v>
      </c>
      <c r="G3072" s="43">
        <v>8.1299999999999997E-2</v>
      </c>
      <c r="H3072" s="63">
        <v>1</v>
      </c>
    </row>
    <row r="3073" spans="1:8" x14ac:dyDescent="0.55000000000000004">
      <c r="A3073" s="61" t="s">
        <v>7245</v>
      </c>
      <c r="B3073" t="s">
        <v>4149</v>
      </c>
      <c r="C3073">
        <v>8710</v>
      </c>
      <c r="D3073" t="s">
        <v>6365</v>
      </c>
      <c r="E3073" t="s">
        <v>6366</v>
      </c>
      <c r="F3073" t="s">
        <v>6361</v>
      </c>
      <c r="G3073" s="43">
        <v>0</v>
      </c>
      <c r="H3073" s="63">
        <v>-0.1</v>
      </c>
    </row>
    <row r="3074" spans="1:8" x14ac:dyDescent="0.55000000000000004">
      <c r="A3074" s="61" t="s">
        <v>7246</v>
      </c>
      <c r="B3074" t="s">
        <v>4149</v>
      </c>
      <c r="C3074">
        <v>9101</v>
      </c>
      <c r="D3074" t="s">
        <v>6359</v>
      </c>
      <c r="E3074" t="s">
        <v>6371</v>
      </c>
      <c r="F3074" t="s">
        <v>6361</v>
      </c>
      <c r="G3074" s="43">
        <v>0</v>
      </c>
      <c r="H3074" s="63">
        <v>1</v>
      </c>
    </row>
    <row r="3075" spans="1:8" x14ac:dyDescent="0.55000000000000004">
      <c r="A3075" s="61" t="s">
        <v>7246</v>
      </c>
      <c r="B3075" t="s">
        <v>4149</v>
      </c>
      <c r="C3075">
        <v>9101</v>
      </c>
      <c r="D3075" t="s">
        <v>6362</v>
      </c>
      <c r="E3075" t="s">
        <v>6358</v>
      </c>
      <c r="F3075" t="s">
        <v>6358</v>
      </c>
      <c r="G3075" s="43">
        <v>7.6600000000000001E-2</v>
      </c>
      <c r="H3075" s="63">
        <v>1</v>
      </c>
    </row>
    <row r="3076" spans="1:8" x14ac:dyDescent="0.55000000000000004">
      <c r="A3076" s="61" t="s">
        <v>7247</v>
      </c>
      <c r="B3076" t="s">
        <v>4149</v>
      </c>
      <c r="C3076">
        <v>9110</v>
      </c>
      <c r="D3076" t="s">
        <v>6359</v>
      </c>
      <c r="E3076" t="s">
        <v>6371</v>
      </c>
      <c r="F3076" t="s">
        <v>6361</v>
      </c>
      <c r="G3076" s="43">
        <v>0</v>
      </c>
      <c r="H3076" s="63">
        <v>0.9</v>
      </c>
    </row>
    <row r="3077" spans="1:8" x14ac:dyDescent="0.55000000000000004">
      <c r="A3077" s="61" t="s">
        <v>7247</v>
      </c>
      <c r="B3077" t="s">
        <v>4149</v>
      </c>
      <c r="C3077">
        <v>9110</v>
      </c>
      <c r="D3077" t="s">
        <v>6363</v>
      </c>
      <c r="E3077" t="s">
        <v>6364</v>
      </c>
      <c r="F3077" t="s">
        <v>6361</v>
      </c>
      <c r="G3077" s="43">
        <v>0</v>
      </c>
      <c r="H3077" s="63">
        <v>0.1</v>
      </c>
    </row>
    <row r="3078" spans="1:8" x14ac:dyDescent="0.55000000000000004">
      <c r="A3078" s="61" t="s">
        <v>7247</v>
      </c>
      <c r="B3078" t="s">
        <v>4149</v>
      </c>
      <c r="C3078">
        <v>9110</v>
      </c>
      <c r="D3078" t="s">
        <v>6362</v>
      </c>
      <c r="E3078" t="s">
        <v>6358</v>
      </c>
      <c r="F3078" t="s">
        <v>6358</v>
      </c>
      <c r="G3078" s="43">
        <v>8.1299999999999997E-2</v>
      </c>
      <c r="H3078" s="63">
        <v>1</v>
      </c>
    </row>
    <row r="3079" spans="1:8" x14ac:dyDescent="0.55000000000000004">
      <c r="A3079" s="61" t="s">
        <v>7247</v>
      </c>
      <c r="B3079" t="s">
        <v>4149</v>
      </c>
      <c r="C3079">
        <v>9110</v>
      </c>
      <c r="D3079" t="s">
        <v>6365</v>
      </c>
      <c r="E3079" t="s">
        <v>6366</v>
      </c>
      <c r="F3079" t="s">
        <v>6361</v>
      </c>
      <c r="G3079" s="43">
        <v>0</v>
      </c>
      <c r="H3079" s="63">
        <v>-0.1</v>
      </c>
    </row>
    <row r="3080" spans="1:8" x14ac:dyDescent="0.55000000000000004">
      <c r="A3080" s="61" t="s">
        <v>7248</v>
      </c>
      <c r="B3080" t="s">
        <v>4149</v>
      </c>
      <c r="C3080">
        <v>9310</v>
      </c>
      <c r="D3080" t="s">
        <v>6359</v>
      </c>
      <c r="E3080" t="s">
        <v>6371</v>
      </c>
      <c r="F3080" t="s">
        <v>6361</v>
      </c>
      <c r="G3080" s="43">
        <v>0</v>
      </c>
      <c r="H3080" s="63">
        <v>0.9</v>
      </c>
    </row>
    <row r="3081" spans="1:8" x14ac:dyDescent="0.55000000000000004">
      <c r="A3081" s="61" t="s">
        <v>7248</v>
      </c>
      <c r="B3081" t="s">
        <v>4149</v>
      </c>
      <c r="C3081">
        <v>9310</v>
      </c>
      <c r="D3081" t="s">
        <v>6363</v>
      </c>
      <c r="E3081" t="s">
        <v>6364</v>
      </c>
      <c r="F3081" t="s">
        <v>6361</v>
      </c>
      <c r="G3081" s="43">
        <v>0</v>
      </c>
      <c r="H3081" s="63">
        <v>0.1</v>
      </c>
    </row>
    <row r="3082" spans="1:8" x14ac:dyDescent="0.55000000000000004">
      <c r="A3082" s="61" t="s">
        <v>7248</v>
      </c>
      <c r="B3082" t="s">
        <v>4149</v>
      </c>
      <c r="C3082">
        <v>9310</v>
      </c>
      <c r="D3082" t="s">
        <v>6362</v>
      </c>
      <c r="E3082" t="s">
        <v>6358</v>
      </c>
      <c r="F3082" t="s">
        <v>6358</v>
      </c>
      <c r="G3082" s="43">
        <v>8.1299999999999997E-2</v>
      </c>
      <c r="H3082" s="63">
        <v>1</v>
      </c>
    </row>
    <row r="3083" spans="1:8" x14ac:dyDescent="0.55000000000000004">
      <c r="A3083" s="61" t="s">
        <v>7248</v>
      </c>
      <c r="B3083" t="s">
        <v>4149</v>
      </c>
      <c r="C3083">
        <v>9310</v>
      </c>
      <c r="D3083" t="s">
        <v>6365</v>
      </c>
      <c r="E3083" t="s">
        <v>6366</v>
      </c>
      <c r="F3083" t="s">
        <v>6361</v>
      </c>
      <c r="G3083" s="43">
        <v>0</v>
      </c>
      <c r="H3083" s="63">
        <v>-0.1</v>
      </c>
    </row>
    <row r="3084" spans="1:8" x14ac:dyDescent="0.55000000000000004">
      <c r="A3084" s="61" t="s">
        <v>7249</v>
      </c>
      <c r="B3084" t="s">
        <v>3804</v>
      </c>
      <c r="C3084">
        <v>8701</v>
      </c>
      <c r="D3084" t="s">
        <v>6359</v>
      </c>
      <c r="E3084" t="s">
        <v>6374</v>
      </c>
      <c r="F3084" t="s">
        <v>6361</v>
      </c>
      <c r="G3084" s="43">
        <v>0</v>
      </c>
      <c r="H3084" s="63">
        <v>1</v>
      </c>
    </row>
    <row r="3085" spans="1:8" x14ac:dyDescent="0.55000000000000004">
      <c r="A3085" s="61" t="s">
        <v>7249</v>
      </c>
      <c r="B3085" t="s">
        <v>3804</v>
      </c>
      <c r="C3085">
        <v>8701</v>
      </c>
      <c r="D3085" t="s">
        <v>6362</v>
      </c>
      <c r="E3085" t="s">
        <v>6358</v>
      </c>
      <c r="F3085" t="s">
        <v>6358</v>
      </c>
      <c r="G3085" s="43">
        <v>8.9899999999999994E-2</v>
      </c>
      <c r="H3085" s="63">
        <v>1</v>
      </c>
    </row>
    <row r="3086" spans="1:8" x14ac:dyDescent="0.55000000000000004">
      <c r="A3086" s="61" t="s">
        <v>7250</v>
      </c>
      <c r="B3086" t="s">
        <v>3804</v>
      </c>
      <c r="C3086">
        <v>8710</v>
      </c>
      <c r="D3086" t="s">
        <v>6359</v>
      </c>
      <c r="E3086" t="s">
        <v>6374</v>
      </c>
      <c r="F3086" t="s">
        <v>6361</v>
      </c>
      <c r="G3086" s="43">
        <v>0</v>
      </c>
      <c r="H3086" s="63">
        <v>0.9</v>
      </c>
    </row>
    <row r="3087" spans="1:8" x14ac:dyDescent="0.55000000000000004">
      <c r="A3087" s="61" t="s">
        <v>7250</v>
      </c>
      <c r="B3087" t="s">
        <v>3804</v>
      </c>
      <c r="C3087">
        <v>8710</v>
      </c>
      <c r="D3087" t="s">
        <v>6363</v>
      </c>
      <c r="E3087" t="s">
        <v>6364</v>
      </c>
      <c r="F3087" t="s">
        <v>6361</v>
      </c>
      <c r="G3087" s="43">
        <v>0</v>
      </c>
      <c r="H3087" s="63">
        <v>0.1</v>
      </c>
    </row>
    <row r="3088" spans="1:8" x14ac:dyDescent="0.55000000000000004">
      <c r="A3088" s="61" t="s">
        <v>7250</v>
      </c>
      <c r="B3088" t="s">
        <v>3804</v>
      </c>
      <c r="C3088">
        <v>8710</v>
      </c>
      <c r="D3088" t="s">
        <v>6362</v>
      </c>
      <c r="E3088" t="s">
        <v>6358</v>
      </c>
      <c r="F3088" t="s">
        <v>6358</v>
      </c>
      <c r="G3088" s="62">
        <v>0.10390000000000001</v>
      </c>
      <c r="H3088" s="63">
        <v>1</v>
      </c>
    </row>
    <row r="3089" spans="1:8" x14ac:dyDescent="0.55000000000000004">
      <c r="A3089" s="61" t="s">
        <v>7250</v>
      </c>
      <c r="B3089" t="s">
        <v>3804</v>
      </c>
      <c r="C3089">
        <v>8710</v>
      </c>
      <c r="D3089" t="s">
        <v>6365</v>
      </c>
      <c r="E3089" t="s">
        <v>6366</v>
      </c>
      <c r="F3089" t="s">
        <v>6361</v>
      </c>
      <c r="G3089" s="43">
        <v>0</v>
      </c>
      <c r="H3089" s="63">
        <v>-0.1</v>
      </c>
    </row>
    <row r="3090" spans="1:8" x14ac:dyDescent="0.55000000000000004">
      <c r="A3090" s="61" t="s">
        <v>7251</v>
      </c>
      <c r="B3090" t="s">
        <v>3804</v>
      </c>
      <c r="C3090">
        <v>9310</v>
      </c>
      <c r="D3090" t="s">
        <v>6359</v>
      </c>
      <c r="E3090" t="s">
        <v>6375</v>
      </c>
      <c r="F3090" t="s">
        <v>6361</v>
      </c>
      <c r="G3090" s="43">
        <v>0</v>
      </c>
      <c r="H3090" s="63">
        <v>0.9</v>
      </c>
    </row>
    <row r="3091" spans="1:8" x14ac:dyDescent="0.55000000000000004">
      <c r="A3091" s="61" t="s">
        <v>7251</v>
      </c>
      <c r="B3091" t="s">
        <v>3804</v>
      </c>
      <c r="C3091">
        <v>9310</v>
      </c>
      <c r="D3091" t="s">
        <v>6363</v>
      </c>
      <c r="E3091" t="s">
        <v>6364</v>
      </c>
      <c r="F3091" t="s">
        <v>6361</v>
      </c>
      <c r="G3091" s="43">
        <v>0</v>
      </c>
      <c r="H3091" s="63">
        <v>0.1</v>
      </c>
    </row>
    <row r="3092" spans="1:8" x14ac:dyDescent="0.55000000000000004">
      <c r="A3092" s="61" t="s">
        <v>7251</v>
      </c>
      <c r="B3092" t="s">
        <v>3804</v>
      </c>
      <c r="C3092">
        <v>9310</v>
      </c>
      <c r="D3092" t="s">
        <v>6362</v>
      </c>
      <c r="E3092" t="s">
        <v>6358</v>
      </c>
      <c r="F3092" t="s">
        <v>6358</v>
      </c>
      <c r="G3092" s="62">
        <v>0.10390000000000001</v>
      </c>
      <c r="H3092" s="63">
        <v>1</v>
      </c>
    </row>
    <row r="3093" spans="1:8" x14ac:dyDescent="0.55000000000000004">
      <c r="A3093" s="61" t="s">
        <v>7251</v>
      </c>
      <c r="B3093" t="s">
        <v>3804</v>
      </c>
      <c r="C3093">
        <v>9310</v>
      </c>
      <c r="D3093" t="s">
        <v>6365</v>
      </c>
      <c r="E3093" t="s">
        <v>6366</v>
      </c>
      <c r="F3093" t="s">
        <v>6361</v>
      </c>
      <c r="G3093" s="43">
        <v>0</v>
      </c>
      <c r="H3093" s="63">
        <v>-0.1</v>
      </c>
    </row>
    <row r="3094" spans="1:8" x14ac:dyDescent="0.55000000000000004">
      <c r="A3094" s="61" t="s">
        <v>7252</v>
      </c>
      <c r="B3094" t="s">
        <v>5656</v>
      </c>
      <c r="C3094">
        <v>8708</v>
      </c>
      <c r="D3094" t="s">
        <v>6359</v>
      </c>
      <c r="E3094" t="s">
        <v>6393</v>
      </c>
      <c r="F3094" t="s">
        <v>6361</v>
      </c>
      <c r="G3094" s="43">
        <v>0</v>
      </c>
      <c r="H3094" s="63">
        <v>0.9</v>
      </c>
    </row>
    <row r="3095" spans="1:8" x14ac:dyDescent="0.55000000000000004">
      <c r="A3095" s="61" t="s">
        <v>7252</v>
      </c>
      <c r="B3095" t="s">
        <v>5656</v>
      </c>
      <c r="C3095">
        <v>8708</v>
      </c>
      <c r="D3095" t="s">
        <v>6363</v>
      </c>
      <c r="E3095" t="s">
        <v>6364</v>
      </c>
      <c r="F3095" t="s">
        <v>6361</v>
      </c>
      <c r="G3095" s="43">
        <v>0</v>
      </c>
      <c r="H3095" s="63">
        <v>0.1</v>
      </c>
    </row>
    <row r="3096" spans="1:8" x14ac:dyDescent="0.55000000000000004">
      <c r="A3096" s="61" t="s">
        <v>7252</v>
      </c>
      <c r="B3096" t="s">
        <v>5656</v>
      </c>
      <c r="C3096">
        <v>8708</v>
      </c>
      <c r="D3096" t="s">
        <v>6362</v>
      </c>
      <c r="E3096" t="s">
        <v>6358</v>
      </c>
      <c r="F3096" t="s">
        <v>6358</v>
      </c>
      <c r="G3096" s="43">
        <v>5.6899999999999999E-2</v>
      </c>
      <c r="H3096" s="63">
        <v>1</v>
      </c>
    </row>
    <row r="3097" spans="1:8" x14ac:dyDescent="0.55000000000000004">
      <c r="A3097" s="61" t="s">
        <v>7252</v>
      </c>
      <c r="B3097" t="s">
        <v>5656</v>
      </c>
      <c r="C3097">
        <v>8708</v>
      </c>
      <c r="D3097" t="s">
        <v>6365</v>
      </c>
      <c r="E3097" t="s">
        <v>6366</v>
      </c>
      <c r="F3097" t="s">
        <v>6361</v>
      </c>
      <c r="G3097" s="43">
        <v>0</v>
      </c>
      <c r="H3097" s="63">
        <v>-0.1</v>
      </c>
    </row>
    <row r="3098" spans="1:8" x14ac:dyDescent="0.55000000000000004">
      <c r="A3098" s="61" t="s">
        <v>7253</v>
      </c>
      <c r="B3098" t="s">
        <v>5656</v>
      </c>
      <c r="C3098">
        <v>8710</v>
      </c>
      <c r="D3098" t="s">
        <v>6359</v>
      </c>
      <c r="E3098" t="s">
        <v>6393</v>
      </c>
      <c r="F3098" t="s">
        <v>6361</v>
      </c>
      <c r="G3098" s="43">
        <v>0</v>
      </c>
      <c r="H3098" s="63">
        <v>0.9</v>
      </c>
    </row>
    <row r="3099" spans="1:8" x14ac:dyDescent="0.55000000000000004">
      <c r="A3099" s="61" t="s">
        <v>7253</v>
      </c>
      <c r="B3099" t="s">
        <v>5656</v>
      </c>
      <c r="C3099">
        <v>8710</v>
      </c>
      <c r="D3099" t="s">
        <v>6363</v>
      </c>
      <c r="E3099" t="s">
        <v>6364</v>
      </c>
      <c r="F3099" t="s">
        <v>6361</v>
      </c>
      <c r="G3099" s="43">
        <v>0</v>
      </c>
      <c r="H3099" s="63">
        <v>0.1</v>
      </c>
    </row>
    <row r="3100" spans="1:8" x14ac:dyDescent="0.55000000000000004">
      <c r="A3100" s="61" t="s">
        <v>7253</v>
      </c>
      <c r="B3100" t="s">
        <v>5656</v>
      </c>
      <c r="C3100">
        <v>8710</v>
      </c>
      <c r="D3100" t="s">
        <v>6362</v>
      </c>
      <c r="E3100" t="s">
        <v>6358</v>
      </c>
      <c r="F3100" t="s">
        <v>6358</v>
      </c>
      <c r="G3100" s="43">
        <v>5.6899999999999999E-2</v>
      </c>
      <c r="H3100" s="63">
        <v>1</v>
      </c>
    </row>
    <row r="3101" spans="1:8" x14ac:dyDescent="0.55000000000000004">
      <c r="A3101" s="61" t="s">
        <v>7253</v>
      </c>
      <c r="B3101" t="s">
        <v>5656</v>
      </c>
      <c r="C3101">
        <v>8710</v>
      </c>
      <c r="D3101" t="s">
        <v>6365</v>
      </c>
      <c r="E3101" t="s">
        <v>6366</v>
      </c>
      <c r="F3101" t="s">
        <v>6361</v>
      </c>
      <c r="G3101" s="43">
        <v>0</v>
      </c>
      <c r="H3101" s="63">
        <v>-0.1</v>
      </c>
    </row>
    <row r="3102" spans="1:8" x14ac:dyDescent="0.55000000000000004">
      <c r="A3102" s="61" t="s">
        <v>7254</v>
      </c>
      <c r="B3102" t="s">
        <v>5656</v>
      </c>
      <c r="C3102">
        <v>9110</v>
      </c>
      <c r="D3102" t="s">
        <v>6359</v>
      </c>
      <c r="E3102" t="s">
        <v>6394</v>
      </c>
      <c r="F3102" t="s">
        <v>6361</v>
      </c>
      <c r="G3102" s="43">
        <v>0</v>
      </c>
      <c r="H3102" s="63">
        <v>0.9</v>
      </c>
    </row>
    <row r="3103" spans="1:8" x14ac:dyDescent="0.55000000000000004">
      <c r="A3103" s="61" t="s">
        <v>7254</v>
      </c>
      <c r="B3103" t="s">
        <v>5656</v>
      </c>
      <c r="C3103">
        <v>9110</v>
      </c>
      <c r="D3103" t="s">
        <v>6363</v>
      </c>
      <c r="E3103" t="s">
        <v>6364</v>
      </c>
      <c r="F3103" t="s">
        <v>6361</v>
      </c>
      <c r="G3103" s="43">
        <v>0</v>
      </c>
      <c r="H3103" s="63">
        <v>0.1</v>
      </c>
    </row>
    <row r="3104" spans="1:8" x14ac:dyDescent="0.55000000000000004">
      <c r="A3104" s="61" t="s">
        <v>7254</v>
      </c>
      <c r="B3104" t="s">
        <v>5656</v>
      </c>
      <c r="C3104">
        <v>9110</v>
      </c>
      <c r="D3104" t="s">
        <v>6362</v>
      </c>
      <c r="E3104" t="s">
        <v>6358</v>
      </c>
      <c r="F3104" t="s">
        <v>6358</v>
      </c>
      <c r="G3104" s="43">
        <v>5.6899999999999999E-2</v>
      </c>
      <c r="H3104" s="63">
        <v>1</v>
      </c>
    </row>
    <row r="3105" spans="1:8" x14ac:dyDescent="0.55000000000000004">
      <c r="A3105" s="61" t="s">
        <v>7254</v>
      </c>
      <c r="B3105" t="s">
        <v>5656</v>
      </c>
      <c r="C3105">
        <v>9110</v>
      </c>
      <c r="D3105" t="s">
        <v>6365</v>
      </c>
      <c r="E3105" t="s">
        <v>6366</v>
      </c>
      <c r="F3105" t="s">
        <v>6361</v>
      </c>
      <c r="G3105" s="43">
        <v>0</v>
      </c>
      <c r="H3105" s="63">
        <v>-0.1</v>
      </c>
    </row>
    <row r="3106" spans="1:8" x14ac:dyDescent="0.55000000000000004">
      <c r="A3106" s="61" t="s">
        <v>7255</v>
      </c>
      <c r="B3106" t="s">
        <v>5656</v>
      </c>
      <c r="C3106">
        <v>9201</v>
      </c>
      <c r="D3106" t="s">
        <v>6359</v>
      </c>
      <c r="E3106" t="s">
        <v>6394</v>
      </c>
      <c r="F3106" t="s">
        <v>6361</v>
      </c>
      <c r="G3106" s="43">
        <v>0</v>
      </c>
      <c r="H3106" s="63">
        <v>1</v>
      </c>
    </row>
    <row r="3107" spans="1:8" x14ac:dyDescent="0.55000000000000004">
      <c r="A3107" s="61" t="s">
        <v>7255</v>
      </c>
      <c r="B3107" t="s">
        <v>5656</v>
      </c>
      <c r="C3107">
        <v>9201</v>
      </c>
      <c r="D3107" t="s">
        <v>6362</v>
      </c>
      <c r="E3107" t="s">
        <v>6358</v>
      </c>
      <c r="F3107" t="s">
        <v>6358</v>
      </c>
      <c r="G3107" s="43">
        <v>3.73E-2</v>
      </c>
      <c r="H3107" s="63">
        <v>1</v>
      </c>
    </row>
    <row r="3108" spans="1:8" x14ac:dyDescent="0.55000000000000004">
      <c r="A3108" s="61" t="s">
        <v>7256</v>
      </c>
      <c r="B3108" t="s">
        <v>5656</v>
      </c>
      <c r="C3108">
        <v>9204</v>
      </c>
      <c r="D3108" t="s">
        <v>6359</v>
      </c>
      <c r="E3108" t="s">
        <v>6394</v>
      </c>
      <c r="F3108" t="s">
        <v>6361</v>
      </c>
      <c r="G3108" s="43">
        <v>0</v>
      </c>
      <c r="H3108" s="63">
        <v>0.9</v>
      </c>
    </row>
    <row r="3109" spans="1:8" x14ac:dyDescent="0.55000000000000004">
      <c r="A3109" s="61" t="s">
        <v>7256</v>
      </c>
      <c r="B3109" t="s">
        <v>5656</v>
      </c>
      <c r="C3109">
        <v>9204</v>
      </c>
      <c r="D3109" t="s">
        <v>6363</v>
      </c>
      <c r="E3109" t="s">
        <v>6364</v>
      </c>
      <c r="F3109" t="s">
        <v>6361</v>
      </c>
      <c r="G3109" s="43">
        <v>0</v>
      </c>
      <c r="H3109" s="63">
        <v>0.1</v>
      </c>
    </row>
    <row r="3110" spans="1:8" x14ac:dyDescent="0.55000000000000004">
      <c r="A3110" s="61" t="s">
        <v>7256</v>
      </c>
      <c r="B3110" t="s">
        <v>5656</v>
      </c>
      <c r="C3110">
        <v>9204</v>
      </c>
      <c r="D3110" t="s">
        <v>6362</v>
      </c>
      <c r="E3110" t="s">
        <v>6358</v>
      </c>
      <c r="F3110" t="s">
        <v>6358</v>
      </c>
      <c r="G3110" s="43">
        <v>5.6899999999999999E-2</v>
      </c>
      <c r="H3110" s="63">
        <v>1</v>
      </c>
    </row>
    <row r="3111" spans="1:8" x14ac:dyDescent="0.55000000000000004">
      <c r="A3111" s="61" t="s">
        <v>7256</v>
      </c>
      <c r="B3111" t="s">
        <v>5656</v>
      </c>
      <c r="C3111">
        <v>9204</v>
      </c>
      <c r="D3111" t="s">
        <v>6365</v>
      </c>
      <c r="E3111" t="s">
        <v>6366</v>
      </c>
      <c r="F3111" t="s">
        <v>6361</v>
      </c>
      <c r="G3111" s="43">
        <v>0</v>
      </c>
      <c r="H3111" s="63">
        <v>-0.1</v>
      </c>
    </row>
    <row r="3112" spans="1:8" x14ac:dyDescent="0.55000000000000004">
      <c r="A3112" s="61" t="s">
        <v>7257</v>
      </c>
      <c r="B3112" t="s">
        <v>5656</v>
      </c>
      <c r="C3112">
        <v>9208</v>
      </c>
      <c r="D3112" t="s">
        <v>6359</v>
      </c>
      <c r="E3112" t="s">
        <v>6394</v>
      </c>
      <c r="F3112" t="s">
        <v>6361</v>
      </c>
      <c r="G3112" s="43">
        <v>0</v>
      </c>
      <c r="H3112" s="63">
        <v>0.9</v>
      </c>
    </row>
    <row r="3113" spans="1:8" x14ac:dyDescent="0.55000000000000004">
      <c r="A3113" s="61" t="s">
        <v>7257</v>
      </c>
      <c r="B3113" t="s">
        <v>5656</v>
      </c>
      <c r="C3113">
        <v>9208</v>
      </c>
      <c r="D3113" t="s">
        <v>6363</v>
      </c>
      <c r="E3113" t="s">
        <v>6364</v>
      </c>
      <c r="F3113" t="s">
        <v>6361</v>
      </c>
      <c r="G3113" s="43">
        <v>0</v>
      </c>
      <c r="H3113" s="63">
        <v>0.1</v>
      </c>
    </row>
    <row r="3114" spans="1:8" x14ac:dyDescent="0.55000000000000004">
      <c r="A3114" s="61" t="s">
        <v>7257</v>
      </c>
      <c r="B3114" t="s">
        <v>5656</v>
      </c>
      <c r="C3114">
        <v>9208</v>
      </c>
      <c r="D3114" t="s">
        <v>6362</v>
      </c>
      <c r="E3114" t="s">
        <v>6358</v>
      </c>
      <c r="F3114" t="s">
        <v>6358</v>
      </c>
      <c r="G3114" s="43">
        <v>5.6899999999999999E-2</v>
      </c>
      <c r="H3114" s="63">
        <v>1</v>
      </c>
    </row>
    <row r="3115" spans="1:8" x14ac:dyDescent="0.55000000000000004">
      <c r="A3115" s="61" t="s">
        <v>7257</v>
      </c>
      <c r="B3115" t="s">
        <v>5656</v>
      </c>
      <c r="C3115">
        <v>9208</v>
      </c>
      <c r="D3115" t="s">
        <v>6365</v>
      </c>
      <c r="E3115" t="s">
        <v>6366</v>
      </c>
      <c r="F3115" t="s">
        <v>6361</v>
      </c>
      <c r="G3115" s="43">
        <v>0</v>
      </c>
      <c r="H3115" s="63">
        <v>-0.1</v>
      </c>
    </row>
    <row r="3116" spans="1:8" x14ac:dyDescent="0.55000000000000004">
      <c r="A3116" s="61" t="s">
        <v>7258</v>
      </c>
      <c r="B3116" t="s">
        <v>650</v>
      </c>
      <c r="C3116">
        <v>8705</v>
      </c>
      <c r="D3116" t="s">
        <v>6359</v>
      </c>
      <c r="E3116" t="s">
        <v>6383</v>
      </c>
      <c r="F3116" t="s">
        <v>6361</v>
      </c>
      <c r="G3116" s="43">
        <v>0</v>
      </c>
      <c r="H3116" s="63">
        <v>0.9</v>
      </c>
    </row>
    <row r="3117" spans="1:8" x14ac:dyDescent="0.55000000000000004">
      <c r="A3117" s="61" t="s">
        <v>7258</v>
      </c>
      <c r="B3117" t="s">
        <v>650</v>
      </c>
      <c r="C3117">
        <v>8705</v>
      </c>
      <c r="D3117" t="s">
        <v>6363</v>
      </c>
      <c r="E3117" t="s">
        <v>6364</v>
      </c>
      <c r="F3117" t="s">
        <v>6361</v>
      </c>
      <c r="G3117" s="43">
        <v>0</v>
      </c>
      <c r="H3117" s="63">
        <v>0.1</v>
      </c>
    </row>
    <row r="3118" spans="1:8" x14ac:dyDescent="0.55000000000000004">
      <c r="A3118" s="61" t="s">
        <v>7258</v>
      </c>
      <c r="B3118" t="s">
        <v>650</v>
      </c>
      <c r="C3118">
        <v>8705</v>
      </c>
      <c r="D3118" t="s">
        <v>6362</v>
      </c>
      <c r="E3118" t="s">
        <v>6358</v>
      </c>
      <c r="F3118" t="s">
        <v>6358</v>
      </c>
      <c r="G3118" s="43">
        <v>5.11E-2</v>
      </c>
      <c r="H3118" s="63">
        <v>1</v>
      </c>
    </row>
    <row r="3119" spans="1:8" x14ac:dyDescent="0.55000000000000004">
      <c r="A3119" s="61" t="s">
        <v>7258</v>
      </c>
      <c r="B3119" t="s">
        <v>650</v>
      </c>
      <c r="C3119">
        <v>8705</v>
      </c>
      <c r="D3119" t="s">
        <v>6365</v>
      </c>
      <c r="E3119" t="s">
        <v>6366</v>
      </c>
      <c r="F3119" t="s">
        <v>6361</v>
      </c>
      <c r="G3119" s="43">
        <v>0</v>
      </c>
      <c r="H3119" s="63">
        <v>-0.1</v>
      </c>
    </row>
    <row r="3120" spans="1:8" x14ac:dyDescent="0.55000000000000004">
      <c r="A3120" s="61" t="s">
        <v>7258</v>
      </c>
      <c r="B3120" t="s">
        <v>650</v>
      </c>
      <c r="C3120">
        <v>8705</v>
      </c>
      <c r="D3120" t="s">
        <v>6384</v>
      </c>
      <c r="E3120" t="s">
        <v>6385</v>
      </c>
      <c r="F3120" t="s">
        <v>6361</v>
      </c>
      <c r="G3120" s="43">
        <v>0</v>
      </c>
      <c r="H3120" s="63">
        <v>1</v>
      </c>
    </row>
    <row r="3121" spans="1:8" x14ac:dyDescent="0.55000000000000004">
      <c r="A3121" s="61" t="s">
        <v>7258</v>
      </c>
      <c r="B3121" t="s">
        <v>650</v>
      </c>
      <c r="C3121">
        <v>8705</v>
      </c>
      <c r="D3121" t="s">
        <v>6386</v>
      </c>
      <c r="E3121" t="s">
        <v>6387</v>
      </c>
      <c r="F3121" t="s">
        <v>6361</v>
      </c>
      <c r="G3121" s="43">
        <v>0</v>
      </c>
      <c r="H3121" s="63">
        <v>1</v>
      </c>
    </row>
    <row r="3122" spans="1:8" x14ac:dyDescent="0.55000000000000004">
      <c r="A3122" s="61" t="s">
        <v>7259</v>
      </c>
      <c r="B3122" t="s">
        <v>650</v>
      </c>
      <c r="C3122">
        <v>9105</v>
      </c>
      <c r="D3122" t="s">
        <v>6359</v>
      </c>
      <c r="E3122" t="s">
        <v>6388</v>
      </c>
      <c r="F3122" t="s">
        <v>6361</v>
      </c>
      <c r="G3122" s="43">
        <v>0</v>
      </c>
      <c r="H3122" s="63">
        <v>0.9</v>
      </c>
    </row>
    <row r="3123" spans="1:8" x14ac:dyDescent="0.55000000000000004">
      <c r="A3123" s="61" t="s">
        <v>7259</v>
      </c>
      <c r="B3123" t="s">
        <v>650</v>
      </c>
      <c r="C3123">
        <v>9105</v>
      </c>
      <c r="D3123" t="s">
        <v>6363</v>
      </c>
      <c r="E3123" t="s">
        <v>6364</v>
      </c>
      <c r="F3123" t="s">
        <v>6361</v>
      </c>
      <c r="G3123" s="43">
        <v>0</v>
      </c>
      <c r="H3123" s="63">
        <v>0.1</v>
      </c>
    </row>
    <row r="3124" spans="1:8" x14ac:dyDescent="0.55000000000000004">
      <c r="A3124" s="61" t="s">
        <v>7259</v>
      </c>
      <c r="B3124" t="s">
        <v>650</v>
      </c>
      <c r="C3124">
        <v>9105</v>
      </c>
      <c r="D3124" t="s">
        <v>6362</v>
      </c>
      <c r="E3124" t="s">
        <v>6358</v>
      </c>
      <c r="F3124" t="s">
        <v>6358</v>
      </c>
      <c r="G3124" s="43">
        <v>5.11E-2</v>
      </c>
      <c r="H3124" s="63">
        <v>1</v>
      </c>
    </row>
    <row r="3125" spans="1:8" x14ac:dyDescent="0.55000000000000004">
      <c r="A3125" s="61" t="s">
        <v>7259</v>
      </c>
      <c r="B3125" t="s">
        <v>650</v>
      </c>
      <c r="C3125">
        <v>9105</v>
      </c>
      <c r="D3125" t="s">
        <v>6365</v>
      </c>
      <c r="E3125" t="s">
        <v>6366</v>
      </c>
      <c r="F3125" t="s">
        <v>6361</v>
      </c>
      <c r="G3125" s="43">
        <v>0</v>
      </c>
      <c r="H3125" s="63">
        <v>-0.1</v>
      </c>
    </row>
    <row r="3126" spans="1:8" x14ac:dyDescent="0.55000000000000004">
      <c r="A3126" s="61" t="s">
        <v>7259</v>
      </c>
      <c r="B3126" t="s">
        <v>650</v>
      </c>
      <c r="C3126">
        <v>9105</v>
      </c>
      <c r="D3126" t="s">
        <v>6384</v>
      </c>
      <c r="E3126" t="s">
        <v>6385</v>
      </c>
      <c r="F3126" t="s">
        <v>6361</v>
      </c>
      <c r="G3126" s="43">
        <v>0</v>
      </c>
      <c r="H3126" s="63">
        <v>1</v>
      </c>
    </row>
    <row r="3127" spans="1:8" x14ac:dyDescent="0.55000000000000004">
      <c r="A3127" s="61" t="s">
        <v>7259</v>
      </c>
      <c r="B3127" t="s">
        <v>650</v>
      </c>
      <c r="C3127">
        <v>9105</v>
      </c>
      <c r="D3127" t="s">
        <v>6386</v>
      </c>
      <c r="E3127" t="s">
        <v>6387</v>
      </c>
      <c r="F3127" t="s">
        <v>6361</v>
      </c>
      <c r="G3127" s="43">
        <v>0</v>
      </c>
      <c r="H3127" s="63">
        <v>1</v>
      </c>
    </row>
    <row r="3128" spans="1:8" x14ac:dyDescent="0.55000000000000004">
      <c r="A3128" s="61" t="s">
        <v>7260</v>
      </c>
      <c r="B3128" t="s">
        <v>3820</v>
      </c>
      <c r="C3128">
        <v>8710</v>
      </c>
      <c r="D3128" t="s">
        <v>6359</v>
      </c>
      <c r="E3128" t="s">
        <v>6374</v>
      </c>
      <c r="F3128" t="s">
        <v>6361</v>
      </c>
      <c r="G3128" s="43">
        <v>0</v>
      </c>
      <c r="H3128" s="63">
        <v>0.9</v>
      </c>
    </row>
    <row r="3129" spans="1:8" x14ac:dyDescent="0.55000000000000004">
      <c r="A3129" s="61" t="s">
        <v>7260</v>
      </c>
      <c r="B3129" t="s">
        <v>3820</v>
      </c>
      <c r="C3129">
        <v>8710</v>
      </c>
      <c r="D3129" t="s">
        <v>6363</v>
      </c>
      <c r="E3129" t="s">
        <v>6364</v>
      </c>
      <c r="F3129" t="s">
        <v>6361</v>
      </c>
      <c r="G3129" s="43">
        <v>0</v>
      </c>
      <c r="H3129" s="63">
        <v>0.1</v>
      </c>
    </row>
    <row r="3130" spans="1:8" x14ac:dyDescent="0.55000000000000004">
      <c r="A3130" s="61" t="s">
        <v>7260</v>
      </c>
      <c r="B3130" t="s">
        <v>3820</v>
      </c>
      <c r="C3130">
        <v>8710</v>
      </c>
      <c r="D3130" t="s">
        <v>6362</v>
      </c>
      <c r="E3130" t="s">
        <v>6358</v>
      </c>
      <c r="F3130" t="s">
        <v>6358</v>
      </c>
      <c r="G3130" s="43">
        <v>9.4500000000000001E-2</v>
      </c>
      <c r="H3130" s="63">
        <v>1</v>
      </c>
    </row>
    <row r="3131" spans="1:8" x14ac:dyDescent="0.55000000000000004">
      <c r="A3131" s="61" t="s">
        <v>7260</v>
      </c>
      <c r="B3131" t="s">
        <v>3820</v>
      </c>
      <c r="C3131">
        <v>8710</v>
      </c>
      <c r="D3131" t="s">
        <v>6365</v>
      </c>
      <c r="E3131" t="s">
        <v>6366</v>
      </c>
      <c r="F3131" t="s">
        <v>6361</v>
      </c>
      <c r="G3131" s="43">
        <v>0</v>
      </c>
      <c r="H3131" s="63">
        <v>-0.1</v>
      </c>
    </row>
    <row r="3132" spans="1:8" x14ac:dyDescent="0.55000000000000004">
      <c r="A3132" s="61" t="s">
        <v>7261</v>
      </c>
      <c r="B3132" t="s">
        <v>3820</v>
      </c>
      <c r="C3132">
        <v>9310</v>
      </c>
      <c r="D3132" t="s">
        <v>6359</v>
      </c>
      <c r="E3132" t="s">
        <v>6375</v>
      </c>
      <c r="F3132" t="s">
        <v>6361</v>
      </c>
      <c r="G3132" s="43">
        <v>0</v>
      </c>
      <c r="H3132" s="63">
        <v>0.9</v>
      </c>
    </row>
    <row r="3133" spans="1:8" x14ac:dyDescent="0.55000000000000004">
      <c r="A3133" s="61" t="s">
        <v>7261</v>
      </c>
      <c r="B3133" t="s">
        <v>3820</v>
      </c>
      <c r="C3133">
        <v>9310</v>
      </c>
      <c r="D3133" t="s">
        <v>6363</v>
      </c>
      <c r="E3133" t="s">
        <v>6364</v>
      </c>
      <c r="F3133" t="s">
        <v>6361</v>
      </c>
      <c r="G3133" s="43">
        <v>0</v>
      </c>
      <c r="H3133" s="63">
        <v>0.1</v>
      </c>
    </row>
    <row r="3134" spans="1:8" x14ac:dyDescent="0.55000000000000004">
      <c r="A3134" s="61" t="s">
        <v>7261</v>
      </c>
      <c r="B3134" t="s">
        <v>3820</v>
      </c>
      <c r="C3134">
        <v>9310</v>
      </c>
      <c r="D3134" t="s">
        <v>6362</v>
      </c>
      <c r="E3134" t="s">
        <v>6358</v>
      </c>
      <c r="F3134" t="s">
        <v>6358</v>
      </c>
      <c r="G3134" s="43">
        <v>9.4500000000000001E-2</v>
      </c>
      <c r="H3134" s="63">
        <v>1</v>
      </c>
    </row>
    <row r="3135" spans="1:8" x14ac:dyDescent="0.55000000000000004">
      <c r="A3135" s="61" t="s">
        <v>7261</v>
      </c>
      <c r="B3135" t="s">
        <v>3820</v>
      </c>
      <c r="C3135">
        <v>9310</v>
      </c>
      <c r="D3135" t="s">
        <v>6365</v>
      </c>
      <c r="E3135" t="s">
        <v>6366</v>
      </c>
      <c r="F3135" t="s">
        <v>6361</v>
      </c>
      <c r="G3135" s="43">
        <v>0</v>
      </c>
      <c r="H3135" s="63">
        <v>-0.1</v>
      </c>
    </row>
    <row r="3136" spans="1:8" x14ac:dyDescent="0.55000000000000004">
      <c r="A3136" s="61" t="s">
        <v>7262</v>
      </c>
      <c r="B3136" t="s">
        <v>5318</v>
      </c>
      <c r="C3136">
        <v>8708</v>
      </c>
      <c r="D3136" t="s">
        <v>6359</v>
      </c>
      <c r="E3136" t="s">
        <v>6370</v>
      </c>
      <c r="F3136" t="s">
        <v>6361</v>
      </c>
      <c r="G3136" s="43">
        <v>0</v>
      </c>
      <c r="H3136" s="63">
        <v>0.9</v>
      </c>
    </row>
    <row r="3137" spans="1:8" x14ac:dyDescent="0.55000000000000004">
      <c r="A3137" s="61" t="s">
        <v>7262</v>
      </c>
      <c r="B3137" t="s">
        <v>5318</v>
      </c>
      <c r="C3137">
        <v>8708</v>
      </c>
      <c r="D3137" t="s">
        <v>6363</v>
      </c>
      <c r="E3137" t="s">
        <v>6364</v>
      </c>
      <c r="F3137" t="s">
        <v>6361</v>
      </c>
      <c r="G3137" s="43">
        <v>0</v>
      </c>
      <c r="H3137" s="63">
        <v>0.1</v>
      </c>
    </row>
    <row r="3138" spans="1:8" x14ac:dyDescent="0.55000000000000004">
      <c r="A3138" s="61" t="s">
        <v>7262</v>
      </c>
      <c r="B3138" t="s">
        <v>5318</v>
      </c>
      <c r="C3138">
        <v>8708</v>
      </c>
      <c r="D3138" t="s">
        <v>6362</v>
      </c>
      <c r="E3138" t="s">
        <v>6358</v>
      </c>
      <c r="F3138" t="s">
        <v>6358</v>
      </c>
      <c r="G3138" s="43">
        <v>7.2599999999999998E-2</v>
      </c>
      <c r="H3138" s="63">
        <v>1</v>
      </c>
    </row>
    <row r="3139" spans="1:8" x14ac:dyDescent="0.55000000000000004">
      <c r="A3139" s="61" t="s">
        <v>7262</v>
      </c>
      <c r="B3139" t="s">
        <v>5318</v>
      </c>
      <c r="C3139">
        <v>8708</v>
      </c>
      <c r="D3139" t="s">
        <v>6365</v>
      </c>
      <c r="E3139" t="s">
        <v>6366</v>
      </c>
      <c r="F3139" t="s">
        <v>6361</v>
      </c>
      <c r="G3139" s="43">
        <v>0</v>
      </c>
      <c r="H3139" s="63">
        <v>-0.1</v>
      </c>
    </row>
    <row r="3140" spans="1:8" x14ac:dyDescent="0.55000000000000004">
      <c r="A3140" s="61" t="s">
        <v>7263</v>
      </c>
      <c r="B3140" t="s">
        <v>5318</v>
      </c>
      <c r="C3140">
        <v>8710</v>
      </c>
      <c r="D3140" t="s">
        <v>6359</v>
      </c>
      <c r="E3140" t="s">
        <v>6370</v>
      </c>
      <c r="F3140" t="s">
        <v>6361</v>
      </c>
      <c r="G3140" s="43">
        <v>0</v>
      </c>
      <c r="H3140" s="63">
        <v>0.9</v>
      </c>
    </row>
    <row r="3141" spans="1:8" x14ac:dyDescent="0.55000000000000004">
      <c r="A3141" s="61" t="s">
        <v>7263</v>
      </c>
      <c r="B3141" t="s">
        <v>5318</v>
      </c>
      <c r="C3141">
        <v>8710</v>
      </c>
      <c r="D3141" t="s">
        <v>6363</v>
      </c>
      <c r="E3141" t="s">
        <v>6364</v>
      </c>
      <c r="F3141" t="s">
        <v>6361</v>
      </c>
      <c r="G3141" s="43">
        <v>0</v>
      </c>
      <c r="H3141" s="63">
        <v>0.1</v>
      </c>
    </row>
    <row r="3142" spans="1:8" x14ac:dyDescent="0.55000000000000004">
      <c r="A3142" s="61" t="s">
        <v>7263</v>
      </c>
      <c r="B3142" t="s">
        <v>5318</v>
      </c>
      <c r="C3142">
        <v>8710</v>
      </c>
      <c r="D3142" t="s">
        <v>6362</v>
      </c>
      <c r="E3142" t="s">
        <v>6358</v>
      </c>
      <c r="F3142" t="s">
        <v>6358</v>
      </c>
      <c r="G3142" s="43">
        <v>7.2599999999999998E-2</v>
      </c>
      <c r="H3142" s="63">
        <v>1</v>
      </c>
    </row>
    <row r="3143" spans="1:8" x14ac:dyDescent="0.55000000000000004">
      <c r="A3143" s="61" t="s">
        <v>7263</v>
      </c>
      <c r="B3143" t="s">
        <v>5318</v>
      </c>
      <c r="C3143">
        <v>8710</v>
      </c>
      <c r="D3143" t="s">
        <v>6365</v>
      </c>
      <c r="E3143" t="s">
        <v>6366</v>
      </c>
      <c r="F3143" t="s">
        <v>6361</v>
      </c>
      <c r="G3143" s="43">
        <v>0</v>
      </c>
      <c r="H3143" s="63">
        <v>-0.1</v>
      </c>
    </row>
    <row r="3144" spans="1:8" x14ac:dyDescent="0.55000000000000004">
      <c r="A3144" s="61" t="s">
        <v>7264</v>
      </c>
      <c r="B3144" t="s">
        <v>5318</v>
      </c>
      <c r="C3144">
        <v>9302</v>
      </c>
      <c r="D3144" t="s">
        <v>6359</v>
      </c>
      <c r="E3144" t="s">
        <v>6371</v>
      </c>
      <c r="F3144" t="s">
        <v>6361</v>
      </c>
      <c r="G3144" s="43">
        <v>0</v>
      </c>
      <c r="H3144" s="63">
        <v>1</v>
      </c>
    </row>
    <row r="3145" spans="1:8" x14ac:dyDescent="0.55000000000000004">
      <c r="A3145" s="61" t="s">
        <v>7264</v>
      </c>
      <c r="B3145" t="s">
        <v>5318</v>
      </c>
      <c r="C3145">
        <v>9302</v>
      </c>
      <c r="D3145" t="s">
        <v>6362</v>
      </c>
      <c r="E3145" t="s">
        <v>6358</v>
      </c>
      <c r="F3145" t="s">
        <v>6358</v>
      </c>
      <c r="G3145" s="43">
        <v>6.5799999999999997E-2</v>
      </c>
      <c r="H3145" s="63">
        <v>1</v>
      </c>
    </row>
    <row r="3146" spans="1:8" x14ac:dyDescent="0.55000000000000004">
      <c r="A3146" s="61" t="s">
        <v>7265</v>
      </c>
      <c r="B3146" t="s">
        <v>5318</v>
      </c>
      <c r="C3146">
        <v>9305</v>
      </c>
      <c r="D3146" t="s">
        <v>6359</v>
      </c>
      <c r="E3146" t="s">
        <v>6371</v>
      </c>
      <c r="F3146" t="s">
        <v>6361</v>
      </c>
      <c r="G3146" s="43">
        <v>0</v>
      </c>
      <c r="H3146" s="63">
        <v>0.9</v>
      </c>
    </row>
    <row r="3147" spans="1:8" x14ac:dyDescent="0.55000000000000004">
      <c r="A3147" s="61" t="s">
        <v>7265</v>
      </c>
      <c r="B3147" t="s">
        <v>5318</v>
      </c>
      <c r="C3147">
        <v>9305</v>
      </c>
      <c r="D3147" t="s">
        <v>6363</v>
      </c>
      <c r="E3147" t="s">
        <v>6364</v>
      </c>
      <c r="F3147" t="s">
        <v>6361</v>
      </c>
      <c r="G3147" s="43">
        <v>0</v>
      </c>
      <c r="H3147" s="63">
        <v>0.1</v>
      </c>
    </row>
    <row r="3148" spans="1:8" x14ac:dyDescent="0.55000000000000004">
      <c r="A3148" s="61" t="s">
        <v>7265</v>
      </c>
      <c r="B3148" t="s">
        <v>5318</v>
      </c>
      <c r="C3148">
        <v>9305</v>
      </c>
      <c r="D3148" t="s">
        <v>6362</v>
      </c>
      <c r="E3148" t="s">
        <v>6358</v>
      </c>
      <c r="F3148" t="s">
        <v>6358</v>
      </c>
      <c r="G3148" s="43">
        <v>7.2599999999999998E-2</v>
      </c>
      <c r="H3148" s="63">
        <v>1</v>
      </c>
    </row>
    <row r="3149" spans="1:8" x14ac:dyDescent="0.55000000000000004">
      <c r="A3149" s="61" t="s">
        <v>7265</v>
      </c>
      <c r="B3149" t="s">
        <v>5318</v>
      </c>
      <c r="C3149">
        <v>9305</v>
      </c>
      <c r="D3149" t="s">
        <v>6365</v>
      </c>
      <c r="E3149" t="s">
        <v>6366</v>
      </c>
      <c r="F3149" t="s">
        <v>6361</v>
      </c>
      <c r="G3149" s="43">
        <v>0</v>
      </c>
      <c r="H3149" s="63">
        <v>-0.1</v>
      </c>
    </row>
    <row r="3150" spans="1:8" x14ac:dyDescent="0.55000000000000004">
      <c r="A3150" s="61" t="s">
        <v>7266</v>
      </c>
      <c r="B3150" t="s">
        <v>5318</v>
      </c>
      <c r="C3150">
        <v>9307</v>
      </c>
      <c r="D3150" t="s">
        <v>6359</v>
      </c>
      <c r="E3150" t="s">
        <v>6373</v>
      </c>
      <c r="F3150" t="s">
        <v>6361</v>
      </c>
      <c r="G3150" s="43">
        <v>0</v>
      </c>
      <c r="H3150" s="63">
        <v>0.9</v>
      </c>
    </row>
    <row r="3151" spans="1:8" x14ac:dyDescent="0.55000000000000004">
      <c r="A3151" s="61" t="s">
        <v>7266</v>
      </c>
      <c r="B3151" t="s">
        <v>5318</v>
      </c>
      <c r="C3151">
        <v>9307</v>
      </c>
      <c r="D3151" t="s">
        <v>6363</v>
      </c>
      <c r="E3151" t="s">
        <v>6364</v>
      </c>
      <c r="F3151" t="s">
        <v>6361</v>
      </c>
      <c r="G3151" s="43">
        <v>0</v>
      </c>
      <c r="H3151" s="63">
        <v>0.1</v>
      </c>
    </row>
    <row r="3152" spans="1:8" x14ac:dyDescent="0.55000000000000004">
      <c r="A3152" s="61" t="s">
        <v>7266</v>
      </c>
      <c r="B3152" t="s">
        <v>5318</v>
      </c>
      <c r="C3152">
        <v>9307</v>
      </c>
      <c r="D3152" t="s">
        <v>6362</v>
      </c>
      <c r="E3152" t="s">
        <v>6358</v>
      </c>
      <c r="F3152" t="s">
        <v>6358</v>
      </c>
      <c r="G3152" s="43">
        <v>7.2599999999999998E-2</v>
      </c>
      <c r="H3152" s="63">
        <v>1</v>
      </c>
    </row>
    <row r="3153" spans="1:8" x14ac:dyDescent="0.55000000000000004">
      <c r="A3153" s="61" t="s">
        <v>7266</v>
      </c>
      <c r="B3153" t="s">
        <v>5318</v>
      </c>
      <c r="C3153">
        <v>9307</v>
      </c>
      <c r="D3153" t="s">
        <v>6365</v>
      </c>
      <c r="E3153" t="s">
        <v>6366</v>
      </c>
      <c r="F3153" t="s">
        <v>6361</v>
      </c>
      <c r="G3153" s="43">
        <v>0</v>
      </c>
      <c r="H3153" s="63">
        <v>-0.1</v>
      </c>
    </row>
    <row r="3154" spans="1:8" x14ac:dyDescent="0.55000000000000004">
      <c r="A3154" s="61" t="s">
        <v>7267</v>
      </c>
      <c r="B3154" t="s">
        <v>5318</v>
      </c>
      <c r="C3154">
        <v>9309</v>
      </c>
      <c r="D3154" t="s">
        <v>6359</v>
      </c>
      <c r="E3154" t="s">
        <v>6373</v>
      </c>
      <c r="F3154" t="s">
        <v>6361</v>
      </c>
      <c r="G3154" s="43">
        <v>0</v>
      </c>
      <c r="H3154" s="63">
        <v>0.9</v>
      </c>
    </row>
    <row r="3155" spans="1:8" x14ac:dyDescent="0.55000000000000004">
      <c r="A3155" s="61" t="s">
        <v>7267</v>
      </c>
      <c r="B3155" t="s">
        <v>5318</v>
      </c>
      <c r="C3155">
        <v>9309</v>
      </c>
      <c r="D3155" t="s">
        <v>6363</v>
      </c>
      <c r="E3155" t="s">
        <v>6364</v>
      </c>
      <c r="F3155" t="s">
        <v>6361</v>
      </c>
      <c r="G3155" s="43">
        <v>0</v>
      </c>
      <c r="H3155" s="63">
        <v>0.1</v>
      </c>
    </row>
    <row r="3156" spans="1:8" x14ac:dyDescent="0.55000000000000004">
      <c r="A3156" s="61" t="s">
        <v>7267</v>
      </c>
      <c r="B3156" t="s">
        <v>5318</v>
      </c>
      <c r="C3156">
        <v>9309</v>
      </c>
      <c r="D3156" t="s">
        <v>6362</v>
      </c>
      <c r="E3156" t="s">
        <v>6358</v>
      </c>
      <c r="F3156" t="s">
        <v>6358</v>
      </c>
      <c r="G3156" s="43">
        <v>7.2599999999999998E-2</v>
      </c>
      <c r="H3156" s="63">
        <v>1</v>
      </c>
    </row>
    <row r="3157" spans="1:8" x14ac:dyDescent="0.55000000000000004">
      <c r="A3157" s="61" t="s">
        <v>7267</v>
      </c>
      <c r="B3157" t="s">
        <v>5318</v>
      </c>
      <c r="C3157">
        <v>9309</v>
      </c>
      <c r="D3157" t="s">
        <v>6365</v>
      </c>
      <c r="E3157" t="s">
        <v>6366</v>
      </c>
      <c r="F3157" t="s">
        <v>6361</v>
      </c>
      <c r="G3157" s="43">
        <v>0</v>
      </c>
      <c r="H3157" s="63">
        <v>-0.1</v>
      </c>
    </row>
    <row r="3158" spans="1:8" x14ac:dyDescent="0.55000000000000004">
      <c r="A3158" s="61" t="s">
        <v>7268</v>
      </c>
      <c r="B3158" t="s">
        <v>5318</v>
      </c>
      <c r="C3158">
        <v>9310</v>
      </c>
      <c r="D3158" t="s">
        <v>6359</v>
      </c>
      <c r="E3158" t="s">
        <v>6371</v>
      </c>
      <c r="F3158" t="s">
        <v>6361</v>
      </c>
      <c r="G3158" s="43">
        <v>0</v>
      </c>
      <c r="H3158" s="63">
        <v>0.9</v>
      </c>
    </row>
    <row r="3159" spans="1:8" x14ac:dyDescent="0.55000000000000004">
      <c r="A3159" s="61" t="s">
        <v>7268</v>
      </c>
      <c r="B3159" t="s">
        <v>5318</v>
      </c>
      <c r="C3159">
        <v>9310</v>
      </c>
      <c r="D3159" t="s">
        <v>6363</v>
      </c>
      <c r="E3159" t="s">
        <v>6364</v>
      </c>
      <c r="F3159" t="s">
        <v>6361</v>
      </c>
      <c r="G3159" s="43">
        <v>0</v>
      </c>
      <c r="H3159" s="63">
        <v>0.1</v>
      </c>
    </row>
    <row r="3160" spans="1:8" x14ac:dyDescent="0.55000000000000004">
      <c r="A3160" s="61" t="s">
        <v>7268</v>
      </c>
      <c r="B3160" t="s">
        <v>5318</v>
      </c>
      <c r="C3160">
        <v>9310</v>
      </c>
      <c r="D3160" t="s">
        <v>6362</v>
      </c>
      <c r="E3160" t="s">
        <v>6358</v>
      </c>
      <c r="F3160" t="s">
        <v>6358</v>
      </c>
      <c r="G3160" s="43">
        <v>7.2599999999999998E-2</v>
      </c>
      <c r="H3160" s="63">
        <v>1</v>
      </c>
    </row>
    <row r="3161" spans="1:8" x14ac:dyDescent="0.55000000000000004">
      <c r="A3161" s="61" t="s">
        <v>7268</v>
      </c>
      <c r="B3161" t="s">
        <v>5318</v>
      </c>
      <c r="C3161">
        <v>9310</v>
      </c>
      <c r="D3161" t="s">
        <v>6365</v>
      </c>
      <c r="E3161" t="s">
        <v>6366</v>
      </c>
      <c r="F3161" t="s">
        <v>6361</v>
      </c>
      <c r="G3161" s="43">
        <v>0</v>
      </c>
      <c r="H3161" s="63">
        <v>-0.1</v>
      </c>
    </row>
    <row r="3162" spans="1:8" x14ac:dyDescent="0.55000000000000004">
      <c r="A3162" s="61" t="s">
        <v>7269</v>
      </c>
      <c r="B3162" t="s">
        <v>3830</v>
      </c>
      <c r="C3162">
        <v>8710</v>
      </c>
      <c r="D3162" t="s">
        <v>6359</v>
      </c>
      <c r="E3162" t="s">
        <v>6374</v>
      </c>
      <c r="F3162" t="s">
        <v>6361</v>
      </c>
      <c r="G3162" s="43">
        <v>0</v>
      </c>
      <c r="H3162" s="63">
        <v>0.9</v>
      </c>
    </row>
    <row r="3163" spans="1:8" x14ac:dyDescent="0.55000000000000004">
      <c r="A3163" s="61" t="s">
        <v>7269</v>
      </c>
      <c r="B3163" t="s">
        <v>3830</v>
      </c>
      <c r="C3163">
        <v>8710</v>
      </c>
      <c r="D3163" t="s">
        <v>6363</v>
      </c>
      <c r="E3163" t="s">
        <v>6364</v>
      </c>
      <c r="F3163" t="s">
        <v>6361</v>
      </c>
      <c r="G3163" s="43">
        <v>0</v>
      </c>
      <c r="H3163" s="63">
        <v>0.1</v>
      </c>
    </row>
    <row r="3164" spans="1:8" x14ac:dyDescent="0.55000000000000004">
      <c r="A3164" s="61" t="s">
        <v>7269</v>
      </c>
      <c r="B3164" t="s">
        <v>3830</v>
      </c>
      <c r="C3164">
        <v>8710</v>
      </c>
      <c r="D3164" t="s">
        <v>6362</v>
      </c>
      <c r="E3164" t="s">
        <v>6358</v>
      </c>
      <c r="F3164" t="s">
        <v>6358</v>
      </c>
      <c r="G3164" s="43">
        <v>9.9400000000000002E-2</v>
      </c>
      <c r="H3164" s="63">
        <v>1</v>
      </c>
    </row>
    <row r="3165" spans="1:8" x14ac:dyDescent="0.55000000000000004">
      <c r="A3165" s="61" t="s">
        <v>7269</v>
      </c>
      <c r="B3165" t="s">
        <v>3830</v>
      </c>
      <c r="C3165">
        <v>8710</v>
      </c>
      <c r="D3165" t="s">
        <v>6365</v>
      </c>
      <c r="E3165" t="s">
        <v>6366</v>
      </c>
      <c r="F3165" t="s">
        <v>6361</v>
      </c>
      <c r="G3165" s="43">
        <v>0</v>
      </c>
      <c r="H3165" s="63">
        <v>-0.1</v>
      </c>
    </row>
    <row r="3166" spans="1:8" x14ac:dyDescent="0.55000000000000004">
      <c r="A3166" s="61" t="s">
        <v>7270</v>
      </c>
      <c r="B3166" t="s">
        <v>3830</v>
      </c>
      <c r="C3166">
        <v>9310</v>
      </c>
      <c r="D3166" t="s">
        <v>6359</v>
      </c>
      <c r="E3166" t="s">
        <v>6375</v>
      </c>
      <c r="F3166" t="s">
        <v>6361</v>
      </c>
      <c r="G3166" s="43">
        <v>0</v>
      </c>
      <c r="H3166" s="63">
        <v>0.9</v>
      </c>
    </row>
    <row r="3167" spans="1:8" x14ac:dyDescent="0.55000000000000004">
      <c r="A3167" s="61" t="s">
        <v>7270</v>
      </c>
      <c r="B3167" t="s">
        <v>3830</v>
      </c>
      <c r="C3167">
        <v>9310</v>
      </c>
      <c r="D3167" t="s">
        <v>6363</v>
      </c>
      <c r="E3167" t="s">
        <v>6364</v>
      </c>
      <c r="F3167" t="s">
        <v>6361</v>
      </c>
      <c r="G3167" s="43">
        <v>0</v>
      </c>
      <c r="H3167" s="63">
        <v>0.1</v>
      </c>
    </row>
    <row r="3168" spans="1:8" x14ac:dyDescent="0.55000000000000004">
      <c r="A3168" s="61" t="s">
        <v>7270</v>
      </c>
      <c r="B3168" t="s">
        <v>3830</v>
      </c>
      <c r="C3168">
        <v>9310</v>
      </c>
      <c r="D3168" t="s">
        <v>6362</v>
      </c>
      <c r="E3168" t="s">
        <v>6358</v>
      </c>
      <c r="F3168" t="s">
        <v>6358</v>
      </c>
      <c r="G3168" s="43">
        <v>9.9400000000000002E-2</v>
      </c>
      <c r="H3168" s="63">
        <v>1</v>
      </c>
    </row>
    <row r="3169" spans="1:8" x14ac:dyDescent="0.55000000000000004">
      <c r="A3169" s="61" t="s">
        <v>7270</v>
      </c>
      <c r="B3169" t="s">
        <v>3830</v>
      </c>
      <c r="C3169">
        <v>9310</v>
      </c>
      <c r="D3169" t="s">
        <v>6365</v>
      </c>
      <c r="E3169" t="s">
        <v>6366</v>
      </c>
      <c r="F3169" t="s">
        <v>6361</v>
      </c>
      <c r="G3169" s="43">
        <v>0</v>
      </c>
      <c r="H3169" s="63">
        <v>-0.1</v>
      </c>
    </row>
    <row r="3170" spans="1:8" x14ac:dyDescent="0.55000000000000004">
      <c r="A3170" s="61" t="s">
        <v>7271</v>
      </c>
      <c r="B3170" t="s">
        <v>1462</v>
      </c>
      <c r="C3170">
        <v>8710</v>
      </c>
      <c r="D3170" t="s">
        <v>6359</v>
      </c>
      <c r="E3170" t="s">
        <v>6360</v>
      </c>
      <c r="F3170" t="s">
        <v>6361</v>
      </c>
      <c r="G3170" s="43">
        <v>0</v>
      </c>
      <c r="H3170" s="63">
        <v>0.9</v>
      </c>
    </row>
    <row r="3171" spans="1:8" x14ac:dyDescent="0.55000000000000004">
      <c r="A3171" s="61" t="s">
        <v>7271</v>
      </c>
      <c r="B3171" t="s">
        <v>1462</v>
      </c>
      <c r="C3171">
        <v>8710</v>
      </c>
      <c r="D3171" t="s">
        <v>6363</v>
      </c>
      <c r="E3171" t="s">
        <v>6364</v>
      </c>
      <c r="F3171" t="s">
        <v>6361</v>
      </c>
      <c r="G3171" s="43">
        <v>0</v>
      </c>
      <c r="H3171" s="63">
        <v>0.1</v>
      </c>
    </row>
    <row r="3172" spans="1:8" x14ac:dyDescent="0.55000000000000004">
      <c r="A3172" s="61" t="s">
        <v>7271</v>
      </c>
      <c r="B3172" t="s">
        <v>1462</v>
      </c>
      <c r="C3172">
        <v>8710</v>
      </c>
      <c r="D3172" t="s">
        <v>6362</v>
      </c>
      <c r="E3172" t="s">
        <v>6358</v>
      </c>
      <c r="F3172" t="s">
        <v>6358</v>
      </c>
      <c r="G3172" s="43">
        <v>8.09E-2</v>
      </c>
      <c r="H3172" s="63">
        <v>1</v>
      </c>
    </row>
    <row r="3173" spans="1:8" x14ac:dyDescent="0.55000000000000004">
      <c r="A3173" s="61" t="s">
        <v>7271</v>
      </c>
      <c r="B3173" t="s">
        <v>1462</v>
      </c>
      <c r="C3173">
        <v>8710</v>
      </c>
      <c r="D3173" t="s">
        <v>6365</v>
      </c>
      <c r="E3173" t="s">
        <v>6366</v>
      </c>
      <c r="F3173" t="s">
        <v>6361</v>
      </c>
      <c r="G3173" s="43">
        <v>0</v>
      </c>
      <c r="H3173" s="63">
        <v>-0.1</v>
      </c>
    </row>
    <row r="3174" spans="1:8" x14ac:dyDescent="0.55000000000000004">
      <c r="A3174" s="61" t="s">
        <v>7272</v>
      </c>
      <c r="B3174" t="s">
        <v>1462</v>
      </c>
      <c r="C3174">
        <v>9110</v>
      </c>
      <c r="D3174" t="s">
        <v>6359</v>
      </c>
      <c r="E3174" t="s">
        <v>6367</v>
      </c>
      <c r="F3174" t="s">
        <v>6361</v>
      </c>
      <c r="G3174" s="43">
        <v>0</v>
      </c>
      <c r="H3174" s="63">
        <v>0.9</v>
      </c>
    </row>
    <row r="3175" spans="1:8" x14ac:dyDescent="0.55000000000000004">
      <c r="A3175" s="61" t="s">
        <v>7272</v>
      </c>
      <c r="B3175" t="s">
        <v>1462</v>
      </c>
      <c r="C3175">
        <v>9110</v>
      </c>
      <c r="D3175" t="s">
        <v>6363</v>
      </c>
      <c r="E3175" t="s">
        <v>6364</v>
      </c>
      <c r="F3175" t="s">
        <v>6361</v>
      </c>
      <c r="G3175" s="43">
        <v>0</v>
      </c>
      <c r="H3175" s="63">
        <v>0.1</v>
      </c>
    </row>
    <row r="3176" spans="1:8" x14ac:dyDescent="0.55000000000000004">
      <c r="A3176" s="61" t="s">
        <v>7272</v>
      </c>
      <c r="B3176" t="s">
        <v>1462</v>
      </c>
      <c r="C3176">
        <v>9110</v>
      </c>
      <c r="D3176" t="s">
        <v>6362</v>
      </c>
      <c r="E3176" t="s">
        <v>6358</v>
      </c>
      <c r="F3176" t="s">
        <v>6358</v>
      </c>
      <c r="G3176" s="43">
        <v>8.09E-2</v>
      </c>
      <c r="H3176" s="63">
        <v>1</v>
      </c>
    </row>
    <row r="3177" spans="1:8" x14ac:dyDescent="0.55000000000000004">
      <c r="A3177" s="61" t="s">
        <v>7272</v>
      </c>
      <c r="B3177" t="s">
        <v>1462</v>
      </c>
      <c r="C3177">
        <v>9110</v>
      </c>
      <c r="D3177" t="s">
        <v>6365</v>
      </c>
      <c r="E3177" t="s">
        <v>6366</v>
      </c>
      <c r="F3177" t="s">
        <v>6361</v>
      </c>
      <c r="G3177" s="43">
        <v>0</v>
      </c>
      <c r="H3177" s="63">
        <v>-0.1</v>
      </c>
    </row>
    <row r="3178" spans="1:8" x14ac:dyDescent="0.55000000000000004">
      <c r="A3178" s="61" t="s">
        <v>7273</v>
      </c>
      <c r="B3178" t="s">
        <v>4683</v>
      </c>
      <c r="C3178">
        <v>8710</v>
      </c>
      <c r="D3178" t="s">
        <v>6359</v>
      </c>
      <c r="E3178" t="s">
        <v>6360</v>
      </c>
      <c r="F3178" t="s">
        <v>6361</v>
      </c>
      <c r="G3178" s="43">
        <v>0</v>
      </c>
      <c r="H3178" s="63">
        <v>0.9</v>
      </c>
    </row>
    <row r="3179" spans="1:8" x14ac:dyDescent="0.55000000000000004">
      <c r="A3179" s="61" t="s">
        <v>7273</v>
      </c>
      <c r="B3179" t="s">
        <v>4683</v>
      </c>
      <c r="C3179">
        <v>8710</v>
      </c>
      <c r="D3179" t="s">
        <v>6363</v>
      </c>
      <c r="E3179" t="s">
        <v>6364</v>
      </c>
      <c r="F3179" t="s">
        <v>6361</v>
      </c>
      <c r="G3179" s="43">
        <v>0</v>
      </c>
      <c r="H3179" s="63">
        <v>0.1</v>
      </c>
    </row>
    <row r="3180" spans="1:8" x14ac:dyDescent="0.55000000000000004">
      <c r="A3180" s="61" t="s">
        <v>7273</v>
      </c>
      <c r="B3180" t="s">
        <v>4683</v>
      </c>
      <c r="C3180">
        <v>8710</v>
      </c>
      <c r="D3180" t="s">
        <v>6362</v>
      </c>
      <c r="E3180" t="s">
        <v>6358</v>
      </c>
      <c r="F3180" t="s">
        <v>6358</v>
      </c>
      <c r="G3180" s="43">
        <v>9.7100000000000006E-2</v>
      </c>
      <c r="H3180" s="63">
        <v>1</v>
      </c>
    </row>
    <row r="3181" spans="1:8" x14ac:dyDescent="0.55000000000000004">
      <c r="A3181" s="61" t="s">
        <v>7273</v>
      </c>
      <c r="B3181" t="s">
        <v>4683</v>
      </c>
      <c r="C3181">
        <v>8710</v>
      </c>
      <c r="D3181" t="s">
        <v>6365</v>
      </c>
      <c r="E3181" t="s">
        <v>6366</v>
      </c>
      <c r="F3181" t="s">
        <v>6361</v>
      </c>
      <c r="G3181" s="43">
        <v>0</v>
      </c>
      <c r="H3181" s="63">
        <v>-0.1</v>
      </c>
    </row>
    <row r="3182" spans="1:8" x14ac:dyDescent="0.55000000000000004">
      <c r="A3182" s="61" t="s">
        <v>7274</v>
      </c>
      <c r="B3182" t="s">
        <v>265</v>
      </c>
      <c r="C3182">
        <v>8701</v>
      </c>
      <c r="D3182" t="s">
        <v>6359</v>
      </c>
      <c r="E3182" t="s">
        <v>6370</v>
      </c>
      <c r="F3182" t="s">
        <v>6361</v>
      </c>
      <c r="G3182" s="43">
        <v>0</v>
      </c>
      <c r="H3182" s="63">
        <v>1</v>
      </c>
    </row>
    <row r="3183" spans="1:8" x14ac:dyDescent="0.55000000000000004">
      <c r="A3183" s="61" t="s">
        <v>7274</v>
      </c>
      <c r="B3183" t="s">
        <v>265</v>
      </c>
      <c r="C3183">
        <v>8701</v>
      </c>
      <c r="D3183" t="s">
        <v>6362</v>
      </c>
      <c r="E3183" t="s">
        <v>6358</v>
      </c>
      <c r="F3183" t="s">
        <v>6358</v>
      </c>
      <c r="G3183" s="43">
        <v>9.74E-2</v>
      </c>
      <c r="H3183" s="63">
        <v>1</v>
      </c>
    </row>
    <row r="3184" spans="1:8" x14ac:dyDescent="0.55000000000000004">
      <c r="A3184" s="61" t="s">
        <v>7275</v>
      </c>
      <c r="B3184" t="s">
        <v>265</v>
      </c>
      <c r="C3184">
        <v>8710</v>
      </c>
      <c r="D3184" t="s">
        <v>6359</v>
      </c>
      <c r="E3184" t="s">
        <v>6370</v>
      </c>
      <c r="F3184" t="s">
        <v>6361</v>
      </c>
      <c r="G3184" s="43">
        <v>0</v>
      </c>
      <c r="H3184" s="63">
        <v>0.9</v>
      </c>
    </row>
    <row r="3185" spans="1:8" x14ac:dyDescent="0.55000000000000004">
      <c r="A3185" s="61" t="s">
        <v>7275</v>
      </c>
      <c r="B3185" t="s">
        <v>265</v>
      </c>
      <c r="C3185">
        <v>8710</v>
      </c>
      <c r="D3185" t="s">
        <v>6363</v>
      </c>
      <c r="E3185" t="s">
        <v>6364</v>
      </c>
      <c r="F3185" t="s">
        <v>6361</v>
      </c>
      <c r="G3185" s="43">
        <v>0</v>
      </c>
      <c r="H3185" s="63">
        <v>0.1</v>
      </c>
    </row>
    <row r="3186" spans="1:8" x14ac:dyDescent="0.55000000000000004">
      <c r="A3186" s="61" t="s">
        <v>7275</v>
      </c>
      <c r="B3186" t="s">
        <v>265</v>
      </c>
      <c r="C3186">
        <v>8710</v>
      </c>
      <c r="D3186" t="s">
        <v>6362</v>
      </c>
      <c r="E3186" t="s">
        <v>6358</v>
      </c>
      <c r="F3186" t="s">
        <v>6358</v>
      </c>
      <c r="G3186" s="43">
        <v>0.1036</v>
      </c>
      <c r="H3186" s="63">
        <v>1</v>
      </c>
    </row>
    <row r="3187" spans="1:8" x14ac:dyDescent="0.55000000000000004">
      <c r="A3187" s="61" t="s">
        <v>7275</v>
      </c>
      <c r="B3187" t="s">
        <v>265</v>
      </c>
      <c r="C3187">
        <v>8710</v>
      </c>
      <c r="D3187" t="s">
        <v>6365</v>
      </c>
      <c r="E3187" t="s">
        <v>6366</v>
      </c>
      <c r="F3187" t="s">
        <v>6361</v>
      </c>
      <c r="G3187" s="43">
        <v>0</v>
      </c>
      <c r="H3187" s="63">
        <v>-0.1</v>
      </c>
    </row>
    <row r="3188" spans="1:8" x14ac:dyDescent="0.55000000000000004">
      <c r="A3188" s="61" t="s">
        <v>7276</v>
      </c>
      <c r="B3188" t="s">
        <v>838</v>
      </c>
      <c r="C3188">
        <v>8712</v>
      </c>
      <c r="D3188" t="s">
        <v>6359</v>
      </c>
      <c r="E3188" t="s">
        <v>6381</v>
      </c>
      <c r="F3188" t="s">
        <v>6361</v>
      </c>
      <c r="G3188" s="43">
        <v>0</v>
      </c>
      <c r="H3188" s="63">
        <v>0.9</v>
      </c>
    </row>
    <row r="3189" spans="1:8" x14ac:dyDescent="0.55000000000000004">
      <c r="A3189" s="61" t="s">
        <v>7276</v>
      </c>
      <c r="B3189" t="s">
        <v>838</v>
      </c>
      <c r="C3189">
        <v>8712</v>
      </c>
      <c r="D3189" t="s">
        <v>6363</v>
      </c>
      <c r="E3189" t="s">
        <v>6364</v>
      </c>
      <c r="F3189" t="s">
        <v>6361</v>
      </c>
      <c r="G3189" s="43">
        <v>0</v>
      </c>
      <c r="H3189" s="63">
        <v>0.1</v>
      </c>
    </row>
    <row r="3190" spans="1:8" x14ac:dyDescent="0.55000000000000004">
      <c r="A3190" s="61" t="s">
        <v>7276</v>
      </c>
      <c r="B3190" t="s">
        <v>838</v>
      </c>
      <c r="C3190">
        <v>8712</v>
      </c>
      <c r="D3190" t="s">
        <v>6362</v>
      </c>
      <c r="E3190" t="s">
        <v>6358</v>
      </c>
      <c r="F3190" t="s">
        <v>6358</v>
      </c>
      <c r="G3190" s="62">
        <v>5.4699999999999999E-2</v>
      </c>
      <c r="H3190" s="63">
        <v>1</v>
      </c>
    </row>
    <row r="3191" spans="1:8" x14ac:dyDescent="0.55000000000000004">
      <c r="A3191" s="61" t="s">
        <v>7276</v>
      </c>
      <c r="B3191" t="s">
        <v>838</v>
      </c>
      <c r="C3191">
        <v>8712</v>
      </c>
      <c r="D3191" t="s">
        <v>6365</v>
      </c>
      <c r="E3191" t="s">
        <v>6366</v>
      </c>
      <c r="F3191" t="s">
        <v>6361</v>
      </c>
      <c r="G3191" s="43">
        <v>0</v>
      </c>
      <c r="H3191" s="63">
        <v>-0.1</v>
      </c>
    </row>
    <row r="3192" spans="1:8" x14ac:dyDescent="0.55000000000000004">
      <c r="A3192" s="61" t="s">
        <v>7277</v>
      </c>
      <c r="B3192" t="s">
        <v>4520</v>
      </c>
      <c r="C3192">
        <v>8710</v>
      </c>
      <c r="D3192" t="s">
        <v>6359</v>
      </c>
      <c r="E3192" t="s">
        <v>6374</v>
      </c>
      <c r="F3192" t="s">
        <v>6361</v>
      </c>
      <c r="G3192" s="43">
        <v>0</v>
      </c>
      <c r="H3192" s="63">
        <v>0.9</v>
      </c>
    </row>
    <row r="3193" spans="1:8" x14ac:dyDescent="0.55000000000000004">
      <c r="A3193" s="61" t="s">
        <v>7277</v>
      </c>
      <c r="B3193" t="s">
        <v>4520</v>
      </c>
      <c r="C3193">
        <v>8710</v>
      </c>
      <c r="D3193" t="s">
        <v>6363</v>
      </c>
      <c r="E3193" t="s">
        <v>6364</v>
      </c>
      <c r="F3193" t="s">
        <v>6361</v>
      </c>
      <c r="G3193" s="43">
        <v>0</v>
      </c>
      <c r="H3193" s="63">
        <v>0.1</v>
      </c>
    </row>
    <row r="3194" spans="1:8" x14ac:dyDescent="0.55000000000000004">
      <c r="A3194" s="61" t="s">
        <v>7277</v>
      </c>
      <c r="B3194" t="s">
        <v>4520</v>
      </c>
      <c r="C3194">
        <v>8710</v>
      </c>
      <c r="D3194" t="s">
        <v>6362</v>
      </c>
      <c r="E3194" t="s">
        <v>6358</v>
      </c>
      <c r="F3194" t="s">
        <v>6358</v>
      </c>
      <c r="G3194" s="43">
        <v>7.0599999999999996E-2</v>
      </c>
      <c r="H3194" s="63">
        <v>1</v>
      </c>
    </row>
    <row r="3195" spans="1:8" x14ac:dyDescent="0.55000000000000004">
      <c r="A3195" s="61" t="s">
        <v>7277</v>
      </c>
      <c r="B3195" t="s">
        <v>4520</v>
      </c>
      <c r="C3195">
        <v>8710</v>
      </c>
      <c r="D3195" t="s">
        <v>6365</v>
      </c>
      <c r="E3195" t="s">
        <v>6366</v>
      </c>
      <c r="F3195" t="s">
        <v>6361</v>
      </c>
      <c r="G3195" s="43">
        <v>0</v>
      </c>
      <c r="H3195" s="63">
        <v>-0.1</v>
      </c>
    </row>
    <row r="3196" spans="1:8" x14ac:dyDescent="0.55000000000000004">
      <c r="A3196" s="61" t="s">
        <v>7278</v>
      </c>
      <c r="B3196" t="s">
        <v>4520</v>
      </c>
      <c r="C3196">
        <v>9310</v>
      </c>
      <c r="D3196" t="s">
        <v>6359</v>
      </c>
      <c r="E3196" t="s">
        <v>6375</v>
      </c>
      <c r="F3196" t="s">
        <v>6361</v>
      </c>
      <c r="G3196" s="43">
        <v>0</v>
      </c>
      <c r="H3196" s="63">
        <v>0.9</v>
      </c>
    </row>
    <row r="3197" spans="1:8" x14ac:dyDescent="0.55000000000000004">
      <c r="A3197" s="61" t="s">
        <v>7278</v>
      </c>
      <c r="B3197" t="s">
        <v>4520</v>
      </c>
      <c r="C3197">
        <v>9310</v>
      </c>
      <c r="D3197" t="s">
        <v>6363</v>
      </c>
      <c r="E3197" t="s">
        <v>6364</v>
      </c>
      <c r="F3197" t="s">
        <v>6361</v>
      </c>
      <c r="G3197" s="43">
        <v>0</v>
      </c>
      <c r="H3197" s="63">
        <v>0.1</v>
      </c>
    </row>
    <row r="3198" spans="1:8" x14ac:dyDescent="0.55000000000000004">
      <c r="A3198" s="61" t="s">
        <v>7278</v>
      </c>
      <c r="B3198" t="s">
        <v>4520</v>
      </c>
      <c r="C3198">
        <v>9310</v>
      </c>
      <c r="D3198" t="s">
        <v>6362</v>
      </c>
      <c r="E3198" t="s">
        <v>6358</v>
      </c>
      <c r="F3198" t="s">
        <v>6358</v>
      </c>
      <c r="G3198" s="43">
        <v>7.0599999999999996E-2</v>
      </c>
      <c r="H3198" s="63">
        <v>1</v>
      </c>
    </row>
    <row r="3199" spans="1:8" x14ac:dyDescent="0.55000000000000004">
      <c r="A3199" s="61" t="s">
        <v>7278</v>
      </c>
      <c r="B3199" t="s">
        <v>4520</v>
      </c>
      <c r="C3199">
        <v>9310</v>
      </c>
      <c r="D3199" t="s">
        <v>6365</v>
      </c>
      <c r="E3199" t="s">
        <v>6366</v>
      </c>
      <c r="F3199" t="s">
        <v>6361</v>
      </c>
      <c r="G3199" s="43">
        <v>0</v>
      </c>
      <c r="H3199" s="63">
        <v>-0.1</v>
      </c>
    </row>
    <row r="3200" spans="1:8" x14ac:dyDescent="0.55000000000000004">
      <c r="A3200" s="61" t="s">
        <v>7279</v>
      </c>
      <c r="B3200" t="s">
        <v>2118</v>
      </c>
      <c r="C3200">
        <v>8701</v>
      </c>
      <c r="D3200" t="s">
        <v>6359</v>
      </c>
      <c r="E3200" t="s">
        <v>6360</v>
      </c>
      <c r="F3200" t="s">
        <v>6361</v>
      </c>
      <c r="G3200" s="43">
        <v>0</v>
      </c>
      <c r="H3200" s="63">
        <v>1</v>
      </c>
    </row>
    <row r="3201" spans="1:8" x14ac:dyDescent="0.55000000000000004">
      <c r="A3201" s="61" t="s">
        <v>7279</v>
      </c>
      <c r="B3201" t="s">
        <v>2118</v>
      </c>
      <c r="C3201">
        <v>8701</v>
      </c>
      <c r="D3201" t="s">
        <v>6362</v>
      </c>
      <c r="E3201" t="s">
        <v>6358</v>
      </c>
      <c r="F3201" t="s">
        <v>6358</v>
      </c>
      <c r="G3201" s="43">
        <v>5.9400000000000001E-2</v>
      </c>
      <c r="H3201" s="63">
        <v>1</v>
      </c>
    </row>
    <row r="3202" spans="1:8" x14ac:dyDescent="0.55000000000000004">
      <c r="A3202" s="61" t="s">
        <v>7280</v>
      </c>
      <c r="B3202" t="s">
        <v>2118</v>
      </c>
      <c r="C3202">
        <v>8710</v>
      </c>
      <c r="D3202" t="s">
        <v>6359</v>
      </c>
      <c r="E3202" t="s">
        <v>6360</v>
      </c>
      <c r="F3202" t="s">
        <v>6361</v>
      </c>
      <c r="G3202" s="43">
        <v>0</v>
      </c>
      <c r="H3202" s="63">
        <v>0.9</v>
      </c>
    </row>
    <row r="3203" spans="1:8" x14ac:dyDescent="0.55000000000000004">
      <c r="A3203" s="61" t="s">
        <v>7280</v>
      </c>
      <c r="B3203" t="s">
        <v>2118</v>
      </c>
      <c r="C3203">
        <v>8710</v>
      </c>
      <c r="D3203" t="s">
        <v>6363</v>
      </c>
      <c r="E3203" t="s">
        <v>6364</v>
      </c>
      <c r="F3203" t="s">
        <v>6361</v>
      </c>
      <c r="G3203" s="43">
        <v>0</v>
      </c>
      <c r="H3203" s="63">
        <v>0.1</v>
      </c>
    </row>
    <row r="3204" spans="1:8" x14ac:dyDescent="0.55000000000000004">
      <c r="A3204" s="61" t="s">
        <v>7280</v>
      </c>
      <c r="B3204" t="s">
        <v>2118</v>
      </c>
      <c r="C3204">
        <v>8710</v>
      </c>
      <c r="D3204" t="s">
        <v>6362</v>
      </c>
      <c r="E3204" t="s">
        <v>6358</v>
      </c>
      <c r="F3204" t="s">
        <v>6358</v>
      </c>
      <c r="G3204" s="43">
        <v>6.5699999999999995E-2</v>
      </c>
      <c r="H3204" s="63">
        <v>1</v>
      </c>
    </row>
    <row r="3205" spans="1:8" x14ac:dyDescent="0.55000000000000004">
      <c r="A3205" s="61" t="s">
        <v>7280</v>
      </c>
      <c r="B3205" t="s">
        <v>2118</v>
      </c>
      <c r="C3205">
        <v>8710</v>
      </c>
      <c r="D3205" t="s">
        <v>6365</v>
      </c>
      <c r="E3205" t="s">
        <v>6366</v>
      </c>
      <c r="F3205" t="s">
        <v>6361</v>
      </c>
      <c r="G3205" s="43">
        <v>0</v>
      </c>
      <c r="H3205" s="63">
        <v>-0.1</v>
      </c>
    </row>
    <row r="3206" spans="1:8" x14ac:dyDescent="0.55000000000000004">
      <c r="A3206" s="61" t="s">
        <v>7281</v>
      </c>
      <c r="B3206" t="s">
        <v>2118</v>
      </c>
      <c r="C3206">
        <v>9101</v>
      </c>
      <c r="D3206" t="s">
        <v>6359</v>
      </c>
      <c r="E3206" t="s">
        <v>6367</v>
      </c>
      <c r="F3206" t="s">
        <v>6361</v>
      </c>
      <c r="G3206" s="43">
        <v>0</v>
      </c>
      <c r="H3206" s="63">
        <v>1</v>
      </c>
    </row>
    <row r="3207" spans="1:8" x14ac:dyDescent="0.55000000000000004">
      <c r="A3207" s="61" t="s">
        <v>7281</v>
      </c>
      <c r="B3207" t="s">
        <v>2118</v>
      </c>
      <c r="C3207">
        <v>9101</v>
      </c>
      <c r="D3207" t="s">
        <v>6362</v>
      </c>
      <c r="E3207" t="s">
        <v>6358</v>
      </c>
      <c r="F3207" t="s">
        <v>6358</v>
      </c>
      <c r="G3207" s="43">
        <v>5.9400000000000001E-2</v>
      </c>
      <c r="H3207" s="63">
        <v>1</v>
      </c>
    </row>
    <row r="3208" spans="1:8" x14ac:dyDescent="0.55000000000000004">
      <c r="A3208" s="61" t="s">
        <v>7282</v>
      </c>
      <c r="B3208" t="s">
        <v>2118</v>
      </c>
      <c r="C3208">
        <v>9110</v>
      </c>
      <c r="D3208" t="s">
        <v>6359</v>
      </c>
      <c r="E3208" t="s">
        <v>6367</v>
      </c>
      <c r="F3208" t="s">
        <v>6361</v>
      </c>
      <c r="G3208" s="43">
        <v>0</v>
      </c>
      <c r="H3208" s="63">
        <v>0.9</v>
      </c>
    </row>
    <row r="3209" spans="1:8" x14ac:dyDescent="0.55000000000000004">
      <c r="A3209" s="61" t="s">
        <v>7282</v>
      </c>
      <c r="B3209" t="s">
        <v>2118</v>
      </c>
      <c r="C3209">
        <v>9110</v>
      </c>
      <c r="D3209" t="s">
        <v>6363</v>
      </c>
      <c r="E3209" t="s">
        <v>6364</v>
      </c>
      <c r="F3209" t="s">
        <v>6361</v>
      </c>
      <c r="G3209" s="43">
        <v>0</v>
      </c>
      <c r="H3209" s="63">
        <v>0.1</v>
      </c>
    </row>
    <row r="3210" spans="1:8" x14ac:dyDescent="0.55000000000000004">
      <c r="A3210" s="61" t="s">
        <v>7282</v>
      </c>
      <c r="B3210" t="s">
        <v>2118</v>
      </c>
      <c r="C3210">
        <v>9110</v>
      </c>
      <c r="D3210" t="s">
        <v>6362</v>
      </c>
      <c r="E3210" t="s">
        <v>6358</v>
      </c>
      <c r="F3210" t="s">
        <v>6358</v>
      </c>
      <c r="G3210" s="43">
        <v>6.5699999999999995E-2</v>
      </c>
      <c r="H3210" s="63">
        <v>1</v>
      </c>
    </row>
    <row r="3211" spans="1:8" x14ac:dyDescent="0.55000000000000004">
      <c r="A3211" s="61" t="s">
        <v>7282</v>
      </c>
      <c r="B3211" t="s">
        <v>2118</v>
      </c>
      <c r="C3211">
        <v>9110</v>
      </c>
      <c r="D3211" t="s">
        <v>6365</v>
      </c>
      <c r="E3211" t="s">
        <v>6366</v>
      </c>
      <c r="F3211" t="s">
        <v>6361</v>
      </c>
      <c r="G3211" s="43">
        <v>0</v>
      </c>
      <c r="H3211" s="63">
        <v>-0.1</v>
      </c>
    </row>
    <row r="3212" spans="1:8" x14ac:dyDescent="0.55000000000000004">
      <c r="A3212" s="61" t="s">
        <v>7283</v>
      </c>
      <c r="B3212" t="s">
        <v>4700</v>
      </c>
      <c r="C3212">
        <v>8710</v>
      </c>
      <c r="D3212" t="s">
        <v>6359</v>
      </c>
      <c r="E3212" t="s">
        <v>6360</v>
      </c>
      <c r="F3212" t="s">
        <v>6361</v>
      </c>
      <c r="G3212" s="43">
        <v>0</v>
      </c>
      <c r="H3212" s="63">
        <v>0.9</v>
      </c>
    </row>
    <row r="3213" spans="1:8" x14ac:dyDescent="0.55000000000000004">
      <c r="A3213" s="61" t="s">
        <v>7283</v>
      </c>
      <c r="B3213" t="s">
        <v>4700</v>
      </c>
      <c r="C3213">
        <v>8710</v>
      </c>
      <c r="D3213" t="s">
        <v>6363</v>
      </c>
      <c r="E3213" t="s">
        <v>6364</v>
      </c>
      <c r="F3213" t="s">
        <v>6361</v>
      </c>
      <c r="G3213" s="43">
        <v>0</v>
      </c>
      <c r="H3213" s="63">
        <v>0.1</v>
      </c>
    </row>
    <row r="3214" spans="1:8" x14ac:dyDescent="0.55000000000000004">
      <c r="A3214" s="61" t="s">
        <v>7283</v>
      </c>
      <c r="B3214" t="s">
        <v>4700</v>
      </c>
      <c r="C3214">
        <v>8710</v>
      </c>
      <c r="D3214" t="s">
        <v>6362</v>
      </c>
      <c r="E3214" t="s">
        <v>6358</v>
      </c>
      <c r="F3214" t="s">
        <v>6358</v>
      </c>
      <c r="G3214" s="43">
        <v>8.5699999999999998E-2</v>
      </c>
      <c r="H3214" s="63">
        <v>1</v>
      </c>
    </row>
    <row r="3215" spans="1:8" x14ac:dyDescent="0.55000000000000004">
      <c r="A3215" s="61" t="s">
        <v>7283</v>
      </c>
      <c r="B3215" t="s">
        <v>4700</v>
      </c>
      <c r="C3215">
        <v>8710</v>
      </c>
      <c r="D3215" t="s">
        <v>6365</v>
      </c>
      <c r="E3215" t="s">
        <v>6366</v>
      </c>
      <c r="F3215" t="s">
        <v>6361</v>
      </c>
      <c r="G3215" s="43">
        <v>0</v>
      </c>
      <c r="H3215" s="63">
        <v>-0.1</v>
      </c>
    </row>
    <row r="3216" spans="1:8" x14ac:dyDescent="0.55000000000000004">
      <c r="A3216" s="61" t="s">
        <v>7284</v>
      </c>
      <c r="B3216" t="s">
        <v>2628</v>
      </c>
      <c r="C3216">
        <v>8707</v>
      </c>
      <c r="D3216" t="s">
        <v>6359</v>
      </c>
      <c r="E3216" t="s">
        <v>6368</v>
      </c>
      <c r="F3216" t="s">
        <v>6361</v>
      </c>
      <c r="G3216" s="43">
        <v>0</v>
      </c>
      <c r="H3216" s="63">
        <v>0.9</v>
      </c>
    </row>
    <row r="3217" spans="1:8" x14ac:dyDescent="0.55000000000000004">
      <c r="A3217" s="61" t="s">
        <v>7284</v>
      </c>
      <c r="B3217" t="s">
        <v>2628</v>
      </c>
      <c r="C3217">
        <v>8707</v>
      </c>
      <c r="D3217" t="s">
        <v>6363</v>
      </c>
      <c r="E3217" t="s">
        <v>6364</v>
      </c>
      <c r="F3217" t="s">
        <v>6361</v>
      </c>
      <c r="G3217" s="43">
        <v>0</v>
      </c>
      <c r="H3217" s="63">
        <v>0.1</v>
      </c>
    </row>
    <row r="3218" spans="1:8" x14ac:dyDescent="0.55000000000000004">
      <c r="A3218" s="61" t="s">
        <v>7284</v>
      </c>
      <c r="B3218" t="s">
        <v>2628</v>
      </c>
      <c r="C3218">
        <v>8707</v>
      </c>
      <c r="D3218" t="s">
        <v>6362</v>
      </c>
      <c r="E3218" t="s">
        <v>6358</v>
      </c>
      <c r="F3218" t="s">
        <v>6358</v>
      </c>
      <c r="G3218" s="43">
        <v>8.8300000000000003E-2</v>
      </c>
      <c r="H3218" s="63">
        <v>1</v>
      </c>
    </row>
    <row r="3219" spans="1:8" x14ac:dyDescent="0.55000000000000004">
      <c r="A3219" s="61" t="s">
        <v>7284</v>
      </c>
      <c r="B3219" t="s">
        <v>2628</v>
      </c>
      <c r="C3219">
        <v>8707</v>
      </c>
      <c r="D3219" t="s">
        <v>6365</v>
      </c>
      <c r="E3219" t="s">
        <v>6366</v>
      </c>
      <c r="F3219" t="s">
        <v>6361</v>
      </c>
      <c r="G3219" s="43">
        <v>0</v>
      </c>
      <c r="H3219" s="63">
        <v>-0.1</v>
      </c>
    </row>
    <row r="3220" spans="1:8" x14ac:dyDescent="0.55000000000000004">
      <c r="A3220" s="61" t="s">
        <v>7285</v>
      </c>
      <c r="B3220" t="s">
        <v>2628</v>
      </c>
      <c r="C3220">
        <v>9304</v>
      </c>
      <c r="D3220" t="s">
        <v>6359</v>
      </c>
      <c r="E3220" t="s">
        <v>6369</v>
      </c>
      <c r="F3220" t="s">
        <v>6361</v>
      </c>
      <c r="G3220" s="43">
        <v>0</v>
      </c>
      <c r="H3220" s="63">
        <v>0.9</v>
      </c>
    </row>
    <row r="3221" spans="1:8" x14ac:dyDescent="0.55000000000000004">
      <c r="A3221" s="61" t="s">
        <v>7285</v>
      </c>
      <c r="B3221" t="s">
        <v>2628</v>
      </c>
      <c r="C3221">
        <v>9304</v>
      </c>
      <c r="D3221" t="s">
        <v>6363</v>
      </c>
      <c r="E3221" t="s">
        <v>6364</v>
      </c>
      <c r="F3221" t="s">
        <v>6361</v>
      </c>
      <c r="G3221" s="43">
        <v>0</v>
      </c>
      <c r="H3221" s="63">
        <v>0.1</v>
      </c>
    </row>
    <row r="3222" spans="1:8" x14ac:dyDescent="0.55000000000000004">
      <c r="A3222" s="61" t="s">
        <v>7285</v>
      </c>
      <c r="B3222" t="s">
        <v>2628</v>
      </c>
      <c r="C3222">
        <v>9304</v>
      </c>
      <c r="D3222" t="s">
        <v>6362</v>
      </c>
      <c r="E3222" t="s">
        <v>6358</v>
      </c>
      <c r="F3222" t="s">
        <v>6358</v>
      </c>
      <c r="G3222" s="43">
        <v>8.8300000000000003E-2</v>
      </c>
      <c r="H3222" s="63">
        <v>1</v>
      </c>
    </row>
    <row r="3223" spans="1:8" x14ac:dyDescent="0.55000000000000004">
      <c r="A3223" s="61" t="s">
        <v>7285</v>
      </c>
      <c r="B3223" t="s">
        <v>2628</v>
      </c>
      <c r="C3223">
        <v>9304</v>
      </c>
      <c r="D3223" t="s">
        <v>6365</v>
      </c>
      <c r="E3223" t="s">
        <v>6366</v>
      </c>
      <c r="F3223" t="s">
        <v>6361</v>
      </c>
      <c r="G3223" s="43">
        <v>0</v>
      </c>
      <c r="H3223" s="63">
        <v>-0.1</v>
      </c>
    </row>
    <row r="3224" spans="1:8" x14ac:dyDescent="0.55000000000000004">
      <c r="A3224" s="61" t="s">
        <v>7286</v>
      </c>
      <c r="B3224" t="s">
        <v>1759</v>
      </c>
      <c r="C3224">
        <v>8710</v>
      </c>
      <c r="D3224" t="s">
        <v>6359</v>
      </c>
      <c r="E3224" t="s">
        <v>6360</v>
      </c>
      <c r="F3224" t="s">
        <v>6361</v>
      </c>
      <c r="G3224" s="43">
        <v>0</v>
      </c>
      <c r="H3224" s="63">
        <v>0.9</v>
      </c>
    </row>
    <row r="3225" spans="1:8" x14ac:dyDescent="0.55000000000000004">
      <c r="A3225" s="61" t="s">
        <v>7286</v>
      </c>
      <c r="B3225" t="s">
        <v>1759</v>
      </c>
      <c r="C3225">
        <v>8710</v>
      </c>
      <c r="D3225" t="s">
        <v>6363</v>
      </c>
      <c r="E3225" t="s">
        <v>6364</v>
      </c>
      <c r="F3225" t="s">
        <v>6361</v>
      </c>
      <c r="G3225" s="43">
        <v>0</v>
      </c>
      <c r="H3225" s="63">
        <v>0.1</v>
      </c>
    </row>
    <row r="3226" spans="1:8" x14ac:dyDescent="0.55000000000000004">
      <c r="A3226" s="61" t="s">
        <v>7286</v>
      </c>
      <c r="B3226" t="s">
        <v>1759</v>
      </c>
      <c r="C3226">
        <v>8710</v>
      </c>
      <c r="D3226" t="s">
        <v>6362</v>
      </c>
      <c r="E3226" t="s">
        <v>6358</v>
      </c>
      <c r="F3226" t="s">
        <v>6358</v>
      </c>
      <c r="G3226" s="43">
        <v>7.5600000000000001E-2</v>
      </c>
      <c r="H3226" s="63">
        <v>1</v>
      </c>
    </row>
    <row r="3227" spans="1:8" x14ac:dyDescent="0.55000000000000004">
      <c r="A3227" s="61" t="s">
        <v>7286</v>
      </c>
      <c r="B3227" t="s">
        <v>1759</v>
      </c>
      <c r="C3227">
        <v>8710</v>
      </c>
      <c r="D3227" t="s">
        <v>6365</v>
      </c>
      <c r="E3227" t="s">
        <v>6366</v>
      </c>
      <c r="F3227" t="s">
        <v>6361</v>
      </c>
      <c r="G3227" s="43">
        <v>0</v>
      </c>
      <c r="H3227" s="63">
        <v>-0.1</v>
      </c>
    </row>
    <row r="3228" spans="1:8" x14ac:dyDescent="0.55000000000000004">
      <c r="A3228" s="61" t="s">
        <v>7287</v>
      </c>
      <c r="B3228" t="s">
        <v>1759</v>
      </c>
      <c r="C3228">
        <v>8711</v>
      </c>
      <c r="D3228" t="s">
        <v>6359</v>
      </c>
      <c r="E3228" t="s">
        <v>6360</v>
      </c>
      <c r="F3228" t="s">
        <v>6361</v>
      </c>
      <c r="G3228" s="43">
        <v>0</v>
      </c>
      <c r="H3228" s="63">
        <v>0.9</v>
      </c>
    </row>
    <row r="3229" spans="1:8" x14ac:dyDescent="0.55000000000000004">
      <c r="A3229" s="61" t="s">
        <v>7287</v>
      </c>
      <c r="B3229" t="s">
        <v>1759</v>
      </c>
      <c r="C3229">
        <v>8711</v>
      </c>
      <c r="D3229" t="s">
        <v>6363</v>
      </c>
      <c r="E3229" t="s">
        <v>6364</v>
      </c>
      <c r="F3229" t="s">
        <v>6361</v>
      </c>
      <c r="G3229" s="43">
        <v>0</v>
      </c>
      <c r="H3229" s="63">
        <v>0.1</v>
      </c>
    </row>
    <row r="3230" spans="1:8" x14ac:dyDescent="0.55000000000000004">
      <c r="A3230" s="61" t="s">
        <v>7287</v>
      </c>
      <c r="B3230" t="s">
        <v>1759</v>
      </c>
      <c r="C3230">
        <v>8711</v>
      </c>
      <c r="D3230" t="s">
        <v>6362</v>
      </c>
      <c r="E3230" t="s">
        <v>6358</v>
      </c>
      <c r="F3230" t="s">
        <v>6358</v>
      </c>
      <c r="G3230" s="43">
        <v>7.5600000000000001E-2</v>
      </c>
      <c r="H3230" s="63">
        <v>1</v>
      </c>
    </row>
    <row r="3231" spans="1:8" x14ac:dyDescent="0.55000000000000004">
      <c r="A3231" s="61" t="s">
        <v>7287</v>
      </c>
      <c r="B3231" t="s">
        <v>1759</v>
      </c>
      <c r="C3231">
        <v>8711</v>
      </c>
      <c r="D3231" t="s">
        <v>6365</v>
      </c>
      <c r="E3231" t="s">
        <v>6366</v>
      </c>
      <c r="F3231" t="s">
        <v>6361</v>
      </c>
      <c r="G3231" s="43">
        <v>0</v>
      </c>
      <c r="H3231" s="63">
        <v>-0.1</v>
      </c>
    </row>
    <row r="3232" spans="1:8" x14ac:dyDescent="0.55000000000000004">
      <c r="A3232" s="61" t="s">
        <v>7288</v>
      </c>
      <c r="B3232" t="s">
        <v>1759</v>
      </c>
      <c r="C3232">
        <v>8713</v>
      </c>
      <c r="D3232" t="s">
        <v>6359</v>
      </c>
      <c r="E3232" t="s">
        <v>6360</v>
      </c>
      <c r="F3232" t="s">
        <v>6361</v>
      </c>
      <c r="G3232" s="43">
        <v>0</v>
      </c>
      <c r="H3232" s="63">
        <v>0.9</v>
      </c>
    </row>
    <row r="3233" spans="1:8" x14ac:dyDescent="0.55000000000000004">
      <c r="A3233" s="61" t="s">
        <v>7288</v>
      </c>
      <c r="B3233" t="s">
        <v>1759</v>
      </c>
      <c r="C3233">
        <v>8713</v>
      </c>
      <c r="D3233" t="s">
        <v>6363</v>
      </c>
      <c r="E3233" t="s">
        <v>6364</v>
      </c>
      <c r="F3233" t="s">
        <v>6361</v>
      </c>
      <c r="G3233" s="43">
        <v>0</v>
      </c>
      <c r="H3233" s="63">
        <v>0.1</v>
      </c>
    </row>
    <row r="3234" spans="1:8" x14ac:dyDescent="0.55000000000000004">
      <c r="A3234" s="61" t="s">
        <v>7288</v>
      </c>
      <c r="B3234" t="s">
        <v>1759</v>
      </c>
      <c r="C3234">
        <v>8713</v>
      </c>
      <c r="D3234" t="s">
        <v>6362</v>
      </c>
      <c r="E3234" t="s">
        <v>6358</v>
      </c>
      <c r="F3234" t="s">
        <v>6358</v>
      </c>
      <c r="G3234" s="43">
        <v>7.5600000000000001E-2</v>
      </c>
      <c r="H3234" s="63">
        <v>1</v>
      </c>
    </row>
    <row r="3235" spans="1:8" x14ac:dyDescent="0.55000000000000004">
      <c r="A3235" s="61" t="s">
        <v>7288</v>
      </c>
      <c r="B3235" t="s">
        <v>1759</v>
      </c>
      <c r="C3235">
        <v>8713</v>
      </c>
      <c r="D3235" t="s">
        <v>6365</v>
      </c>
      <c r="E3235" t="s">
        <v>6366</v>
      </c>
      <c r="F3235" t="s">
        <v>6361</v>
      </c>
      <c r="G3235" s="43">
        <v>0</v>
      </c>
      <c r="H3235" s="63">
        <v>-0.1</v>
      </c>
    </row>
    <row r="3236" spans="1:8" x14ac:dyDescent="0.55000000000000004">
      <c r="A3236" s="61" t="s">
        <v>7289</v>
      </c>
      <c r="B3236" t="s">
        <v>1759</v>
      </c>
      <c r="C3236">
        <v>9110</v>
      </c>
      <c r="D3236" t="s">
        <v>6359</v>
      </c>
      <c r="E3236" t="s">
        <v>6367</v>
      </c>
      <c r="F3236" t="s">
        <v>6361</v>
      </c>
      <c r="G3236" s="43">
        <v>0</v>
      </c>
      <c r="H3236" s="63">
        <v>0.9</v>
      </c>
    </row>
    <row r="3237" spans="1:8" x14ac:dyDescent="0.55000000000000004">
      <c r="A3237" s="61" t="s">
        <v>7289</v>
      </c>
      <c r="B3237" t="s">
        <v>1759</v>
      </c>
      <c r="C3237">
        <v>9110</v>
      </c>
      <c r="D3237" t="s">
        <v>6363</v>
      </c>
      <c r="E3237" t="s">
        <v>6364</v>
      </c>
      <c r="F3237" t="s">
        <v>6361</v>
      </c>
      <c r="G3237" s="43">
        <v>0</v>
      </c>
      <c r="H3237" s="63">
        <v>0.1</v>
      </c>
    </row>
    <row r="3238" spans="1:8" x14ac:dyDescent="0.55000000000000004">
      <c r="A3238" s="61" t="s">
        <v>7289</v>
      </c>
      <c r="B3238" t="s">
        <v>1759</v>
      </c>
      <c r="C3238">
        <v>9110</v>
      </c>
      <c r="D3238" t="s">
        <v>6362</v>
      </c>
      <c r="E3238" t="s">
        <v>6358</v>
      </c>
      <c r="F3238" t="s">
        <v>6358</v>
      </c>
      <c r="G3238" s="43">
        <v>7.5600000000000001E-2</v>
      </c>
      <c r="H3238" s="63">
        <v>1</v>
      </c>
    </row>
    <row r="3239" spans="1:8" x14ac:dyDescent="0.55000000000000004">
      <c r="A3239" s="61" t="s">
        <v>7289</v>
      </c>
      <c r="B3239" t="s">
        <v>1759</v>
      </c>
      <c r="C3239">
        <v>9110</v>
      </c>
      <c r="D3239" t="s">
        <v>6365</v>
      </c>
      <c r="E3239" t="s">
        <v>6366</v>
      </c>
      <c r="F3239" t="s">
        <v>6361</v>
      </c>
      <c r="G3239" s="43">
        <v>0</v>
      </c>
      <c r="H3239" s="63">
        <v>-0.1</v>
      </c>
    </row>
    <row r="3240" spans="1:8" x14ac:dyDescent="0.55000000000000004">
      <c r="A3240" s="61" t="s">
        <v>7290</v>
      </c>
      <c r="B3240" t="s">
        <v>1759</v>
      </c>
      <c r="C3240">
        <v>9206</v>
      </c>
      <c r="D3240" t="s">
        <v>6359</v>
      </c>
      <c r="E3240" t="s">
        <v>6367</v>
      </c>
      <c r="F3240" t="s">
        <v>6361</v>
      </c>
      <c r="G3240" s="43">
        <v>0</v>
      </c>
      <c r="H3240" s="63">
        <v>0.9</v>
      </c>
    </row>
    <row r="3241" spans="1:8" x14ac:dyDescent="0.55000000000000004">
      <c r="A3241" s="61" t="s">
        <v>7290</v>
      </c>
      <c r="B3241" t="s">
        <v>1759</v>
      </c>
      <c r="C3241">
        <v>9206</v>
      </c>
      <c r="D3241" t="s">
        <v>6363</v>
      </c>
      <c r="E3241" t="s">
        <v>6364</v>
      </c>
      <c r="F3241" t="s">
        <v>6361</v>
      </c>
      <c r="G3241" s="43">
        <v>0</v>
      </c>
      <c r="H3241" s="63">
        <v>0.1</v>
      </c>
    </row>
    <row r="3242" spans="1:8" x14ac:dyDescent="0.55000000000000004">
      <c r="A3242" s="61" t="s">
        <v>7290</v>
      </c>
      <c r="B3242" t="s">
        <v>1759</v>
      </c>
      <c r="C3242">
        <v>9206</v>
      </c>
      <c r="D3242" t="s">
        <v>6362</v>
      </c>
      <c r="E3242" t="s">
        <v>6358</v>
      </c>
      <c r="F3242" t="s">
        <v>6358</v>
      </c>
      <c r="G3242" s="43">
        <v>7.5600000000000001E-2</v>
      </c>
      <c r="H3242" s="63">
        <v>1</v>
      </c>
    </row>
    <row r="3243" spans="1:8" x14ac:dyDescent="0.55000000000000004">
      <c r="A3243" s="61" t="s">
        <v>7290</v>
      </c>
      <c r="B3243" t="s">
        <v>1759</v>
      </c>
      <c r="C3243">
        <v>9206</v>
      </c>
      <c r="D3243" t="s">
        <v>6365</v>
      </c>
      <c r="E3243" t="s">
        <v>6366</v>
      </c>
      <c r="F3243" t="s">
        <v>6361</v>
      </c>
      <c r="G3243" s="43">
        <v>0</v>
      </c>
      <c r="H3243" s="63">
        <v>-0.1</v>
      </c>
    </row>
    <row r="3244" spans="1:8" x14ac:dyDescent="0.55000000000000004">
      <c r="A3244" s="61" t="s">
        <v>7291</v>
      </c>
      <c r="B3244" t="s">
        <v>1759</v>
      </c>
      <c r="C3244">
        <v>9307</v>
      </c>
      <c r="D3244" t="s">
        <v>6359</v>
      </c>
      <c r="E3244" t="s">
        <v>6367</v>
      </c>
      <c r="F3244" t="s">
        <v>6361</v>
      </c>
      <c r="G3244" s="43">
        <v>0</v>
      </c>
      <c r="H3244" s="63">
        <v>0.9</v>
      </c>
    </row>
    <row r="3245" spans="1:8" x14ac:dyDescent="0.55000000000000004">
      <c r="A3245" s="61" t="s">
        <v>7291</v>
      </c>
      <c r="B3245" t="s">
        <v>1759</v>
      </c>
      <c r="C3245">
        <v>9307</v>
      </c>
      <c r="D3245" t="s">
        <v>6363</v>
      </c>
      <c r="E3245" t="s">
        <v>6364</v>
      </c>
      <c r="F3245" t="s">
        <v>6361</v>
      </c>
      <c r="G3245" s="43">
        <v>0</v>
      </c>
      <c r="H3245" s="63">
        <v>0.1</v>
      </c>
    </row>
    <row r="3246" spans="1:8" x14ac:dyDescent="0.55000000000000004">
      <c r="A3246" s="61" t="s">
        <v>7291</v>
      </c>
      <c r="B3246" t="s">
        <v>1759</v>
      </c>
      <c r="C3246">
        <v>9307</v>
      </c>
      <c r="D3246" t="s">
        <v>6362</v>
      </c>
      <c r="E3246" t="s">
        <v>6358</v>
      </c>
      <c r="F3246" t="s">
        <v>6358</v>
      </c>
      <c r="G3246" s="43">
        <v>7.5600000000000001E-2</v>
      </c>
      <c r="H3246" s="63">
        <v>1</v>
      </c>
    </row>
    <row r="3247" spans="1:8" x14ac:dyDescent="0.55000000000000004">
      <c r="A3247" s="61" t="s">
        <v>7291</v>
      </c>
      <c r="B3247" t="s">
        <v>1759</v>
      </c>
      <c r="C3247">
        <v>9307</v>
      </c>
      <c r="D3247" t="s">
        <v>6365</v>
      </c>
      <c r="E3247" t="s">
        <v>6366</v>
      </c>
      <c r="F3247" t="s">
        <v>6361</v>
      </c>
      <c r="G3247" s="43">
        <v>0</v>
      </c>
      <c r="H3247" s="63">
        <v>-0.1</v>
      </c>
    </row>
    <row r="3248" spans="1:8" x14ac:dyDescent="0.55000000000000004">
      <c r="A3248" s="61" t="s">
        <v>7292</v>
      </c>
      <c r="B3248" t="s">
        <v>1759</v>
      </c>
      <c r="C3248">
        <v>9309</v>
      </c>
      <c r="D3248" t="s">
        <v>6359</v>
      </c>
      <c r="E3248" t="s">
        <v>6367</v>
      </c>
      <c r="F3248" t="s">
        <v>6361</v>
      </c>
      <c r="G3248" s="43">
        <v>0</v>
      </c>
      <c r="H3248" s="63">
        <v>0.9</v>
      </c>
    </row>
    <row r="3249" spans="1:8" x14ac:dyDescent="0.55000000000000004">
      <c r="A3249" s="61" t="s">
        <v>7292</v>
      </c>
      <c r="B3249" t="s">
        <v>1759</v>
      </c>
      <c r="C3249">
        <v>9309</v>
      </c>
      <c r="D3249" t="s">
        <v>6363</v>
      </c>
      <c r="E3249" t="s">
        <v>6364</v>
      </c>
      <c r="F3249" t="s">
        <v>6361</v>
      </c>
      <c r="G3249" s="43">
        <v>0</v>
      </c>
      <c r="H3249" s="63">
        <v>0.1</v>
      </c>
    </row>
    <row r="3250" spans="1:8" x14ac:dyDescent="0.55000000000000004">
      <c r="A3250" s="61" t="s">
        <v>7292</v>
      </c>
      <c r="B3250" t="s">
        <v>1759</v>
      </c>
      <c r="C3250">
        <v>9309</v>
      </c>
      <c r="D3250" t="s">
        <v>6362</v>
      </c>
      <c r="E3250" t="s">
        <v>6358</v>
      </c>
      <c r="F3250" t="s">
        <v>6358</v>
      </c>
      <c r="G3250" s="43">
        <v>7.5600000000000001E-2</v>
      </c>
      <c r="H3250" s="63">
        <v>1</v>
      </c>
    </row>
    <row r="3251" spans="1:8" x14ac:dyDescent="0.55000000000000004">
      <c r="A3251" s="61" t="s">
        <v>7292</v>
      </c>
      <c r="B3251" t="s">
        <v>1759</v>
      </c>
      <c r="C3251">
        <v>9309</v>
      </c>
      <c r="D3251" t="s">
        <v>6365</v>
      </c>
      <c r="E3251" t="s">
        <v>6366</v>
      </c>
      <c r="F3251" t="s">
        <v>6361</v>
      </c>
      <c r="G3251" s="43">
        <v>0</v>
      </c>
      <c r="H3251" s="63">
        <v>-0.1</v>
      </c>
    </row>
    <row r="3252" spans="1:8" x14ac:dyDescent="0.55000000000000004">
      <c r="A3252" s="61" t="s">
        <v>7293</v>
      </c>
      <c r="B3252" t="s">
        <v>1759</v>
      </c>
      <c r="C3252">
        <v>9310</v>
      </c>
      <c r="D3252" t="s">
        <v>6359</v>
      </c>
      <c r="E3252" t="s">
        <v>6367</v>
      </c>
      <c r="F3252" t="s">
        <v>6361</v>
      </c>
      <c r="G3252" s="43">
        <v>0</v>
      </c>
      <c r="H3252" s="63">
        <v>0.9</v>
      </c>
    </row>
    <row r="3253" spans="1:8" x14ac:dyDescent="0.55000000000000004">
      <c r="A3253" s="61" t="s">
        <v>7293</v>
      </c>
      <c r="B3253" t="s">
        <v>1759</v>
      </c>
      <c r="C3253">
        <v>9310</v>
      </c>
      <c r="D3253" t="s">
        <v>6363</v>
      </c>
      <c r="E3253" t="s">
        <v>6364</v>
      </c>
      <c r="F3253" t="s">
        <v>6361</v>
      </c>
      <c r="G3253" s="43">
        <v>0</v>
      </c>
      <c r="H3253" s="63">
        <v>0.1</v>
      </c>
    </row>
    <row r="3254" spans="1:8" x14ac:dyDescent="0.55000000000000004">
      <c r="A3254" s="61" t="s">
        <v>7293</v>
      </c>
      <c r="B3254" t="s">
        <v>1759</v>
      </c>
      <c r="C3254">
        <v>9310</v>
      </c>
      <c r="D3254" t="s">
        <v>6362</v>
      </c>
      <c r="E3254" t="s">
        <v>6358</v>
      </c>
      <c r="F3254" t="s">
        <v>6358</v>
      </c>
      <c r="G3254" s="43">
        <v>7.5600000000000001E-2</v>
      </c>
      <c r="H3254" s="63">
        <v>1</v>
      </c>
    </row>
    <row r="3255" spans="1:8" x14ac:dyDescent="0.55000000000000004">
      <c r="A3255" s="61" t="s">
        <v>7293</v>
      </c>
      <c r="B3255" t="s">
        <v>1759</v>
      </c>
      <c r="C3255">
        <v>9310</v>
      </c>
      <c r="D3255" t="s">
        <v>6365</v>
      </c>
      <c r="E3255" t="s">
        <v>6366</v>
      </c>
      <c r="F3255" t="s">
        <v>6361</v>
      </c>
      <c r="G3255" s="43">
        <v>0</v>
      </c>
      <c r="H3255" s="63">
        <v>-0.1</v>
      </c>
    </row>
    <row r="3256" spans="1:8" x14ac:dyDescent="0.55000000000000004">
      <c r="A3256" s="61" t="s">
        <v>7294</v>
      </c>
      <c r="B3256" t="s">
        <v>2818</v>
      </c>
      <c r="C3256">
        <v>8710</v>
      </c>
      <c r="D3256" t="s">
        <v>6359</v>
      </c>
      <c r="E3256" t="s">
        <v>6360</v>
      </c>
      <c r="F3256" t="s">
        <v>6361</v>
      </c>
      <c r="G3256" s="43">
        <v>0</v>
      </c>
      <c r="H3256" s="63">
        <v>0.9</v>
      </c>
    </row>
    <row r="3257" spans="1:8" x14ac:dyDescent="0.55000000000000004">
      <c r="A3257" s="61" t="s">
        <v>7294</v>
      </c>
      <c r="B3257" t="s">
        <v>2818</v>
      </c>
      <c r="C3257">
        <v>8710</v>
      </c>
      <c r="D3257" t="s">
        <v>6363</v>
      </c>
      <c r="E3257" t="s">
        <v>6364</v>
      </c>
      <c r="F3257" t="s">
        <v>6361</v>
      </c>
      <c r="G3257" s="43">
        <v>0</v>
      </c>
      <c r="H3257" s="63">
        <v>0.1</v>
      </c>
    </row>
    <row r="3258" spans="1:8" x14ac:dyDescent="0.55000000000000004">
      <c r="A3258" s="61" t="s">
        <v>7294</v>
      </c>
      <c r="B3258" t="s">
        <v>2818</v>
      </c>
      <c r="C3258">
        <v>8710</v>
      </c>
      <c r="D3258" t="s">
        <v>6362</v>
      </c>
      <c r="E3258" t="s">
        <v>6358</v>
      </c>
      <c r="F3258" t="s">
        <v>6358</v>
      </c>
      <c r="G3258" s="43">
        <v>7.2099999999999997E-2</v>
      </c>
      <c r="H3258" s="63">
        <v>1</v>
      </c>
    </row>
    <row r="3259" spans="1:8" x14ac:dyDescent="0.55000000000000004">
      <c r="A3259" s="61" t="s">
        <v>7294</v>
      </c>
      <c r="B3259" t="s">
        <v>2818</v>
      </c>
      <c r="C3259">
        <v>8710</v>
      </c>
      <c r="D3259" t="s">
        <v>6365</v>
      </c>
      <c r="E3259" t="s">
        <v>6366</v>
      </c>
      <c r="F3259" t="s">
        <v>6361</v>
      </c>
      <c r="G3259" s="43">
        <v>0</v>
      </c>
      <c r="H3259" s="63">
        <v>-0.1</v>
      </c>
    </row>
    <row r="3260" spans="1:8" x14ac:dyDescent="0.55000000000000004">
      <c r="A3260" s="61" t="s">
        <v>7295</v>
      </c>
      <c r="B3260" t="s">
        <v>2818</v>
      </c>
      <c r="C3260">
        <v>9101</v>
      </c>
      <c r="D3260" t="s">
        <v>6359</v>
      </c>
      <c r="E3260" t="s">
        <v>6367</v>
      </c>
      <c r="F3260" t="s">
        <v>6361</v>
      </c>
      <c r="G3260" s="43">
        <v>0</v>
      </c>
      <c r="H3260" s="63">
        <v>1</v>
      </c>
    </row>
    <row r="3261" spans="1:8" x14ac:dyDescent="0.55000000000000004">
      <c r="A3261" s="61" t="s">
        <v>7295</v>
      </c>
      <c r="B3261" t="s">
        <v>2818</v>
      </c>
      <c r="C3261">
        <v>9101</v>
      </c>
      <c r="D3261" t="s">
        <v>6362</v>
      </c>
      <c r="E3261" t="s">
        <v>6358</v>
      </c>
      <c r="F3261" t="s">
        <v>6358</v>
      </c>
      <c r="G3261" s="43">
        <v>6.6199999999999995E-2</v>
      </c>
      <c r="H3261" s="63">
        <v>1</v>
      </c>
    </row>
    <row r="3262" spans="1:8" x14ac:dyDescent="0.55000000000000004">
      <c r="A3262" s="61" t="s">
        <v>7296</v>
      </c>
      <c r="B3262" t="s">
        <v>2818</v>
      </c>
      <c r="C3262">
        <v>9110</v>
      </c>
      <c r="D3262" t="s">
        <v>6359</v>
      </c>
      <c r="E3262" t="s">
        <v>6367</v>
      </c>
      <c r="F3262" t="s">
        <v>6361</v>
      </c>
      <c r="G3262" s="43">
        <v>0</v>
      </c>
      <c r="H3262" s="63">
        <v>0.9</v>
      </c>
    </row>
    <row r="3263" spans="1:8" x14ac:dyDescent="0.55000000000000004">
      <c r="A3263" s="61" t="s">
        <v>7296</v>
      </c>
      <c r="B3263" t="s">
        <v>2818</v>
      </c>
      <c r="C3263">
        <v>9110</v>
      </c>
      <c r="D3263" t="s">
        <v>6363</v>
      </c>
      <c r="E3263" t="s">
        <v>6364</v>
      </c>
      <c r="F3263" t="s">
        <v>6361</v>
      </c>
      <c r="G3263" s="43">
        <v>0</v>
      </c>
      <c r="H3263" s="63">
        <v>0.1</v>
      </c>
    </row>
    <row r="3264" spans="1:8" x14ac:dyDescent="0.55000000000000004">
      <c r="A3264" s="61" t="s">
        <v>7296</v>
      </c>
      <c r="B3264" t="s">
        <v>2818</v>
      </c>
      <c r="C3264">
        <v>9110</v>
      </c>
      <c r="D3264" t="s">
        <v>6362</v>
      </c>
      <c r="E3264" t="s">
        <v>6358</v>
      </c>
      <c r="F3264" t="s">
        <v>6358</v>
      </c>
      <c r="G3264" s="43">
        <v>7.2099999999999997E-2</v>
      </c>
      <c r="H3264" s="63">
        <v>1</v>
      </c>
    </row>
    <row r="3265" spans="1:8" x14ac:dyDescent="0.55000000000000004">
      <c r="A3265" s="61" t="s">
        <v>7296</v>
      </c>
      <c r="B3265" t="s">
        <v>2818</v>
      </c>
      <c r="C3265">
        <v>9110</v>
      </c>
      <c r="D3265" t="s">
        <v>6365</v>
      </c>
      <c r="E3265" t="s">
        <v>6366</v>
      </c>
      <c r="F3265" t="s">
        <v>6361</v>
      </c>
      <c r="G3265" s="43">
        <v>0</v>
      </c>
      <c r="H3265" s="63">
        <v>-0.1</v>
      </c>
    </row>
    <row r="3266" spans="1:8" x14ac:dyDescent="0.55000000000000004">
      <c r="A3266" s="61" t="s">
        <v>7297</v>
      </c>
      <c r="B3266" t="s">
        <v>2818</v>
      </c>
      <c r="C3266">
        <v>9204</v>
      </c>
      <c r="D3266" t="s">
        <v>6359</v>
      </c>
      <c r="E3266" t="s">
        <v>6367</v>
      </c>
      <c r="F3266" t="s">
        <v>6361</v>
      </c>
      <c r="G3266" s="43">
        <v>0</v>
      </c>
      <c r="H3266" s="63">
        <v>0.9</v>
      </c>
    </row>
    <row r="3267" spans="1:8" x14ac:dyDescent="0.55000000000000004">
      <c r="A3267" s="61" t="s">
        <v>7297</v>
      </c>
      <c r="B3267" t="s">
        <v>2818</v>
      </c>
      <c r="C3267">
        <v>9204</v>
      </c>
      <c r="D3267" t="s">
        <v>6363</v>
      </c>
      <c r="E3267" t="s">
        <v>6364</v>
      </c>
      <c r="F3267" t="s">
        <v>6361</v>
      </c>
      <c r="G3267" s="43">
        <v>0</v>
      </c>
      <c r="H3267" s="63">
        <v>0.1</v>
      </c>
    </row>
    <row r="3268" spans="1:8" x14ac:dyDescent="0.55000000000000004">
      <c r="A3268" s="61" t="s">
        <v>7297</v>
      </c>
      <c r="B3268" t="s">
        <v>2818</v>
      </c>
      <c r="C3268">
        <v>9204</v>
      </c>
      <c r="D3268" t="s">
        <v>6362</v>
      </c>
      <c r="E3268" t="s">
        <v>6358</v>
      </c>
      <c r="F3268" t="s">
        <v>6358</v>
      </c>
      <c r="G3268" s="43">
        <v>7.2099999999999997E-2</v>
      </c>
      <c r="H3268" s="63">
        <v>1</v>
      </c>
    </row>
    <row r="3269" spans="1:8" x14ac:dyDescent="0.55000000000000004">
      <c r="A3269" s="61" t="s">
        <v>7297</v>
      </c>
      <c r="B3269" t="s">
        <v>2818</v>
      </c>
      <c r="C3269">
        <v>9204</v>
      </c>
      <c r="D3269" t="s">
        <v>6365</v>
      </c>
      <c r="E3269" t="s">
        <v>6366</v>
      </c>
      <c r="F3269" t="s">
        <v>6361</v>
      </c>
      <c r="G3269" s="43">
        <v>0</v>
      </c>
      <c r="H3269" s="63">
        <v>-0.1</v>
      </c>
    </row>
    <row r="3270" spans="1:8" x14ac:dyDescent="0.55000000000000004">
      <c r="A3270" s="61" t="s">
        <v>7298</v>
      </c>
      <c r="B3270" t="s">
        <v>2818</v>
      </c>
      <c r="C3270">
        <v>9310</v>
      </c>
      <c r="D3270" t="s">
        <v>6359</v>
      </c>
      <c r="E3270" t="s">
        <v>6367</v>
      </c>
      <c r="F3270" t="s">
        <v>6361</v>
      </c>
      <c r="G3270" s="43">
        <v>0</v>
      </c>
      <c r="H3270" s="63">
        <v>0.9</v>
      </c>
    </row>
    <row r="3271" spans="1:8" x14ac:dyDescent="0.55000000000000004">
      <c r="A3271" s="61" t="s">
        <v>7298</v>
      </c>
      <c r="B3271" t="s">
        <v>2818</v>
      </c>
      <c r="C3271">
        <v>9310</v>
      </c>
      <c r="D3271" t="s">
        <v>6363</v>
      </c>
      <c r="E3271" t="s">
        <v>6364</v>
      </c>
      <c r="F3271" t="s">
        <v>6361</v>
      </c>
      <c r="G3271" s="43">
        <v>0</v>
      </c>
      <c r="H3271" s="63">
        <v>0.1</v>
      </c>
    </row>
    <row r="3272" spans="1:8" x14ac:dyDescent="0.55000000000000004">
      <c r="A3272" s="61" t="s">
        <v>7298</v>
      </c>
      <c r="B3272" t="s">
        <v>2818</v>
      </c>
      <c r="C3272">
        <v>9310</v>
      </c>
      <c r="D3272" t="s">
        <v>6362</v>
      </c>
      <c r="E3272" t="s">
        <v>6358</v>
      </c>
      <c r="F3272" t="s">
        <v>6358</v>
      </c>
      <c r="G3272" s="43">
        <v>7.2099999999999997E-2</v>
      </c>
      <c r="H3272" s="63">
        <v>1</v>
      </c>
    </row>
    <row r="3273" spans="1:8" x14ac:dyDescent="0.55000000000000004">
      <c r="A3273" s="61" t="s">
        <v>7298</v>
      </c>
      <c r="B3273" t="s">
        <v>2818</v>
      </c>
      <c r="C3273">
        <v>9310</v>
      </c>
      <c r="D3273" t="s">
        <v>6365</v>
      </c>
      <c r="E3273" t="s">
        <v>6366</v>
      </c>
      <c r="F3273" t="s">
        <v>6361</v>
      </c>
      <c r="G3273" s="43">
        <v>0</v>
      </c>
      <c r="H3273" s="63">
        <v>-0.1</v>
      </c>
    </row>
    <row r="3274" spans="1:8" x14ac:dyDescent="0.55000000000000004">
      <c r="A3274" s="61" t="s">
        <v>7299</v>
      </c>
      <c r="B3274" t="s">
        <v>4711</v>
      </c>
      <c r="C3274">
        <v>8701</v>
      </c>
      <c r="D3274" t="s">
        <v>6359</v>
      </c>
      <c r="E3274" t="s">
        <v>6360</v>
      </c>
      <c r="F3274" t="s">
        <v>6361</v>
      </c>
      <c r="G3274" s="43">
        <v>0</v>
      </c>
      <c r="H3274" s="63">
        <v>1</v>
      </c>
    </row>
    <row r="3275" spans="1:8" x14ac:dyDescent="0.55000000000000004">
      <c r="A3275" s="61" t="s">
        <v>7299</v>
      </c>
      <c r="B3275" t="s">
        <v>4711</v>
      </c>
      <c r="C3275">
        <v>8701</v>
      </c>
      <c r="D3275" t="s">
        <v>6362</v>
      </c>
      <c r="E3275" t="s">
        <v>6358</v>
      </c>
      <c r="F3275" t="s">
        <v>6358</v>
      </c>
      <c r="G3275" s="43">
        <v>7.9299999999999995E-2</v>
      </c>
      <c r="H3275" s="63">
        <v>1</v>
      </c>
    </row>
    <row r="3276" spans="1:8" x14ac:dyDescent="0.55000000000000004">
      <c r="A3276" s="61" t="s">
        <v>7300</v>
      </c>
      <c r="B3276" t="s">
        <v>4711</v>
      </c>
      <c r="C3276">
        <v>8710</v>
      </c>
      <c r="D3276" t="s">
        <v>6359</v>
      </c>
      <c r="E3276" t="s">
        <v>6360</v>
      </c>
      <c r="F3276" t="s">
        <v>6361</v>
      </c>
      <c r="G3276" s="43">
        <v>0</v>
      </c>
      <c r="H3276" s="63">
        <v>0.9</v>
      </c>
    </row>
    <row r="3277" spans="1:8" x14ac:dyDescent="0.55000000000000004">
      <c r="A3277" s="61" t="s">
        <v>7300</v>
      </c>
      <c r="B3277" t="s">
        <v>4711</v>
      </c>
      <c r="C3277">
        <v>8710</v>
      </c>
      <c r="D3277" t="s">
        <v>6363</v>
      </c>
      <c r="E3277" t="s">
        <v>6364</v>
      </c>
      <c r="F3277" t="s">
        <v>6361</v>
      </c>
      <c r="G3277" s="43">
        <v>0</v>
      </c>
      <c r="H3277" s="63">
        <v>0.1</v>
      </c>
    </row>
    <row r="3278" spans="1:8" x14ac:dyDescent="0.55000000000000004">
      <c r="A3278" s="61" t="s">
        <v>7300</v>
      </c>
      <c r="B3278" t="s">
        <v>4711</v>
      </c>
      <c r="C3278">
        <v>8710</v>
      </c>
      <c r="D3278" t="s">
        <v>6362</v>
      </c>
      <c r="E3278" t="s">
        <v>6358</v>
      </c>
      <c r="F3278" t="s">
        <v>6358</v>
      </c>
      <c r="G3278" s="43">
        <v>6.3600000000000004E-2</v>
      </c>
      <c r="H3278" s="63">
        <v>1</v>
      </c>
    </row>
    <row r="3279" spans="1:8" x14ac:dyDescent="0.55000000000000004">
      <c r="A3279" s="61" t="s">
        <v>7300</v>
      </c>
      <c r="B3279" t="s">
        <v>4711</v>
      </c>
      <c r="C3279">
        <v>8710</v>
      </c>
      <c r="D3279" t="s">
        <v>6365</v>
      </c>
      <c r="E3279" t="s">
        <v>6366</v>
      </c>
      <c r="F3279" t="s">
        <v>6361</v>
      </c>
      <c r="G3279" s="43">
        <v>0</v>
      </c>
      <c r="H3279" s="63">
        <v>-0.1</v>
      </c>
    </row>
    <row r="3280" spans="1:8" x14ac:dyDescent="0.55000000000000004">
      <c r="A3280" s="61" t="s">
        <v>7301</v>
      </c>
      <c r="B3280" t="s">
        <v>4711</v>
      </c>
      <c r="C3280">
        <v>9101</v>
      </c>
      <c r="D3280" t="s">
        <v>6359</v>
      </c>
      <c r="E3280" t="s">
        <v>6367</v>
      </c>
      <c r="F3280" t="s">
        <v>6361</v>
      </c>
      <c r="G3280" s="43">
        <v>0</v>
      </c>
      <c r="H3280" s="63">
        <v>1</v>
      </c>
    </row>
    <row r="3281" spans="1:8" x14ac:dyDescent="0.55000000000000004">
      <c r="A3281" s="61" t="s">
        <v>7301</v>
      </c>
      <c r="B3281" t="s">
        <v>4711</v>
      </c>
      <c r="C3281">
        <v>9101</v>
      </c>
      <c r="D3281" t="s">
        <v>6362</v>
      </c>
      <c r="E3281" t="s">
        <v>6358</v>
      </c>
      <c r="F3281" t="s">
        <v>6358</v>
      </c>
      <c r="G3281" s="43">
        <v>7.9299999999999995E-2</v>
      </c>
      <c r="H3281" s="63">
        <v>1</v>
      </c>
    </row>
    <row r="3282" spans="1:8" x14ac:dyDescent="0.55000000000000004">
      <c r="A3282" s="61" t="s">
        <v>7302</v>
      </c>
      <c r="B3282" t="s">
        <v>4711</v>
      </c>
      <c r="C3282">
        <v>9110</v>
      </c>
      <c r="D3282" t="s">
        <v>6359</v>
      </c>
      <c r="E3282" t="s">
        <v>6367</v>
      </c>
      <c r="F3282" t="s">
        <v>6361</v>
      </c>
      <c r="G3282" s="43">
        <v>0</v>
      </c>
      <c r="H3282" s="63">
        <v>0.9</v>
      </c>
    </row>
    <row r="3283" spans="1:8" x14ac:dyDescent="0.55000000000000004">
      <c r="A3283" s="61" t="s">
        <v>7302</v>
      </c>
      <c r="B3283" t="s">
        <v>4711</v>
      </c>
      <c r="C3283">
        <v>9110</v>
      </c>
      <c r="D3283" t="s">
        <v>6363</v>
      </c>
      <c r="E3283" t="s">
        <v>6364</v>
      </c>
      <c r="F3283" t="s">
        <v>6361</v>
      </c>
      <c r="G3283" s="43">
        <v>0</v>
      </c>
      <c r="H3283" s="63">
        <v>0.1</v>
      </c>
    </row>
    <row r="3284" spans="1:8" x14ac:dyDescent="0.55000000000000004">
      <c r="A3284" s="61" t="s">
        <v>7302</v>
      </c>
      <c r="B3284" t="s">
        <v>4711</v>
      </c>
      <c r="C3284">
        <v>9110</v>
      </c>
      <c r="D3284" t="s">
        <v>6362</v>
      </c>
      <c r="E3284" t="s">
        <v>6358</v>
      </c>
      <c r="F3284" t="s">
        <v>6358</v>
      </c>
      <c r="G3284" s="43">
        <v>6.3600000000000004E-2</v>
      </c>
      <c r="H3284" s="63">
        <v>1</v>
      </c>
    </row>
    <row r="3285" spans="1:8" x14ac:dyDescent="0.55000000000000004">
      <c r="A3285" s="61" t="s">
        <v>7302</v>
      </c>
      <c r="B3285" t="s">
        <v>4711</v>
      </c>
      <c r="C3285">
        <v>9110</v>
      </c>
      <c r="D3285" t="s">
        <v>6365</v>
      </c>
      <c r="E3285" t="s">
        <v>6366</v>
      </c>
      <c r="F3285" t="s">
        <v>6361</v>
      </c>
      <c r="G3285" s="43">
        <v>0</v>
      </c>
      <c r="H3285" s="63">
        <v>-0.1</v>
      </c>
    </row>
    <row r="3286" spans="1:8" x14ac:dyDescent="0.55000000000000004">
      <c r="A3286" s="61" t="s">
        <v>7303</v>
      </c>
      <c r="B3286" t="s">
        <v>4086</v>
      </c>
      <c r="C3286">
        <v>8710</v>
      </c>
      <c r="D3286" t="s">
        <v>6359</v>
      </c>
      <c r="E3286" t="s">
        <v>6368</v>
      </c>
      <c r="F3286" t="s">
        <v>6361</v>
      </c>
      <c r="G3286" s="43">
        <v>0</v>
      </c>
      <c r="H3286" s="63">
        <v>0.9</v>
      </c>
    </row>
    <row r="3287" spans="1:8" x14ac:dyDescent="0.55000000000000004">
      <c r="A3287" s="61" t="s">
        <v>7303</v>
      </c>
      <c r="B3287" t="s">
        <v>4086</v>
      </c>
      <c r="C3287">
        <v>8710</v>
      </c>
      <c r="D3287" t="s">
        <v>6363</v>
      </c>
      <c r="E3287" t="s">
        <v>6364</v>
      </c>
      <c r="F3287" t="s">
        <v>6361</v>
      </c>
      <c r="G3287" s="43">
        <v>0</v>
      </c>
      <c r="H3287" s="63">
        <v>0.1</v>
      </c>
    </row>
    <row r="3288" spans="1:8" x14ac:dyDescent="0.55000000000000004">
      <c r="A3288" s="61" t="s">
        <v>7303</v>
      </c>
      <c r="B3288" t="s">
        <v>4086</v>
      </c>
      <c r="C3288">
        <v>8710</v>
      </c>
      <c r="D3288" t="s">
        <v>6362</v>
      </c>
      <c r="E3288" t="s">
        <v>6358</v>
      </c>
      <c r="F3288" t="s">
        <v>6358</v>
      </c>
      <c r="G3288" s="43">
        <v>7.7100000000000002E-2</v>
      </c>
      <c r="H3288" s="63">
        <v>1</v>
      </c>
    </row>
    <row r="3289" spans="1:8" x14ac:dyDescent="0.55000000000000004">
      <c r="A3289" s="61" t="s">
        <v>7303</v>
      </c>
      <c r="B3289" t="s">
        <v>4086</v>
      </c>
      <c r="C3289">
        <v>8710</v>
      </c>
      <c r="D3289" t="s">
        <v>6365</v>
      </c>
      <c r="E3289" t="s">
        <v>6366</v>
      </c>
      <c r="F3289" t="s">
        <v>6361</v>
      </c>
      <c r="G3289" s="43">
        <v>0</v>
      </c>
      <c r="H3289" s="63">
        <v>-0.1</v>
      </c>
    </row>
    <row r="3290" spans="1:8" x14ac:dyDescent="0.55000000000000004">
      <c r="A3290" s="61" t="s">
        <v>7304</v>
      </c>
      <c r="B3290" t="s">
        <v>4086</v>
      </c>
      <c r="C3290">
        <v>9204</v>
      </c>
      <c r="D3290" t="s">
        <v>6359</v>
      </c>
      <c r="E3290" t="s">
        <v>6369</v>
      </c>
      <c r="F3290" t="s">
        <v>6361</v>
      </c>
      <c r="G3290" s="43">
        <v>0</v>
      </c>
      <c r="H3290" s="63">
        <v>0.9</v>
      </c>
    </row>
    <row r="3291" spans="1:8" x14ac:dyDescent="0.55000000000000004">
      <c r="A3291" s="61" t="s">
        <v>7304</v>
      </c>
      <c r="B3291" t="s">
        <v>4086</v>
      </c>
      <c r="C3291">
        <v>9204</v>
      </c>
      <c r="D3291" t="s">
        <v>6363</v>
      </c>
      <c r="E3291" t="s">
        <v>6364</v>
      </c>
      <c r="F3291" t="s">
        <v>6361</v>
      </c>
      <c r="G3291" s="43">
        <v>0</v>
      </c>
      <c r="H3291" s="63">
        <v>0.1</v>
      </c>
    </row>
    <row r="3292" spans="1:8" x14ac:dyDescent="0.55000000000000004">
      <c r="A3292" s="61" t="s">
        <v>7304</v>
      </c>
      <c r="B3292" t="s">
        <v>4086</v>
      </c>
      <c r="C3292">
        <v>9204</v>
      </c>
      <c r="D3292" t="s">
        <v>6362</v>
      </c>
      <c r="E3292" t="s">
        <v>6358</v>
      </c>
      <c r="F3292" t="s">
        <v>6358</v>
      </c>
      <c r="G3292" s="43">
        <v>7.7100000000000002E-2</v>
      </c>
      <c r="H3292" s="63">
        <v>1</v>
      </c>
    </row>
    <row r="3293" spans="1:8" x14ac:dyDescent="0.55000000000000004">
      <c r="A3293" s="61" t="s">
        <v>7304</v>
      </c>
      <c r="B3293" t="s">
        <v>4086</v>
      </c>
      <c r="C3293">
        <v>9204</v>
      </c>
      <c r="D3293" t="s">
        <v>6365</v>
      </c>
      <c r="E3293" t="s">
        <v>6366</v>
      </c>
      <c r="F3293" t="s">
        <v>6361</v>
      </c>
      <c r="G3293" s="43">
        <v>0</v>
      </c>
      <c r="H3293" s="63">
        <v>-0.1</v>
      </c>
    </row>
    <row r="3294" spans="1:8" x14ac:dyDescent="0.55000000000000004">
      <c r="A3294" s="61" t="s">
        <v>7305</v>
      </c>
      <c r="B3294" t="s">
        <v>4086</v>
      </c>
      <c r="C3294">
        <v>9310</v>
      </c>
      <c r="D3294" t="s">
        <v>6359</v>
      </c>
      <c r="E3294" t="s">
        <v>6369</v>
      </c>
      <c r="F3294" t="s">
        <v>6361</v>
      </c>
      <c r="G3294" s="43">
        <v>0</v>
      </c>
      <c r="H3294" s="63">
        <v>0.9</v>
      </c>
    </row>
    <row r="3295" spans="1:8" x14ac:dyDescent="0.55000000000000004">
      <c r="A3295" s="61" t="s">
        <v>7305</v>
      </c>
      <c r="B3295" t="s">
        <v>4086</v>
      </c>
      <c r="C3295">
        <v>9310</v>
      </c>
      <c r="D3295" t="s">
        <v>6363</v>
      </c>
      <c r="E3295" t="s">
        <v>6364</v>
      </c>
      <c r="F3295" t="s">
        <v>6361</v>
      </c>
      <c r="G3295" s="43">
        <v>0</v>
      </c>
      <c r="H3295" s="63">
        <v>0.1</v>
      </c>
    </row>
    <row r="3296" spans="1:8" x14ac:dyDescent="0.55000000000000004">
      <c r="A3296" s="61" t="s">
        <v>7305</v>
      </c>
      <c r="B3296" t="s">
        <v>4086</v>
      </c>
      <c r="C3296">
        <v>9310</v>
      </c>
      <c r="D3296" t="s">
        <v>6362</v>
      </c>
      <c r="E3296" t="s">
        <v>6358</v>
      </c>
      <c r="F3296" t="s">
        <v>6358</v>
      </c>
      <c r="G3296" s="43">
        <v>7.7100000000000002E-2</v>
      </c>
      <c r="H3296" s="63">
        <v>1</v>
      </c>
    </row>
    <row r="3297" spans="1:8" x14ac:dyDescent="0.55000000000000004">
      <c r="A3297" s="61" t="s">
        <v>7305</v>
      </c>
      <c r="B3297" t="s">
        <v>4086</v>
      </c>
      <c r="C3297">
        <v>9310</v>
      </c>
      <c r="D3297" t="s">
        <v>6365</v>
      </c>
      <c r="E3297" t="s">
        <v>6366</v>
      </c>
      <c r="F3297" t="s">
        <v>6361</v>
      </c>
      <c r="G3297" s="43">
        <v>0</v>
      </c>
      <c r="H3297" s="63">
        <v>-0.1</v>
      </c>
    </row>
    <row r="3298" spans="1:8" x14ac:dyDescent="0.55000000000000004">
      <c r="A3298" s="61" t="s">
        <v>7306</v>
      </c>
      <c r="B3298" t="s">
        <v>1932</v>
      </c>
      <c r="C3298">
        <v>8710</v>
      </c>
      <c r="D3298" t="s">
        <v>6359</v>
      </c>
      <c r="E3298" t="s">
        <v>6368</v>
      </c>
      <c r="F3298" t="s">
        <v>6361</v>
      </c>
      <c r="G3298" s="43">
        <v>0</v>
      </c>
      <c r="H3298" s="63">
        <v>0.9</v>
      </c>
    </row>
    <row r="3299" spans="1:8" x14ac:dyDescent="0.55000000000000004">
      <c r="A3299" s="61" t="s">
        <v>7306</v>
      </c>
      <c r="B3299" t="s">
        <v>1932</v>
      </c>
      <c r="C3299">
        <v>8710</v>
      </c>
      <c r="D3299" t="s">
        <v>6363</v>
      </c>
      <c r="E3299" t="s">
        <v>6364</v>
      </c>
      <c r="F3299" t="s">
        <v>6361</v>
      </c>
      <c r="G3299" s="43">
        <v>0</v>
      </c>
      <c r="H3299" s="63">
        <v>0.1</v>
      </c>
    </row>
    <row r="3300" spans="1:8" x14ac:dyDescent="0.55000000000000004">
      <c r="A3300" s="61" t="s">
        <v>7306</v>
      </c>
      <c r="B3300" t="s">
        <v>1932</v>
      </c>
      <c r="C3300">
        <v>8710</v>
      </c>
      <c r="D3300" t="s">
        <v>6362</v>
      </c>
      <c r="E3300" t="s">
        <v>6358</v>
      </c>
      <c r="F3300" t="s">
        <v>6358</v>
      </c>
      <c r="G3300" s="43">
        <v>4.4499999999999998E-2</v>
      </c>
      <c r="H3300" s="63">
        <v>1</v>
      </c>
    </row>
    <row r="3301" spans="1:8" x14ac:dyDescent="0.55000000000000004">
      <c r="A3301" s="61" t="s">
        <v>7306</v>
      </c>
      <c r="B3301" t="s">
        <v>1932</v>
      </c>
      <c r="C3301">
        <v>8710</v>
      </c>
      <c r="D3301" t="s">
        <v>6365</v>
      </c>
      <c r="E3301" t="s">
        <v>6366</v>
      </c>
      <c r="F3301" t="s">
        <v>6361</v>
      </c>
      <c r="G3301" s="43">
        <v>0</v>
      </c>
      <c r="H3301" s="63">
        <v>-0.1</v>
      </c>
    </row>
    <row r="3302" spans="1:8" x14ac:dyDescent="0.55000000000000004">
      <c r="A3302" s="61" t="s">
        <v>7307</v>
      </c>
      <c r="B3302" t="s">
        <v>1932</v>
      </c>
      <c r="C3302">
        <v>9204</v>
      </c>
      <c r="D3302" t="s">
        <v>6359</v>
      </c>
      <c r="E3302" t="s">
        <v>6369</v>
      </c>
      <c r="F3302" t="s">
        <v>6361</v>
      </c>
      <c r="G3302" s="43">
        <v>0</v>
      </c>
      <c r="H3302" s="63">
        <v>0.9</v>
      </c>
    </row>
    <row r="3303" spans="1:8" x14ac:dyDescent="0.55000000000000004">
      <c r="A3303" s="61" t="s">
        <v>7307</v>
      </c>
      <c r="B3303" t="s">
        <v>1932</v>
      </c>
      <c r="C3303">
        <v>9204</v>
      </c>
      <c r="D3303" t="s">
        <v>6363</v>
      </c>
      <c r="E3303" t="s">
        <v>6364</v>
      </c>
      <c r="F3303" t="s">
        <v>6361</v>
      </c>
      <c r="G3303" s="43">
        <v>0</v>
      </c>
      <c r="H3303" s="63">
        <v>0.1</v>
      </c>
    </row>
    <row r="3304" spans="1:8" x14ac:dyDescent="0.55000000000000004">
      <c r="A3304" s="61" t="s">
        <v>7307</v>
      </c>
      <c r="B3304" t="s">
        <v>1932</v>
      </c>
      <c r="C3304">
        <v>9204</v>
      </c>
      <c r="D3304" t="s">
        <v>6362</v>
      </c>
      <c r="E3304" t="s">
        <v>6358</v>
      </c>
      <c r="F3304" t="s">
        <v>6358</v>
      </c>
      <c r="G3304" s="43">
        <v>4.4499999999999998E-2</v>
      </c>
      <c r="H3304" s="63">
        <v>1</v>
      </c>
    </row>
    <row r="3305" spans="1:8" x14ac:dyDescent="0.55000000000000004">
      <c r="A3305" s="61" t="s">
        <v>7307</v>
      </c>
      <c r="B3305" t="s">
        <v>1932</v>
      </c>
      <c r="C3305">
        <v>9204</v>
      </c>
      <c r="D3305" t="s">
        <v>6365</v>
      </c>
      <c r="E3305" t="s">
        <v>6366</v>
      </c>
      <c r="F3305" t="s">
        <v>6361</v>
      </c>
      <c r="G3305" s="43">
        <v>0</v>
      </c>
      <c r="H3305" s="63">
        <v>-0.1</v>
      </c>
    </row>
    <row r="3306" spans="1:8" x14ac:dyDescent="0.55000000000000004">
      <c r="A3306" s="61" t="s">
        <v>7308</v>
      </c>
      <c r="B3306" t="s">
        <v>1932</v>
      </c>
      <c r="C3306">
        <v>9310</v>
      </c>
      <c r="D3306" t="s">
        <v>6359</v>
      </c>
      <c r="E3306" t="s">
        <v>6369</v>
      </c>
      <c r="F3306" t="s">
        <v>6361</v>
      </c>
      <c r="G3306" s="43">
        <v>0</v>
      </c>
      <c r="H3306" s="63">
        <v>0.9</v>
      </c>
    </row>
    <row r="3307" spans="1:8" x14ac:dyDescent="0.55000000000000004">
      <c r="A3307" s="61" t="s">
        <v>7308</v>
      </c>
      <c r="B3307" t="s">
        <v>1932</v>
      </c>
      <c r="C3307">
        <v>9310</v>
      </c>
      <c r="D3307" t="s">
        <v>6363</v>
      </c>
      <c r="E3307" t="s">
        <v>6364</v>
      </c>
      <c r="F3307" t="s">
        <v>6361</v>
      </c>
      <c r="G3307" s="43">
        <v>0</v>
      </c>
      <c r="H3307" s="63">
        <v>0.1</v>
      </c>
    </row>
    <row r="3308" spans="1:8" x14ac:dyDescent="0.55000000000000004">
      <c r="A3308" s="61" t="s">
        <v>7308</v>
      </c>
      <c r="B3308" t="s">
        <v>1932</v>
      </c>
      <c r="C3308">
        <v>9310</v>
      </c>
      <c r="D3308" t="s">
        <v>6362</v>
      </c>
      <c r="E3308" t="s">
        <v>6358</v>
      </c>
      <c r="F3308" t="s">
        <v>6358</v>
      </c>
      <c r="G3308" s="43">
        <v>4.4499999999999998E-2</v>
      </c>
      <c r="H3308" s="63">
        <v>1</v>
      </c>
    </row>
    <row r="3309" spans="1:8" x14ac:dyDescent="0.55000000000000004">
      <c r="A3309" s="61" t="s">
        <v>7308</v>
      </c>
      <c r="B3309" t="s">
        <v>1932</v>
      </c>
      <c r="C3309">
        <v>9310</v>
      </c>
      <c r="D3309" t="s">
        <v>6365</v>
      </c>
      <c r="E3309" t="s">
        <v>6366</v>
      </c>
      <c r="F3309" t="s">
        <v>6361</v>
      </c>
      <c r="G3309" s="43">
        <v>0</v>
      </c>
      <c r="H3309" s="63">
        <v>-0.1</v>
      </c>
    </row>
  </sheetData>
  <autoFilter ref="A1:H3309" xr:uid="{7532FB4A-57A4-4FA2-8E02-7595744C64B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91DBD-07AF-4012-B358-9414C5BB3003}">
  <sheetPr filterMode="1"/>
  <dimension ref="A1:AI230"/>
  <sheetViews>
    <sheetView tabSelected="1" zoomScale="90" zoomScaleNormal="90" workbookViewId="0">
      <pane xSplit="6" ySplit="3" topLeftCell="K51" activePane="bottomRight" state="frozen"/>
      <selection pane="topRight" activeCell="G1" sqref="G1"/>
      <selection pane="bottomLeft" activeCell="A4" sqref="A4"/>
      <selection pane="bottomRight" activeCell="A103" sqref="A103:XFD103"/>
    </sheetView>
  </sheetViews>
  <sheetFormatPr defaultRowHeight="14.4" outlineLevelCol="2" x14ac:dyDescent="0.55000000000000004"/>
  <cols>
    <col min="1" max="1" width="5.578125" bestFit="1" customWidth="1"/>
    <col min="2" max="2" width="20.41796875" bestFit="1" customWidth="1"/>
    <col min="3" max="3" width="22.83984375" bestFit="1" customWidth="1"/>
    <col min="4" max="4" width="7.41796875" bestFit="1" customWidth="1"/>
    <col min="5" max="5" width="8.83984375" bestFit="1" customWidth="1"/>
    <col min="6" max="6" width="34.68359375" bestFit="1" customWidth="1"/>
    <col min="7" max="9" width="13.68359375" style="44" hidden="1" customWidth="1" outlineLevel="2"/>
    <col min="10" max="10" width="13.68359375" style="45" customWidth="1" outlineLevel="1" collapsed="1"/>
    <col min="11" max="18" width="13.68359375" style="55" customWidth="1" outlineLevel="2"/>
    <col min="19" max="19" width="13.68359375" style="60" customWidth="1" outlineLevel="1"/>
    <col min="20" max="20" width="13.68359375" style="46" customWidth="1"/>
    <col min="21" max="23" width="13.68359375" style="47" hidden="1" customWidth="1" outlineLevel="2"/>
    <col min="24" max="24" width="13.68359375" style="48" hidden="1" customWidth="1" outlineLevel="1" collapsed="1"/>
    <col min="25" max="28" width="13.68359375" style="49" hidden="1" customWidth="1" outlineLevel="2"/>
    <col min="29" max="29" width="13.68359375" style="50" hidden="1" customWidth="1" outlineLevel="1"/>
    <col min="30" max="30" width="13.68359375" style="46" customWidth="1" collapsed="1"/>
    <col min="31" max="33" width="13.68359375" customWidth="1"/>
    <col min="34" max="34" width="33.68359375" customWidth="1"/>
  </cols>
  <sheetData>
    <row r="1" spans="1:35" x14ac:dyDescent="0.55000000000000004">
      <c r="G1" s="11" t="s">
        <v>24</v>
      </c>
      <c r="H1" s="11" t="s">
        <v>24</v>
      </c>
      <c r="I1" s="11" t="s">
        <v>24</v>
      </c>
      <c r="J1" s="12" t="s">
        <v>24</v>
      </c>
      <c r="K1" s="51" t="s">
        <v>24</v>
      </c>
      <c r="L1" s="51" t="s">
        <v>24</v>
      </c>
      <c r="M1" s="51" t="s">
        <v>24</v>
      </c>
      <c r="N1" s="51" t="s">
        <v>24</v>
      </c>
      <c r="O1" s="51" t="s">
        <v>24</v>
      </c>
      <c r="P1" s="51" t="s">
        <v>24</v>
      </c>
      <c r="Q1" s="51" t="s">
        <v>24</v>
      </c>
      <c r="R1" s="51" t="s">
        <v>24</v>
      </c>
      <c r="S1" s="56" t="s">
        <v>24</v>
      </c>
      <c r="T1" s="13" t="s">
        <v>24</v>
      </c>
      <c r="U1" s="14" t="s">
        <v>19</v>
      </c>
      <c r="V1" s="14" t="s">
        <v>19</v>
      </c>
      <c r="W1" s="14" t="s">
        <v>19</v>
      </c>
      <c r="X1" s="15" t="s">
        <v>19</v>
      </c>
      <c r="Y1" s="16" t="s">
        <v>19</v>
      </c>
      <c r="Z1" s="16" t="s">
        <v>19</v>
      </c>
      <c r="AA1" s="16" t="s">
        <v>19</v>
      </c>
      <c r="AB1" s="16" t="s">
        <v>19</v>
      </c>
      <c r="AC1" s="17" t="s">
        <v>19</v>
      </c>
      <c r="AD1" s="13" t="s">
        <v>19</v>
      </c>
      <c r="AE1" s="65" t="s">
        <v>7311</v>
      </c>
      <c r="AF1" s="65"/>
      <c r="AG1" s="65"/>
    </row>
    <row r="2" spans="1:35" x14ac:dyDescent="0.55000000000000004">
      <c r="G2" s="18" t="s">
        <v>6327</v>
      </c>
      <c r="H2" s="18" t="s">
        <v>6327</v>
      </c>
      <c r="I2" s="18" t="s">
        <v>6327</v>
      </c>
      <c r="J2" s="19" t="s">
        <v>6327</v>
      </c>
      <c r="K2" s="52" t="s">
        <v>6328</v>
      </c>
      <c r="L2" s="52" t="s">
        <v>6328</v>
      </c>
      <c r="M2" s="52" t="s">
        <v>6328</v>
      </c>
      <c r="N2" s="52" t="s">
        <v>6328</v>
      </c>
      <c r="O2" s="52" t="s">
        <v>6328</v>
      </c>
      <c r="P2" s="52" t="s">
        <v>6328</v>
      </c>
      <c r="Q2" s="52" t="s">
        <v>6328</v>
      </c>
      <c r="R2" s="52" t="s">
        <v>6328</v>
      </c>
      <c r="S2" s="57" t="s">
        <v>6328</v>
      </c>
      <c r="T2" s="20"/>
      <c r="U2" s="21" t="s">
        <v>6327</v>
      </c>
      <c r="V2" s="21" t="s">
        <v>6327</v>
      </c>
      <c r="W2" s="21" t="s">
        <v>6327</v>
      </c>
      <c r="X2" s="22" t="s">
        <v>6327</v>
      </c>
      <c r="Y2" s="23" t="s">
        <v>6328</v>
      </c>
      <c r="Z2" s="23" t="s">
        <v>6328</v>
      </c>
      <c r="AA2" s="23" t="s">
        <v>6328</v>
      </c>
      <c r="AB2" s="23" t="s">
        <v>6328</v>
      </c>
      <c r="AC2" s="24" t="s">
        <v>6328</v>
      </c>
      <c r="AD2" s="20"/>
      <c r="AE2" s="65"/>
      <c r="AF2" s="65"/>
      <c r="AG2" s="65"/>
    </row>
    <row r="3" spans="1:35" s="34" customFormat="1" ht="28.8" x14ac:dyDescent="0.55000000000000004">
      <c r="A3" s="25" t="s">
        <v>6329</v>
      </c>
      <c r="B3" s="25" t="s">
        <v>6330</v>
      </c>
      <c r="C3" s="25" t="s">
        <v>6331</v>
      </c>
      <c r="D3" s="25" t="s">
        <v>6332</v>
      </c>
      <c r="E3" s="26" t="s">
        <v>6333</v>
      </c>
      <c r="F3" s="25" t="s">
        <v>6334</v>
      </c>
      <c r="G3" s="27" t="s">
        <v>6335</v>
      </c>
      <c r="H3" s="27" t="s">
        <v>6336</v>
      </c>
      <c r="I3" s="27" t="s">
        <v>6337</v>
      </c>
      <c r="J3" s="28" t="s">
        <v>6338</v>
      </c>
      <c r="K3" s="53" t="s">
        <v>6339</v>
      </c>
      <c r="L3" s="53" t="s">
        <v>6340</v>
      </c>
      <c r="M3" s="53" t="s">
        <v>6341</v>
      </c>
      <c r="N3" s="53" t="s">
        <v>6342</v>
      </c>
      <c r="O3" s="53" t="s">
        <v>6343</v>
      </c>
      <c r="P3" s="53" t="s">
        <v>6344</v>
      </c>
      <c r="Q3" s="53" t="s">
        <v>6345</v>
      </c>
      <c r="R3" s="53" t="s">
        <v>6346</v>
      </c>
      <c r="S3" s="58" t="s">
        <v>6338</v>
      </c>
      <c r="T3" s="29" t="s">
        <v>6326</v>
      </c>
      <c r="U3" s="30" t="s">
        <v>6336</v>
      </c>
      <c r="V3" s="30" t="s">
        <v>6347</v>
      </c>
      <c r="W3" s="30" t="s">
        <v>6337</v>
      </c>
      <c r="X3" s="31" t="s">
        <v>6338</v>
      </c>
      <c r="Y3" s="32" t="s">
        <v>6339</v>
      </c>
      <c r="Z3" s="32" t="s">
        <v>6340</v>
      </c>
      <c r="AA3" s="32" t="s">
        <v>6348</v>
      </c>
      <c r="AB3" s="32" t="s">
        <v>6346</v>
      </c>
      <c r="AC3" s="33" t="s">
        <v>6338</v>
      </c>
      <c r="AD3" s="29" t="s">
        <v>6326</v>
      </c>
      <c r="AE3" s="25" t="s">
        <v>6349</v>
      </c>
      <c r="AF3" s="25" t="s">
        <v>6350</v>
      </c>
      <c r="AG3" s="25" t="s">
        <v>6351</v>
      </c>
      <c r="AH3" s="25" t="s">
        <v>6352</v>
      </c>
    </row>
    <row r="4" spans="1:35" hidden="1" x14ac:dyDescent="0.55000000000000004">
      <c r="A4" s="35" t="s">
        <v>77</v>
      </c>
      <c r="B4" t="s">
        <v>95</v>
      </c>
      <c r="C4" t="s">
        <v>95</v>
      </c>
      <c r="D4" t="s">
        <v>7314</v>
      </c>
      <c r="E4" s="35" t="s">
        <v>121</v>
      </c>
      <c r="F4" t="s">
        <v>122</v>
      </c>
      <c r="G4" s="36">
        <v>0</v>
      </c>
      <c r="H4" s="36">
        <v>0</v>
      </c>
      <c r="I4" s="36">
        <v>1.15E-2</v>
      </c>
      <c r="J4" s="37">
        <f t="shared" ref="J4:J67" si="0">SUM(G4:I4)</f>
        <v>1.15E-2</v>
      </c>
      <c r="K4" s="54">
        <v>0.183867</v>
      </c>
      <c r="L4" s="54">
        <v>2.3189999999999999E-3</v>
      </c>
      <c r="M4" s="54">
        <v>-5.5E-2</v>
      </c>
      <c r="N4" s="54">
        <v>5.0000000000000001E-3</v>
      </c>
      <c r="O4" s="54">
        <v>1.2500000000000001E-2</v>
      </c>
      <c r="P4" s="54">
        <v>1.4999999999999999E-2</v>
      </c>
      <c r="Q4" s="54">
        <v>0.02</v>
      </c>
      <c r="R4" s="54">
        <v>0</v>
      </c>
      <c r="S4" s="59">
        <f t="shared" ref="S4:S67" si="1">SUM(K4:R4)</f>
        <v>0.18368599999999999</v>
      </c>
      <c r="T4" s="38">
        <f t="shared" ref="T4:T67" si="2">J4+S4</f>
        <v>0.195186</v>
      </c>
      <c r="U4" s="39">
        <v>0</v>
      </c>
      <c r="V4" s="39">
        <v>0</v>
      </c>
      <c r="W4" s="39">
        <v>1.15E-2</v>
      </c>
      <c r="X4" s="40">
        <f t="shared" ref="X4:X67" si="3">SUM(U4:W4)</f>
        <v>1.15E-2</v>
      </c>
      <c r="Y4" s="41">
        <v>3.2954999999999998E-2</v>
      </c>
      <c r="Z4" s="41">
        <v>2.4870000000000001E-3</v>
      </c>
      <c r="AA4" s="41">
        <v>3.0000000000000001E-3</v>
      </c>
      <c r="AB4" s="41">
        <v>0</v>
      </c>
      <c r="AC4" s="42">
        <f t="shared" ref="AC4:AC67" si="4">SUM(Y4:AB4)</f>
        <v>3.8442000000000004E-2</v>
      </c>
      <c r="AD4" s="38">
        <f t="shared" ref="AD4:AD67" si="5">AC4+X4</f>
        <v>4.9942E-2</v>
      </c>
      <c r="AE4" s="43">
        <f t="shared" ref="AE4:AE67" si="6">0*T4+1*AD4</f>
        <v>4.9942E-2</v>
      </c>
      <c r="AF4" s="43">
        <f t="shared" ref="AF4:AF67" si="7">0.1*T4+0.9*AD4</f>
        <v>6.4466400000000007E-2</v>
      </c>
      <c r="AG4" s="43">
        <f t="shared" ref="AG4:AG67" si="8">0.15*T4+0.85*AD4</f>
        <v>7.1728600000000003E-2</v>
      </c>
      <c r="AI4" s="64">
        <f>SUMIFS('Paths and Tariffs'!Q:Q,'Paths and Tariffs'!E:E,'Costing Detail'!E4,'Paths and Tariffs'!G:G,"GAS",'Paths and Tariffs'!N:N,1,'Paths and Tariffs'!M:M,1)</f>
        <v>3.2954999999999998E-2</v>
      </c>
    </row>
    <row r="5" spans="1:35" hidden="1" x14ac:dyDescent="0.55000000000000004">
      <c r="A5" s="35" t="s">
        <v>77</v>
      </c>
      <c r="B5" t="s">
        <v>129</v>
      </c>
      <c r="C5" t="s">
        <v>129</v>
      </c>
      <c r="D5" t="s">
        <v>7314</v>
      </c>
      <c r="E5" s="35" t="s">
        <v>130</v>
      </c>
      <c r="F5" t="s">
        <v>131</v>
      </c>
      <c r="G5" s="36">
        <v>0</v>
      </c>
      <c r="H5" s="36">
        <v>0</v>
      </c>
      <c r="I5" s="36">
        <v>1.15E-2</v>
      </c>
      <c r="J5" s="37">
        <f t="shared" si="0"/>
        <v>1.15E-2</v>
      </c>
      <c r="K5" s="54">
        <v>0.18484500000000001</v>
      </c>
      <c r="L5" s="54">
        <v>2.2460000000000002E-3</v>
      </c>
      <c r="M5" s="54">
        <v>-5.5E-2</v>
      </c>
      <c r="N5" s="54">
        <v>5.0000000000000001E-3</v>
      </c>
      <c r="O5" s="54">
        <v>1.2500000000000001E-2</v>
      </c>
      <c r="P5" s="54">
        <v>1.4999999999999999E-2</v>
      </c>
      <c r="Q5" s="54">
        <v>0.02</v>
      </c>
      <c r="R5" s="54">
        <v>0</v>
      </c>
      <c r="S5" s="59">
        <f t="shared" si="1"/>
        <v>0.18459100000000003</v>
      </c>
      <c r="T5" s="38">
        <f t="shared" si="2"/>
        <v>0.19609100000000004</v>
      </c>
      <c r="U5" s="39">
        <v>0</v>
      </c>
      <c r="V5" s="39">
        <v>0</v>
      </c>
      <c r="W5" s="39">
        <v>1.15E-2</v>
      </c>
      <c r="X5" s="40">
        <f t="shared" si="3"/>
        <v>1.15E-2</v>
      </c>
      <c r="Y5" s="41">
        <v>3.2954999999999998E-2</v>
      </c>
      <c r="Z5" s="41">
        <v>2.2300000000000002E-3</v>
      </c>
      <c r="AA5" s="41">
        <v>3.0000000000000001E-3</v>
      </c>
      <c r="AB5" s="41">
        <v>0</v>
      </c>
      <c r="AC5" s="42">
        <f t="shared" si="4"/>
        <v>3.8185000000000004E-2</v>
      </c>
      <c r="AD5" s="38">
        <f t="shared" si="5"/>
        <v>4.9685000000000007E-2</v>
      </c>
      <c r="AE5" s="43">
        <f t="shared" si="6"/>
        <v>4.9685000000000007E-2</v>
      </c>
      <c r="AF5" s="43">
        <f t="shared" si="7"/>
        <v>6.4325600000000011E-2</v>
      </c>
      <c r="AG5" s="43">
        <f t="shared" si="8"/>
        <v>7.1645900000000012E-2</v>
      </c>
      <c r="AI5" s="64">
        <f>SUMIFS('Paths and Tariffs'!Q:Q,'Paths and Tariffs'!E:E,'Costing Detail'!E5,'Paths and Tariffs'!G:G,"GAS",'Paths and Tariffs'!N:N,1,'Paths and Tariffs'!M:M,1)</f>
        <v>3.2954999999999998E-2</v>
      </c>
    </row>
    <row r="6" spans="1:35" hidden="1" x14ac:dyDescent="0.55000000000000004">
      <c r="A6" s="35" t="s">
        <v>77</v>
      </c>
      <c r="B6" t="s">
        <v>155</v>
      </c>
      <c r="C6" t="s">
        <v>155</v>
      </c>
      <c r="D6" t="s">
        <v>7314</v>
      </c>
      <c r="E6" s="35" t="s">
        <v>156</v>
      </c>
      <c r="F6" t="s">
        <v>157</v>
      </c>
      <c r="G6" s="36">
        <v>0</v>
      </c>
      <c r="H6" s="36">
        <v>0</v>
      </c>
      <c r="I6" s="36">
        <v>1.15E-2</v>
      </c>
      <c r="J6" s="37">
        <f t="shared" si="0"/>
        <v>1.15E-2</v>
      </c>
      <c r="K6" s="54">
        <v>0.1913</v>
      </c>
      <c r="L6" s="54">
        <v>2.421E-3</v>
      </c>
      <c r="M6" s="54">
        <v>-5.5E-2</v>
      </c>
      <c r="N6" s="54">
        <v>5.0000000000000001E-3</v>
      </c>
      <c r="O6" s="54">
        <v>1.2500000000000001E-2</v>
      </c>
      <c r="P6" s="54">
        <v>1.4999999999999999E-2</v>
      </c>
      <c r="Q6" s="54">
        <v>0.02</v>
      </c>
      <c r="R6" s="54">
        <v>0</v>
      </c>
      <c r="S6" s="59">
        <f t="shared" si="1"/>
        <v>0.191221</v>
      </c>
      <c r="T6" s="38">
        <f t="shared" si="2"/>
        <v>0.20272100000000001</v>
      </c>
      <c r="U6" s="39">
        <v>0</v>
      </c>
      <c r="V6" s="39">
        <v>0</v>
      </c>
      <c r="W6" s="39">
        <v>1.15E-2</v>
      </c>
      <c r="X6" s="40">
        <f t="shared" si="3"/>
        <v>1.15E-2</v>
      </c>
      <c r="Y6" s="41">
        <v>3.5152000000000003E-2</v>
      </c>
      <c r="Z6" s="41">
        <v>1.944E-3</v>
      </c>
      <c r="AA6" s="41">
        <v>3.0000000000000001E-3</v>
      </c>
      <c r="AB6" s="41">
        <v>0</v>
      </c>
      <c r="AC6" s="42">
        <f t="shared" si="4"/>
        <v>4.0096000000000007E-2</v>
      </c>
      <c r="AD6" s="38">
        <f t="shared" si="5"/>
        <v>5.1596000000000003E-2</v>
      </c>
      <c r="AE6" s="43">
        <f t="shared" si="6"/>
        <v>5.1596000000000003E-2</v>
      </c>
      <c r="AF6" s="43">
        <f t="shared" si="7"/>
        <v>6.6708500000000004E-2</v>
      </c>
      <c r="AG6" s="43">
        <f t="shared" si="8"/>
        <v>7.4264750000000004E-2</v>
      </c>
      <c r="AI6" s="64">
        <f>SUMIFS('Paths and Tariffs'!Q:Q,'Paths and Tariffs'!E:E,'Costing Detail'!E6,'Paths and Tariffs'!G:G,"GAS",'Paths and Tariffs'!N:N,1,'Paths and Tariffs'!M:M,1)</f>
        <v>3.5152000000000003E-2</v>
      </c>
    </row>
    <row r="7" spans="1:35" hidden="1" x14ac:dyDescent="0.55000000000000004">
      <c r="A7" s="35" t="s">
        <v>198</v>
      </c>
      <c r="B7" t="s">
        <v>205</v>
      </c>
      <c r="C7" t="s">
        <v>205</v>
      </c>
      <c r="D7" t="s">
        <v>7314</v>
      </c>
      <c r="E7" s="35" t="s">
        <v>206</v>
      </c>
      <c r="F7" t="s">
        <v>207</v>
      </c>
      <c r="G7" s="36">
        <v>0</v>
      </c>
      <c r="H7" s="36">
        <v>0</v>
      </c>
      <c r="I7" s="36">
        <v>1.15E-2</v>
      </c>
      <c r="J7" s="37">
        <f t="shared" si="0"/>
        <v>1.15E-2</v>
      </c>
      <c r="K7" s="54">
        <v>0.21149999999999999</v>
      </c>
      <c r="L7" s="54">
        <v>2.2910000000000001E-3</v>
      </c>
      <c r="M7" s="54">
        <v>-0.125</v>
      </c>
      <c r="N7" s="54">
        <v>5.0000000000000001E-3</v>
      </c>
      <c r="O7" s="54">
        <v>1.2500000000000001E-2</v>
      </c>
      <c r="P7" s="54">
        <v>1.4999999999999999E-2</v>
      </c>
      <c r="Q7" s="54">
        <v>0.02</v>
      </c>
      <c r="R7" s="54">
        <v>0</v>
      </c>
      <c r="S7" s="59">
        <f t="shared" si="1"/>
        <v>0.14129099999999997</v>
      </c>
      <c r="T7" s="38">
        <f t="shared" si="2"/>
        <v>0.15279099999999998</v>
      </c>
      <c r="U7" s="39">
        <v>0</v>
      </c>
      <c r="V7" s="39">
        <v>0</v>
      </c>
      <c r="W7" s="39">
        <v>0</v>
      </c>
      <c r="X7" s="40">
        <f t="shared" si="3"/>
        <v>0</v>
      </c>
      <c r="Y7" s="41">
        <v>0.11005499999999999</v>
      </c>
      <c r="Z7" s="41">
        <v>2.568E-3</v>
      </c>
      <c r="AA7" s="41">
        <v>3.0000000000000001E-3</v>
      </c>
      <c r="AB7" s="41">
        <v>0</v>
      </c>
      <c r="AC7" s="42">
        <f t="shared" si="4"/>
        <v>0.11562299999999999</v>
      </c>
      <c r="AD7" s="38">
        <f t="shared" si="5"/>
        <v>0.11562299999999999</v>
      </c>
      <c r="AE7" s="43">
        <f t="shared" si="6"/>
        <v>0.11562299999999999</v>
      </c>
      <c r="AF7" s="43">
        <f t="shared" si="7"/>
        <v>0.1193398</v>
      </c>
      <c r="AG7" s="43">
        <f t="shared" si="8"/>
        <v>0.12119819999999999</v>
      </c>
      <c r="AI7" s="64">
        <f>SUMIFS('Paths and Tariffs'!Q:Q,'Paths and Tariffs'!E:E,'Costing Detail'!E7,'Paths and Tariffs'!G:G,"GAS",'Paths and Tariffs'!N:N,1,'Paths and Tariffs'!M:M,1)</f>
        <v>0.11005499999999999</v>
      </c>
    </row>
    <row r="8" spans="1:35" hidden="1" x14ac:dyDescent="0.55000000000000004">
      <c r="A8" s="35" t="s">
        <v>198</v>
      </c>
      <c r="B8" t="s">
        <v>7318</v>
      </c>
      <c r="C8" t="s">
        <v>226</v>
      </c>
      <c r="D8" t="s">
        <v>7314</v>
      </c>
      <c r="E8" s="35" t="s">
        <v>227</v>
      </c>
      <c r="F8" t="s">
        <v>228</v>
      </c>
      <c r="G8" s="36">
        <v>0</v>
      </c>
      <c r="H8" s="36">
        <v>0</v>
      </c>
      <c r="I8" s="36">
        <v>1.15E-2</v>
      </c>
      <c r="J8" s="37">
        <f t="shared" si="0"/>
        <v>1.15E-2</v>
      </c>
      <c r="K8" s="54">
        <v>0.21149999999999999</v>
      </c>
      <c r="L8" s="54">
        <v>2.3410000000000002E-3</v>
      </c>
      <c r="M8" s="54">
        <v>-0.125</v>
      </c>
      <c r="N8" s="54">
        <v>5.0000000000000001E-3</v>
      </c>
      <c r="O8" s="54">
        <v>1.2500000000000001E-2</v>
      </c>
      <c r="P8" s="54">
        <v>1.4999999999999999E-2</v>
      </c>
      <c r="Q8" s="54">
        <v>0.02</v>
      </c>
      <c r="R8" s="54">
        <v>0</v>
      </c>
      <c r="S8" s="59">
        <f t="shared" si="1"/>
        <v>0.14134099999999999</v>
      </c>
      <c r="T8" s="38">
        <f t="shared" si="2"/>
        <v>0.152841</v>
      </c>
      <c r="U8" s="39">
        <v>0</v>
      </c>
      <c r="V8" s="39">
        <v>0</v>
      </c>
      <c r="W8" s="39">
        <v>1.15E-2</v>
      </c>
      <c r="X8" s="40">
        <f t="shared" si="3"/>
        <v>1.15E-2</v>
      </c>
      <c r="Y8" s="41">
        <v>8.6611999999999995E-2</v>
      </c>
      <c r="Z8" s="41">
        <v>3.14E-3</v>
      </c>
      <c r="AA8" s="41">
        <v>3.0000000000000001E-3</v>
      </c>
      <c r="AB8" s="41">
        <v>0</v>
      </c>
      <c r="AC8" s="42">
        <f t="shared" si="4"/>
        <v>9.2752000000000001E-2</v>
      </c>
      <c r="AD8" s="38">
        <f t="shared" si="5"/>
        <v>0.104252</v>
      </c>
      <c r="AE8" s="43">
        <f t="shared" si="6"/>
        <v>0.104252</v>
      </c>
      <c r="AF8" s="43">
        <f t="shared" si="7"/>
        <v>0.10911090000000001</v>
      </c>
      <c r="AG8" s="43">
        <f t="shared" si="8"/>
        <v>0.11154034999999998</v>
      </c>
      <c r="AI8" s="64">
        <f>SUMIFS('Paths and Tariffs'!Q:Q,'Paths and Tariffs'!E:E,'Costing Detail'!E8,'Paths and Tariffs'!G:G,"GAS",'Paths and Tariffs'!N:N,1,'Paths and Tariffs'!M:M,1)</f>
        <v>8.6611999999999995E-2</v>
      </c>
    </row>
    <row r="9" spans="1:35" hidden="1" x14ac:dyDescent="0.55000000000000004">
      <c r="A9" s="35" t="s">
        <v>198</v>
      </c>
      <c r="B9" t="s">
        <v>263</v>
      </c>
      <c r="C9" t="s">
        <v>263</v>
      </c>
      <c r="D9" t="s">
        <v>7314</v>
      </c>
      <c r="E9" s="35" t="s">
        <v>265</v>
      </c>
      <c r="F9" t="s">
        <v>266</v>
      </c>
      <c r="G9" s="36">
        <v>0</v>
      </c>
      <c r="H9" s="36">
        <v>0</v>
      </c>
      <c r="I9" s="36">
        <v>1.15E-2</v>
      </c>
      <c r="J9" s="37">
        <f t="shared" si="0"/>
        <v>1.15E-2</v>
      </c>
      <c r="K9" s="54">
        <v>0.217362</v>
      </c>
      <c r="L9" s="54">
        <v>2.366E-3</v>
      </c>
      <c r="M9" s="54">
        <v>-0.125</v>
      </c>
      <c r="N9" s="54">
        <v>5.0000000000000001E-3</v>
      </c>
      <c r="O9" s="54">
        <v>1.2500000000000001E-2</v>
      </c>
      <c r="P9" s="54">
        <v>1.4999999999999999E-2</v>
      </c>
      <c r="Q9" s="54">
        <v>0.02</v>
      </c>
      <c r="R9" s="54">
        <v>0</v>
      </c>
      <c r="S9" s="59">
        <f t="shared" si="1"/>
        <v>0.147228</v>
      </c>
      <c r="T9" s="38">
        <f t="shared" si="2"/>
        <v>0.15872800000000001</v>
      </c>
      <c r="U9" s="39">
        <v>0</v>
      </c>
      <c r="V9" s="39">
        <v>0</v>
      </c>
      <c r="W9" s="39">
        <v>1.15E-2</v>
      </c>
      <c r="X9" s="40">
        <f t="shared" si="3"/>
        <v>1.15E-2</v>
      </c>
      <c r="Y9" s="41">
        <v>8.0463999999999994E-2</v>
      </c>
      <c r="Z9" s="41">
        <v>2.4750000000000002E-3</v>
      </c>
      <c r="AA9" s="41">
        <v>3.0000000000000001E-3</v>
      </c>
      <c r="AB9" s="41">
        <v>0</v>
      </c>
      <c r="AC9" s="42">
        <f t="shared" si="4"/>
        <v>8.5939000000000002E-2</v>
      </c>
      <c r="AD9" s="38">
        <f t="shared" si="5"/>
        <v>9.7438999999999998E-2</v>
      </c>
      <c r="AE9" s="43">
        <f t="shared" si="6"/>
        <v>9.7438999999999998E-2</v>
      </c>
      <c r="AF9" s="43">
        <f t="shared" si="7"/>
        <v>0.1035679</v>
      </c>
      <c r="AG9" s="43">
        <f t="shared" si="8"/>
        <v>0.10663235</v>
      </c>
      <c r="AI9" s="64">
        <f>SUMIFS('Paths and Tariffs'!Q:Q,'Paths and Tariffs'!E:E,'Costing Detail'!E9,'Paths and Tariffs'!G:G,"GAS",'Paths and Tariffs'!N:N,1,'Paths and Tariffs'!M:M,1)</f>
        <v>8.0463999999999994E-2</v>
      </c>
    </row>
    <row r="10" spans="1:35" hidden="1" x14ac:dyDescent="0.55000000000000004">
      <c r="A10" s="35" t="s">
        <v>198</v>
      </c>
      <c r="B10" t="s">
        <v>254</v>
      </c>
      <c r="C10" t="s">
        <v>254</v>
      </c>
      <c r="D10" t="s">
        <v>7314</v>
      </c>
      <c r="E10" s="35" t="s">
        <v>255</v>
      </c>
      <c r="F10" t="s">
        <v>256</v>
      </c>
      <c r="G10" s="36">
        <v>0</v>
      </c>
      <c r="H10" s="36">
        <v>0</v>
      </c>
      <c r="I10" s="36">
        <v>1.15E-2</v>
      </c>
      <c r="J10" s="37">
        <f t="shared" si="0"/>
        <v>1.15E-2</v>
      </c>
      <c r="K10" s="54">
        <v>0.18298400000000001</v>
      </c>
      <c r="L10" s="54">
        <v>2.2460000000000002E-3</v>
      </c>
      <c r="M10" s="54">
        <v>-0.125</v>
      </c>
      <c r="N10" s="54">
        <v>5.0000000000000001E-3</v>
      </c>
      <c r="O10" s="54">
        <v>1.2500000000000001E-2</v>
      </c>
      <c r="P10" s="54">
        <v>1.4999999999999999E-2</v>
      </c>
      <c r="Q10" s="54">
        <v>0.02</v>
      </c>
      <c r="R10" s="54">
        <v>0</v>
      </c>
      <c r="S10" s="59">
        <f t="shared" si="1"/>
        <v>0.11273000000000001</v>
      </c>
      <c r="T10" s="38">
        <f t="shared" si="2"/>
        <v>0.12423000000000001</v>
      </c>
      <c r="U10" s="39">
        <v>0</v>
      </c>
      <c r="V10" s="39">
        <v>0</v>
      </c>
      <c r="W10" s="39">
        <v>1.15E-2</v>
      </c>
      <c r="X10" s="40">
        <f t="shared" si="3"/>
        <v>1.15E-2</v>
      </c>
      <c r="Y10" s="41">
        <v>0.163576</v>
      </c>
      <c r="Z10" s="41">
        <v>3.4940000000000001E-3</v>
      </c>
      <c r="AA10" s="41">
        <v>3.0000000000000001E-3</v>
      </c>
      <c r="AB10" s="41">
        <v>0</v>
      </c>
      <c r="AC10" s="42">
        <f t="shared" si="4"/>
        <v>0.17007</v>
      </c>
      <c r="AD10" s="38">
        <f t="shared" si="5"/>
        <v>0.18157000000000001</v>
      </c>
      <c r="AE10" s="43">
        <f t="shared" si="6"/>
        <v>0.18157000000000001</v>
      </c>
      <c r="AF10" s="43">
        <f t="shared" si="7"/>
        <v>0.17583599999999999</v>
      </c>
      <c r="AG10" s="43">
        <f t="shared" si="8"/>
        <v>0.17296900000000001</v>
      </c>
      <c r="AI10" s="64">
        <f>SUMIFS('Paths and Tariffs'!Q:Q,'Paths and Tariffs'!E:E,'Costing Detail'!E10,'Paths and Tariffs'!G:G,"GAS",'Paths and Tariffs'!N:N,1,'Paths and Tariffs'!M:M,1)</f>
        <v>0.163576</v>
      </c>
    </row>
    <row r="11" spans="1:35" hidden="1" x14ac:dyDescent="0.55000000000000004">
      <c r="A11" s="35" t="s">
        <v>273</v>
      </c>
      <c r="B11" t="s">
        <v>280</v>
      </c>
      <c r="C11" t="s">
        <v>280</v>
      </c>
      <c r="D11" t="s">
        <v>7319</v>
      </c>
      <c r="E11" s="35" t="s">
        <v>320</v>
      </c>
      <c r="F11" t="s">
        <v>321</v>
      </c>
      <c r="G11" s="36">
        <v>0.05</v>
      </c>
      <c r="H11" s="36">
        <v>0</v>
      </c>
      <c r="I11" s="36">
        <v>0</v>
      </c>
      <c r="J11" s="37">
        <f t="shared" si="0"/>
        <v>0.05</v>
      </c>
      <c r="K11" s="54">
        <v>0.20633299999999999</v>
      </c>
      <c r="L11" s="54">
        <v>2.8189999999999999E-3</v>
      </c>
      <c r="M11" s="54">
        <v>-0.125</v>
      </c>
      <c r="N11" s="54">
        <v>5.0000000000000001E-3</v>
      </c>
      <c r="O11" s="54">
        <v>1.2500000000000001E-2</v>
      </c>
      <c r="P11" s="54">
        <v>1.4999999999999999E-2</v>
      </c>
      <c r="Q11" s="54">
        <v>0.02</v>
      </c>
      <c r="R11" s="54">
        <v>0</v>
      </c>
      <c r="S11" s="59">
        <f t="shared" si="1"/>
        <v>0.13665199999999997</v>
      </c>
      <c r="T11" s="38">
        <f t="shared" si="2"/>
        <v>0.18665199999999998</v>
      </c>
      <c r="U11" s="39">
        <v>8.7500000000000008E-3</v>
      </c>
      <c r="V11" s="39">
        <v>2.2620000000000001E-3</v>
      </c>
      <c r="W11" s="39">
        <v>0</v>
      </c>
      <c r="X11" s="40">
        <f t="shared" si="3"/>
        <v>1.1012000000000001E-2</v>
      </c>
      <c r="Y11" s="41">
        <v>4.4969000000000002E-2</v>
      </c>
      <c r="Z11" s="41">
        <v>1.9480000000000001E-3</v>
      </c>
      <c r="AA11" s="41">
        <v>3.0000000000000001E-3</v>
      </c>
      <c r="AB11" s="41">
        <v>0</v>
      </c>
      <c r="AC11" s="42">
        <f t="shared" si="4"/>
        <v>4.9917000000000003E-2</v>
      </c>
      <c r="AD11" s="38">
        <f t="shared" si="5"/>
        <v>6.0929000000000004E-2</v>
      </c>
      <c r="AE11" s="43">
        <f t="shared" si="6"/>
        <v>6.0929000000000004E-2</v>
      </c>
      <c r="AF11" s="43">
        <f t="shared" si="7"/>
        <v>7.3501300000000006E-2</v>
      </c>
      <c r="AG11" s="43">
        <f t="shared" si="8"/>
        <v>7.9787449999999996E-2</v>
      </c>
      <c r="AI11" s="64">
        <f>SUMIFS('Paths and Tariffs'!Q:Q,'Paths and Tariffs'!E:E,'Costing Detail'!E11,'Paths and Tariffs'!G:G,"GAS",'Paths and Tariffs'!N:N,1,'Paths and Tariffs'!M:M,1)</f>
        <v>4.4969000000000002E-2</v>
      </c>
    </row>
    <row r="12" spans="1:35" hidden="1" x14ac:dyDescent="0.55000000000000004">
      <c r="A12" s="35" t="s">
        <v>273</v>
      </c>
      <c r="B12" t="s">
        <v>324</v>
      </c>
      <c r="C12" t="s">
        <v>324</v>
      </c>
      <c r="D12" t="s">
        <v>7319</v>
      </c>
      <c r="E12" s="35" t="s">
        <v>325</v>
      </c>
      <c r="F12" t="s">
        <v>326</v>
      </c>
      <c r="G12" s="36">
        <v>0.05</v>
      </c>
      <c r="H12" s="36">
        <v>0</v>
      </c>
      <c r="I12" s="36">
        <v>0</v>
      </c>
      <c r="J12" s="37">
        <f t="shared" si="0"/>
        <v>0.05</v>
      </c>
      <c r="K12" s="54">
        <v>0.22966700000000001</v>
      </c>
      <c r="L12" s="54">
        <v>2.7529999999999998E-3</v>
      </c>
      <c r="M12" s="54">
        <v>-0.125</v>
      </c>
      <c r="N12" s="54">
        <v>5.0000000000000001E-3</v>
      </c>
      <c r="O12" s="54">
        <v>1.2500000000000001E-2</v>
      </c>
      <c r="P12" s="54">
        <v>1.4999999999999999E-2</v>
      </c>
      <c r="Q12" s="54">
        <v>0.02</v>
      </c>
      <c r="R12" s="54">
        <v>0</v>
      </c>
      <c r="S12" s="59">
        <f t="shared" si="1"/>
        <v>0.15992000000000001</v>
      </c>
      <c r="T12" s="38">
        <f t="shared" si="2"/>
        <v>0.20992</v>
      </c>
      <c r="U12" s="39">
        <v>8.7500000000000008E-3</v>
      </c>
      <c r="V12" s="39">
        <v>2.2620000000000001E-3</v>
      </c>
      <c r="W12" s="39">
        <v>0</v>
      </c>
      <c r="X12" s="40">
        <f t="shared" si="3"/>
        <v>1.1012000000000001E-2</v>
      </c>
      <c r="Y12" s="41">
        <v>3.3007000000000002E-2</v>
      </c>
      <c r="Z12" s="41">
        <v>1.5989999999999999E-3</v>
      </c>
      <c r="AA12" s="41">
        <v>3.0000000000000001E-3</v>
      </c>
      <c r="AB12" s="41">
        <v>0</v>
      </c>
      <c r="AC12" s="42">
        <f t="shared" si="4"/>
        <v>3.7606000000000007E-2</v>
      </c>
      <c r="AD12" s="38">
        <f t="shared" si="5"/>
        <v>4.8618000000000008E-2</v>
      </c>
      <c r="AE12" s="43">
        <f t="shared" si="6"/>
        <v>4.8618000000000008E-2</v>
      </c>
      <c r="AF12" s="43">
        <f t="shared" si="7"/>
        <v>6.4748200000000006E-2</v>
      </c>
      <c r="AG12" s="43">
        <f t="shared" si="8"/>
        <v>7.2813299999999997E-2</v>
      </c>
      <c r="AI12" s="64">
        <f>SUMIFS('Paths and Tariffs'!Q:Q,'Paths and Tariffs'!E:E,'Costing Detail'!E12,'Paths and Tariffs'!G:G,"GAS",'Paths and Tariffs'!N:N,1,'Paths and Tariffs'!M:M,1)</f>
        <v>3.3007000000000002E-2</v>
      </c>
    </row>
    <row r="13" spans="1:35" hidden="1" x14ac:dyDescent="0.55000000000000004">
      <c r="A13" s="35" t="s">
        <v>335</v>
      </c>
      <c r="B13" t="s">
        <v>438</v>
      </c>
      <c r="C13" t="s">
        <v>438</v>
      </c>
      <c r="D13" t="s">
        <v>7319</v>
      </c>
      <c r="E13" s="35" t="s">
        <v>446</v>
      </c>
      <c r="F13" t="s">
        <v>447</v>
      </c>
      <c r="G13" s="36">
        <v>0.05</v>
      </c>
      <c r="H13" s="36">
        <v>0</v>
      </c>
      <c r="I13" s="36">
        <v>0</v>
      </c>
      <c r="J13" s="37">
        <f t="shared" si="0"/>
        <v>0.05</v>
      </c>
      <c r="K13" s="54">
        <v>0.29416700000000001</v>
      </c>
      <c r="L13" s="54">
        <v>2.8990000000000001E-3</v>
      </c>
      <c r="M13" s="54">
        <v>-0.125</v>
      </c>
      <c r="N13" s="54">
        <v>5.0000000000000001E-3</v>
      </c>
      <c r="O13" s="54">
        <v>1.2500000000000001E-2</v>
      </c>
      <c r="P13" s="54">
        <v>1.4999999999999999E-2</v>
      </c>
      <c r="Q13" s="54">
        <v>0.02</v>
      </c>
      <c r="R13" s="54">
        <v>0</v>
      </c>
      <c r="S13" s="59">
        <f t="shared" si="1"/>
        <v>0.22456600000000002</v>
      </c>
      <c r="T13" s="38">
        <f t="shared" si="2"/>
        <v>0.27456600000000003</v>
      </c>
      <c r="U13" s="39">
        <v>8.7500000000000008E-3</v>
      </c>
      <c r="V13" s="39">
        <v>2.2620000000000001E-3</v>
      </c>
      <c r="W13" s="39">
        <v>0</v>
      </c>
      <c r="X13" s="40">
        <f t="shared" si="3"/>
        <v>1.1012000000000001E-2</v>
      </c>
      <c r="Y13" s="41">
        <v>8.6599999999999993E-3</v>
      </c>
      <c r="Z13" s="41">
        <v>9.3899999999999995E-4</v>
      </c>
      <c r="AA13" s="41">
        <v>3.0000000000000001E-3</v>
      </c>
      <c r="AB13" s="41">
        <v>0</v>
      </c>
      <c r="AC13" s="42">
        <f t="shared" si="4"/>
        <v>1.2598999999999999E-2</v>
      </c>
      <c r="AD13" s="38">
        <f t="shared" si="5"/>
        <v>2.3611E-2</v>
      </c>
      <c r="AE13" s="43">
        <f t="shared" si="6"/>
        <v>2.3611E-2</v>
      </c>
      <c r="AF13" s="43">
        <f t="shared" si="7"/>
        <v>4.8706500000000007E-2</v>
      </c>
      <c r="AG13" s="43">
        <f t="shared" si="8"/>
        <v>6.1254250000000003E-2</v>
      </c>
      <c r="AI13" s="64">
        <f>SUMIFS('Paths and Tariffs'!Q:Q,'Paths and Tariffs'!E:E,'Costing Detail'!E13,'Paths and Tariffs'!G:G,"GAS",'Paths and Tariffs'!N:N,1,'Paths and Tariffs'!M:M,1)</f>
        <v>8.6599999999999993E-3</v>
      </c>
    </row>
    <row r="14" spans="1:35" hidden="1" x14ac:dyDescent="0.55000000000000004">
      <c r="A14" s="35" t="s">
        <v>335</v>
      </c>
      <c r="B14" t="s">
        <v>483</v>
      </c>
      <c r="C14" t="s">
        <v>483</v>
      </c>
      <c r="D14" t="s">
        <v>7319</v>
      </c>
      <c r="E14" s="35" t="s">
        <v>484</v>
      </c>
      <c r="F14" t="s">
        <v>485</v>
      </c>
      <c r="G14" s="36">
        <v>0.05</v>
      </c>
      <c r="H14" s="36">
        <v>0</v>
      </c>
      <c r="I14" s="36">
        <v>0</v>
      </c>
      <c r="J14" s="37">
        <f t="shared" si="0"/>
        <v>0.05</v>
      </c>
      <c r="K14" s="54">
        <v>0.29816700000000002</v>
      </c>
      <c r="L14" s="54">
        <v>2.9650000000000002E-3</v>
      </c>
      <c r="M14" s="54">
        <v>-0.125</v>
      </c>
      <c r="N14" s="54">
        <v>5.0000000000000001E-3</v>
      </c>
      <c r="O14" s="54">
        <v>1.2500000000000001E-2</v>
      </c>
      <c r="P14" s="54">
        <v>1.4999999999999999E-2</v>
      </c>
      <c r="Q14" s="54">
        <v>0.02</v>
      </c>
      <c r="R14" s="54">
        <v>0</v>
      </c>
      <c r="S14" s="59">
        <f t="shared" si="1"/>
        <v>0.22863200000000003</v>
      </c>
      <c r="T14" s="38">
        <f t="shared" si="2"/>
        <v>0.27863200000000005</v>
      </c>
      <c r="U14" s="39">
        <v>8.7500000000000008E-3</v>
      </c>
      <c r="V14" s="39">
        <v>2.2620000000000001E-3</v>
      </c>
      <c r="W14" s="39">
        <v>0</v>
      </c>
      <c r="X14" s="40">
        <f t="shared" si="3"/>
        <v>1.1012000000000001E-2</v>
      </c>
      <c r="Y14" s="41">
        <v>3.1295000000000003E-2</v>
      </c>
      <c r="Z14" s="41">
        <v>1.2589999999999999E-3</v>
      </c>
      <c r="AA14" s="41">
        <v>3.0000000000000001E-3</v>
      </c>
      <c r="AB14" s="41">
        <v>0</v>
      </c>
      <c r="AC14" s="42">
        <f t="shared" si="4"/>
        <v>3.5554000000000009E-2</v>
      </c>
      <c r="AD14" s="38">
        <f t="shared" si="5"/>
        <v>4.656600000000001E-2</v>
      </c>
      <c r="AE14" s="43">
        <f t="shared" si="6"/>
        <v>4.656600000000001E-2</v>
      </c>
      <c r="AF14" s="43">
        <f t="shared" si="7"/>
        <v>6.9772600000000018E-2</v>
      </c>
      <c r="AG14" s="43">
        <f t="shared" si="8"/>
        <v>8.1375900000000015E-2</v>
      </c>
      <c r="AI14" s="64">
        <f>SUMIFS('Paths and Tariffs'!Q:Q,'Paths and Tariffs'!E:E,'Costing Detail'!E14,'Paths and Tariffs'!G:G,"GAS",'Paths and Tariffs'!N:N,1,'Paths and Tariffs'!M:M,1)</f>
        <v>3.1295000000000003E-2</v>
      </c>
    </row>
    <row r="15" spans="1:35" hidden="1" x14ac:dyDescent="0.55000000000000004">
      <c r="A15" s="35" t="s">
        <v>335</v>
      </c>
      <c r="B15" t="s">
        <v>495</v>
      </c>
      <c r="C15" t="s">
        <v>495</v>
      </c>
      <c r="D15" t="s">
        <v>7319</v>
      </c>
      <c r="E15" s="35" t="s">
        <v>496</v>
      </c>
      <c r="F15" t="s">
        <v>497</v>
      </c>
      <c r="G15" s="36">
        <v>0.05</v>
      </c>
      <c r="H15" s="36">
        <v>0</v>
      </c>
      <c r="I15" s="36">
        <v>0</v>
      </c>
      <c r="J15" s="37">
        <f t="shared" si="0"/>
        <v>0.05</v>
      </c>
      <c r="K15" s="54">
        <v>0.29749999999999999</v>
      </c>
      <c r="L15" s="54">
        <v>2.9380000000000001E-3</v>
      </c>
      <c r="M15" s="54">
        <v>-0.125</v>
      </c>
      <c r="N15" s="54">
        <v>5.0000000000000001E-3</v>
      </c>
      <c r="O15" s="54">
        <v>1.2500000000000001E-2</v>
      </c>
      <c r="P15" s="54">
        <v>1.4999999999999999E-2</v>
      </c>
      <c r="Q15" s="54">
        <v>0.02</v>
      </c>
      <c r="R15" s="54">
        <v>0</v>
      </c>
      <c r="S15" s="59">
        <f t="shared" si="1"/>
        <v>0.227938</v>
      </c>
      <c r="T15" s="38">
        <f t="shared" si="2"/>
        <v>0.27793800000000002</v>
      </c>
      <c r="U15" s="39">
        <v>8.7500000000000008E-3</v>
      </c>
      <c r="V15" s="39">
        <v>2.2620000000000001E-3</v>
      </c>
      <c r="W15" s="39">
        <v>0</v>
      </c>
      <c r="X15" s="40">
        <f t="shared" si="3"/>
        <v>1.1012000000000001E-2</v>
      </c>
      <c r="Y15" s="41">
        <v>2.1024000000000001E-2</v>
      </c>
      <c r="Z15" s="41">
        <v>1.3860000000000001E-3</v>
      </c>
      <c r="AA15" s="41">
        <v>3.0000000000000001E-3</v>
      </c>
      <c r="AB15" s="41">
        <v>0</v>
      </c>
      <c r="AC15" s="42">
        <f t="shared" si="4"/>
        <v>2.5409999999999999E-2</v>
      </c>
      <c r="AD15" s="38">
        <f t="shared" si="5"/>
        <v>3.6421999999999996E-2</v>
      </c>
      <c r="AE15" s="43">
        <f t="shared" si="6"/>
        <v>3.6421999999999996E-2</v>
      </c>
      <c r="AF15" s="43">
        <f t="shared" si="7"/>
        <v>6.0573600000000005E-2</v>
      </c>
      <c r="AG15" s="43">
        <f t="shared" si="8"/>
        <v>7.2649400000000003E-2</v>
      </c>
      <c r="AI15" s="64">
        <f>SUMIFS('Paths and Tariffs'!Q:Q,'Paths and Tariffs'!E:E,'Costing Detail'!E15,'Paths and Tariffs'!G:G,"GAS",'Paths and Tariffs'!N:N,1,'Paths and Tariffs'!M:M,1)</f>
        <v>2.1026E-2</v>
      </c>
    </row>
    <row r="16" spans="1:35" hidden="1" x14ac:dyDescent="0.55000000000000004">
      <c r="A16" s="35" t="s">
        <v>335</v>
      </c>
      <c r="B16" t="s">
        <v>463</v>
      </c>
      <c r="C16" t="s">
        <v>337</v>
      </c>
      <c r="D16" t="s">
        <v>7319</v>
      </c>
      <c r="E16" s="35" t="s">
        <v>464</v>
      </c>
      <c r="F16" t="s">
        <v>465</v>
      </c>
      <c r="G16" s="36">
        <v>0</v>
      </c>
      <c r="H16" s="36">
        <v>0</v>
      </c>
      <c r="I16" s="36">
        <v>1.15E-2</v>
      </c>
      <c r="J16" s="37">
        <f t="shared" si="0"/>
        <v>1.15E-2</v>
      </c>
      <c r="K16" s="54">
        <v>0.29416700000000001</v>
      </c>
      <c r="L16" s="54">
        <v>2.9510000000000001E-3</v>
      </c>
      <c r="M16" s="54">
        <v>-0.125</v>
      </c>
      <c r="N16" s="54">
        <v>5.0000000000000001E-3</v>
      </c>
      <c r="O16" s="54">
        <v>1.2500000000000001E-2</v>
      </c>
      <c r="P16" s="54">
        <v>1.4999999999999999E-2</v>
      </c>
      <c r="Q16" s="54">
        <v>0.02</v>
      </c>
      <c r="R16" s="54">
        <v>0</v>
      </c>
      <c r="S16" s="59">
        <f t="shared" si="1"/>
        <v>0.22461800000000001</v>
      </c>
      <c r="T16" s="38">
        <f t="shared" si="2"/>
        <v>0.23611800000000002</v>
      </c>
      <c r="U16" s="39">
        <v>0</v>
      </c>
      <c r="V16" s="39">
        <v>0</v>
      </c>
      <c r="W16" s="39">
        <v>1.15E-2</v>
      </c>
      <c r="X16" s="40">
        <f t="shared" si="3"/>
        <v>1.15E-2</v>
      </c>
      <c r="Y16" s="41">
        <v>2.7399999999999998E-3</v>
      </c>
      <c r="Z16" s="41">
        <v>7.9500000000000003E-4</v>
      </c>
      <c r="AA16" s="41">
        <v>3.0000000000000001E-3</v>
      </c>
      <c r="AB16" s="41">
        <v>0</v>
      </c>
      <c r="AC16" s="42">
        <f t="shared" si="4"/>
        <v>6.535E-3</v>
      </c>
      <c r="AD16" s="38">
        <f t="shared" si="5"/>
        <v>1.8034999999999999E-2</v>
      </c>
      <c r="AE16" s="43">
        <f t="shared" si="6"/>
        <v>1.8034999999999999E-2</v>
      </c>
      <c r="AF16" s="43">
        <f t="shared" si="7"/>
        <v>3.9843299999999998E-2</v>
      </c>
      <c r="AG16" s="43">
        <f t="shared" si="8"/>
        <v>5.074745E-2</v>
      </c>
      <c r="AI16" s="64">
        <f>SUMIFS('Paths and Tariffs'!Q:Q,'Paths and Tariffs'!E:E,'Costing Detail'!E16,'Paths and Tariffs'!G:G,"GAS",'Paths and Tariffs'!N:N,1,'Paths and Tariffs'!M:M,1)</f>
        <v>2.7399999999999998E-3</v>
      </c>
    </row>
    <row r="17" spans="1:35" hidden="1" x14ac:dyDescent="0.55000000000000004">
      <c r="A17" s="35" t="s">
        <v>335</v>
      </c>
      <c r="B17" t="s">
        <v>533</v>
      </c>
      <c r="C17" t="s">
        <v>533</v>
      </c>
      <c r="D17" t="s">
        <v>7319</v>
      </c>
      <c r="E17" s="35" t="s">
        <v>534</v>
      </c>
      <c r="F17" t="s">
        <v>535</v>
      </c>
      <c r="G17" s="36">
        <v>0.05</v>
      </c>
      <c r="H17" s="36">
        <v>0</v>
      </c>
      <c r="I17" s="36">
        <v>0</v>
      </c>
      <c r="J17" s="37">
        <f t="shared" si="0"/>
        <v>0.05</v>
      </c>
      <c r="K17" s="54">
        <v>0.29416700000000001</v>
      </c>
      <c r="L17" s="54">
        <v>2.9350000000000001E-3</v>
      </c>
      <c r="M17" s="54">
        <v>-0.125</v>
      </c>
      <c r="N17" s="54">
        <v>5.0000000000000001E-3</v>
      </c>
      <c r="O17" s="54">
        <v>1.2500000000000001E-2</v>
      </c>
      <c r="P17" s="54">
        <v>1.4999999999999999E-2</v>
      </c>
      <c r="Q17" s="54">
        <v>0.02</v>
      </c>
      <c r="R17" s="54">
        <v>0</v>
      </c>
      <c r="S17" s="59">
        <f t="shared" si="1"/>
        <v>0.22460200000000005</v>
      </c>
      <c r="T17" s="38">
        <f t="shared" si="2"/>
        <v>0.27460200000000007</v>
      </c>
      <c r="U17" s="39">
        <v>8.7500000000000008E-3</v>
      </c>
      <c r="V17" s="39">
        <v>2.2620000000000001E-3</v>
      </c>
      <c r="W17" s="39">
        <v>0</v>
      </c>
      <c r="X17" s="40">
        <f t="shared" si="3"/>
        <v>1.1012000000000001E-2</v>
      </c>
      <c r="Y17" s="41">
        <v>6.326E-3</v>
      </c>
      <c r="Z17" s="41">
        <v>8.4500000000000005E-4</v>
      </c>
      <c r="AA17" s="41">
        <v>3.0000000000000001E-3</v>
      </c>
      <c r="AB17" s="41">
        <v>0</v>
      </c>
      <c r="AC17" s="42">
        <f t="shared" si="4"/>
        <v>1.0170999999999999E-2</v>
      </c>
      <c r="AD17" s="38">
        <f t="shared" si="5"/>
        <v>2.1183E-2</v>
      </c>
      <c r="AE17" s="43">
        <f t="shared" si="6"/>
        <v>2.1183E-2</v>
      </c>
      <c r="AF17" s="43">
        <f t="shared" si="7"/>
        <v>4.6524900000000008E-2</v>
      </c>
      <c r="AG17" s="43">
        <f t="shared" si="8"/>
        <v>5.9195850000000008E-2</v>
      </c>
      <c r="AI17" s="64">
        <f>SUMIFS('Paths and Tariffs'!Q:Q,'Paths and Tariffs'!E:E,'Costing Detail'!E17,'Paths and Tariffs'!G:G,"GAS",'Paths and Tariffs'!N:N,1,'Paths and Tariffs'!M:M,1)</f>
        <v>6.326E-3</v>
      </c>
    </row>
    <row r="18" spans="1:35" hidden="1" x14ac:dyDescent="0.55000000000000004">
      <c r="A18" s="35" t="s">
        <v>335</v>
      </c>
      <c r="B18" t="s">
        <v>649</v>
      </c>
      <c r="C18" t="s">
        <v>337</v>
      </c>
      <c r="D18" t="s">
        <v>7319</v>
      </c>
      <c r="E18" s="35" t="s">
        <v>650</v>
      </c>
      <c r="F18" t="s">
        <v>651</v>
      </c>
      <c r="G18" s="36">
        <v>0</v>
      </c>
      <c r="H18" s="36">
        <v>0</v>
      </c>
      <c r="I18" s="36">
        <v>1.15E-2</v>
      </c>
      <c r="J18" s="37">
        <f t="shared" si="0"/>
        <v>1.15E-2</v>
      </c>
      <c r="K18" s="54">
        <v>0.29416700000000001</v>
      </c>
      <c r="L18" s="54">
        <v>2.6900000000000001E-3</v>
      </c>
      <c r="M18" s="54">
        <v>-0.125</v>
      </c>
      <c r="N18" s="54">
        <v>5.0000000000000001E-3</v>
      </c>
      <c r="O18" s="54">
        <v>1.2500000000000001E-2</v>
      </c>
      <c r="P18" s="54">
        <v>1.4999999999999999E-2</v>
      </c>
      <c r="Q18" s="54">
        <v>0.02</v>
      </c>
      <c r="R18" s="54">
        <v>0</v>
      </c>
      <c r="S18" s="59">
        <f t="shared" si="1"/>
        <v>0.22435700000000006</v>
      </c>
      <c r="T18" s="38">
        <f t="shared" si="2"/>
        <v>0.23585700000000007</v>
      </c>
      <c r="U18" s="39">
        <v>0</v>
      </c>
      <c r="V18" s="39">
        <v>0</v>
      </c>
      <c r="W18" s="39">
        <v>1.15E-2</v>
      </c>
      <c r="X18" s="40">
        <f t="shared" si="3"/>
        <v>1.15E-2</v>
      </c>
      <c r="Y18" s="41">
        <v>1.5211000000000001E-2</v>
      </c>
      <c r="Z18" s="41">
        <v>8.6700000000000004E-4</v>
      </c>
      <c r="AA18" s="41">
        <v>3.0000000000000001E-3</v>
      </c>
      <c r="AB18" s="41">
        <v>0</v>
      </c>
      <c r="AC18" s="42">
        <f t="shared" si="4"/>
        <v>1.9078000000000001E-2</v>
      </c>
      <c r="AD18" s="38">
        <f t="shared" si="5"/>
        <v>3.0578000000000001E-2</v>
      </c>
      <c r="AE18" s="43">
        <f t="shared" si="6"/>
        <v>3.0578000000000001E-2</v>
      </c>
      <c r="AF18" s="43">
        <f t="shared" si="7"/>
        <v>5.110590000000001E-2</v>
      </c>
      <c r="AG18" s="43">
        <f t="shared" si="8"/>
        <v>6.1369850000000011E-2</v>
      </c>
      <c r="AI18" s="64">
        <f>SUMIFS('Paths and Tariffs'!Q:Q,'Paths and Tariffs'!E:E,'Costing Detail'!E18,'Paths and Tariffs'!G:G,"GAS",'Paths and Tariffs'!N:N,1,'Paths and Tariffs'!M:M,1)</f>
        <v>1.5211000000000001E-2</v>
      </c>
    </row>
    <row r="19" spans="1:35" hidden="1" x14ac:dyDescent="0.55000000000000004">
      <c r="A19" s="35" t="s">
        <v>335</v>
      </c>
      <c r="B19" t="s">
        <v>7325</v>
      </c>
      <c r="C19" t="s">
        <v>544</v>
      </c>
      <c r="D19" t="s">
        <v>7319</v>
      </c>
      <c r="E19" s="35" t="s">
        <v>545</v>
      </c>
      <c r="F19" t="s">
        <v>546</v>
      </c>
      <c r="G19" s="36">
        <v>0.05</v>
      </c>
      <c r="H19" s="36">
        <v>0</v>
      </c>
      <c r="I19" s="36">
        <v>0</v>
      </c>
      <c r="J19" s="37">
        <f t="shared" si="0"/>
        <v>0.05</v>
      </c>
      <c r="K19" s="54">
        <v>0.27083299999999999</v>
      </c>
      <c r="L19" s="54">
        <v>2.7130000000000001E-3</v>
      </c>
      <c r="M19" s="54">
        <v>-0.125</v>
      </c>
      <c r="N19" s="54">
        <v>5.0000000000000001E-3</v>
      </c>
      <c r="O19" s="54">
        <v>1.2500000000000001E-2</v>
      </c>
      <c r="P19" s="54">
        <v>1.4999999999999999E-2</v>
      </c>
      <c r="Q19" s="54">
        <v>0.02</v>
      </c>
      <c r="R19" s="54">
        <v>0</v>
      </c>
      <c r="S19" s="59">
        <f t="shared" si="1"/>
        <v>0.20104600000000003</v>
      </c>
      <c r="T19" s="38">
        <f t="shared" si="2"/>
        <v>0.25104600000000005</v>
      </c>
      <c r="U19" s="39">
        <v>8.7500000000000008E-3</v>
      </c>
      <c r="V19" s="39">
        <v>2.2620000000000001E-3</v>
      </c>
      <c r="W19" s="39">
        <v>0</v>
      </c>
      <c r="X19" s="40">
        <f t="shared" si="3"/>
        <v>1.1012000000000001E-2</v>
      </c>
      <c r="Y19" s="41">
        <v>1.0236E-2</v>
      </c>
      <c r="Z19" s="41">
        <v>1.031E-3</v>
      </c>
      <c r="AA19" s="41">
        <v>3.0000000000000001E-3</v>
      </c>
      <c r="AB19" s="41">
        <v>0</v>
      </c>
      <c r="AC19" s="42">
        <f t="shared" si="4"/>
        <v>1.4267000000000002E-2</v>
      </c>
      <c r="AD19" s="38">
        <f t="shared" si="5"/>
        <v>2.5279000000000003E-2</v>
      </c>
      <c r="AE19" s="43">
        <f t="shared" si="6"/>
        <v>2.5279000000000003E-2</v>
      </c>
      <c r="AF19" s="43">
        <f t="shared" si="7"/>
        <v>4.7855700000000008E-2</v>
      </c>
      <c r="AG19" s="43">
        <f t="shared" si="8"/>
        <v>5.9144050000000011E-2</v>
      </c>
      <c r="AI19" s="64">
        <f>SUMIFS('Paths and Tariffs'!Q:Q,'Paths and Tariffs'!E:E,'Costing Detail'!E19,'Paths and Tariffs'!G:G,"GAS",'Paths and Tariffs'!N:N,1,'Paths and Tariffs'!M:M,1)</f>
        <v>1.0236E-2</v>
      </c>
    </row>
    <row r="20" spans="1:35" hidden="1" x14ac:dyDescent="0.55000000000000004">
      <c r="A20" s="35" t="s">
        <v>335</v>
      </c>
      <c r="B20" t="s">
        <v>544</v>
      </c>
      <c r="C20" t="s">
        <v>544</v>
      </c>
      <c r="D20" t="s">
        <v>7319</v>
      </c>
      <c r="E20" s="35" t="s">
        <v>565</v>
      </c>
      <c r="F20" t="s">
        <v>566</v>
      </c>
      <c r="G20" s="36">
        <v>0</v>
      </c>
      <c r="H20" s="36">
        <v>0</v>
      </c>
      <c r="I20" s="36">
        <v>1.15E-2</v>
      </c>
      <c r="J20" s="37">
        <f t="shared" si="0"/>
        <v>1.15E-2</v>
      </c>
      <c r="K20" s="54">
        <v>0.29636099999999999</v>
      </c>
      <c r="L20" s="54">
        <v>2.9650000000000002E-3</v>
      </c>
      <c r="M20" s="54">
        <v>-0.125</v>
      </c>
      <c r="N20" s="54">
        <v>5.0000000000000001E-3</v>
      </c>
      <c r="O20" s="54">
        <v>1.2500000000000001E-2</v>
      </c>
      <c r="P20" s="54">
        <v>1.4999999999999999E-2</v>
      </c>
      <c r="Q20" s="54">
        <v>0.02</v>
      </c>
      <c r="R20" s="54">
        <v>0</v>
      </c>
      <c r="S20" s="59">
        <f t="shared" si="1"/>
        <v>0.226826</v>
      </c>
      <c r="T20" s="38">
        <f t="shared" si="2"/>
        <v>0.23832600000000001</v>
      </c>
      <c r="U20" s="39">
        <v>0</v>
      </c>
      <c r="V20" s="39">
        <v>0</v>
      </c>
      <c r="W20" s="39">
        <v>1.15E-2</v>
      </c>
      <c r="X20" s="40">
        <f t="shared" si="3"/>
        <v>1.15E-2</v>
      </c>
      <c r="Y20" s="41">
        <v>1.0236E-2</v>
      </c>
      <c r="Z20" s="41">
        <v>9.5399999999999999E-4</v>
      </c>
      <c r="AA20" s="41">
        <v>3.0000000000000001E-3</v>
      </c>
      <c r="AB20" s="41">
        <v>0</v>
      </c>
      <c r="AC20" s="42">
        <f t="shared" si="4"/>
        <v>1.4190000000000001E-2</v>
      </c>
      <c r="AD20" s="38">
        <f t="shared" si="5"/>
        <v>2.5690000000000001E-2</v>
      </c>
      <c r="AE20" s="43">
        <f t="shared" si="6"/>
        <v>2.5690000000000001E-2</v>
      </c>
      <c r="AF20" s="43">
        <f t="shared" si="7"/>
        <v>4.6953600000000005E-2</v>
      </c>
      <c r="AG20" s="43">
        <f t="shared" si="8"/>
        <v>5.7585400000000002E-2</v>
      </c>
      <c r="AI20" s="64">
        <f>SUMIFS('Paths and Tariffs'!Q:Q,'Paths and Tariffs'!E:E,'Costing Detail'!E20,'Paths and Tariffs'!G:G,"GAS",'Paths and Tariffs'!N:N,1,'Paths and Tariffs'!M:M,1)</f>
        <v>1.0236E-2</v>
      </c>
    </row>
    <row r="21" spans="1:35" hidden="1" x14ac:dyDescent="0.55000000000000004">
      <c r="A21" s="35" t="s">
        <v>335</v>
      </c>
      <c r="B21" t="s">
        <v>7322</v>
      </c>
      <c r="C21" t="s">
        <v>580</v>
      </c>
      <c r="D21" t="s">
        <v>7319</v>
      </c>
      <c r="E21" s="35" t="s">
        <v>591</v>
      </c>
      <c r="F21" t="s">
        <v>592</v>
      </c>
      <c r="G21" s="36">
        <v>0.05</v>
      </c>
      <c r="H21" s="36">
        <v>0</v>
      </c>
      <c r="I21" s="36">
        <v>0</v>
      </c>
      <c r="J21" s="37">
        <f t="shared" si="0"/>
        <v>0.05</v>
      </c>
      <c r="K21" s="54">
        <v>0.29749999999999999</v>
      </c>
      <c r="L21" s="54">
        <v>2.9870000000000001E-3</v>
      </c>
      <c r="M21" s="54">
        <v>-0.125</v>
      </c>
      <c r="N21" s="54">
        <v>5.0000000000000001E-3</v>
      </c>
      <c r="O21" s="54">
        <v>1.2500000000000001E-2</v>
      </c>
      <c r="P21" s="54">
        <v>1.4999999999999999E-2</v>
      </c>
      <c r="Q21" s="54">
        <v>0.02</v>
      </c>
      <c r="R21" s="54">
        <v>0</v>
      </c>
      <c r="S21" s="59">
        <f t="shared" si="1"/>
        <v>0.22798700000000002</v>
      </c>
      <c r="T21" s="38">
        <f t="shared" si="2"/>
        <v>0.27798700000000004</v>
      </c>
      <c r="U21" s="39">
        <v>8.7500000000000008E-3</v>
      </c>
      <c r="V21" s="39">
        <v>2.2620000000000001E-3</v>
      </c>
      <c r="W21" s="39">
        <v>0</v>
      </c>
      <c r="X21" s="40">
        <f t="shared" si="3"/>
        <v>1.1012000000000001E-2</v>
      </c>
      <c r="Y21" s="41">
        <v>2.0206999999999999E-2</v>
      </c>
      <c r="Z21" s="41">
        <v>1.101E-3</v>
      </c>
      <c r="AA21" s="41">
        <v>3.0000000000000001E-3</v>
      </c>
      <c r="AB21" s="41">
        <v>0</v>
      </c>
      <c r="AC21" s="42">
        <f t="shared" si="4"/>
        <v>2.4308E-2</v>
      </c>
      <c r="AD21" s="38">
        <f t="shared" si="5"/>
        <v>3.5320000000000004E-2</v>
      </c>
      <c r="AE21" s="43">
        <f t="shared" si="6"/>
        <v>3.5320000000000004E-2</v>
      </c>
      <c r="AF21" s="43">
        <f t="shared" si="7"/>
        <v>5.9586700000000006E-2</v>
      </c>
      <c r="AG21" s="43">
        <f t="shared" si="8"/>
        <v>7.1720050000000007E-2</v>
      </c>
      <c r="AI21" s="64">
        <f>SUMIFS('Paths and Tariffs'!Q:Q,'Paths and Tariffs'!E:E,'Costing Detail'!E21,'Paths and Tariffs'!G:G,"GAS",'Paths and Tariffs'!N:N,1,'Paths and Tariffs'!M:M,1)</f>
        <v>2.0209999999999999E-2</v>
      </c>
    </row>
    <row r="22" spans="1:35" hidden="1" x14ac:dyDescent="0.55000000000000004">
      <c r="A22" s="35" t="s">
        <v>335</v>
      </c>
      <c r="B22" t="s">
        <v>626</v>
      </c>
      <c r="C22" t="s">
        <v>626</v>
      </c>
      <c r="D22" t="s">
        <v>7319</v>
      </c>
      <c r="E22" s="35" t="s">
        <v>627</v>
      </c>
      <c r="F22" t="s">
        <v>628</v>
      </c>
      <c r="G22" s="36">
        <v>0</v>
      </c>
      <c r="H22" s="36">
        <v>0</v>
      </c>
      <c r="I22" s="36">
        <v>1.15E-2</v>
      </c>
      <c r="J22" s="37">
        <f t="shared" si="0"/>
        <v>1.15E-2</v>
      </c>
      <c r="K22" s="54">
        <v>0.29638500000000001</v>
      </c>
      <c r="L22" s="54">
        <v>2.9659999999999999E-3</v>
      </c>
      <c r="M22" s="54">
        <v>-0.125</v>
      </c>
      <c r="N22" s="54">
        <v>5.0000000000000001E-3</v>
      </c>
      <c r="O22" s="54">
        <v>1.2500000000000001E-2</v>
      </c>
      <c r="P22" s="54">
        <v>1.4999999999999999E-2</v>
      </c>
      <c r="Q22" s="54">
        <v>0.02</v>
      </c>
      <c r="R22" s="54">
        <v>0</v>
      </c>
      <c r="S22" s="59">
        <f t="shared" si="1"/>
        <v>0.22685100000000005</v>
      </c>
      <c r="T22" s="38">
        <f t="shared" si="2"/>
        <v>0.23835100000000006</v>
      </c>
      <c r="U22" s="39">
        <v>0</v>
      </c>
      <c r="V22" s="39">
        <v>0</v>
      </c>
      <c r="W22" s="39">
        <v>1.15E-2</v>
      </c>
      <c r="X22" s="40">
        <f t="shared" si="3"/>
        <v>1.15E-2</v>
      </c>
      <c r="Y22" s="41">
        <v>9.3329999999999993E-3</v>
      </c>
      <c r="Z22" s="41">
        <v>9.0200000000000002E-4</v>
      </c>
      <c r="AA22" s="41">
        <v>3.0000000000000001E-3</v>
      </c>
      <c r="AB22" s="41">
        <v>0</v>
      </c>
      <c r="AC22" s="42">
        <f t="shared" si="4"/>
        <v>1.3235E-2</v>
      </c>
      <c r="AD22" s="38">
        <f t="shared" si="5"/>
        <v>2.4735E-2</v>
      </c>
      <c r="AE22" s="43">
        <f t="shared" si="6"/>
        <v>2.4735E-2</v>
      </c>
      <c r="AF22" s="43">
        <f t="shared" si="7"/>
        <v>4.6096600000000008E-2</v>
      </c>
      <c r="AG22" s="43">
        <f t="shared" si="8"/>
        <v>5.6777400000000006E-2</v>
      </c>
      <c r="AI22" s="64">
        <f>SUMIFS('Paths and Tariffs'!Q:Q,'Paths and Tariffs'!E:E,'Costing Detail'!E22,'Paths and Tariffs'!G:G,"GAS",'Paths and Tariffs'!N:N,1,'Paths and Tariffs'!M:M,1)</f>
        <v>9.3329999999999993E-3</v>
      </c>
    </row>
    <row r="23" spans="1:35" hidden="1" x14ac:dyDescent="0.55000000000000004">
      <c r="A23" s="35" t="s">
        <v>680</v>
      </c>
      <c r="B23" t="s">
        <v>681</v>
      </c>
      <c r="C23" t="s">
        <v>682</v>
      </c>
      <c r="D23" t="s">
        <v>7326</v>
      </c>
      <c r="E23" s="35" t="s">
        <v>683</v>
      </c>
      <c r="F23" t="s">
        <v>684</v>
      </c>
      <c r="G23" s="36">
        <v>0</v>
      </c>
      <c r="H23" s="36">
        <v>0</v>
      </c>
      <c r="I23" s="36">
        <v>1.15E-2</v>
      </c>
      <c r="J23" s="37">
        <f t="shared" si="0"/>
        <v>1.15E-2</v>
      </c>
      <c r="K23" s="54">
        <v>0.216667</v>
      </c>
      <c r="L23" s="54">
        <v>2.3379999999999998E-3</v>
      </c>
      <c r="M23" s="54">
        <v>-0.125</v>
      </c>
      <c r="N23" s="54">
        <v>5.0000000000000001E-3</v>
      </c>
      <c r="O23" s="54">
        <v>1.2500000000000001E-2</v>
      </c>
      <c r="P23" s="54">
        <v>1.4999999999999999E-2</v>
      </c>
      <c r="Q23" s="54">
        <v>0.02</v>
      </c>
      <c r="R23" s="54">
        <v>0</v>
      </c>
      <c r="S23" s="59">
        <f t="shared" si="1"/>
        <v>0.146505</v>
      </c>
      <c r="T23" s="38">
        <f t="shared" si="2"/>
        <v>0.15800500000000001</v>
      </c>
      <c r="U23" s="39">
        <v>0</v>
      </c>
      <c r="V23" s="39">
        <v>0</v>
      </c>
      <c r="W23" s="39">
        <v>1.15E-2</v>
      </c>
      <c r="X23" s="40">
        <f t="shared" si="3"/>
        <v>1.15E-2</v>
      </c>
      <c r="Y23" s="41">
        <v>5.5683000000000003E-2</v>
      </c>
      <c r="Z23" s="41">
        <v>2.1210000000000001E-3</v>
      </c>
      <c r="AA23" s="41">
        <v>3.0000000000000001E-3</v>
      </c>
      <c r="AB23" s="41">
        <v>0</v>
      </c>
      <c r="AC23" s="42">
        <f t="shared" si="4"/>
        <v>6.0804000000000004E-2</v>
      </c>
      <c r="AD23" s="38">
        <f t="shared" si="5"/>
        <v>7.2304000000000007E-2</v>
      </c>
      <c r="AE23" s="43">
        <f t="shared" si="6"/>
        <v>7.2304000000000007E-2</v>
      </c>
      <c r="AF23" s="43">
        <f t="shared" si="7"/>
        <v>8.0874100000000004E-2</v>
      </c>
      <c r="AG23" s="43">
        <f t="shared" si="8"/>
        <v>8.5159150000000003E-2</v>
      </c>
      <c r="AI23" s="64">
        <f>SUMIFS('Paths and Tariffs'!Q:Q,'Paths and Tariffs'!E:E,'Costing Detail'!E23,'Paths and Tariffs'!G:G,"GAS",'Paths and Tariffs'!N:N,1,'Paths and Tariffs'!M:M,1)</f>
        <v>5.5683000000000003E-2</v>
      </c>
    </row>
    <row r="24" spans="1:35" hidden="1" x14ac:dyDescent="0.55000000000000004">
      <c r="A24" s="35" t="s">
        <v>680</v>
      </c>
      <c r="B24" t="s">
        <v>734</v>
      </c>
      <c r="C24" t="s">
        <v>682</v>
      </c>
      <c r="D24" t="s">
        <v>7326</v>
      </c>
      <c r="E24" s="35" t="s">
        <v>735</v>
      </c>
      <c r="F24" t="s">
        <v>736</v>
      </c>
      <c r="G24" s="36">
        <v>0</v>
      </c>
      <c r="H24" s="36">
        <v>0</v>
      </c>
      <c r="I24" s="36">
        <v>1.15E-2</v>
      </c>
      <c r="J24" s="37">
        <f t="shared" si="0"/>
        <v>1.15E-2</v>
      </c>
      <c r="K24" s="54">
        <v>0.216667</v>
      </c>
      <c r="L24" s="54">
        <v>2.3050000000000002E-3</v>
      </c>
      <c r="M24" s="54">
        <v>-0.125</v>
      </c>
      <c r="N24" s="54">
        <v>5.0000000000000001E-3</v>
      </c>
      <c r="O24" s="54">
        <v>1.2500000000000001E-2</v>
      </c>
      <c r="P24" s="54">
        <v>1.4999999999999999E-2</v>
      </c>
      <c r="Q24" s="54">
        <v>0.02</v>
      </c>
      <c r="R24" s="54">
        <v>0</v>
      </c>
      <c r="S24" s="59">
        <f t="shared" si="1"/>
        <v>0.14647199999999999</v>
      </c>
      <c r="T24" s="38">
        <f t="shared" si="2"/>
        <v>0.157972</v>
      </c>
      <c r="U24" s="39">
        <v>0</v>
      </c>
      <c r="V24" s="39">
        <v>0</v>
      </c>
      <c r="W24" s="39">
        <v>1.15E-2</v>
      </c>
      <c r="X24" s="40">
        <f t="shared" si="3"/>
        <v>1.15E-2</v>
      </c>
      <c r="Y24" s="41">
        <v>5.8666999999999997E-2</v>
      </c>
      <c r="Z24" s="41">
        <v>2.1450000000000002E-3</v>
      </c>
      <c r="AA24" s="41">
        <v>3.0000000000000001E-3</v>
      </c>
      <c r="AB24" s="41">
        <v>0</v>
      </c>
      <c r="AC24" s="42">
        <f t="shared" si="4"/>
        <v>6.3811999999999994E-2</v>
      </c>
      <c r="AD24" s="38">
        <f t="shared" si="5"/>
        <v>7.531199999999999E-2</v>
      </c>
      <c r="AE24" s="43">
        <f t="shared" si="6"/>
        <v>7.531199999999999E-2</v>
      </c>
      <c r="AF24" s="43">
        <f t="shared" si="7"/>
        <v>8.3577999999999986E-2</v>
      </c>
      <c r="AG24" s="43">
        <f t="shared" si="8"/>
        <v>8.7710999999999997E-2</v>
      </c>
      <c r="AI24" s="64">
        <f>SUMIFS('Paths and Tariffs'!Q:Q,'Paths and Tariffs'!E:E,'Costing Detail'!E24,'Paths and Tariffs'!G:G,"GAS",'Paths and Tariffs'!N:N,1,'Paths and Tariffs'!M:M,1)</f>
        <v>5.8666999999999997E-2</v>
      </c>
    </row>
    <row r="25" spans="1:35" hidden="1" x14ac:dyDescent="0.55000000000000004">
      <c r="A25" s="35" t="s">
        <v>680</v>
      </c>
      <c r="B25" t="s">
        <v>710</v>
      </c>
      <c r="C25" t="s">
        <v>710</v>
      </c>
      <c r="D25" t="s">
        <v>7326</v>
      </c>
      <c r="E25" s="35" t="s">
        <v>749</v>
      </c>
      <c r="F25" t="s">
        <v>750</v>
      </c>
      <c r="G25" s="36">
        <v>0</v>
      </c>
      <c r="H25" s="36">
        <v>0</v>
      </c>
      <c r="I25" s="36">
        <v>1.15E-2</v>
      </c>
      <c r="J25" s="37">
        <f t="shared" si="0"/>
        <v>1.15E-2</v>
      </c>
      <c r="K25" s="54">
        <v>0.216667</v>
      </c>
      <c r="L25" s="54">
        <v>2.356E-3</v>
      </c>
      <c r="M25" s="54">
        <v>-0.125</v>
      </c>
      <c r="N25" s="54">
        <v>5.0000000000000001E-3</v>
      </c>
      <c r="O25" s="54">
        <v>1.2500000000000001E-2</v>
      </c>
      <c r="P25" s="54">
        <v>1.4999999999999999E-2</v>
      </c>
      <c r="Q25" s="54">
        <v>0.02</v>
      </c>
      <c r="R25" s="54">
        <v>0</v>
      </c>
      <c r="S25" s="59">
        <f t="shared" si="1"/>
        <v>0.14652299999999999</v>
      </c>
      <c r="T25" s="38">
        <f t="shared" si="2"/>
        <v>0.158023</v>
      </c>
      <c r="U25" s="39">
        <v>0</v>
      </c>
      <c r="V25" s="39">
        <v>0</v>
      </c>
      <c r="W25" s="39">
        <v>1.15E-2</v>
      </c>
      <c r="X25" s="40">
        <f t="shared" si="3"/>
        <v>1.15E-2</v>
      </c>
      <c r="Y25" s="41">
        <v>7.8301999999999997E-2</v>
      </c>
      <c r="Z25" s="41">
        <v>2.3470000000000001E-3</v>
      </c>
      <c r="AA25" s="41">
        <v>3.0000000000000001E-3</v>
      </c>
      <c r="AB25" s="41">
        <v>0</v>
      </c>
      <c r="AC25" s="42">
        <f t="shared" si="4"/>
        <v>8.3649000000000001E-2</v>
      </c>
      <c r="AD25" s="38">
        <f t="shared" si="5"/>
        <v>9.5148999999999997E-2</v>
      </c>
      <c r="AE25" s="43">
        <f t="shared" si="6"/>
        <v>9.5148999999999997E-2</v>
      </c>
      <c r="AF25" s="43">
        <f t="shared" si="7"/>
        <v>0.10143640000000001</v>
      </c>
      <c r="AG25" s="43">
        <f t="shared" si="8"/>
        <v>0.1045801</v>
      </c>
      <c r="AI25" s="64">
        <f>SUMIFS('Paths and Tariffs'!Q:Q,'Paths and Tariffs'!E:E,'Costing Detail'!E25,'Paths and Tariffs'!G:G,"GAS",'Paths and Tariffs'!N:N,1,'Paths and Tariffs'!M:M,1)</f>
        <v>7.8301999999999997E-2</v>
      </c>
    </row>
    <row r="26" spans="1:35" hidden="1" x14ac:dyDescent="0.55000000000000004">
      <c r="A26" s="35" t="s">
        <v>787</v>
      </c>
      <c r="B26" t="s">
        <v>837</v>
      </c>
      <c r="C26" t="s">
        <v>7328</v>
      </c>
      <c r="D26" t="s">
        <v>7329</v>
      </c>
      <c r="E26" s="35" t="s">
        <v>838</v>
      </c>
      <c r="F26" t="s">
        <v>839</v>
      </c>
      <c r="G26" s="36">
        <v>0</v>
      </c>
      <c r="H26" s="36">
        <v>0</v>
      </c>
      <c r="I26" s="36">
        <v>1.15E-2</v>
      </c>
      <c r="J26" s="37">
        <f t="shared" si="0"/>
        <v>1.15E-2</v>
      </c>
      <c r="K26" s="54">
        <v>0</v>
      </c>
      <c r="L26" s="54">
        <v>0</v>
      </c>
      <c r="M26" s="54">
        <v>0</v>
      </c>
      <c r="N26" s="54">
        <v>0</v>
      </c>
      <c r="O26" s="54">
        <v>0</v>
      </c>
      <c r="P26" s="54">
        <v>0</v>
      </c>
      <c r="Q26" s="54">
        <v>0</v>
      </c>
      <c r="R26" s="54">
        <v>0.25804500000000002</v>
      </c>
      <c r="S26" s="59">
        <f t="shared" si="1"/>
        <v>0.25804500000000002</v>
      </c>
      <c r="T26" s="38">
        <f t="shared" si="2"/>
        <v>0.26954500000000003</v>
      </c>
      <c r="U26" s="39">
        <v>0</v>
      </c>
      <c r="V26" s="39">
        <v>0</v>
      </c>
      <c r="W26" s="39">
        <v>1.15E-2</v>
      </c>
      <c r="X26" s="40">
        <f t="shared" si="3"/>
        <v>1.15E-2</v>
      </c>
      <c r="Y26" s="41">
        <v>1.5398E-2</v>
      </c>
      <c r="Z26" s="41">
        <v>8.8999999999999995E-4</v>
      </c>
      <c r="AA26" s="41">
        <v>3.0000000000000001E-3</v>
      </c>
      <c r="AB26" s="41">
        <v>0</v>
      </c>
      <c r="AC26" s="42">
        <f t="shared" si="4"/>
        <v>1.9288E-2</v>
      </c>
      <c r="AD26" s="38">
        <f t="shared" si="5"/>
        <v>3.0787999999999999E-2</v>
      </c>
      <c r="AE26" s="43">
        <f t="shared" si="6"/>
        <v>3.0787999999999999E-2</v>
      </c>
      <c r="AF26" s="43">
        <f t="shared" si="7"/>
        <v>5.466370000000001E-2</v>
      </c>
      <c r="AG26" s="43">
        <f t="shared" si="8"/>
        <v>6.6601550000000009E-2</v>
      </c>
      <c r="AI26" s="64">
        <f>SUMIFS('Paths and Tariffs'!Q:Q,'Paths and Tariffs'!E:E,'Costing Detail'!E26,'Paths and Tariffs'!G:G,"GAS",'Paths and Tariffs'!N:N,1,'Paths and Tariffs'!M:M,1)</f>
        <v>1.5398E-2</v>
      </c>
    </row>
    <row r="27" spans="1:35" hidden="1" x14ac:dyDescent="0.55000000000000004">
      <c r="A27" s="35" t="s">
        <v>861</v>
      </c>
      <c r="B27" t="s">
        <v>905</v>
      </c>
      <c r="C27" t="s">
        <v>905</v>
      </c>
      <c r="D27" t="s">
        <v>7329</v>
      </c>
      <c r="E27" s="35" t="s">
        <v>906</v>
      </c>
      <c r="F27" t="s">
        <v>907</v>
      </c>
      <c r="G27" s="36">
        <v>0</v>
      </c>
      <c r="H27" s="36">
        <v>0</v>
      </c>
      <c r="I27" s="36">
        <v>1.15E-2</v>
      </c>
      <c r="J27" s="37">
        <f t="shared" si="0"/>
        <v>1.15E-2</v>
      </c>
      <c r="K27" s="54">
        <v>0.2356</v>
      </c>
      <c r="L27" s="54">
        <v>2.5469999999999998E-3</v>
      </c>
      <c r="M27" s="54">
        <v>-5.5E-2</v>
      </c>
      <c r="N27" s="54">
        <v>5.0000000000000001E-3</v>
      </c>
      <c r="O27" s="54">
        <v>1.2500000000000001E-2</v>
      </c>
      <c r="P27" s="54">
        <v>1.4999999999999999E-2</v>
      </c>
      <c r="Q27" s="54">
        <v>0.02</v>
      </c>
      <c r="R27" s="54">
        <v>0</v>
      </c>
      <c r="S27" s="59">
        <f t="shared" si="1"/>
        <v>0.23564700000000002</v>
      </c>
      <c r="T27" s="38">
        <f t="shared" si="2"/>
        <v>0.24714700000000003</v>
      </c>
      <c r="U27" s="39">
        <v>0</v>
      </c>
      <c r="V27" s="39">
        <v>0</v>
      </c>
      <c r="W27" s="39">
        <v>1.15E-2</v>
      </c>
      <c r="X27" s="40">
        <f t="shared" si="3"/>
        <v>1.15E-2</v>
      </c>
      <c r="Y27" s="41">
        <v>0</v>
      </c>
      <c r="Z27" s="41">
        <v>0</v>
      </c>
      <c r="AA27" s="41">
        <v>0</v>
      </c>
      <c r="AB27" s="41">
        <v>0.19</v>
      </c>
      <c r="AC27" s="42">
        <f t="shared" si="4"/>
        <v>0.19</v>
      </c>
      <c r="AD27" s="38">
        <f t="shared" si="5"/>
        <v>0.20150000000000001</v>
      </c>
      <c r="AE27" s="43">
        <f t="shared" si="6"/>
        <v>0.20150000000000001</v>
      </c>
      <c r="AF27" s="43">
        <f t="shared" si="7"/>
        <v>0.20606470000000002</v>
      </c>
      <c r="AG27" s="43">
        <f t="shared" si="8"/>
        <v>0.20834705000000001</v>
      </c>
      <c r="AI27" s="64">
        <f>SUMIFS('Paths and Tariffs'!Q:Q,'Paths and Tariffs'!E:E,'Costing Detail'!E27,'Paths and Tariffs'!G:G,"GAS",'Paths and Tariffs'!N:N,1,'Paths and Tariffs'!M:M,1)</f>
        <v>0</v>
      </c>
    </row>
    <row r="28" spans="1:35" hidden="1" x14ac:dyDescent="0.55000000000000004">
      <c r="A28" s="35" t="s">
        <v>861</v>
      </c>
      <c r="B28" t="s">
        <v>954</v>
      </c>
      <c r="C28" t="s">
        <v>954</v>
      </c>
      <c r="D28" t="s">
        <v>7329</v>
      </c>
      <c r="E28" s="35" t="s">
        <v>966</v>
      </c>
      <c r="F28" t="s">
        <v>967</v>
      </c>
      <c r="G28" s="36">
        <v>0</v>
      </c>
      <c r="H28" s="36">
        <v>0</v>
      </c>
      <c r="I28" s="36">
        <v>1.15E-2</v>
      </c>
      <c r="J28" s="37">
        <f t="shared" si="0"/>
        <v>1.15E-2</v>
      </c>
      <c r="K28" s="54">
        <v>0.26155800000000001</v>
      </c>
      <c r="L28" s="54">
        <v>2.709E-3</v>
      </c>
      <c r="M28" s="54">
        <v>-5.5E-2</v>
      </c>
      <c r="N28" s="54">
        <v>5.0000000000000001E-3</v>
      </c>
      <c r="O28" s="54">
        <v>1.2500000000000001E-2</v>
      </c>
      <c r="P28" s="54">
        <v>1.4999999999999999E-2</v>
      </c>
      <c r="Q28" s="54">
        <v>0.02</v>
      </c>
      <c r="R28" s="54">
        <v>0</v>
      </c>
      <c r="S28" s="59">
        <f t="shared" si="1"/>
        <v>0.26176700000000008</v>
      </c>
      <c r="T28" s="38">
        <f t="shared" si="2"/>
        <v>0.27326700000000009</v>
      </c>
      <c r="U28" s="39">
        <v>0</v>
      </c>
      <c r="V28" s="39">
        <v>0</v>
      </c>
      <c r="W28" s="39">
        <v>1.15E-2</v>
      </c>
      <c r="X28" s="40">
        <f t="shared" si="3"/>
        <v>1.15E-2</v>
      </c>
      <c r="Y28" s="41">
        <v>0</v>
      </c>
      <c r="Z28" s="41">
        <v>0</v>
      </c>
      <c r="AA28" s="41">
        <v>0</v>
      </c>
      <c r="AB28" s="41">
        <v>0.16</v>
      </c>
      <c r="AC28" s="42">
        <f t="shared" si="4"/>
        <v>0.16</v>
      </c>
      <c r="AD28" s="38">
        <f t="shared" si="5"/>
        <v>0.17150000000000001</v>
      </c>
      <c r="AE28" s="43">
        <f t="shared" si="6"/>
        <v>0.17150000000000001</v>
      </c>
      <c r="AF28" s="43">
        <f t="shared" si="7"/>
        <v>0.18167670000000002</v>
      </c>
      <c r="AG28" s="43">
        <f t="shared" si="8"/>
        <v>0.18676505000000004</v>
      </c>
      <c r="AI28" s="64">
        <f>SUMIFS('Paths and Tariffs'!Q:Q,'Paths and Tariffs'!E:E,'Costing Detail'!E28,'Paths and Tariffs'!G:G,"GAS",'Paths and Tariffs'!N:N,1,'Paths and Tariffs'!M:M,1)</f>
        <v>0</v>
      </c>
    </row>
    <row r="29" spans="1:35" hidden="1" x14ac:dyDescent="0.55000000000000004">
      <c r="A29" s="35" t="s">
        <v>987</v>
      </c>
      <c r="B29" t="s">
        <v>988</v>
      </c>
      <c r="C29" t="s">
        <v>988</v>
      </c>
      <c r="D29" t="s">
        <v>7329</v>
      </c>
      <c r="E29" s="35" t="s">
        <v>999</v>
      </c>
      <c r="F29" t="s">
        <v>1000</v>
      </c>
      <c r="G29" s="36">
        <v>0</v>
      </c>
      <c r="H29" s="36">
        <v>0</v>
      </c>
      <c r="I29" s="36">
        <v>1.15E-2</v>
      </c>
      <c r="J29" s="37">
        <f t="shared" si="0"/>
        <v>1.15E-2</v>
      </c>
      <c r="K29" s="54">
        <v>0.23910000000000001</v>
      </c>
      <c r="L29" s="54">
        <v>2.447E-3</v>
      </c>
      <c r="M29" s="54">
        <v>-5.5E-2</v>
      </c>
      <c r="N29" s="54">
        <v>5.0000000000000001E-3</v>
      </c>
      <c r="O29" s="54">
        <v>1.2500000000000001E-2</v>
      </c>
      <c r="P29" s="54">
        <v>1.4999999999999999E-2</v>
      </c>
      <c r="Q29" s="54">
        <v>0.02</v>
      </c>
      <c r="R29" s="54">
        <v>0</v>
      </c>
      <c r="S29" s="59">
        <f t="shared" si="1"/>
        <v>0.23904700000000004</v>
      </c>
      <c r="T29" s="38">
        <f t="shared" si="2"/>
        <v>0.25054700000000002</v>
      </c>
      <c r="U29" s="39">
        <v>0</v>
      </c>
      <c r="V29" s="39">
        <v>0</v>
      </c>
      <c r="W29" s="39">
        <v>1.15E-2</v>
      </c>
      <c r="X29" s="40">
        <f t="shared" si="3"/>
        <v>1.15E-2</v>
      </c>
      <c r="Y29" s="41">
        <v>4.2035999999999997E-2</v>
      </c>
      <c r="Z29" s="41">
        <v>3.4329999999999999E-3</v>
      </c>
      <c r="AA29" s="41">
        <v>3.0000000000000001E-3</v>
      </c>
      <c r="AB29" s="41">
        <v>0</v>
      </c>
      <c r="AC29" s="42">
        <f t="shared" si="4"/>
        <v>4.8468999999999998E-2</v>
      </c>
      <c r="AD29" s="38">
        <f t="shared" si="5"/>
        <v>5.9968999999999995E-2</v>
      </c>
      <c r="AE29" s="43">
        <f t="shared" si="6"/>
        <v>5.9968999999999995E-2</v>
      </c>
      <c r="AF29" s="43">
        <f t="shared" si="7"/>
        <v>7.9026799999999994E-2</v>
      </c>
      <c r="AG29" s="43">
        <f t="shared" si="8"/>
        <v>8.8555699999999987E-2</v>
      </c>
      <c r="AI29" s="64">
        <f>SUMIFS('Paths and Tariffs'!Q:Q,'Paths and Tariffs'!E:E,'Costing Detail'!E29,'Paths and Tariffs'!G:G,"GAS",'Paths and Tariffs'!N:N,1,'Paths and Tariffs'!M:M,1)</f>
        <v>4.2035999999999997E-2</v>
      </c>
    </row>
    <row r="30" spans="1:35" hidden="1" x14ac:dyDescent="0.55000000000000004">
      <c r="A30" s="35" t="s">
        <v>987</v>
      </c>
      <c r="B30" t="s">
        <v>1017</v>
      </c>
      <c r="C30" t="s">
        <v>1017</v>
      </c>
      <c r="D30" t="s">
        <v>7329</v>
      </c>
      <c r="E30" s="35" t="s">
        <v>1018</v>
      </c>
      <c r="F30" t="s">
        <v>1019</v>
      </c>
      <c r="G30" s="36">
        <v>0</v>
      </c>
      <c r="H30" s="36">
        <v>0</v>
      </c>
      <c r="I30" s="36">
        <v>1.15E-2</v>
      </c>
      <c r="J30" s="37">
        <f t="shared" si="0"/>
        <v>1.15E-2</v>
      </c>
      <c r="K30" s="54">
        <v>0.22689999999999999</v>
      </c>
      <c r="L30" s="54">
        <v>2.359E-3</v>
      </c>
      <c r="M30" s="54">
        <v>-5.5E-2</v>
      </c>
      <c r="N30" s="54">
        <v>5.0000000000000001E-3</v>
      </c>
      <c r="O30" s="54">
        <v>1.2500000000000001E-2</v>
      </c>
      <c r="P30" s="54">
        <v>1.4999999999999999E-2</v>
      </c>
      <c r="Q30" s="54">
        <v>0.02</v>
      </c>
      <c r="R30" s="54">
        <v>0</v>
      </c>
      <c r="S30" s="59">
        <f t="shared" si="1"/>
        <v>0.22675900000000002</v>
      </c>
      <c r="T30" s="38">
        <f t="shared" si="2"/>
        <v>0.23825900000000003</v>
      </c>
      <c r="U30" s="39">
        <v>0</v>
      </c>
      <c r="V30" s="39">
        <v>0</v>
      </c>
      <c r="W30" s="39">
        <v>1.15E-2</v>
      </c>
      <c r="X30" s="40">
        <f t="shared" si="3"/>
        <v>1.15E-2</v>
      </c>
      <c r="Y30" s="41">
        <v>3.9913999999999998E-2</v>
      </c>
      <c r="Z30" s="41">
        <v>3.0720000000000001E-3</v>
      </c>
      <c r="AA30" s="41">
        <v>3.0000000000000001E-3</v>
      </c>
      <c r="AB30" s="41">
        <v>0</v>
      </c>
      <c r="AC30" s="42">
        <f t="shared" si="4"/>
        <v>4.5985999999999999E-2</v>
      </c>
      <c r="AD30" s="38">
        <f t="shared" si="5"/>
        <v>5.7485999999999995E-2</v>
      </c>
      <c r="AE30" s="43">
        <f t="shared" si="6"/>
        <v>5.7485999999999995E-2</v>
      </c>
      <c r="AF30" s="43">
        <f t="shared" si="7"/>
        <v>7.55633E-2</v>
      </c>
      <c r="AG30" s="43">
        <f t="shared" si="8"/>
        <v>8.4601949999999995E-2</v>
      </c>
      <c r="AI30" s="64">
        <f>SUMIFS('Paths and Tariffs'!Q:Q,'Paths and Tariffs'!E:E,'Costing Detail'!E30,'Paths and Tariffs'!G:G,"GAS",'Paths and Tariffs'!N:N,1,'Paths and Tariffs'!M:M,1)</f>
        <v>3.9913999999999998E-2</v>
      </c>
    </row>
    <row r="31" spans="1:35" hidden="1" x14ac:dyDescent="0.55000000000000004">
      <c r="A31" s="35" t="s">
        <v>987</v>
      </c>
      <c r="B31" t="s">
        <v>1044</v>
      </c>
      <c r="C31" t="s">
        <v>1045</v>
      </c>
      <c r="D31" t="s">
        <v>7329</v>
      </c>
      <c r="E31" s="35" t="s">
        <v>1046</v>
      </c>
      <c r="F31" t="s">
        <v>1047</v>
      </c>
      <c r="G31" s="36">
        <v>0</v>
      </c>
      <c r="H31" s="36">
        <v>0</v>
      </c>
      <c r="I31" s="36">
        <v>1.15E-2</v>
      </c>
      <c r="J31" s="37">
        <f t="shared" si="0"/>
        <v>1.15E-2</v>
      </c>
      <c r="K31" s="54">
        <v>0.22689999999999999</v>
      </c>
      <c r="L31" s="54">
        <v>2.3349999999999998E-3</v>
      </c>
      <c r="M31" s="54">
        <v>-5.5E-2</v>
      </c>
      <c r="N31" s="54">
        <v>5.0000000000000001E-3</v>
      </c>
      <c r="O31" s="54">
        <v>1.2500000000000001E-2</v>
      </c>
      <c r="P31" s="54">
        <v>1.4999999999999999E-2</v>
      </c>
      <c r="Q31" s="54">
        <v>0.02</v>
      </c>
      <c r="R31" s="54">
        <v>0</v>
      </c>
      <c r="S31" s="59">
        <f t="shared" si="1"/>
        <v>0.22673499999999999</v>
      </c>
      <c r="T31" s="38">
        <f t="shared" si="2"/>
        <v>0.238235</v>
      </c>
      <c r="U31" s="39">
        <v>0</v>
      </c>
      <c r="V31" s="39">
        <v>0</v>
      </c>
      <c r="W31" s="39">
        <v>1.15E-2</v>
      </c>
      <c r="X31" s="40">
        <f t="shared" si="3"/>
        <v>1.15E-2</v>
      </c>
      <c r="Y31" s="41">
        <v>3.3750000000000002E-2</v>
      </c>
      <c r="Z31" s="41">
        <v>2.0379999999999999E-3</v>
      </c>
      <c r="AA31" s="41">
        <v>3.0000000000000001E-3</v>
      </c>
      <c r="AB31" s="41">
        <v>0</v>
      </c>
      <c r="AC31" s="42">
        <f t="shared" si="4"/>
        <v>3.8788000000000003E-2</v>
      </c>
      <c r="AD31" s="38">
        <f t="shared" si="5"/>
        <v>5.0287999999999999E-2</v>
      </c>
      <c r="AE31" s="43">
        <f t="shared" si="6"/>
        <v>5.0287999999999999E-2</v>
      </c>
      <c r="AF31" s="43">
        <f t="shared" si="7"/>
        <v>6.9082699999999997E-2</v>
      </c>
      <c r="AG31" s="43">
        <f t="shared" si="8"/>
        <v>7.8480049999999996E-2</v>
      </c>
      <c r="AI31" s="64">
        <f>SUMIFS('Paths and Tariffs'!Q:Q,'Paths and Tariffs'!E:E,'Costing Detail'!E31,'Paths and Tariffs'!G:G,"GAS",'Paths and Tariffs'!N:N,1,'Paths and Tariffs'!M:M,1)</f>
        <v>3.3750000000000002E-2</v>
      </c>
    </row>
    <row r="32" spans="1:35" hidden="1" x14ac:dyDescent="0.55000000000000004">
      <c r="A32" s="35" t="s">
        <v>987</v>
      </c>
      <c r="B32" t="s">
        <v>1062</v>
      </c>
      <c r="C32" t="s">
        <v>1045</v>
      </c>
      <c r="D32" t="s">
        <v>7329</v>
      </c>
      <c r="E32" s="35" t="s">
        <v>1076</v>
      </c>
      <c r="F32" t="s">
        <v>1077</v>
      </c>
      <c r="G32" s="36">
        <v>0</v>
      </c>
      <c r="H32" s="36">
        <v>0</v>
      </c>
      <c r="I32" s="36">
        <v>1.15E-2</v>
      </c>
      <c r="J32" s="37">
        <f t="shared" si="0"/>
        <v>1.15E-2</v>
      </c>
      <c r="K32" s="54">
        <v>0.22689999999999999</v>
      </c>
      <c r="L32" s="54">
        <v>2.343E-3</v>
      </c>
      <c r="M32" s="54">
        <v>-5.5E-2</v>
      </c>
      <c r="N32" s="54">
        <v>5.0000000000000001E-3</v>
      </c>
      <c r="O32" s="54">
        <v>1.2500000000000001E-2</v>
      </c>
      <c r="P32" s="54">
        <v>1.4999999999999999E-2</v>
      </c>
      <c r="Q32" s="54">
        <v>0.02</v>
      </c>
      <c r="R32" s="54">
        <v>0</v>
      </c>
      <c r="S32" s="59">
        <f t="shared" si="1"/>
        <v>0.226743</v>
      </c>
      <c r="T32" s="38">
        <f t="shared" si="2"/>
        <v>0.23824300000000001</v>
      </c>
      <c r="U32" s="39">
        <v>0</v>
      </c>
      <c r="V32" s="39">
        <v>0</v>
      </c>
      <c r="W32" s="39">
        <v>1.15E-2</v>
      </c>
      <c r="X32" s="40">
        <f t="shared" si="3"/>
        <v>1.15E-2</v>
      </c>
      <c r="Y32" s="41">
        <v>3.8151999999999998E-2</v>
      </c>
      <c r="Z32" s="41">
        <v>2.8900000000000002E-3</v>
      </c>
      <c r="AA32" s="41">
        <v>3.0000000000000001E-3</v>
      </c>
      <c r="AB32" s="41">
        <v>0</v>
      </c>
      <c r="AC32" s="42">
        <f t="shared" si="4"/>
        <v>4.4041999999999998E-2</v>
      </c>
      <c r="AD32" s="38">
        <f t="shared" si="5"/>
        <v>5.5541999999999994E-2</v>
      </c>
      <c r="AE32" s="43">
        <f t="shared" si="6"/>
        <v>5.5541999999999994E-2</v>
      </c>
      <c r="AF32" s="43">
        <f t="shared" si="7"/>
        <v>7.3812100000000005E-2</v>
      </c>
      <c r="AG32" s="43">
        <f t="shared" si="8"/>
        <v>8.2947149999999997E-2</v>
      </c>
      <c r="AI32" s="64">
        <f>SUMIFS('Paths and Tariffs'!Q:Q,'Paths and Tariffs'!E:E,'Costing Detail'!E32,'Paths and Tariffs'!G:G,"GAS",'Paths and Tariffs'!N:N,1,'Paths and Tariffs'!M:M,1)</f>
        <v>3.8151999999999998E-2</v>
      </c>
    </row>
    <row r="33" spans="1:35" hidden="1" x14ac:dyDescent="0.55000000000000004">
      <c r="A33" s="35" t="s">
        <v>987</v>
      </c>
      <c r="B33" t="s">
        <v>1093</v>
      </c>
      <c r="C33" t="s">
        <v>1045</v>
      </c>
      <c r="D33" t="s">
        <v>7329</v>
      </c>
      <c r="E33" s="35" t="s">
        <v>1119</v>
      </c>
      <c r="F33" t="s">
        <v>1120</v>
      </c>
      <c r="G33" s="36">
        <v>0</v>
      </c>
      <c r="H33" s="36">
        <v>0</v>
      </c>
      <c r="I33" s="36">
        <v>1.15E-2</v>
      </c>
      <c r="J33" s="37">
        <f t="shared" si="0"/>
        <v>1.15E-2</v>
      </c>
      <c r="K33" s="54">
        <v>0.22689999999999999</v>
      </c>
      <c r="L33" s="54">
        <v>2.343E-3</v>
      </c>
      <c r="M33" s="54">
        <v>-5.5E-2</v>
      </c>
      <c r="N33" s="54">
        <v>5.0000000000000001E-3</v>
      </c>
      <c r="O33" s="54">
        <v>1.2500000000000001E-2</v>
      </c>
      <c r="P33" s="54">
        <v>1.4999999999999999E-2</v>
      </c>
      <c r="Q33" s="54">
        <v>0.02</v>
      </c>
      <c r="R33" s="54">
        <v>0</v>
      </c>
      <c r="S33" s="59">
        <f t="shared" si="1"/>
        <v>0.226743</v>
      </c>
      <c r="T33" s="38">
        <f t="shared" si="2"/>
        <v>0.23824300000000001</v>
      </c>
      <c r="U33" s="39">
        <v>0</v>
      </c>
      <c r="V33" s="39">
        <v>0</v>
      </c>
      <c r="W33" s="39">
        <v>1.15E-2</v>
      </c>
      <c r="X33" s="40">
        <f t="shared" si="3"/>
        <v>1.15E-2</v>
      </c>
      <c r="Y33" s="41">
        <v>3.8151999999999998E-2</v>
      </c>
      <c r="Z33" s="41">
        <v>2.9260000000000002E-3</v>
      </c>
      <c r="AA33" s="41">
        <v>3.0000000000000001E-3</v>
      </c>
      <c r="AB33" s="41">
        <v>0</v>
      </c>
      <c r="AC33" s="42">
        <f t="shared" si="4"/>
        <v>4.4077999999999999E-2</v>
      </c>
      <c r="AD33" s="38">
        <f t="shared" si="5"/>
        <v>5.5578000000000002E-2</v>
      </c>
      <c r="AE33" s="43">
        <f t="shared" si="6"/>
        <v>5.5578000000000002E-2</v>
      </c>
      <c r="AF33" s="43">
        <f t="shared" si="7"/>
        <v>7.3844500000000007E-2</v>
      </c>
      <c r="AG33" s="43">
        <f t="shared" si="8"/>
        <v>8.2977750000000003E-2</v>
      </c>
      <c r="AI33" s="64">
        <f>SUMIFS('Paths and Tariffs'!Q:Q,'Paths and Tariffs'!E:E,'Costing Detail'!E33,'Paths and Tariffs'!G:G,"GAS",'Paths and Tariffs'!N:N,1,'Paths and Tariffs'!M:M,1)</f>
        <v>3.8151999999999998E-2</v>
      </c>
    </row>
    <row r="34" spans="1:35" hidden="1" x14ac:dyDescent="0.55000000000000004">
      <c r="A34" s="35" t="s">
        <v>987</v>
      </c>
      <c r="B34" t="s">
        <v>1170</v>
      </c>
      <c r="C34" t="s">
        <v>1045</v>
      </c>
      <c r="D34" t="s">
        <v>7329</v>
      </c>
      <c r="E34" s="35" t="s">
        <v>1171</v>
      </c>
      <c r="F34" t="s">
        <v>1172</v>
      </c>
      <c r="G34" s="36">
        <v>0</v>
      </c>
      <c r="H34" s="36">
        <v>0</v>
      </c>
      <c r="I34" s="36">
        <v>1.15E-2</v>
      </c>
      <c r="J34" s="37">
        <f t="shared" si="0"/>
        <v>1.15E-2</v>
      </c>
      <c r="K34" s="54">
        <v>0.20519999999999999</v>
      </c>
      <c r="L34" s="54">
        <v>2.3969999999999998E-3</v>
      </c>
      <c r="M34" s="54">
        <v>-5.5E-2</v>
      </c>
      <c r="N34" s="54">
        <v>5.0000000000000001E-3</v>
      </c>
      <c r="O34" s="54">
        <v>1.2500000000000001E-2</v>
      </c>
      <c r="P34" s="54">
        <v>1.4999999999999999E-2</v>
      </c>
      <c r="Q34" s="54">
        <v>0.02</v>
      </c>
      <c r="R34" s="54">
        <v>0</v>
      </c>
      <c r="S34" s="59">
        <f t="shared" si="1"/>
        <v>0.205097</v>
      </c>
      <c r="T34" s="38">
        <f t="shared" si="2"/>
        <v>0.21659700000000001</v>
      </c>
      <c r="U34" s="39">
        <v>1.6441999999999998E-2</v>
      </c>
      <c r="V34" s="39">
        <v>0</v>
      </c>
      <c r="W34" s="39">
        <v>0</v>
      </c>
      <c r="X34" s="40">
        <f t="shared" si="3"/>
        <v>1.6441999999999998E-2</v>
      </c>
      <c r="Y34" s="41">
        <v>3.8151999999999998E-2</v>
      </c>
      <c r="Z34" s="41">
        <v>2.8639999999999998E-3</v>
      </c>
      <c r="AA34" s="41">
        <v>3.0000000000000001E-3</v>
      </c>
      <c r="AB34" s="41">
        <v>0</v>
      </c>
      <c r="AC34" s="42">
        <f t="shared" si="4"/>
        <v>4.4016E-2</v>
      </c>
      <c r="AD34" s="38">
        <f t="shared" si="5"/>
        <v>6.0457999999999998E-2</v>
      </c>
      <c r="AE34" s="43">
        <f t="shared" si="6"/>
        <v>6.0457999999999998E-2</v>
      </c>
      <c r="AF34" s="43">
        <f t="shared" si="7"/>
        <v>7.6071899999999998E-2</v>
      </c>
      <c r="AG34" s="43">
        <f t="shared" si="8"/>
        <v>8.3878850000000005E-2</v>
      </c>
      <c r="AI34" s="64">
        <f>SUMIFS('Paths and Tariffs'!Q:Q,'Paths and Tariffs'!E:E,'Costing Detail'!E34,'Paths and Tariffs'!G:G,"GAS",'Paths and Tariffs'!N:N,1,'Paths and Tariffs'!M:M,1)</f>
        <v>3.8151999999999998E-2</v>
      </c>
    </row>
    <row r="35" spans="1:35" hidden="1" x14ac:dyDescent="0.55000000000000004">
      <c r="A35" s="35" t="s">
        <v>987</v>
      </c>
      <c r="B35" t="s">
        <v>1033</v>
      </c>
      <c r="C35" t="s">
        <v>1033</v>
      </c>
      <c r="D35" t="s">
        <v>7329</v>
      </c>
      <c r="E35" s="35" t="s">
        <v>1042</v>
      </c>
      <c r="F35" t="s">
        <v>1043</v>
      </c>
      <c r="G35" s="36">
        <v>0</v>
      </c>
      <c r="H35" s="36">
        <v>0</v>
      </c>
      <c r="I35" s="36">
        <v>1.15E-2</v>
      </c>
      <c r="J35" s="37">
        <f t="shared" si="0"/>
        <v>1.15E-2</v>
      </c>
      <c r="K35" s="54">
        <v>0.25809700000000002</v>
      </c>
      <c r="L35" s="54">
        <v>2.5469999999999998E-3</v>
      </c>
      <c r="M35" s="54">
        <v>-5.5E-2</v>
      </c>
      <c r="N35" s="54">
        <v>5.0000000000000001E-3</v>
      </c>
      <c r="O35" s="54">
        <v>1.2500000000000001E-2</v>
      </c>
      <c r="P35" s="54">
        <v>1.4999999999999999E-2</v>
      </c>
      <c r="Q35" s="54">
        <v>0.02</v>
      </c>
      <c r="R35" s="54">
        <v>0</v>
      </c>
      <c r="S35" s="59">
        <f t="shared" si="1"/>
        <v>0.2581440000000001</v>
      </c>
      <c r="T35" s="38">
        <f t="shared" si="2"/>
        <v>0.26964400000000011</v>
      </c>
      <c r="U35" s="39">
        <v>0</v>
      </c>
      <c r="V35" s="39">
        <v>0</v>
      </c>
      <c r="W35" s="39">
        <v>1.15E-2</v>
      </c>
      <c r="X35" s="40">
        <f t="shared" si="3"/>
        <v>1.15E-2</v>
      </c>
      <c r="Y35" s="41">
        <v>4.2923999999999997E-2</v>
      </c>
      <c r="Z35" s="41">
        <v>3.5790000000000001E-3</v>
      </c>
      <c r="AA35" s="41">
        <v>3.0000000000000001E-3</v>
      </c>
      <c r="AB35" s="41">
        <v>0</v>
      </c>
      <c r="AC35" s="42">
        <f t="shared" si="4"/>
        <v>4.9502999999999998E-2</v>
      </c>
      <c r="AD35" s="38">
        <f t="shared" si="5"/>
        <v>6.1003000000000002E-2</v>
      </c>
      <c r="AE35" s="43">
        <f t="shared" si="6"/>
        <v>6.1003000000000002E-2</v>
      </c>
      <c r="AF35" s="43">
        <f t="shared" si="7"/>
        <v>8.1867100000000026E-2</v>
      </c>
      <c r="AG35" s="43">
        <f t="shared" si="8"/>
        <v>9.229915000000001E-2</v>
      </c>
      <c r="AI35" s="64">
        <f>SUMIFS('Paths and Tariffs'!Q:Q,'Paths and Tariffs'!E:E,'Costing Detail'!E35,'Paths and Tariffs'!G:G,"GAS",'Paths and Tariffs'!N:N,1,'Paths and Tariffs'!M:M,1)</f>
        <v>4.2923999999999997E-2</v>
      </c>
    </row>
    <row r="36" spans="1:35" hidden="1" x14ac:dyDescent="0.55000000000000004">
      <c r="A36" s="35" t="s">
        <v>987</v>
      </c>
      <c r="B36" t="s">
        <v>1136</v>
      </c>
      <c r="C36" t="s">
        <v>1137</v>
      </c>
      <c r="D36" t="s">
        <v>7329</v>
      </c>
      <c r="E36" s="35" t="s">
        <v>1138</v>
      </c>
      <c r="F36" t="s">
        <v>1139</v>
      </c>
      <c r="G36" s="36">
        <v>0</v>
      </c>
      <c r="H36" s="36">
        <v>0</v>
      </c>
      <c r="I36" s="36">
        <v>1.15E-2</v>
      </c>
      <c r="J36" s="37">
        <f t="shared" si="0"/>
        <v>1.15E-2</v>
      </c>
      <c r="K36" s="54">
        <v>0.20116700000000001</v>
      </c>
      <c r="L36" s="54">
        <v>2.2759999999999998E-3</v>
      </c>
      <c r="M36" s="54">
        <v>-5.5E-2</v>
      </c>
      <c r="N36" s="54">
        <v>5.0000000000000001E-3</v>
      </c>
      <c r="O36" s="54">
        <v>1.2500000000000001E-2</v>
      </c>
      <c r="P36" s="54">
        <v>1.4999999999999999E-2</v>
      </c>
      <c r="Q36" s="54">
        <v>0.02</v>
      </c>
      <c r="R36" s="54">
        <v>0</v>
      </c>
      <c r="S36" s="59">
        <f t="shared" si="1"/>
        <v>0.20094300000000001</v>
      </c>
      <c r="T36" s="38">
        <f t="shared" si="2"/>
        <v>0.21244300000000002</v>
      </c>
      <c r="U36" s="39">
        <v>0</v>
      </c>
      <c r="V36" s="39">
        <v>0</v>
      </c>
      <c r="W36" s="39">
        <v>1.15E-2</v>
      </c>
      <c r="X36" s="40">
        <f t="shared" si="3"/>
        <v>1.15E-2</v>
      </c>
      <c r="Y36" s="41">
        <v>4.0399999999999998E-2</v>
      </c>
      <c r="Z36" s="41">
        <v>3.1470000000000001E-3</v>
      </c>
      <c r="AA36" s="41">
        <v>3.0000000000000001E-3</v>
      </c>
      <c r="AB36" s="41">
        <v>0</v>
      </c>
      <c r="AC36" s="42">
        <f t="shared" si="4"/>
        <v>4.6546999999999998E-2</v>
      </c>
      <c r="AD36" s="38">
        <f t="shared" si="5"/>
        <v>5.8047000000000001E-2</v>
      </c>
      <c r="AE36" s="43">
        <f t="shared" si="6"/>
        <v>5.8047000000000001E-2</v>
      </c>
      <c r="AF36" s="43">
        <f t="shared" si="7"/>
        <v>7.3486600000000013E-2</v>
      </c>
      <c r="AG36" s="43">
        <f t="shared" si="8"/>
        <v>8.1206400000000012E-2</v>
      </c>
      <c r="AI36" s="64">
        <f>SUMIFS('Paths and Tariffs'!Q:Q,'Paths and Tariffs'!E:E,'Costing Detail'!E36,'Paths and Tariffs'!G:G,"GAS",'Paths and Tariffs'!N:N,1,'Paths and Tariffs'!M:M,1)</f>
        <v>4.0399999999999998E-2</v>
      </c>
    </row>
    <row r="37" spans="1:35" hidden="1" x14ac:dyDescent="0.55000000000000004">
      <c r="A37" s="35" t="s">
        <v>987</v>
      </c>
      <c r="B37" t="s">
        <v>1078</v>
      </c>
      <c r="C37" t="s">
        <v>1078</v>
      </c>
      <c r="D37" t="s">
        <v>7329</v>
      </c>
      <c r="E37" s="35" t="s">
        <v>1079</v>
      </c>
      <c r="F37" t="s">
        <v>1080</v>
      </c>
      <c r="G37" s="36">
        <v>0</v>
      </c>
      <c r="H37" s="36">
        <v>0</v>
      </c>
      <c r="I37" s="36">
        <v>1.15E-2</v>
      </c>
      <c r="J37" s="37">
        <f t="shared" si="0"/>
        <v>1.15E-2</v>
      </c>
      <c r="K37" s="54">
        <v>0.233067</v>
      </c>
      <c r="L37" s="54">
        <v>2.3909999999999999E-3</v>
      </c>
      <c r="M37" s="54">
        <v>-5.5E-2</v>
      </c>
      <c r="N37" s="54">
        <v>5.0000000000000001E-3</v>
      </c>
      <c r="O37" s="54">
        <v>1.2500000000000001E-2</v>
      </c>
      <c r="P37" s="54">
        <v>1.4999999999999999E-2</v>
      </c>
      <c r="Q37" s="54">
        <v>0.02</v>
      </c>
      <c r="R37" s="54">
        <v>0</v>
      </c>
      <c r="S37" s="59">
        <f t="shared" si="1"/>
        <v>0.23295800000000003</v>
      </c>
      <c r="T37" s="38">
        <f t="shared" si="2"/>
        <v>0.24445800000000004</v>
      </c>
      <c r="U37" s="39">
        <v>0</v>
      </c>
      <c r="V37" s="39">
        <v>0</v>
      </c>
      <c r="W37" s="39">
        <v>1.15E-2</v>
      </c>
      <c r="X37" s="40">
        <f t="shared" si="3"/>
        <v>1.15E-2</v>
      </c>
      <c r="Y37" s="41">
        <v>3.5505000000000002E-2</v>
      </c>
      <c r="Z37" s="41">
        <v>2.284E-3</v>
      </c>
      <c r="AA37" s="41">
        <v>3.0000000000000001E-3</v>
      </c>
      <c r="AB37" s="41">
        <v>0</v>
      </c>
      <c r="AC37" s="42">
        <f t="shared" si="4"/>
        <v>4.0789000000000006E-2</v>
      </c>
      <c r="AD37" s="38">
        <f t="shared" si="5"/>
        <v>5.2289000000000002E-2</v>
      </c>
      <c r="AE37" s="43">
        <f t="shared" si="6"/>
        <v>5.2289000000000002E-2</v>
      </c>
      <c r="AF37" s="43">
        <f t="shared" si="7"/>
        <v>7.1505900000000011E-2</v>
      </c>
      <c r="AG37" s="43">
        <f t="shared" si="8"/>
        <v>8.1114350000000002E-2</v>
      </c>
      <c r="AI37" s="64">
        <f>SUMIFS('Paths and Tariffs'!Q:Q,'Paths and Tariffs'!E:E,'Costing Detail'!E37,'Paths and Tariffs'!G:G,"GAS",'Paths and Tariffs'!N:N,1,'Paths and Tariffs'!M:M,1)</f>
        <v>3.5505000000000002E-2</v>
      </c>
    </row>
    <row r="38" spans="1:35" hidden="1" x14ac:dyDescent="0.55000000000000004">
      <c r="A38" s="35" t="s">
        <v>987</v>
      </c>
      <c r="B38" t="s">
        <v>1148</v>
      </c>
      <c r="C38" t="s">
        <v>1148</v>
      </c>
      <c r="D38" t="s">
        <v>7329</v>
      </c>
      <c r="E38" s="35" t="s">
        <v>1166</v>
      </c>
      <c r="F38" t="s">
        <v>1167</v>
      </c>
      <c r="G38" s="36">
        <v>0</v>
      </c>
      <c r="H38" s="36">
        <v>0</v>
      </c>
      <c r="I38" s="36">
        <v>1.15E-2</v>
      </c>
      <c r="J38" s="37">
        <f t="shared" si="0"/>
        <v>1.15E-2</v>
      </c>
      <c r="K38" s="54">
        <v>0.2298</v>
      </c>
      <c r="L38" s="54">
        <v>2.405E-3</v>
      </c>
      <c r="M38" s="54">
        <v>-5.5E-2</v>
      </c>
      <c r="N38" s="54">
        <v>5.0000000000000001E-3</v>
      </c>
      <c r="O38" s="54">
        <v>1.2500000000000001E-2</v>
      </c>
      <c r="P38" s="54">
        <v>1.4999999999999999E-2</v>
      </c>
      <c r="Q38" s="54">
        <v>0.02</v>
      </c>
      <c r="R38" s="54">
        <v>0</v>
      </c>
      <c r="S38" s="59">
        <f t="shared" si="1"/>
        <v>0.22970500000000002</v>
      </c>
      <c r="T38" s="38">
        <f t="shared" si="2"/>
        <v>0.24120500000000003</v>
      </c>
      <c r="U38" s="39">
        <v>0</v>
      </c>
      <c r="V38" s="39">
        <v>0</v>
      </c>
      <c r="W38" s="39">
        <v>1.15E-2</v>
      </c>
      <c r="X38" s="40">
        <f t="shared" si="3"/>
        <v>1.15E-2</v>
      </c>
      <c r="Y38" s="41">
        <v>4.0399999999999998E-2</v>
      </c>
      <c r="Z38" s="41">
        <v>3.1519999999999999E-3</v>
      </c>
      <c r="AA38" s="41">
        <v>3.0000000000000001E-3</v>
      </c>
      <c r="AB38" s="41">
        <v>0</v>
      </c>
      <c r="AC38" s="42">
        <f t="shared" si="4"/>
        <v>4.6552000000000003E-2</v>
      </c>
      <c r="AD38" s="38">
        <f t="shared" si="5"/>
        <v>5.8052000000000006E-2</v>
      </c>
      <c r="AE38" s="43">
        <f t="shared" si="6"/>
        <v>5.8052000000000006E-2</v>
      </c>
      <c r="AF38" s="43">
        <f t="shared" si="7"/>
        <v>7.6367300000000013E-2</v>
      </c>
      <c r="AG38" s="43">
        <f t="shared" si="8"/>
        <v>8.5524950000000016E-2</v>
      </c>
      <c r="AI38" s="64">
        <f>SUMIFS('Paths and Tariffs'!Q:Q,'Paths and Tariffs'!E:E,'Costing Detail'!E38,'Paths and Tariffs'!G:G,"GAS",'Paths and Tariffs'!N:N,1,'Paths and Tariffs'!M:M,1)</f>
        <v>4.0399999999999998E-2</v>
      </c>
    </row>
    <row r="39" spans="1:35" hidden="1" x14ac:dyDescent="0.55000000000000004">
      <c r="A39" s="35" t="s">
        <v>987</v>
      </c>
      <c r="B39" t="s">
        <v>1179</v>
      </c>
      <c r="C39" t="s">
        <v>1179</v>
      </c>
      <c r="D39" t="s">
        <v>7329</v>
      </c>
      <c r="E39" s="35" t="s">
        <v>1180</v>
      </c>
      <c r="F39" t="s">
        <v>1181</v>
      </c>
      <c r="G39" s="36">
        <v>0</v>
      </c>
      <c r="H39" s="36">
        <v>0</v>
      </c>
      <c r="I39" s="36">
        <v>1.15E-2</v>
      </c>
      <c r="J39" s="37">
        <f t="shared" si="0"/>
        <v>1.15E-2</v>
      </c>
      <c r="K39" s="54">
        <v>0.20519999999999999</v>
      </c>
      <c r="L39" s="54">
        <v>2.3709999999999998E-3</v>
      </c>
      <c r="M39" s="54">
        <v>-5.5E-2</v>
      </c>
      <c r="N39" s="54">
        <v>5.0000000000000001E-3</v>
      </c>
      <c r="O39" s="54">
        <v>1.2500000000000001E-2</v>
      </c>
      <c r="P39" s="54">
        <v>1.4999999999999999E-2</v>
      </c>
      <c r="Q39" s="54">
        <v>0.02</v>
      </c>
      <c r="R39" s="54">
        <v>0</v>
      </c>
      <c r="S39" s="59">
        <f t="shared" si="1"/>
        <v>0.20507100000000003</v>
      </c>
      <c r="T39" s="38">
        <f t="shared" si="2"/>
        <v>0.21657100000000004</v>
      </c>
      <c r="U39" s="39">
        <v>0</v>
      </c>
      <c r="V39" s="39">
        <v>0</v>
      </c>
      <c r="W39" s="39">
        <v>1.15E-2</v>
      </c>
      <c r="X39" s="40">
        <f t="shared" si="3"/>
        <v>1.15E-2</v>
      </c>
      <c r="Y39" s="41">
        <v>3.9038000000000003E-2</v>
      </c>
      <c r="Z39" s="41">
        <v>2.9859999999999999E-3</v>
      </c>
      <c r="AA39" s="41">
        <v>3.0000000000000001E-3</v>
      </c>
      <c r="AB39" s="41">
        <v>0</v>
      </c>
      <c r="AC39" s="42">
        <f t="shared" si="4"/>
        <v>4.5024000000000008E-2</v>
      </c>
      <c r="AD39" s="38">
        <f t="shared" si="5"/>
        <v>5.6524000000000005E-2</v>
      </c>
      <c r="AE39" s="43">
        <f t="shared" si="6"/>
        <v>5.6524000000000005E-2</v>
      </c>
      <c r="AF39" s="43">
        <f t="shared" si="7"/>
        <v>7.2528700000000002E-2</v>
      </c>
      <c r="AG39" s="43">
        <f t="shared" si="8"/>
        <v>8.0531050000000007E-2</v>
      </c>
      <c r="AI39" s="64">
        <f>SUMIFS('Paths and Tariffs'!Q:Q,'Paths and Tariffs'!E:E,'Costing Detail'!E39,'Paths and Tariffs'!G:G,"GAS",'Paths and Tariffs'!N:N,1,'Paths and Tariffs'!M:M,1)</f>
        <v>3.9038000000000003E-2</v>
      </c>
    </row>
    <row r="40" spans="1:35" hidden="1" x14ac:dyDescent="0.55000000000000004">
      <c r="A40" s="35" t="s">
        <v>1211</v>
      </c>
      <c r="B40" t="s">
        <v>1212</v>
      </c>
      <c r="C40" t="s">
        <v>1212</v>
      </c>
      <c r="D40" t="s">
        <v>7312</v>
      </c>
      <c r="E40" s="35" t="s">
        <v>1220</v>
      </c>
      <c r="F40" t="s">
        <v>1221</v>
      </c>
      <c r="G40" s="36">
        <v>0</v>
      </c>
      <c r="H40" s="36">
        <v>0</v>
      </c>
      <c r="I40" s="36">
        <v>1.15E-2</v>
      </c>
      <c r="J40" s="37">
        <f t="shared" si="0"/>
        <v>1.15E-2</v>
      </c>
      <c r="K40" s="54">
        <v>0</v>
      </c>
      <c r="L40" s="54">
        <v>0</v>
      </c>
      <c r="M40" s="54">
        <v>-0.125</v>
      </c>
      <c r="N40" s="54">
        <v>0</v>
      </c>
      <c r="O40" s="54">
        <v>0</v>
      </c>
      <c r="P40" s="54">
        <v>1.4999999999999999E-2</v>
      </c>
      <c r="Q40" s="54">
        <v>0.02</v>
      </c>
      <c r="R40" s="54">
        <v>0</v>
      </c>
      <c r="S40" s="59">
        <f t="shared" si="1"/>
        <v>-0.09</v>
      </c>
      <c r="T40" s="38">
        <f t="shared" si="2"/>
        <v>-7.85E-2</v>
      </c>
      <c r="U40" s="39">
        <v>0</v>
      </c>
      <c r="V40" s="39">
        <v>0</v>
      </c>
      <c r="W40" s="39">
        <v>1.15E-2</v>
      </c>
      <c r="X40" s="40">
        <f t="shared" si="3"/>
        <v>1.15E-2</v>
      </c>
      <c r="Y40" s="41">
        <v>0.109517</v>
      </c>
      <c r="Z40" s="41">
        <v>2.591E-3</v>
      </c>
      <c r="AA40" s="41">
        <v>3.0000000000000001E-3</v>
      </c>
      <c r="AB40" s="41">
        <v>0</v>
      </c>
      <c r="AC40" s="42">
        <f t="shared" si="4"/>
        <v>0.115108</v>
      </c>
      <c r="AD40" s="38">
        <f t="shared" si="5"/>
        <v>0.126608</v>
      </c>
      <c r="AE40" s="43">
        <f t="shared" si="6"/>
        <v>0.126608</v>
      </c>
      <c r="AF40" s="43">
        <f t="shared" si="7"/>
        <v>0.1060972</v>
      </c>
      <c r="AG40" s="43">
        <f t="shared" si="8"/>
        <v>9.5841800000000005E-2</v>
      </c>
      <c r="AI40" s="64">
        <f>SUMIFS('Paths and Tariffs'!Q:Q,'Paths and Tariffs'!E:E,'Costing Detail'!E40,'Paths and Tariffs'!G:G,"GAS",'Paths and Tariffs'!N:N,1,'Paths and Tariffs'!M:M,1)</f>
        <v>0.109517</v>
      </c>
    </row>
    <row r="41" spans="1:35" hidden="1" x14ac:dyDescent="0.55000000000000004">
      <c r="A41" s="35" t="s">
        <v>1211</v>
      </c>
      <c r="B41" t="s">
        <v>1272</v>
      </c>
      <c r="C41" t="s">
        <v>1272</v>
      </c>
      <c r="D41" t="s">
        <v>7312</v>
      </c>
      <c r="E41" s="35" t="s">
        <v>1273</v>
      </c>
      <c r="F41" t="s">
        <v>1274</v>
      </c>
      <c r="G41" s="36">
        <v>0</v>
      </c>
      <c r="H41" s="36">
        <v>0</v>
      </c>
      <c r="I41" s="36">
        <v>1.15E-2</v>
      </c>
      <c r="J41" s="37">
        <f t="shared" si="0"/>
        <v>1.15E-2</v>
      </c>
      <c r="K41" s="54">
        <v>0</v>
      </c>
      <c r="L41" s="54">
        <v>0</v>
      </c>
      <c r="M41" s="54">
        <v>-0.125</v>
      </c>
      <c r="N41" s="54">
        <v>0</v>
      </c>
      <c r="O41" s="54">
        <v>0</v>
      </c>
      <c r="P41" s="54">
        <v>1.4999999999999999E-2</v>
      </c>
      <c r="Q41" s="54">
        <v>0.02</v>
      </c>
      <c r="R41" s="54">
        <v>0</v>
      </c>
      <c r="S41" s="59">
        <f t="shared" si="1"/>
        <v>-0.09</v>
      </c>
      <c r="T41" s="38">
        <f t="shared" si="2"/>
        <v>-7.85E-2</v>
      </c>
      <c r="U41" s="39">
        <v>0</v>
      </c>
      <c r="V41" s="39">
        <v>0</v>
      </c>
      <c r="W41" s="39">
        <v>1.15E-2</v>
      </c>
      <c r="X41" s="40">
        <f t="shared" si="3"/>
        <v>1.15E-2</v>
      </c>
      <c r="Y41" s="41">
        <v>8.9634000000000005E-2</v>
      </c>
      <c r="Z41" s="41">
        <v>2.6970000000000002E-3</v>
      </c>
      <c r="AA41" s="41">
        <v>3.0000000000000001E-3</v>
      </c>
      <c r="AB41" s="41">
        <v>0</v>
      </c>
      <c r="AC41" s="42">
        <f t="shared" si="4"/>
        <v>9.5331000000000013E-2</v>
      </c>
      <c r="AD41" s="38">
        <f t="shared" si="5"/>
        <v>0.10683100000000001</v>
      </c>
      <c r="AE41" s="43">
        <f t="shared" si="6"/>
        <v>0.10683100000000001</v>
      </c>
      <c r="AF41" s="43">
        <f t="shared" si="7"/>
        <v>8.8297900000000012E-2</v>
      </c>
      <c r="AG41" s="43">
        <f t="shared" si="8"/>
        <v>7.9031350000000014E-2</v>
      </c>
      <c r="AI41" s="64">
        <f>SUMIFS('Paths and Tariffs'!Q:Q,'Paths and Tariffs'!E:E,'Costing Detail'!E41,'Paths and Tariffs'!G:G,"GAS",'Paths and Tariffs'!N:N,1,'Paths and Tariffs'!M:M,1)</f>
        <v>8.9634000000000005E-2</v>
      </c>
    </row>
    <row r="42" spans="1:35" hidden="1" x14ac:dyDescent="0.55000000000000004">
      <c r="A42" s="35" t="s">
        <v>1211</v>
      </c>
      <c r="B42" t="s">
        <v>1295</v>
      </c>
      <c r="C42" t="s">
        <v>1295</v>
      </c>
      <c r="D42" t="s">
        <v>7312</v>
      </c>
      <c r="E42" s="35" t="s">
        <v>1296</v>
      </c>
      <c r="F42" t="s">
        <v>1297</v>
      </c>
      <c r="G42" s="36">
        <v>0</v>
      </c>
      <c r="H42" s="36">
        <v>0</v>
      </c>
      <c r="I42" s="36">
        <v>1.15E-2</v>
      </c>
      <c r="J42" s="37">
        <f t="shared" si="0"/>
        <v>1.15E-2</v>
      </c>
      <c r="K42" s="54">
        <v>0</v>
      </c>
      <c r="L42" s="54">
        <v>0</v>
      </c>
      <c r="M42" s="54">
        <v>-0.125</v>
      </c>
      <c r="N42" s="54">
        <v>0</v>
      </c>
      <c r="O42" s="54">
        <v>0</v>
      </c>
      <c r="P42" s="54">
        <v>1.4999999999999999E-2</v>
      </c>
      <c r="Q42" s="54">
        <v>0.02</v>
      </c>
      <c r="R42" s="54">
        <v>0</v>
      </c>
      <c r="S42" s="59">
        <f t="shared" si="1"/>
        <v>-0.09</v>
      </c>
      <c r="T42" s="38">
        <f t="shared" si="2"/>
        <v>-7.85E-2</v>
      </c>
      <c r="U42" s="39">
        <v>0</v>
      </c>
      <c r="V42" s="39">
        <v>0</v>
      </c>
      <c r="W42" s="39">
        <v>1.15E-2</v>
      </c>
      <c r="X42" s="40">
        <f t="shared" si="3"/>
        <v>1.15E-2</v>
      </c>
      <c r="Y42" s="41">
        <v>9.2175999999999994E-2</v>
      </c>
      <c r="Z42" s="41">
        <v>2.823E-3</v>
      </c>
      <c r="AA42" s="41">
        <v>3.0000000000000001E-3</v>
      </c>
      <c r="AB42" s="41">
        <v>0</v>
      </c>
      <c r="AC42" s="42">
        <f t="shared" si="4"/>
        <v>9.7999000000000003E-2</v>
      </c>
      <c r="AD42" s="38">
        <f t="shared" si="5"/>
        <v>0.109499</v>
      </c>
      <c r="AE42" s="43">
        <f t="shared" si="6"/>
        <v>0.109499</v>
      </c>
      <c r="AF42" s="43">
        <f t="shared" si="7"/>
        <v>9.0699100000000005E-2</v>
      </c>
      <c r="AG42" s="43">
        <f t="shared" si="8"/>
        <v>8.1299150000000001E-2</v>
      </c>
      <c r="AI42" s="64">
        <f>SUMIFS('Paths and Tariffs'!Q:Q,'Paths and Tariffs'!E:E,'Costing Detail'!E42,'Paths and Tariffs'!G:G,"GAS",'Paths and Tariffs'!N:N,1,'Paths and Tariffs'!M:M,1)</f>
        <v>9.2175999999999994E-2</v>
      </c>
    </row>
    <row r="43" spans="1:35" hidden="1" x14ac:dyDescent="0.55000000000000004">
      <c r="A43" s="35" t="s">
        <v>1211</v>
      </c>
      <c r="B43" t="s">
        <v>1295</v>
      </c>
      <c r="C43" t="s">
        <v>1295</v>
      </c>
      <c r="D43" t="s">
        <v>7312</v>
      </c>
      <c r="E43" s="35" t="s">
        <v>1415</v>
      </c>
      <c r="F43" t="s">
        <v>1416</v>
      </c>
      <c r="G43" s="36">
        <v>0</v>
      </c>
      <c r="H43" s="36">
        <v>0</v>
      </c>
      <c r="I43" s="36">
        <v>1.15E-2</v>
      </c>
      <c r="J43" s="37">
        <f t="shared" si="0"/>
        <v>1.15E-2</v>
      </c>
      <c r="K43" s="54">
        <v>0</v>
      </c>
      <c r="L43" s="54">
        <v>0</v>
      </c>
      <c r="M43" s="54">
        <v>-0.125</v>
      </c>
      <c r="N43" s="54">
        <v>0</v>
      </c>
      <c r="O43" s="54">
        <v>0</v>
      </c>
      <c r="P43" s="54">
        <v>1.4999999999999999E-2</v>
      </c>
      <c r="Q43" s="54">
        <v>0.02</v>
      </c>
      <c r="R43" s="54">
        <v>0</v>
      </c>
      <c r="S43" s="59">
        <f t="shared" si="1"/>
        <v>-0.09</v>
      </c>
      <c r="T43" s="38">
        <f t="shared" si="2"/>
        <v>-7.85E-2</v>
      </c>
      <c r="U43" s="39">
        <v>0</v>
      </c>
      <c r="V43" s="39">
        <v>0</v>
      </c>
      <c r="W43" s="39">
        <v>0</v>
      </c>
      <c r="X43" s="40">
        <f t="shared" si="3"/>
        <v>0</v>
      </c>
      <c r="Y43" s="41">
        <v>7.6982999999999996E-2</v>
      </c>
      <c r="Z43" s="41">
        <v>2.0929999999999998E-3</v>
      </c>
      <c r="AA43" s="41">
        <v>3.0000000000000001E-3</v>
      </c>
      <c r="AB43" s="41">
        <v>0</v>
      </c>
      <c r="AC43" s="42">
        <f t="shared" si="4"/>
        <v>8.2075999999999996E-2</v>
      </c>
      <c r="AD43" s="38">
        <f t="shared" si="5"/>
        <v>8.2075999999999996E-2</v>
      </c>
      <c r="AE43" s="43">
        <f t="shared" si="6"/>
        <v>8.2075999999999996E-2</v>
      </c>
      <c r="AF43" s="43">
        <f t="shared" si="7"/>
        <v>6.6018400000000005E-2</v>
      </c>
      <c r="AG43" s="43">
        <f t="shared" si="8"/>
        <v>5.7989599999999995E-2</v>
      </c>
      <c r="AI43" s="64">
        <f>SUMIFS('Paths and Tariffs'!Q:Q,'Paths and Tariffs'!E:E,'Costing Detail'!E43,'Paths and Tariffs'!G:G,"GAS",'Paths and Tariffs'!N:N,1,'Paths and Tariffs'!M:M,1)</f>
        <v>7.6982999999999996E-2</v>
      </c>
    </row>
    <row r="44" spans="1:35" hidden="1" x14ac:dyDescent="0.55000000000000004">
      <c r="A44" s="35" t="s">
        <v>1211</v>
      </c>
      <c r="B44" t="s">
        <v>1307</v>
      </c>
      <c r="C44" t="s">
        <v>1307</v>
      </c>
      <c r="D44" t="s">
        <v>7312</v>
      </c>
      <c r="E44" s="35" t="s">
        <v>1308</v>
      </c>
      <c r="F44" t="s">
        <v>1309</v>
      </c>
      <c r="G44" s="36">
        <v>0</v>
      </c>
      <c r="H44" s="36">
        <v>0</v>
      </c>
      <c r="I44" s="36">
        <v>1.15E-2</v>
      </c>
      <c r="J44" s="37">
        <f t="shared" si="0"/>
        <v>1.15E-2</v>
      </c>
      <c r="K44" s="54">
        <v>0</v>
      </c>
      <c r="L44" s="54">
        <v>0</v>
      </c>
      <c r="M44" s="54">
        <v>-0.125</v>
      </c>
      <c r="N44" s="54">
        <v>0</v>
      </c>
      <c r="O44" s="54">
        <v>0</v>
      </c>
      <c r="P44" s="54">
        <v>1.4999999999999999E-2</v>
      </c>
      <c r="Q44" s="54">
        <v>0.02</v>
      </c>
      <c r="R44" s="54">
        <v>0</v>
      </c>
      <c r="S44" s="59">
        <f t="shared" si="1"/>
        <v>-0.09</v>
      </c>
      <c r="T44" s="38">
        <f t="shared" si="2"/>
        <v>-7.85E-2</v>
      </c>
      <c r="U44" s="39">
        <v>0</v>
      </c>
      <c r="V44" s="39">
        <v>0</v>
      </c>
      <c r="W44" s="39">
        <v>0</v>
      </c>
      <c r="X44" s="40">
        <f t="shared" si="3"/>
        <v>0</v>
      </c>
      <c r="Y44" s="41">
        <v>0.122324</v>
      </c>
      <c r="Z44" s="41">
        <v>2.5899999999999999E-3</v>
      </c>
      <c r="AA44" s="41">
        <v>3.0000000000000001E-3</v>
      </c>
      <c r="AB44" s="41">
        <v>0</v>
      </c>
      <c r="AC44" s="42">
        <f t="shared" si="4"/>
        <v>0.127914</v>
      </c>
      <c r="AD44" s="38">
        <f t="shared" si="5"/>
        <v>0.127914</v>
      </c>
      <c r="AE44" s="43">
        <f t="shared" si="6"/>
        <v>0.127914</v>
      </c>
      <c r="AF44" s="43">
        <f t="shared" si="7"/>
        <v>0.10727260000000001</v>
      </c>
      <c r="AG44" s="43">
        <f t="shared" si="8"/>
        <v>9.6951900000000008E-2</v>
      </c>
      <c r="AI44" s="64">
        <f>SUMIFS('Paths and Tariffs'!Q:Q,'Paths and Tariffs'!E:E,'Costing Detail'!E44,'Paths and Tariffs'!G:G,"GAS",'Paths and Tariffs'!N:N,1,'Paths and Tariffs'!M:M,1)</f>
        <v>0.122324</v>
      </c>
    </row>
    <row r="45" spans="1:35" hidden="1" x14ac:dyDescent="0.55000000000000004">
      <c r="A45" s="35" t="s">
        <v>1211</v>
      </c>
      <c r="B45" t="s">
        <v>1307</v>
      </c>
      <c r="C45" t="s">
        <v>1307</v>
      </c>
      <c r="D45" t="s">
        <v>7312</v>
      </c>
      <c r="E45" s="35" t="s">
        <v>1406</v>
      </c>
      <c r="F45" t="s">
        <v>1407</v>
      </c>
      <c r="G45" s="36">
        <v>0</v>
      </c>
      <c r="H45" s="36">
        <v>0</v>
      </c>
      <c r="I45" s="36">
        <v>1.15E-2</v>
      </c>
      <c r="J45" s="37">
        <f t="shared" si="0"/>
        <v>1.15E-2</v>
      </c>
      <c r="K45" s="54">
        <v>0</v>
      </c>
      <c r="L45" s="54">
        <v>0</v>
      </c>
      <c r="M45" s="54">
        <v>-0.125</v>
      </c>
      <c r="N45" s="54">
        <v>0</v>
      </c>
      <c r="O45" s="54">
        <v>0</v>
      </c>
      <c r="P45" s="54">
        <v>1.4999999999999999E-2</v>
      </c>
      <c r="Q45" s="54">
        <v>0.02</v>
      </c>
      <c r="R45" s="54">
        <v>0</v>
      </c>
      <c r="S45" s="59">
        <f t="shared" si="1"/>
        <v>-0.09</v>
      </c>
      <c r="T45" s="38">
        <f t="shared" si="2"/>
        <v>-7.85E-2</v>
      </c>
      <c r="U45" s="39">
        <v>0</v>
      </c>
      <c r="V45" s="39">
        <v>0</v>
      </c>
      <c r="W45" s="39">
        <v>1.15E-2</v>
      </c>
      <c r="X45" s="40">
        <f t="shared" si="3"/>
        <v>1.15E-2</v>
      </c>
      <c r="Y45" s="41">
        <v>2.8874E-2</v>
      </c>
      <c r="Z45" s="41">
        <v>1.317E-3</v>
      </c>
      <c r="AA45" s="41">
        <v>3.0000000000000001E-3</v>
      </c>
      <c r="AB45" s="41">
        <v>0</v>
      </c>
      <c r="AC45" s="42">
        <f t="shared" si="4"/>
        <v>3.3190999999999998E-2</v>
      </c>
      <c r="AD45" s="38">
        <f t="shared" si="5"/>
        <v>4.4690999999999995E-2</v>
      </c>
      <c r="AE45" s="43">
        <f t="shared" si="6"/>
        <v>4.4690999999999995E-2</v>
      </c>
      <c r="AF45" s="43">
        <f t="shared" si="7"/>
        <v>3.2371899999999995E-2</v>
      </c>
      <c r="AG45" s="43">
        <f t="shared" si="8"/>
        <v>2.6212349999999995E-2</v>
      </c>
      <c r="AI45" s="64">
        <f>SUMIFS('Paths and Tariffs'!Q:Q,'Paths and Tariffs'!E:E,'Costing Detail'!E45,'Paths and Tariffs'!G:G,"GAS",'Paths and Tariffs'!N:N,1,'Paths and Tariffs'!M:M,1)</f>
        <v>2.8874E-2</v>
      </c>
    </row>
    <row r="46" spans="1:35" hidden="1" x14ac:dyDescent="0.55000000000000004">
      <c r="A46" s="35" t="s">
        <v>1211</v>
      </c>
      <c r="B46" t="s">
        <v>1363</v>
      </c>
      <c r="C46" t="s">
        <v>1363</v>
      </c>
      <c r="D46" t="s">
        <v>7312</v>
      </c>
      <c r="E46" s="35" t="s">
        <v>1376</v>
      </c>
      <c r="F46" t="s">
        <v>1377</v>
      </c>
      <c r="G46" s="36">
        <v>0</v>
      </c>
      <c r="H46" s="36">
        <v>0</v>
      </c>
      <c r="I46" s="36">
        <v>1.15E-2</v>
      </c>
      <c r="J46" s="37">
        <f t="shared" si="0"/>
        <v>1.15E-2</v>
      </c>
      <c r="K46" s="54">
        <v>0</v>
      </c>
      <c r="L46" s="54">
        <v>0</v>
      </c>
      <c r="M46" s="54">
        <v>-0.125</v>
      </c>
      <c r="N46" s="54">
        <v>0</v>
      </c>
      <c r="O46" s="54">
        <v>0</v>
      </c>
      <c r="P46" s="54">
        <v>1.4999999999999999E-2</v>
      </c>
      <c r="Q46" s="54">
        <v>0.02</v>
      </c>
      <c r="R46" s="54">
        <v>0</v>
      </c>
      <c r="S46" s="59">
        <f t="shared" si="1"/>
        <v>-0.09</v>
      </c>
      <c r="T46" s="38">
        <f t="shared" si="2"/>
        <v>-7.85E-2</v>
      </c>
      <c r="U46" s="39">
        <v>0</v>
      </c>
      <c r="V46" s="39">
        <v>0</v>
      </c>
      <c r="W46" s="39">
        <v>0</v>
      </c>
      <c r="X46" s="40">
        <f t="shared" si="3"/>
        <v>0</v>
      </c>
      <c r="Y46" s="41">
        <v>6.1633E-2</v>
      </c>
      <c r="Z46" s="41">
        <v>2.4910000000000002E-3</v>
      </c>
      <c r="AA46" s="41">
        <v>3.0000000000000001E-3</v>
      </c>
      <c r="AB46" s="41">
        <v>0</v>
      </c>
      <c r="AC46" s="42">
        <f t="shared" si="4"/>
        <v>6.7124000000000003E-2</v>
      </c>
      <c r="AD46" s="38">
        <f t="shared" si="5"/>
        <v>6.7124000000000003E-2</v>
      </c>
      <c r="AE46" s="43">
        <f t="shared" si="6"/>
        <v>6.7124000000000003E-2</v>
      </c>
      <c r="AF46" s="43">
        <f t="shared" si="7"/>
        <v>5.25616E-2</v>
      </c>
      <c r="AG46" s="43">
        <f t="shared" si="8"/>
        <v>4.5280399999999998E-2</v>
      </c>
      <c r="AI46" s="64">
        <f>SUMIFS('Paths and Tariffs'!Q:Q,'Paths and Tariffs'!E:E,'Costing Detail'!E46,'Paths and Tariffs'!G:G,"GAS",'Paths and Tariffs'!N:N,1,'Paths and Tariffs'!M:M,1)</f>
        <v>6.1633E-2</v>
      </c>
    </row>
    <row r="47" spans="1:35" hidden="1" x14ac:dyDescent="0.55000000000000004">
      <c r="A47" s="35" t="s">
        <v>1211</v>
      </c>
      <c r="B47" t="s">
        <v>7334</v>
      </c>
      <c r="C47" t="s">
        <v>7334</v>
      </c>
      <c r="D47" t="s">
        <v>7312</v>
      </c>
      <c r="E47" s="35" t="s">
        <v>1256</v>
      </c>
      <c r="F47" t="s">
        <v>1257</v>
      </c>
      <c r="G47" s="36">
        <v>0</v>
      </c>
      <c r="H47" s="36">
        <v>0</v>
      </c>
      <c r="I47" s="36">
        <v>1.15E-2</v>
      </c>
      <c r="J47" s="37">
        <f t="shared" si="0"/>
        <v>1.15E-2</v>
      </c>
      <c r="K47" s="54">
        <v>0</v>
      </c>
      <c r="L47" s="54">
        <v>0</v>
      </c>
      <c r="M47" s="54">
        <v>-0.125</v>
      </c>
      <c r="N47" s="54">
        <v>0</v>
      </c>
      <c r="O47" s="54">
        <v>0</v>
      </c>
      <c r="P47" s="54">
        <v>1.4999999999999999E-2</v>
      </c>
      <c r="Q47" s="54">
        <v>0.02</v>
      </c>
      <c r="R47" s="54">
        <v>0</v>
      </c>
      <c r="S47" s="59">
        <f t="shared" si="1"/>
        <v>-0.09</v>
      </c>
      <c r="T47" s="38">
        <f t="shared" si="2"/>
        <v>-7.85E-2</v>
      </c>
      <c r="U47" s="39">
        <v>0</v>
      </c>
      <c r="V47" s="39">
        <v>0</v>
      </c>
      <c r="W47" s="39">
        <v>0</v>
      </c>
      <c r="X47" s="40">
        <f t="shared" si="3"/>
        <v>0</v>
      </c>
      <c r="Y47" s="41">
        <v>9.3175999999999995E-2</v>
      </c>
      <c r="Z47" s="41">
        <v>2.3930000000000002E-3</v>
      </c>
      <c r="AA47" s="41">
        <v>3.0000000000000001E-3</v>
      </c>
      <c r="AB47" s="41">
        <v>0</v>
      </c>
      <c r="AC47" s="42">
        <f t="shared" si="4"/>
        <v>9.8569000000000004E-2</v>
      </c>
      <c r="AD47" s="38">
        <f t="shared" si="5"/>
        <v>9.8569000000000004E-2</v>
      </c>
      <c r="AE47" s="43">
        <f t="shared" si="6"/>
        <v>9.8569000000000004E-2</v>
      </c>
      <c r="AF47" s="43">
        <f t="shared" si="7"/>
        <v>8.0862100000000006E-2</v>
      </c>
      <c r="AG47" s="43">
        <f t="shared" si="8"/>
        <v>7.2008650000000007E-2</v>
      </c>
      <c r="AI47" s="64">
        <f>SUMIFS('Paths and Tariffs'!Q:Q,'Paths and Tariffs'!E:E,'Costing Detail'!E47,'Paths and Tariffs'!G:G,"GAS",'Paths and Tariffs'!N:N,1,'Paths and Tariffs'!M:M,1)</f>
        <v>9.3175999999999995E-2</v>
      </c>
    </row>
    <row r="48" spans="1:35" hidden="1" x14ac:dyDescent="0.55000000000000004">
      <c r="A48" s="35" t="s">
        <v>1211</v>
      </c>
      <c r="B48" t="s">
        <v>1255</v>
      </c>
      <c r="C48" t="s">
        <v>7334</v>
      </c>
      <c r="D48" t="s">
        <v>7312</v>
      </c>
      <c r="E48" s="35" t="s">
        <v>1389</v>
      </c>
      <c r="F48" t="s">
        <v>1390</v>
      </c>
      <c r="G48" s="36">
        <v>0</v>
      </c>
      <c r="H48" s="36">
        <v>0</v>
      </c>
      <c r="I48" s="36">
        <v>1.15E-2</v>
      </c>
      <c r="J48" s="37">
        <f t="shared" si="0"/>
        <v>1.15E-2</v>
      </c>
      <c r="K48" s="54">
        <v>0</v>
      </c>
      <c r="L48" s="54">
        <v>0</v>
      </c>
      <c r="M48" s="54">
        <v>-0.125</v>
      </c>
      <c r="N48" s="54">
        <v>0</v>
      </c>
      <c r="O48" s="54">
        <v>0</v>
      </c>
      <c r="P48" s="54">
        <v>1.4999999999999999E-2</v>
      </c>
      <c r="Q48" s="54">
        <v>0.02</v>
      </c>
      <c r="R48" s="54">
        <v>0</v>
      </c>
      <c r="S48" s="59">
        <f t="shared" si="1"/>
        <v>-0.09</v>
      </c>
      <c r="T48" s="38">
        <f t="shared" si="2"/>
        <v>-7.85E-2</v>
      </c>
      <c r="U48" s="39">
        <v>0</v>
      </c>
      <c r="V48" s="39">
        <v>0</v>
      </c>
      <c r="W48" s="39">
        <v>1.15E-2</v>
      </c>
      <c r="X48" s="40">
        <f t="shared" si="3"/>
        <v>1.15E-2</v>
      </c>
      <c r="Y48" s="41">
        <v>4.9345E-2</v>
      </c>
      <c r="Z48" s="41">
        <v>1.5100000000000001E-3</v>
      </c>
      <c r="AA48" s="41">
        <v>3.0000000000000001E-3</v>
      </c>
      <c r="AB48" s="41">
        <v>0</v>
      </c>
      <c r="AC48" s="42">
        <f t="shared" si="4"/>
        <v>5.3855E-2</v>
      </c>
      <c r="AD48" s="38">
        <f t="shared" si="5"/>
        <v>6.5354999999999996E-2</v>
      </c>
      <c r="AE48" s="43">
        <f t="shared" si="6"/>
        <v>6.5354999999999996E-2</v>
      </c>
      <c r="AF48" s="43">
        <f t="shared" si="7"/>
        <v>5.0969499999999994E-2</v>
      </c>
      <c r="AG48" s="43">
        <f t="shared" si="8"/>
        <v>4.3776749999999996E-2</v>
      </c>
      <c r="AI48" s="64">
        <f>SUMIFS('Paths and Tariffs'!Q:Q,'Paths and Tariffs'!E:E,'Costing Detail'!E48,'Paths and Tariffs'!G:G,"GAS",'Paths and Tariffs'!N:N,1,'Paths and Tariffs'!M:M,1)</f>
        <v>4.9345E-2</v>
      </c>
    </row>
    <row r="49" spans="1:35" hidden="1" x14ac:dyDescent="0.55000000000000004">
      <c r="A49" s="35" t="s">
        <v>1211</v>
      </c>
      <c r="B49" t="s">
        <v>1433</v>
      </c>
      <c r="C49" t="s">
        <v>1433</v>
      </c>
      <c r="D49" t="s">
        <v>7312</v>
      </c>
      <c r="E49" s="35" t="s">
        <v>1434</v>
      </c>
      <c r="F49" t="s">
        <v>1435</v>
      </c>
      <c r="G49" s="36">
        <v>0</v>
      </c>
      <c r="H49" s="36">
        <v>0</v>
      </c>
      <c r="I49" s="36">
        <v>1.15E-2</v>
      </c>
      <c r="J49" s="37">
        <f t="shared" si="0"/>
        <v>1.15E-2</v>
      </c>
      <c r="K49" s="54">
        <v>0</v>
      </c>
      <c r="L49" s="54">
        <v>0</v>
      </c>
      <c r="M49" s="54">
        <v>-0.125</v>
      </c>
      <c r="N49" s="54">
        <v>0</v>
      </c>
      <c r="O49" s="54">
        <v>0</v>
      </c>
      <c r="P49" s="54">
        <v>1.4999999999999999E-2</v>
      </c>
      <c r="Q49" s="54">
        <v>0.02</v>
      </c>
      <c r="R49" s="54">
        <v>0</v>
      </c>
      <c r="S49" s="59">
        <f t="shared" si="1"/>
        <v>-0.09</v>
      </c>
      <c r="T49" s="38">
        <f t="shared" si="2"/>
        <v>-7.85E-2</v>
      </c>
      <c r="U49" s="39">
        <v>0</v>
      </c>
      <c r="V49" s="39">
        <v>0</v>
      </c>
      <c r="W49" s="39">
        <v>1.15E-2</v>
      </c>
      <c r="X49" s="40">
        <f t="shared" si="3"/>
        <v>1.15E-2</v>
      </c>
      <c r="Y49" s="41">
        <v>6.3890000000000002E-2</v>
      </c>
      <c r="Z49" s="41">
        <v>2.3319999999999999E-3</v>
      </c>
      <c r="AA49" s="41">
        <v>3.0000000000000001E-3</v>
      </c>
      <c r="AB49" s="41">
        <v>0</v>
      </c>
      <c r="AC49" s="42">
        <f t="shared" si="4"/>
        <v>6.9222000000000006E-2</v>
      </c>
      <c r="AD49" s="38">
        <f t="shared" si="5"/>
        <v>8.0722000000000002E-2</v>
      </c>
      <c r="AE49" s="43">
        <f t="shared" si="6"/>
        <v>8.0722000000000002E-2</v>
      </c>
      <c r="AF49" s="43">
        <f t="shared" si="7"/>
        <v>6.4799800000000005E-2</v>
      </c>
      <c r="AG49" s="43">
        <f t="shared" si="8"/>
        <v>5.6838699999999999E-2</v>
      </c>
      <c r="AI49" s="64">
        <f>SUMIFS('Paths and Tariffs'!Q:Q,'Paths and Tariffs'!E:E,'Costing Detail'!E49,'Paths and Tariffs'!G:G,"GAS",'Paths and Tariffs'!N:N,1,'Paths and Tariffs'!M:M,1)</f>
        <v>6.3890000000000002E-2</v>
      </c>
    </row>
    <row r="50" spans="1:35" hidden="1" x14ac:dyDescent="0.55000000000000004">
      <c r="A50" s="35" t="s">
        <v>1211</v>
      </c>
      <c r="B50" t="s">
        <v>1347</v>
      </c>
      <c r="C50" t="s">
        <v>1347</v>
      </c>
      <c r="D50" t="s">
        <v>7312</v>
      </c>
      <c r="E50" s="35" t="s">
        <v>1349</v>
      </c>
      <c r="F50" t="s">
        <v>1350</v>
      </c>
      <c r="G50" s="36">
        <v>0</v>
      </c>
      <c r="H50" s="36">
        <v>0</v>
      </c>
      <c r="I50" s="36">
        <v>1.15E-2</v>
      </c>
      <c r="J50" s="37">
        <f t="shared" si="0"/>
        <v>1.15E-2</v>
      </c>
      <c r="K50" s="54">
        <v>0</v>
      </c>
      <c r="L50" s="54">
        <v>0</v>
      </c>
      <c r="M50" s="54">
        <v>-0.125</v>
      </c>
      <c r="N50" s="54">
        <v>0</v>
      </c>
      <c r="O50" s="54">
        <v>0</v>
      </c>
      <c r="P50" s="54">
        <v>1.4999999999999999E-2</v>
      </c>
      <c r="Q50" s="54">
        <v>0.02</v>
      </c>
      <c r="R50" s="54">
        <v>0</v>
      </c>
      <c r="S50" s="59">
        <f t="shared" si="1"/>
        <v>-0.09</v>
      </c>
      <c r="T50" s="38">
        <f t="shared" si="2"/>
        <v>-7.85E-2</v>
      </c>
      <c r="U50" s="39">
        <v>0</v>
      </c>
      <c r="V50" s="39">
        <v>0</v>
      </c>
      <c r="W50" s="39">
        <v>1.15E-2</v>
      </c>
      <c r="X50" s="40">
        <f t="shared" si="3"/>
        <v>1.15E-2</v>
      </c>
      <c r="Y50" s="41">
        <v>6.3890000000000002E-2</v>
      </c>
      <c r="Z50" s="41">
        <v>2.2529999999999998E-3</v>
      </c>
      <c r="AA50" s="41">
        <v>3.0000000000000001E-3</v>
      </c>
      <c r="AB50" s="41">
        <v>0</v>
      </c>
      <c r="AC50" s="42">
        <f t="shared" si="4"/>
        <v>6.914300000000001E-2</v>
      </c>
      <c r="AD50" s="38">
        <f t="shared" si="5"/>
        <v>8.0643000000000006E-2</v>
      </c>
      <c r="AE50" s="43">
        <f t="shared" si="6"/>
        <v>8.0643000000000006E-2</v>
      </c>
      <c r="AF50" s="43">
        <f t="shared" si="7"/>
        <v>6.4728700000000014E-2</v>
      </c>
      <c r="AG50" s="43">
        <f t="shared" si="8"/>
        <v>5.6771549999999997E-2</v>
      </c>
      <c r="AI50" s="64">
        <f>SUMIFS('Paths and Tariffs'!Q:Q,'Paths and Tariffs'!E:E,'Costing Detail'!E50,'Paths and Tariffs'!G:G,"GAS",'Paths and Tariffs'!N:N,1,'Paths and Tariffs'!M:M,1)</f>
        <v>6.3890000000000002E-2</v>
      </c>
    </row>
    <row r="51" spans="1:35" x14ac:dyDescent="0.55000000000000004">
      <c r="A51" s="35" t="s">
        <v>1211</v>
      </c>
      <c r="B51" t="s">
        <v>1348</v>
      </c>
      <c r="C51" t="s">
        <v>1348</v>
      </c>
      <c r="D51" t="s">
        <v>7312</v>
      </c>
      <c r="E51" s="35" t="s">
        <v>1446</v>
      </c>
      <c r="F51" t="s">
        <v>1447</v>
      </c>
      <c r="G51" s="36">
        <v>0</v>
      </c>
      <c r="H51" s="36">
        <v>0</v>
      </c>
      <c r="I51" s="36">
        <v>1.15E-2</v>
      </c>
      <c r="J51" s="37">
        <f t="shared" si="0"/>
        <v>1.15E-2</v>
      </c>
      <c r="K51" s="54">
        <v>0</v>
      </c>
      <c r="L51" s="54">
        <v>0</v>
      </c>
      <c r="M51" s="54">
        <v>-0.125</v>
      </c>
      <c r="N51" s="54">
        <v>0</v>
      </c>
      <c r="O51" s="54">
        <v>0</v>
      </c>
      <c r="P51" s="54">
        <v>1.4999999999999999E-2</v>
      </c>
      <c r="Q51" s="54">
        <v>0.02</v>
      </c>
      <c r="R51" s="54">
        <v>0</v>
      </c>
      <c r="S51" s="59">
        <f t="shared" si="1"/>
        <v>-0.09</v>
      </c>
      <c r="T51" s="38">
        <f t="shared" si="2"/>
        <v>-7.85E-2</v>
      </c>
      <c r="U51" s="39">
        <v>0</v>
      </c>
      <c r="V51" s="39">
        <v>0</v>
      </c>
      <c r="W51" s="39">
        <v>0</v>
      </c>
      <c r="X51" s="40">
        <f t="shared" si="3"/>
        <v>0</v>
      </c>
      <c r="Y51" s="41">
        <v>7.8899999999999998E-2</v>
      </c>
      <c r="Z51" s="41">
        <v>2.4689999999999998E-3</v>
      </c>
      <c r="AA51" s="41">
        <v>3.0000000000000001E-3</v>
      </c>
      <c r="AB51" s="41">
        <v>0</v>
      </c>
      <c r="AC51" s="42">
        <f t="shared" si="4"/>
        <v>8.4369E-2</v>
      </c>
      <c r="AD51" s="38">
        <f t="shared" si="5"/>
        <v>8.4369E-2</v>
      </c>
      <c r="AE51" s="43">
        <f t="shared" si="6"/>
        <v>8.4369E-2</v>
      </c>
      <c r="AF51" s="43">
        <f t="shared" si="7"/>
        <v>6.8082100000000007E-2</v>
      </c>
      <c r="AG51" s="43">
        <f t="shared" si="8"/>
        <v>5.9938650000000003E-2</v>
      </c>
      <c r="AI51" s="64">
        <f>SUMIFS('Paths and Tariffs'!Q:Q,'Paths and Tariffs'!E:E,'Costing Detail'!E51,'Paths and Tariffs'!G:G,"GAS",'Paths and Tariffs'!N:N,1,'Paths and Tariffs'!M:M,1)</f>
        <v>0</v>
      </c>
    </row>
    <row r="52" spans="1:35" hidden="1" x14ac:dyDescent="0.55000000000000004">
      <c r="A52" s="35" t="s">
        <v>1211</v>
      </c>
      <c r="B52" t="s">
        <v>1237</v>
      </c>
      <c r="C52" t="s">
        <v>7335</v>
      </c>
      <c r="D52" t="s">
        <v>7312</v>
      </c>
      <c r="E52" s="35" t="s">
        <v>1239</v>
      </c>
      <c r="F52" t="s">
        <v>1240</v>
      </c>
      <c r="G52" s="36">
        <v>0</v>
      </c>
      <c r="H52" s="36">
        <v>0</v>
      </c>
      <c r="I52" s="36">
        <v>1.15E-2</v>
      </c>
      <c r="J52" s="37">
        <f t="shared" si="0"/>
        <v>1.15E-2</v>
      </c>
      <c r="K52" s="54">
        <v>0</v>
      </c>
      <c r="L52" s="54">
        <v>0</v>
      </c>
      <c r="M52" s="54">
        <v>-0.125</v>
      </c>
      <c r="N52" s="54">
        <v>0</v>
      </c>
      <c r="O52" s="54">
        <v>0</v>
      </c>
      <c r="P52" s="54">
        <v>1.4999999999999999E-2</v>
      </c>
      <c r="Q52" s="54">
        <v>0.02</v>
      </c>
      <c r="R52" s="54">
        <v>0</v>
      </c>
      <c r="S52" s="59">
        <f t="shared" si="1"/>
        <v>-0.09</v>
      </c>
      <c r="T52" s="38">
        <f t="shared" si="2"/>
        <v>-7.85E-2</v>
      </c>
      <c r="U52" s="39">
        <v>0</v>
      </c>
      <c r="V52" s="39">
        <v>0</v>
      </c>
      <c r="W52" s="39">
        <v>0</v>
      </c>
      <c r="X52" s="40">
        <f t="shared" si="3"/>
        <v>0</v>
      </c>
      <c r="Y52" s="41">
        <v>9.7156999999999993E-2</v>
      </c>
      <c r="Z52" s="41">
        <v>2.4169999999999999E-3</v>
      </c>
      <c r="AA52" s="41">
        <v>3.0000000000000001E-3</v>
      </c>
      <c r="AB52" s="41">
        <v>0</v>
      </c>
      <c r="AC52" s="42">
        <f t="shared" si="4"/>
        <v>0.102574</v>
      </c>
      <c r="AD52" s="38">
        <f t="shared" si="5"/>
        <v>0.102574</v>
      </c>
      <c r="AE52" s="43">
        <f t="shared" si="6"/>
        <v>0.102574</v>
      </c>
      <c r="AF52" s="43">
        <f t="shared" si="7"/>
        <v>8.4466600000000003E-2</v>
      </c>
      <c r="AG52" s="43">
        <f t="shared" si="8"/>
        <v>7.5412900000000005E-2</v>
      </c>
      <c r="AI52" s="64">
        <f>SUMIFS('Paths and Tariffs'!Q:Q,'Paths and Tariffs'!E:E,'Costing Detail'!E52,'Paths and Tariffs'!G:G,"GAS",'Paths and Tariffs'!N:N,1,'Paths and Tariffs'!M:M,1)</f>
        <v>9.7156999999999993E-2</v>
      </c>
    </row>
    <row r="53" spans="1:35" hidden="1" x14ac:dyDescent="0.55000000000000004">
      <c r="A53" s="35" t="s">
        <v>1211</v>
      </c>
      <c r="B53" t="s">
        <v>1238</v>
      </c>
      <c r="C53" t="s">
        <v>1238</v>
      </c>
      <c r="D53" t="s">
        <v>7312</v>
      </c>
      <c r="E53" s="35" t="s">
        <v>1462</v>
      </c>
      <c r="F53" t="s">
        <v>1463</v>
      </c>
      <c r="G53" s="36">
        <v>0</v>
      </c>
      <c r="H53" s="36">
        <v>0</v>
      </c>
      <c r="I53" s="36">
        <v>1.15E-2</v>
      </c>
      <c r="J53" s="37">
        <f t="shared" si="0"/>
        <v>1.15E-2</v>
      </c>
      <c r="K53" s="54">
        <v>0</v>
      </c>
      <c r="L53" s="54">
        <v>0</v>
      </c>
      <c r="M53" s="54">
        <v>-0.125</v>
      </c>
      <c r="N53" s="54">
        <v>0</v>
      </c>
      <c r="O53" s="54">
        <v>0</v>
      </c>
      <c r="P53" s="54">
        <v>1.4999999999999999E-2</v>
      </c>
      <c r="Q53" s="54">
        <v>0.02</v>
      </c>
      <c r="R53" s="54">
        <v>0</v>
      </c>
      <c r="S53" s="59">
        <f t="shared" si="1"/>
        <v>-0.09</v>
      </c>
      <c r="T53" s="38">
        <f t="shared" si="2"/>
        <v>-7.85E-2</v>
      </c>
      <c r="U53" s="39">
        <v>0</v>
      </c>
      <c r="V53" s="39">
        <v>0</v>
      </c>
      <c r="W53" s="39">
        <v>0</v>
      </c>
      <c r="X53" s="40">
        <f t="shared" si="3"/>
        <v>0</v>
      </c>
      <c r="Y53" s="41">
        <v>9.3175999999999995E-2</v>
      </c>
      <c r="Z53" s="41">
        <v>2.3879999999999999E-3</v>
      </c>
      <c r="AA53" s="41">
        <v>3.0000000000000001E-3</v>
      </c>
      <c r="AB53" s="41">
        <v>0</v>
      </c>
      <c r="AC53" s="42">
        <f t="shared" si="4"/>
        <v>9.8563999999999999E-2</v>
      </c>
      <c r="AD53" s="38">
        <f t="shared" si="5"/>
        <v>9.8563999999999999E-2</v>
      </c>
      <c r="AE53" s="43">
        <f t="shared" si="6"/>
        <v>9.8563999999999999E-2</v>
      </c>
      <c r="AF53" s="43">
        <f t="shared" si="7"/>
        <v>8.0857600000000002E-2</v>
      </c>
      <c r="AG53" s="43">
        <f t="shared" si="8"/>
        <v>7.2004399999999996E-2</v>
      </c>
      <c r="AI53" s="64">
        <f>SUMIFS('Paths and Tariffs'!Q:Q,'Paths and Tariffs'!E:E,'Costing Detail'!E53,'Paths and Tariffs'!G:G,"GAS",'Paths and Tariffs'!N:N,1,'Paths and Tariffs'!M:M,1)</f>
        <v>9.3175999999999995E-2</v>
      </c>
    </row>
    <row r="54" spans="1:35" hidden="1" x14ac:dyDescent="0.55000000000000004">
      <c r="A54" s="35" t="s">
        <v>1478</v>
      </c>
      <c r="B54" t="s">
        <v>1479</v>
      </c>
      <c r="C54" t="s">
        <v>1479</v>
      </c>
      <c r="D54" t="s">
        <v>7326</v>
      </c>
      <c r="E54" s="35" t="s">
        <v>1492</v>
      </c>
      <c r="F54" t="s">
        <v>1493</v>
      </c>
      <c r="G54" s="36">
        <v>0</v>
      </c>
      <c r="H54" s="36">
        <v>0</v>
      </c>
      <c r="I54" s="36">
        <v>1.15E-2</v>
      </c>
      <c r="J54" s="37">
        <f t="shared" si="0"/>
        <v>1.15E-2</v>
      </c>
      <c r="K54" s="54">
        <v>0.27583299999999999</v>
      </c>
      <c r="L54" s="54">
        <v>2.686E-3</v>
      </c>
      <c r="M54" s="54">
        <v>-0.125</v>
      </c>
      <c r="N54" s="54">
        <v>5.0000000000000001E-3</v>
      </c>
      <c r="O54" s="54">
        <v>1.2500000000000001E-2</v>
      </c>
      <c r="P54" s="54">
        <v>1.4999999999999999E-2</v>
      </c>
      <c r="Q54" s="54">
        <v>0.02</v>
      </c>
      <c r="R54" s="54">
        <v>0</v>
      </c>
      <c r="S54" s="59">
        <f t="shared" si="1"/>
        <v>0.20601900000000004</v>
      </c>
      <c r="T54" s="38">
        <f t="shared" si="2"/>
        <v>0.21751900000000005</v>
      </c>
      <c r="U54" s="39">
        <v>0</v>
      </c>
      <c r="V54" s="39">
        <v>0</v>
      </c>
      <c r="W54" s="39">
        <v>1.15E-2</v>
      </c>
      <c r="X54" s="40">
        <f t="shared" si="3"/>
        <v>1.15E-2</v>
      </c>
      <c r="Y54" s="41">
        <v>5.4938000000000001E-2</v>
      </c>
      <c r="Z54" s="41">
        <v>1.7099999999999999E-3</v>
      </c>
      <c r="AA54" s="41">
        <v>3.0000000000000001E-3</v>
      </c>
      <c r="AB54" s="41">
        <v>0</v>
      </c>
      <c r="AC54" s="42">
        <f t="shared" si="4"/>
        <v>5.9648000000000007E-2</v>
      </c>
      <c r="AD54" s="38">
        <f t="shared" si="5"/>
        <v>7.1148000000000003E-2</v>
      </c>
      <c r="AE54" s="43">
        <f t="shared" si="6"/>
        <v>7.1148000000000003E-2</v>
      </c>
      <c r="AF54" s="43">
        <f t="shared" si="7"/>
        <v>8.5785100000000003E-2</v>
      </c>
      <c r="AG54" s="43">
        <f t="shared" si="8"/>
        <v>9.310365000000001E-2</v>
      </c>
      <c r="AI54" s="64">
        <f>SUMIFS('Paths and Tariffs'!Q:Q,'Paths and Tariffs'!E:E,'Costing Detail'!E54,'Paths and Tariffs'!G:G,"GAS",'Paths and Tariffs'!N:N,1,'Paths and Tariffs'!M:M,1)</f>
        <v>5.4938000000000001E-2</v>
      </c>
    </row>
    <row r="55" spans="1:35" hidden="1" x14ac:dyDescent="0.55000000000000004">
      <c r="A55" s="35" t="s">
        <v>1478</v>
      </c>
      <c r="B55" t="s">
        <v>1494</v>
      </c>
      <c r="C55" t="s">
        <v>1494</v>
      </c>
      <c r="D55" t="s">
        <v>7326</v>
      </c>
      <c r="E55" s="35" t="s">
        <v>1495</v>
      </c>
      <c r="F55" t="s">
        <v>1496</v>
      </c>
      <c r="G55" s="36">
        <v>0</v>
      </c>
      <c r="H55" s="36">
        <v>0</v>
      </c>
      <c r="I55" s="36">
        <v>1.15E-2</v>
      </c>
      <c r="J55" s="37">
        <f t="shared" si="0"/>
        <v>1.15E-2</v>
      </c>
      <c r="K55" s="54">
        <v>0.27583299999999999</v>
      </c>
      <c r="L55" s="54">
        <v>2.5890000000000002E-3</v>
      </c>
      <c r="M55" s="54">
        <v>-0.125</v>
      </c>
      <c r="N55" s="54">
        <v>5.0000000000000001E-3</v>
      </c>
      <c r="O55" s="54">
        <v>1.2500000000000001E-2</v>
      </c>
      <c r="P55" s="54">
        <v>1.4999999999999999E-2</v>
      </c>
      <c r="Q55" s="54">
        <v>0.02</v>
      </c>
      <c r="R55" s="54">
        <v>0</v>
      </c>
      <c r="S55" s="59">
        <f t="shared" si="1"/>
        <v>0.20592200000000002</v>
      </c>
      <c r="T55" s="38">
        <f t="shared" si="2"/>
        <v>0.21742200000000003</v>
      </c>
      <c r="U55" s="39">
        <v>0</v>
      </c>
      <c r="V55" s="39">
        <v>0</v>
      </c>
      <c r="W55" s="39">
        <v>1.15E-2</v>
      </c>
      <c r="X55" s="40">
        <f t="shared" si="3"/>
        <v>1.15E-2</v>
      </c>
      <c r="Y55" s="41">
        <v>3.4486000000000003E-2</v>
      </c>
      <c r="Z55" s="41">
        <v>1.268E-3</v>
      </c>
      <c r="AA55" s="41">
        <v>3.0000000000000001E-3</v>
      </c>
      <c r="AB55" s="41">
        <v>0</v>
      </c>
      <c r="AC55" s="42">
        <f t="shared" si="4"/>
        <v>3.8754000000000004E-2</v>
      </c>
      <c r="AD55" s="38">
        <f t="shared" si="5"/>
        <v>5.0254000000000007E-2</v>
      </c>
      <c r="AE55" s="43">
        <f t="shared" si="6"/>
        <v>5.0254000000000007E-2</v>
      </c>
      <c r="AF55" s="43">
        <f t="shared" si="7"/>
        <v>6.6970800000000011E-2</v>
      </c>
      <c r="AG55" s="43">
        <f t="shared" si="8"/>
        <v>7.5329200000000013E-2</v>
      </c>
      <c r="AI55" s="64">
        <f>SUMIFS('Paths and Tariffs'!Q:Q,'Paths and Tariffs'!E:E,'Costing Detail'!E55,'Paths and Tariffs'!G:G,"GAS",'Paths and Tariffs'!N:N,1,'Paths and Tariffs'!M:M,1)</f>
        <v>3.4486000000000003E-2</v>
      </c>
    </row>
    <row r="56" spans="1:35" hidden="1" x14ac:dyDescent="0.55000000000000004">
      <c r="A56" s="35" t="s">
        <v>1478</v>
      </c>
      <c r="B56" t="s">
        <v>1507</v>
      </c>
      <c r="C56" t="s">
        <v>1507</v>
      </c>
      <c r="D56" t="s">
        <v>7326</v>
      </c>
      <c r="E56" s="35" t="s">
        <v>1508</v>
      </c>
      <c r="F56" t="s">
        <v>1509</v>
      </c>
      <c r="G56" s="36">
        <v>0</v>
      </c>
      <c r="H56" s="36">
        <v>0</v>
      </c>
      <c r="I56" s="36">
        <v>1.15E-2</v>
      </c>
      <c r="J56" s="37">
        <f t="shared" si="0"/>
        <v>1.15E-2</v>
      </c>
      <c r="K56" s="54">
        <v>0.27583299999999999</v>
      </c>
      <c r="L56" s="54">
        <v>2.5460000000000001E-3</v>
      </c>
      <c r="M56" s="54">
        <v>-0.125</v>
      </c>
      <c r="N56" s="54">
        <v>5.0000000000000001E-3</v>
      </c>
      <c r="O56" s="54">
        <v>1.2500000000000001E-2</v>
      </c>
      <c r="P56" s="54">
        <v>1.4999999999999999E-2</v>
      </c>
      <c r="Q56" s="54">
        <v>0.02</v>
      </c>
      <c r="R56" s="54">
        <v>0</v>
      </c>
      <c r="S56" s="59">
        <f t="shared" si="1"/>
        <v>0.20587900000000001</v>
      </c>
      <c r="T56" s="38">
        <f t="shared" si="2"/>
        <v>0.21737900000000002</v>
      </c>
      <c r="U56" s="39">
        <v>0</v>
      </c>
      <c r="V56" s="39">
        <v>0</v>
      </c>
      <c r="W56" s="39">
        <v>1.15E-2</v>
      </c>
      <c r="X56" s="40">
        <f t="shared" si="3"/>
        <v>1.15E-2</v>
      </c>
      <c r="Y56" s="41">
        <v>4.2980999999999998E-2</v>
      </c>
      <c r="Z56" s="41">
        <v>1.3780000000000001E-3</v>
      </c>
      <c r="AA56" s="41">
        <v>3.0000000000000001E-3</v>
      </c>
      <c r="AB56" s="41">
        <v>0</v>
      </c>
      <c r="AC56" s="42">
        <f t="shared" si="4"/>
        <v>4.7358999999999998E-2</v>
      </c>
      <c r="AD56" s="38">
        <f t="shared" si="5"/>
        <v>5.8858999999999995E-2</v>
      </c>
      <c r="AE56" s="43">
        <f t="shared" si="6"/>
        <v>5.8858999999999995E-2</v>
      </c>
      <c r="AF56" s="43">
        <f t="shared" si="7"/>
        <v>7.4711E-2</v>
      </c>
      <c r="AG56" s="43">
        <f t="shared" si="8"/>
        <v>8.2636999999999988E-2</v>
      </c>
      <c r="AI56" s="64">
        <f>SUMIFS('Paths and Tariffs'!Q:Q,'Paths and Tariffs'!E:E,'Costing Detail'!E56,'Paths and Tariffs'!G:G,"GAS",'Paths and Tariffs'!N:N,1,'Paths and Tariffs'!M:M,1)</f>
        <v>4.2980999999999998E-2</v>
      </c>
    </row>
    <row r="57" spans="1:35" hidden="1" x14ac:dyDescent="0.55000000000000004">
      <c r="A57" s="35" t="s">
        <v>1518</v>
      </c>
      <c r="B57" t="s">
        <v>1519</v>
      </c>
      <c r="C57" t="s">
        <v>1520</v>
      </c>
      <c r="D57" t="s">
        <v>7312</v>
      </c>
      <c r="E57" s="35" t="s">
        <v>1537</v>
      </c>
      <c r="F57" t="s">
        <v>1538</v>
      </c>
      <c r="G57" s="36">
        <v>0</v>
      </c>
      <c r="H57" s="36">
        <v>0</v>
      </c>
      <c r="I57" s="36">
        <v>1.15E-2</v>
      </c>
      <c r="J57" s="37">
        <f t="shared" si="0"/>
        <v>1.15E-2</v>
      </c>
      <c r="K57" s="54">
        <v>0</v>
      </c>
      <c r="L57" s="54">
        <v>0</v>
      </c>
      <c r="M57" s="54">
        <v>-5.5E-2</v>
      </c>
      <c r="N57" s="54">
        <v>0</v>
      </c>
      <c r="O57" s="54">
        <v>0</v>
      </c>
      <c r="P57" s="54">
        <v>1.4999999999999999E-2</v>
      </c>
      <c r="Q57" s="54">
        <v>0.02</v>
      </c>
      <c r="R57" s="54">
        <v>0</v>
      </c>
      <c r="S57" s="59">
        <f t="shared" si="1"/>
        <v>-0.02</v>
      </c>
      <c r="T57" s="38">
        <f t="shared" si="2"/>
        <v>-8.5000000000000006E-3</v>
      </c>
      <c r="U57" s="39">
        <v>0</v>
      </c>
      <c r="V57" s="39">
        <v>0</v>
      </c>
      <c r="W57" s="39">
        <v>1.15E-2</v>
      </c>
      <c r="X57" s="40">
        <f t="shared" si="3"/>
        <v>1.15E-2</v>
      </c>
      <c r="Y57" s="41">
        <v>3.6200000000000003E-2</v>
      </c>
      <c r="Z57" s="41">
        <v>1.5039999999999999E-3</v>
      </c>
      <c r="AA57" s="41">
        <v>3.0000000000000001E-3</v>
      </c>
      <c r="AB57" s="41">
        <v>0</v>
      </c>
      <c r="AC57" s="42">
        <f t="shared" si="4"/>
        <v>4.0704000000000004E-2</v>
      </c>
      <c r="AD57" s="38">
        <f t="shared" si="5"/>
        <v>5.2204E-2</v>
      </c>
      <c r="AE57" s="43">
        <f t="shared" si="6"/>
        <v>5.2204E-2</v>
      </c>
      <c r="AF57" s="43">
        <f t="shared" si="7"/>
        <v>4.6133599999999997E-2</v>
      </c>
      <c r="AG57" s="43">
        <f t="shared" si="8"/>
        <v>4.3098400000000002E-2</v>
      </c>
      <c r="AI57" s="64">
        <f>SUMIFS('Paths and Tariffs'!Q:Q,'Paths and Tariffs'!E:E,'Costing Detail'!E57,'Paths and Tariffs'!G:G,"GAS",'Paths and Tariffs'!N:N,1,'Paths and Tariffs'!M:M,1)</f>
        <v>3.6200000000000003E-2</v>
      </c>
    </row>
    <row r="58" spans="1:35" hidden="1" x14ac:dyDescent="0.55000000000000004">
      <c r="A58" s="35" t="s">
        <v>1518</v>
      </c>
      <c r="B58" t="s">
        <v>7336</v>
      </c>
      <c r="C58" t="s">
        <v>1520</v>
      </c>
      <c r="D58" t="s">
        <v>7312</v>
      </c>
      <c r="E58" s="35" t="s">
        <v>1544</v>
      </c>
      <c r="F58" t="s">
        <v>1545</v>
      </c>
      <c r="G58" s="36">
        <v>0</v>
      </c>
      <c r="H58" s="36">
        <v>0</v>
      </c>
      <c r="I58" s="36">
        <v>1.15E-2</v>
      </c>
      <c r="J58" s="37">
        <f t="shared" si="0"/>
        <v>1.15E-2</v>
      </c>
      <c r="K58" s="54">
        <v>0</v>
      </c>
      <c r="L58" s="54">
        <v>0</v>
      </c>
      <c r="M58" s="54">
        <v>-5.5E-2</v>
      </c>
      <c r="N58" s="54">
        <v>0</v>
      </c>
      <c r="O58" s="54">
        <v>0</v>
      </c>
      <c r="P58" s="54">
        <v>1.4999999999999999E-2</v>
      </c>
      <c r="Q58" s="54">
        <v>0.02</v>
      </c>
      <c r="R58" s="54">
        <v>0</v>
      </c>
      <c r="S58" s="59">
        <f t="shared" si="1"/>
        <v>-0.02</v>
      </c>
      <c r="T58" s="38">
        <f t="shared" si="2"/>
        <v>-8.5000000000000006E-3</v>
      </c>
      <c r="U58" s="39">
        <v>0</v>
      </c>
      <c r="V58" s="39">
        <v>0</v>
      </c>
      <c r="W58" s="39">
        <v>1.15E-2</v>
      </c>
      <c r="X58" s="40">
        <f t="shared" si="3"/>
        <v>1.15E-2</v>
      </c>
      <c r="Y58" s="41">
        <v>4.2182999999999998E-2</v>
      </c>
      <c r="Z58" s="41">
        <v>1.008E-3</v>
      </c>
      <c r="AA58" s="41">
        <v>3.0000000000000001E-3</v>
      </c>
      <c r="AB58" s="41">
        <v>0</v>
      </c>
      <c r="AC58" s="42">
        <f t="shared" si="4"/>
        <v>4.6191000000000003E-2</v>
      </c>
      <c r="AD58" s="38">
        <f t="shared" si="5"/>
        <v>5.7691000000000006E-2</v>
      </c>
      <c r="AE58" s="43">
        <f t="shared" si="6"/>
        <v>5.7691000000000006E-2</v>
      </c>
      <c r="AF58" s="43">
        <f t="shared" si="7"/>
        <v>5.1071900000000003E-2</v>
      </c>
      <c r="AG58" s="43">
        <f t="shared" si="8"/>
        <v>4.7762350000000009E-2</v>
      </c>
      <c r="AI58" s="64">
        <f>SUMIFS('Paths and Tariffs'!Q:Q,'Paths and Tariffs'!E:E,'Costing Detail'!E58,'Paths and Tariffs'!G:G,"GAS",'Paths and Tariffs'!N:N,1,'Paths and Tariffs'!M:M,1)</f>
        <v>4.2182999999999998E-2</v>
      </c>
    </row>
    <row r="59" spans="1:35" hidden="1" x14ac:dyDescent="0.55000000000000004">
      <c r="A59" s="35" t="s">
        <v>1518</v>
      </c>
      <c r="B59" t="s">
        <v>1648</v>
      </c>
      <c r="C59" t="s">
        <v>1520</v>
      </c>
      <c r="D59" t="s">
        <v>7312</v>
      </c>
      <c r="E59" s="35" t="s">
        <v>1649</v>
      </c>
      <c r="F59" t="s">
        <v>1650</v>
      </c>
      <c r="G59" s="36">
        <v>0</v>
      </c>
      <c r="H59" s="36">
        <v>0</v>
      </c>
      <c r="I59" s="36">
        <v>1.15E-2</v>
      </c>
      <c r="J59" s="37">
        <f t="shared" si="0"/>
        <v>1.15E-2</v>
      </c>
      <c r="K59" s="54">
        <v>0</v>
      </c>
      <c r="L59" s="54">
        <v>0</v>
      </c>
      <c r="M59" s="54">
        <v>-5.5E-2</v>
      </c>
      <c r="N59" s="54">
        <v>0</v>
      </c>
      <c r="O59" s="54">
        <v>0</v>
      </c>
      <c r="P59" s="54">
        <v>1.4999999999999999E-2</v>
      </c>
      <c r="Q59" s="54">
        <v>0.02</v>
      </c>
      <c r="R59" s="54">
        <v>0</v>
      </c>
      <c r="S59" s="59">
        <f t="shared" si="1"/>
        <v>-0.02</v>
      </c>
      <c r="T59" s="38">
        <f t="shared" si="2"/>
        <v>-8.5000000000000006E-3</v>
      </c>
      <c r="U59" s="39">
        <v>0</v>
      </c>
      <c r="V59" s="39">
        <v>0</v>
      </c>
      <c r="W59" s="39">
        <v>1.15E-2</v>
      </c>
      <c r="X59" s="40">
        <f t="shared" si="3"/>
        <v>1.15E-2</v>
      </c>
      <c r="Y59" s="41">
        <v>3.4229000000000002E-2</v>
      </c>
      <c r="Z59" s="41">
        <v>9.6100000000000005E-4</v>
      </c>
      <c r="AA59" s="41">
        <v>3.0000000000000001E-3</v>
      </c>
      <c r="AB59" s="41">
        <v>0</v>
      </c>
      <c r="AC59" s="42">
        <f t="shared" si="4"/>
        <v>3.8190000000000002E-2</v>
      </c>
      <c r="AD59" s="38">
        <f t="shared" si="5"/>
        <v>4.9689999999999998E-2</v>
      </c>
      <c r="AE59" s="43">
        <f t="shared" si="6"/>
        <v>4.9689999999999998E-2</v>
      </c>
      <c r="AF59" s="43">
        <f t="shared" si="7"/>
        <v>4.3870999999999993E-2</v>
      </c>
      <c r="AG59" s="43">
        <f t="shared" si="8"/>
        <v>4.0961499999999998E-2</v>
      </c>
      <c r="AI59" s="64">
        <f>SUMIFS('Paths and Tariffs'!Q:Q,'Paths and Tariffs'!E:E,'Costing Detail'!E59,'Paths and Tariffs'!G:G,"GAS",'Paths and Tariffs'!N:N,1,'Paths and Tariffs'!M:M,1)</f>
        <v>3.4229000000000002E-2</v>
      </c>
    </row>
    <row r="60" spans="1:35" hidden="1" x14ac:dyDescent="0.55000000000000004">
      <c r="A60" s="35" t="s">
        <v>1518</v>
      </c>
      <c r="B60" t="s">
        <v>7341</v>
      </c>
      <c r="C60" t="s">
        <v>7340</v>
      </c>
      <c r="D60" t="s">
        <v>7312</v>
      </c>
      <c r="E60" s="35" t="s">
        <v>1634</v>
      </c>
      <c r="F60" t="s">
        <v>1635</v>
      </c>
      <c r="G60" s="36">
        <v>0</v>
      </c>
      <c r="H60" s="36">
        <v>0</v>
      </c>
      <c r="I60" s="36">
        <v>1.15E-2</v>
      </c>
      <c r="J60" s="37">
        <f t="shared" si="0"/>
        <v>1.15E-2</v>
      </c>
      <c r="K60" s="54">
        <v>0</v>
      </c>
      <c r="L60" s="54">
        <v>0</v>
      </c>
      <c r="M60" s="54">
        <v>-5.5E-2</v>
      </c>
      <c r="N60" s="54">
        <v>0</v>
      </c>
      <c r="O60" s="54">
        <v>0</v>
      </c>
      <c r="P60" s="54">
        <v>1.4999999999999999E-2</v>
      </c>
      <c r="Q60" s="54">
        <v>0.02</v>
      </c>
      <c r="R60" s="54">
        <v>0</v>
      </c>
      <c r="S60" s="59">
        <f t="shared" si="1"/>
        <v>-0.02</v>
      </c>
      <c r="T60" s="38">
        <f t="shared" si="2"/>
        <v>-8.5000000000000006E-3</v>
      </c>
      <c r="U60" s="39">
        <v>0</v>
      </c>
      <c r="V60" s="39">
        <v>0</v>
      </c>
      <c r="W60" s="39">
        <v>1.15E-2</v>
      </c>
      <c r="X60" s="40">
        <f t="shared" si="3"/>
        <v>1.15E-2</v>
      </c>
      <c r="Y60" s="41">
        <v>1.7314E-2</v>
      </c>
      <c r="Z60" s="41">
        <v>1.042E-3</v>
      </c>
      <c r="AA60" s="41">
        <v>3.0000000000000001E-3</v>
      </c>
      <c r="AB60" s="41">
        <v>0</v>
      </c>
      <c r="AC60" s="42">
        <f t="shared" si="4"/>
        <v>2.1356E-2</v>
      </c>
      <c r="AD60" s="38">
        <f t="shared" si="5"/>
        <v>3.2855999999999996E-2</v>
      </c>
      <c r="AE60" s="43">
        <f t="shared" si="6"/>
        <v>3.2855999999999996E-2</v>
      </c>
      <c r="AF60" s="43">
        <f t="shared" si="7"/>
        <v>2.8720399999999997E-2</v>
      </c>
      <c r="AG60" s="43">
        <f t="shared" si="8"/>
        <v>2.6652599999999999E-2</v>
      </c>
      <c r="AI60" s="64">
        <f>SUMIFS('Paths and Tariffs'!Q:Q,'Paths and Tariffs'!E:E,'Costing Detail'!E60,'Paths and Tariffs'!G:G,"GAS",'Paths and Tariffs'!N:N,1,'Paths and Tariffs'!M:M,1)</f>
        <v>1.7314E-2</v>
      </c>
    </row>
    <row r="61" spans="1:35" x14ac:dyDescent="0.55000000000000004">
      <c r="A61" s="35" t="s">
        <v>1518</v>
      </c>
      <c r="B61" t="s">
        <v>1666</v>
      </c>
      <c r="C61" t="s">
        <v>1666</v>
      </c>
      <c r="D61" t="s">
        <v>7312</v>
      </c>
      <c r="E61" s="35" t="s">
        <v>1667</v>
      </c>
      <c r="F61" t="s">
        <v>1668</v>
      </c>
      <c r="G61" s="36">
        <v>0</v>
      </c>
      <c r="H61" s="36">
        <v>0</v>
      </c>
      <c r="I61" s="36">
        <v>1.15E-2</v>
      </c>
      <c r="J61" s="37">
        <f t="shared" si="0"/>
        <v>1.15E-2</v>
      </c>
      <c r="K61" s="54">
        <v>0</v>
      </c>
      <c r="L61" s="54">
        <v>0</v>
      </c>
      <c r="M61" s="54">
        <v>-5.5E-2</v>
      </c>
      <c r="N61" s="54">
        <v>0</v>
      </c>
      <c r="O61" s="54">
        <v>0</v>
      </c>
      <c r="P61" s="54">
        <v>1.4999999999999999E-2</v>
      </c>
      <c r="Q61" s="54">
        <v>0.02</v>
      </c>
      <c r="R61" s="54">
        <v>0</v>
      </c>
      <c r="S61" s="59">
        <f t="shared" si="1"/>
        <v>-0.02</v>
      </c>
      <c r="T61" s="38">
        <f t="shared" si="2"/>
        <v>-8.5000000000000006E-3</v>
      </c>
      <c r="U61" s="39">
        <v>0</v>
      </c>
      <c r="V61" s="39">
        <v>0</v>
      </c>
      <c r="W61" s="39">
        <v>1.15E-2</v>
      </c>
      <c r="X61" s="40">
        <f t="shared" si="3"/>
        <v>1.15E-2</v>
      </c>
      <c r="Y61" s="41">
        <v>3.6797999999999997E-2</v>
      </c>
      <c r="Z61" s="41">
        <v>1.1479999999999999E-3</v>
      </c>
      <c r="AA61" s="41">
        <v>3.0000000000000001E-3</v>
      </c>
      <c r="AB61" s="41">
        <v>0</v>
      </c>
      <c r="AC61" s="42">
        <f t="shared" si="4"/>
        <v>4.0946000000000003E-2</v>
      </c>
      <c r="AD61" s="38">
        <f t="shared" si="5"/>
        <v>5.2446000000000007E-2</v>
      </c>
      <c r="AE61" s="43">
        <f t="shared" si="6"/>
        <v>5.2446000000000007E-2</v>
      </c>
      <c r="AF61" s="43">
        <f t="shared" si="7"/>
        <v>4.6351400000000001E-2</v>
      </c>
      <c r="AG61" s="43">
        <f t="shared" si="8"/>
        <v>4.3304100000000005E-2</v>
      </c>
      <c r="AI61" s="64">
        <f>SUMIFS('Paths and Tariffs'!Q:Q,'Paths and Tariffs'!E:E,'Costing Detail'!E61,'Paths and Tariffs'!G:G,"GAS",'Paths and Tariffs'!N:N,1,'Paths and Tariffs'!M:M,1)</f>
        <v>4.8638000000000001E-2</v>
      </c>
    </row>
    <row r="62" spans="1:35" hidden="1" x14ac:dyDescent="0.55000000000000004">
      <c r="A62" s="35" t="s">
        <v>1518</v>
      </c>
      <c r="B62" t="s">
        <v>1699</v>
      </c>
      <c r="C62" t="s">
        <v>1786</v>
      </c>
      <c r="D62" t="s">
        <v>7312</v>
      </c>
      <c r="E62" s="35" t="s">
        <v>1700</v>
      </c>
      <c r="F62" t="s">
        <v>1701</v>
      </c>
      <c r="G62" s="36">
        <v>0</v>
      </c>
      <c r="H62" s="36">
        <v>0</v>
      </c>
      <c r="I62" s="36">
        <v>1.15E-2</v>
      </c>
      <c r="J62" s="37">
        <f t="shared" si="0"/>
        <v>1.15E-2</v>
      </c>
      <c r="K62" s="54">
        <v>0.17976700000000001</v>
      </c>
      <c r="L62" s="54">
        <v>2.0730000000000002E-3</v>
      </c>
      <c r="M62" s="54">
        <v>-5.5E-2</v>
      </c>
      <c r="N62" s="54">
        <v>5.0000000000000001E-3</v>
      </c>
      <c r="O62" s="54">
        <v>1.2500000000000001E-2</v>
      </c>
      <c r="P62" s="54">
        <v>1.4999999999999999E-2</v>
      </c>
      <c r="Q62" s="54">
        <v>0.02</v>
      </c>
      <c r="R62" s="54">
        <v>0</v>
      </c>
      <c r="S62" s="59">
        <f t="shared" si="1"/>
        <v>0.17934000000000003</v>
      </c>
      <c r="T62" s="38">
        <f t="shared" si="2"/>
        <v>0.19084000000000004</v>
      </c>
      <c r="U62" s="39">
        <v>0</v>
      </c>
      <c r="V62" s="39">
        <v>0</v>
      </c>
      <c r="W62" s="39">
        <v>1.15E-2</v>
      </c>
      <c r="X62" s="40">
        <f t="shared" si="3"/>
        <v>1.15E-2</v>
      </c>
      <c r="Y62" s="41">
        <v>8.0498E-2</v>
      </c>
      <c r="Z62" s="41">
        <v>3.0300000000000001E-3</v>
      </c>
      <c r="AA62" s="41">
        <v>3.0000000000000001E-3</v>
      </c>
      <c r="AB62" s="41">
        <v>0</v>
      </c>
      <c r="AC62" s="42">
        <f t="shared" si="4"/>
        <v>8.6528000000000008E-2</v>
      </c>
      <c r="AD62" s="38">
        <f t="shared" si="5"/>
        <v>9.8028000000000004E-2</v>
      </c>
      <c r="AE62" s="43">
        <f t="shared" si="6"/>
        <v>9.8028000000000004E-2</v>
      </c>
      <c r="AF62" s="43">
        <f t="shared" si="7"/>
        <v>0.10730920000000001</v>
      </c>
      <c r="AG62" s="43">
        <f t="shared" si="8"/>
        <v>0.11194980000000002</v>
      </c>
      <c r="AI62" s="64">
        <f>SUMIFS('Paths and Tariffs'!Q:Q,'Paths and Tariffs'!E:E,'Costing Detail'!E62,'Paths and Tariffs'!G:G,"GAS",'Paths and Tariffs'!N:N,1,'Paths and Tariffs'!M:M,1)</f>
        <v>8.0498E-2</v>
      </c>
    </row>
    <row r="63" spans="1:35" hidden="1" x14ac:dyDescent="0.55000000000000004">
      <c r="A63" s="35" t="s">
        <v>1518</v>
      </c>
      <c r="B63" t="s">
        <v>1639</v>
      </c>
      <c r="C63" t="s">
        <v>1714</v>
      </c>
      <c r="D63" t="s">
        <v>7312</v>
      </c>
      <c r="E63" s="35" t="s">
        <v>1640</v>
      </c>
      <c r="F63" t="s">
        <v>1641</v>
      </c>
      <c r="G63" s="36">
        <v>0</v>
      </c>
      <c r="H63" s="36">
        <v>0</v>
      </c>
      <c r="I63" s="36">
        <v>1.15E-2</v>
      </c>
      <c r="J63" s="37">
        <f t="shared" si="0"/>
        <v>1.15E-2</v>
      </c>
      <c r="K63" s="54">
        <v>0</v>
      </c>
      <c r="L63" s="54">
        <v>0</v>
      </c>
      <c r="M63" s="54">
        <v>-5.5E-2</v>
      </c>
      <c r="N63" s="54">
        <v>0</v>
      </c>
      <c r="O63" s="54">
        <v>0</v>
      </c>
      <c r="P63" s="54">
        <v>1.4999999999999999E-2</v>
      </c>
      <c r="Q63" s="54">
        <v>0.02</v>
      </c>
      <c r="R63" s="54">
        <v>0</v>
      </c>
      <c r="S63" s="59">
        <f t="shared" si="1"/>
        <v>-0.02</v>
      </c>
      <c r="T63" s="38">
        <f t="shared" si="2"/>
        <v>-8.5000000000000006E-3</v>
      </c>
      <c r="U63" s="39">
        <v>0</v>
      </c>
      <c r="V63" s="39">
        <v>0</v>
      </c>
      <c r="W63" s="39">
        <v>1.15E-2</v>
      </c>
      <c r="X63" s="40">
        <f t="shared" si="3"/>
        <v>1.15E-2</v>
      </c>
      <c r="Y63" s="41">
        <v>2.5186E-2</v>
      </c>
      <c r="Z63" s="41">
        <v>1.041E-3</v>
      </c>
      <c r="AA63" s="41">
        <v>3.0000000000000001E-3</v>
      </c>
      <c r="AB63" s="41">
        <v>0</v>
      </c>
      <c r="AC63" s="42">
        <f t="shared" si="4"/>
        <v>2.9227E-2</v>
      </c>
      <c r="AD63" s="38">
        <f t="shared" si="5"/>
        <v>4.0726999999999999E-2</v>
      </c>
      <c r="AE63" s="43">
        <f t="shared" si="6"/>
        <v>4.0726999999999999E-2</v>
      </c>
      <c r="AF63" s="43">
        <f t="shared" si="7"/>
        <v>3.5804299999999997E-2</v>
      </c>
      <c r="AG63" s="43">
        <f t="shared" si="8"/>
        <v>3.3342950000000003E-2</v>
      </c>
      <c r="AI63" s="64">
        <f>SUMIFS('Paths and Tariffs'!Q:Q,'Paths and Tariffs'!E:E,'Costing Detail'!E63,'Paths and Tariffs'!G:G,"GAS",'Paths and Tariffs'!N:N,1,'Paths and Tariffs'!M:M,1)</f>
        <v>2.5186E-2</v>
      </c>
    </row>
    <row r="64" spans="1:35" hidden="1" x14ac:dyDescent="0.55000000000000004">
      <c r="A64" s="35" t="s">
        <v>1518</v>
      </c>
      <c r="B64" t="s">
        <v>1720</v>
      </c>
      <c r="C64" t="s">
        <v>1721</v>
      </c>
      <c r="D64" t="s">
        <v>7312</v>
      </c>
      <c r="E64" s="35" t="s">
        <v>1722</v>
      </c>
      <c r="F64" t="s">
        <v>1723</v>
      </c>
      <c r="G64" s="36">
        <v>0</v>
      </c>
      <c r="H64" s="36">
        <v>0</v>
      </c>
      <c r="I64" s="36">
        <v>1.15E-2</v>
      </c>
      <c r="J64" s="37">
        <f t="shared" si="0"/>
        <v>1.15E-2</v>
      </c>
      <c r="K64" s="54">
        <v>0</v>
      </c>
      <c r="L64" s="54">
        <v>0</v>
      </c>
      <c r="M64" s="54">
        <v>-5.5E-2</v>
      </c>
      <c r="N64" s="54">
        <v>0</v>
      </c>
      <c r="O64" s="54">
        <v>0</v>
      </c>
      <c r="P64" s="54">
        <v>1.4999999999999999E-2</v>
      </c>
      <c r="Q64" s="54">
        <v>0.02</v>
      </c>
      <c r="R64" s="54">
        <v>0</v>
      </c>
      <c r="S64" s="59">
        <f t="shared" si="1"/>
        <v>-0.02</v>
      </c>
      <c r="T64" s="38">
        <f t="shared" si="2"/>
        <v>-8.5000000000000006E-3</v>
      </c>
      <c r="U64" s="39">
        <v>0</v>
      </c>
      <c r="V64" s="39">
        <v>0</v>
      </c>
      <c r="W64" s="39">
        <v>1.15E-2</v>
      </c>
      <c r="X64" s="40">
        <f t="shared" si="3"/>
        <v>1.15E-2</v>
      </c>
      <c r="Y64" s="41">
        <v>2.6112E-2</v>
      </c>
      <c r="Z64" s="41">
        <v>1.0280000000000001E-3</v>
      </c>
      <c r="AA64" s="41">
        <v>3.0000000000000001E-3</v>
      </c>
      <c r="AB64" s="41">
        <v>0</v>
      </c>
      <c r="AC64" s="42">
        <f t="shared" si="4"/>
        <v>3.014E-2</v>
      </c>
      <c r="AD64" s="38">
        <f t="shared" si="5"/>
        <v>4.1639999999999996E-2</v>
      </c>
      <c r="AE64" s="43">
        <f t="shared" si="6"/>
        <v>4.1639999999999996E-2</v>
      </c>
      <c r="AF64" s="43">
        <f t="shared" si="7"/>
        <v>3.6625999999999992E-2</v>
      </c>
      <c r="AG64" s="43">
        <f t="shared" si="8"/>
        <v>3.4118999999999997E-2</v>
      </c>
      <c r="AI64" s="64">
        <f>SUMIFS('Paths and Tariffs'!Q:Q,'Paths and Tariffs'!E:E,'Costing Detail'!E64,'Paths and Tariffs'!G:G,"GAS",'Paths and Tariffs'!N:N,1,'Paths and Tariffs'!M:M,1)</f>
        <v>2.6112E-2</v>
      </c>
    </row>
    <row r="65" spans="1:35" hidden="1" x14ac:dyDescent="0.55000000000000004">
      <c r="A65" s="35" t="s">
        <v>1518</v>
      </c>
      <c r="B65" t="s">
        <v>1721</v>
      </c>
      <c r="C65" t="s">
        <v>1721</v>
      </c>
      <c r="D65" t="s">
        <v>7312</v>
      </c>
      <c r="E65" s="35" t="s">
        <v>1732</v>
      </c>
      <c r="F65" t="s">
        <v>1733</v>
      </c>
      <c r="G65" s="36">
        <v>0</v>
      </c>
      <c r="H65" s="36">
        <v>0</v>
      </c>
      <c r="I65" s="36">
        <v>1.15E-2</v>
      </c>
      <c r="J65" s="37">
        <f t="shared" si="0"/>
        <v>1.15E-2</v>
      </c>
      <c r="K65" s="54">
        <v>0</v>
      </c>
      <c r="L65" s="54">
        <v>0</v>
      </c>
      <c r="M65" s="54">
        <v>-5.5E-2</v>
      </c>
      <c r="N65" s="54">
        <v>0</v>
      </c>
      <c r="O65" s="54">
        <v>0</v>
      </c>
      <c r="P65" s="54">
        <v>1.4999999999999999E-2</v>
      </c>
      <c r="Q65" s="54">
        <v>0.02</v>
      </c>
      <c r="R65" s="54">
        <v>0</v>
      </c>
      <c r="S65" s="59">
        <f t="shared" si="1"/>
        <v>-0.02</v>
      </c>
      <c r="T65" s="38">
        <f t="shared" si="2"/>
        <v>-8.5000000000000006E-3</v>
      </c>
      <c r="U65" s="39">
        <v>0</v>
      </c>
      <c r="V65" s="39">
        <v>0</v>
      </c>
      <c r="W65" s="39">
        <v>1.15E-2</v>
      </c>
      <c r="X65" s="40">
        <f t="shared" si="3"/>
        <v>1.15E-2</v>
      </c>
      <c r="Y65" s="41">
        <v>3.6524000000000001E-2</v>
      </c>
      <c r="Z65" s="41">
        <v>1.0640000000000001E-3</v>
      </c>
      <c r="AA65" s="41">
        <v>3.0000000000000001E-3</v>
      </c>
      <c r="AB65" s="41">
        <v>0</v>
      </c>
      <c r="AC65" s="42">
        <f t="shared" si="4"/>
        <v>4.0588000000000006E-2</v>
      </c>
      <c r="AD65" s="38">
        <f t="shared" si="5"/>
        <v>5.2088000000000009E-2</v>
      </c>
      <c r="AE65" s="43">
        <f t="shared" si="6"/>
        <v>5.2088000000000009E-2</v>
      </c>
      <c r="AF65" s="43">
        <f t="shared" si="7"/>
        <v>4.6029200000000006E-2</v>
      </c>
      <c r="AG65" s="43">
        <f t="shared" si="8"/>
        <v>4.2999800000000012E-2</v>
      </c>
      <c r="AI65" s="64">
        <f>SUMIFS('Paths and Tariffs'!Q:Q,'Paths and Tariffs'!E:E,'Costing Detail'!E65,'Paths and Tariffs'!G:G,"GAS",'Paths and Tariffs'!N:N,1,'Paths and Tariffs'!M:M,1)</f>
        <v>3.6524000000000001E-2</v>
      </c>
    </row>
    <row r="66" spans="1:35" hidden="1" x14ac:dyDescent="0.55000000000000004">
      <c r="A66" s="35" t="s">
        <v>1518</v>
      </c>
      <c r="B66" t="s">
        <v>1603</v>
      </c>
      <c r="C66" t="s">
        <v>2921</v>
      </c>
      <c r="D66" t="s">
        <v>7312</v>
      </c>
      <c r="E66" s="35" t="s">
        <v>1604</v>
      </c>
      <c r="F66" t="s">
        <v>1605</v>
      </c>
      <c r="G66" s="36">
        <v>0</v>
      </c>
      <c r="H66" s="36">
        <v>0</v>
      </c>
      <c r="I66" s="36">
        <v>1.15E-2</v>
      </c>
      <c r="J66" s="37">
        <f t="shared" si="0"/>
        <v>1.15E-2</v>
      </c>
      <c r="K66" s="54">
        <v>0.188167</v>
      </c>
      <c r="L66" s="54">
        <v>2.2420000000000001E-3</v>
      </c>
      <c r="M66" s="54">
        <v>-0.125</v>
      </c>
      <c r="N66" s="54">
        <v>5.0000000000000001E-3</v>
      </c>
      <c r="O66" s="54">
        <v>1.2500000000000001E-2</v>
      </c>
      <c r="P66" s="54">
        <v>1.4999999999999999E-2</v>
      </c>
      <c r="Q66" s="54">
        <v>0.02</v>
      </c>
      <c r="R66" s="54">
        <v>0</v>
      </c>
      <c r="S66" s="59">
        <f t="shared" si="1"/>
        <v>0.117909</v>
      </c>
      <c r="T66" s="38">
        <f t="shared" si="2"/>
        <v>0.129409</v>
      </c>
      <c r="U66" s="39">
        <v>0</v>
      </c>
      <c r="V66" s="39">
        <v>0</v>
      </c>
      <c r="W66" s="39">
        <v>1.15E-2</v>
      </c>
      <c r="X66" s="40">
        <f t="shared" si="3"/>
        <v>1.15E-2</v>
      </c>
      <c r="Y66" s="41">
        <v>5.3880999999999998E-2</v>
      </c>
      <c r="Z66" s="41">
        <v>1.9759999999999999E-3</v>
      </c>
      <c r="AA66" s="41">
        <v>3.0000000000000001E-3</v>
      </c>
      <c r="AB66" s="41">
        <v>0</v>
      </c>
      <c r="AC66" s="42">
        <f t="shared" si="4"/>
        <v>5.8857E-2</v>
      </c>
      <c r="AD66" s="38">
        <f t="shared" si="5"/>
        <v>7.0357000000000003E-2</v>
      </c>
      <c r="AE66" s="43">
        <f t="shared" si="6"/>
        <v>7.0357000000000003E-2</v>
      </c>
      <c r="AF66" s="43">
        <f t="shared" si="7"/>
        <v>7.6262200000000016E-2</v>
      </c>
      <c r="AG66" s="43">
        <f t="shared" si="8"/>
        <v>7.9214800000000002E-2</v>
      </c>
      <c r="AI66" s="64">
        <f>SUMIFS('Paths and Tariffs'!Q:Q,'Paths and Tariffs'!E:E,'Costing Detail'!E66,'Paths and Tariffs'!G:G,"GAS",'Paths and Tariffs'!N:N,1,'Paths and Tariffs'!M:M,1)</f>
        <v>5.3880999999999998E-2</v>
      </c>
    </row>
    <row r="67" spans="1:35" hidden="1" x14ac:dyDescent="0.55000000000000004">
      <c r="A67" s="35" t="s">
        <v>1518</v>
      </c>
      <c r="B67" t="s">
        <v>1744</v>
      </c>
      <c r="C67" t="s">
        <v>2921</v>
      </c>
      <c r="D67" t="s">
        <v>7312</v>
      </c>
      <c r="E67" s="35" t="s">
        <v>1759</v>
      </c>
      <c r="F67" t="s">
        <v>1760</v>
      </c>
      <c r="G67" s="36">
        <v>0</v>
      </c>
      <c r="H67" s="36">
        <v>0</v>
      </c>
      <c r="I67" s="36">
        <v>1.15E-2</v>
      </c>
      <c r="J67" s="37">
        <f t="shared" si="0"/>
        <v>1.15E-2</v>
      </c>
      <c r="K67" s="54">
        <v>0.188167</v>
      </c>
      <c r="L67" s="54">
        <v>2.2409999999999999E-3</v>
      </c>
      <c r="M67" s="54">
        <v>-0.125</v>
      </c>
      <c r="N67" s="54">
        <v>5.0000000000000001E-3</v>
      </c>
      <c r="O67" s="54">
        <v>1.2500000000000001E-2</v>
      </c>
      <c r="P67" s="54">
        <v>1.4999999999999999E-2</v>
      </c>
      <c r="Q67" s="54">
        <v>0.02</v>
      </c>
      <c r="R67" s="54">
        <v>0</v>
      </c>
      <c r="S67" s="59">
        <f t="shared" si="1"/>
        <v>0.117908</v>
      </c>
      <c r="T67" s="38">
        <f t="shared" si="2"/>
        <v>0.129408</v>
      </c>
      <c r="U67" s="39">
        <v>0</v>
      </c>
      <c r="V67" s="39">
        <v>0</v>
      </c>
      <c r="W67" s="39">
        <v>1.15E-2</v>
      </c>
      <c r="X67" s="40">
        <f t="shared" si="3"/>
        <v>1.15E-2</v>
      </c>
      <c r="Y67" s="41">
        <v>5.3166999999999999E-2</v>
      </c>
      <c r="Z67" s="41">
        <v>1.9269999999999999E-3</v>
      </c>
      <c r="AA67" s="41">
        <v>3.0000000000000001E-3</v>
      </c>
      <c r="AB67" s="41">
        <v>0</v>
      </c>
      <c r="AC67" s="42">
        <f t="shared" si="4"/>
        <v>5.8094E-2</v>
      </c>
      <c r="AD67" s="38">
        <f t="shared" si="5"/>
        <v>6.9594000000000003E-2</v>
      </c>
      <c r="AE67" s="43">
        <f t="shared" si="6"/>
        <v>6.9594000000000003E-2</v>
      </c>
      <c r="AF67" s="43">
        <f t="shared" si="7"/>
        <v>7.5575400000000001E-2</v>
      </c>
      <c r="AG67" s="43">
        <f t="shared" si="8"/>
        <v>7.85661E-2</v>
      </c>
      <c r="AI67" s="64">
        <f>SUMIFS('Paths and Tariffs'!Q:Q,'Paths and Tariffs'!E:E,'Costing Detail'!E67,'Paths and Tariffs'!G:G,"GAS",'Paths and Tariffs'!N:N,1,'Paths and Tariffs'!M:M,1)</f>
        <v>5.3166999999999999E-2</v>
      </c>
    </row>
    <row r="68" spans="1:35" hidden="1" x14ac:dyDescent="0.55000000000000004">
      <c r="A68" s="35" t="s">
        <v>1761</v>
      </c>
      <c r="B68" t="s">
        <v>7343</v>
      </c>
      <c r="C68" t="s">
        <v>1807</v>
      </c>
      <c r="D68" t="s">
        <v>7312</v>
      </c>
      <c r="E68" s="35" t="s">
        <v>1827</v>
      </c>
      <c r="F68" t="s">
        <v>1828</v>
      </c>
      <c r="G68" s="36">
        <v>0</v>
      </c>
      <c r="H68" s="36">
        <v>0</v>
      </c>
      <c r="I68" s="36">
        <v>1.15E-2</v>
      </c>
      <c r="J68" s="37">
        <f t="shared" ref="J68:J131" si="9">SUM(G68:I68)</f>
        <v>1.15E-2</v>
      </c>
      <c r="K68" s="54">
        <v>0</v>
      </c>
      <c r="L68" s="54">
        <v>0</v>
      </c>
      <c r="M68" s="54">
        <v>0</v>
      </c>
      <c r="N68" s="54">
        <v>0</v>
      </c>
      <c r="O68" s="54">
        <v>0</v>
      </c>
      <c r="P68" s="54">
        <v>1.4999999999999999E-2</v>
      </c>
      <c r="Q68" s="54">
        <v>0.02</v>
      </c>
      <c r="R68" s="54">
        <v>0</v>
      </c>
      <c r="S68" s="59">
        <f t="shared" ref="S68:S131" si="10">SUM(K68:R68)</f>
        <v>3.5000000000000003E-2</v>
      </c>
      <c r="T68" s="38">
        <f t="shared" ref="T68:T131" si="11">J68+S68</f>
        <v>4.65E-2</v>
      </c>
      <c r="U68" s="39">
        <v>0</v>
      </c>
      <c r="V68" s="39">
        <v>0</v>
      </c>
      <c r="W68" s="39">
        <v>1.15E-2</v>
      </c>
      <c r="X68" s="40">
        <f t="shared" ref="X68:X131" si="12">SUM(U68:W68)</f>
        <v>1.15E-2</v>
      </c>
      <c r="Y68" s="41">
        <v>5.7189999999999998E-2</v>
      </c>
      <c r="Z68" s="41">
        <v>2.6380000000000002E-3</v>
      </c>
      <c r="AA68" s="41">
        <v>3.0000000000000001E-3</v>
      </c>
      <c r="AB68" s="41">
        <v>0</v>
      </c>
      <c r="AC68" s="42">
        <f t="shared" ref="AC68:AC131" si="13">SUM(Y68:AB68)</f>
        <v>6.2827999999999995E-2</v>
      </c>
      <c r="AD68" s="38">
        <f t="shared" ref="AD68:AD131" si="14">AC68+X68</f>
        <v>7.4327999999999991E-2</v>
      </c>
      <c r="AE68" s="43">
        <f t="shared" ref="AE68:AE131" si="15">0*T68+1*AD68</f>
        <v>7.4327999999999991E-2</v>
      </c>
      <c r="AF68" s="43">
        <f t="shared" ref="AF68:AF131" si="16">0.1*T68+0.9*AD68</f>
        <v>7.1545199999999989E-2</v>
      </c>
      <c r="AG68" s="43">
        <f t="shared" ref="AG68:AG131" si="17">0.15*T68+0.85*AD68</f>
        <v>7.0153799999999988E-2</v>
      </c>
      <c r="AI68" s="64">
        <f>SUMIFS('Paths and Tariffs'!Q:Q,'Paths and Tariffs'!E:E,'Costing Detail'!E68,'Paths and Tariffs'!G:G,"GAS",'Paths and Tariffs'!N:N,1,'Paths and Tariffs'!M:M,1)</f>
        <v>5.7189999999999998E-2</v>
      </c>
    </row>
    <row r="69" spans="1:35" hidden="1" x14ac:dyDescent="0.55000000000000004">
      <c r="A69" s="35" t="s">
        <v>1761</v>
      </c>
      <c r="B69" t="s">
        <v>1831</v>
      </c>
      <c r="C69" t="s">
        <v>1831</v>
      </c>
      <c r="D69" t="s">
        <v>7312</v>
      </c>
      <c r="E69" s="35" t="s">
        <v>1845</v>
      </c>
      <c r="F69" t="s">
        <v>1846</v>
      </c>
      <c r="G69" s="36">
        <v>0</v>
      </c>
      <c r="H69" s="36">
        <v>0</v>
      </c>
      <c r="I69" s="36">
        <v>1.15E-2</v>
      </c>
      <c r="J69" s="37">
        <f t="shared" si="9"/>
        <v>1.15E-2</v>
      </c>
      <c r="K69" s="54">
        <v>0</v>
      </c>
      <c r="L69" s="54">
        <v>0</v>
      </c>
      <c r="M69" s="54">
        <v>0</v>
      </c>
      <c r="N69" s="54">
        <v>0</v>
      </c>
      <c r="O69" s="54">
        <v>0</v>
      </c>
      <c r="P69" s="54">
        <v>1.4999999999999999E-2</v>
      </c>
      <c r="Q69" s="54">
        <v>0.02</v>
      </c>
      <c r="R69" s="54">
        <v>0</v>
      </c>
      <c r="S69" s="59">
        <f t="shared" si="10"/>
        <v>3.5000000000000003E-2</v>
      </c>
      <c r="T69" s="38">
        <f t="shared" si="11"/>
        <v>4.65E-2</v>
      </c>
      <c r="U69" s="39">
        <v>0</v>
      </c>
      <c r="V69" s="39">
        <v>0</v>
      </c>
      <c r="W69" s="39">
        <v>1.15E-2</v>
      </c>
      <c r="X69" s="40">
        <f t="shared" si="12"/>
        <v>1.15E-2</v>
      </c>
      <c r="Y69" s="41">
        <v>5.2879000000000002E-2</v>
      </c>
      <c r="Z69" s="41">
        <v>1.1329999999999999E-3</v>
      </c>
      <c r="AA69" s="41">
        <v>3.0000000000000001E-3</v>
      </c>
      <c r="AB69" s="41">
        <v>0</v>
      </c>
      <c r="AC69" s="42">
        <f t="shared" si="13"/>
        <v>5.7012000000000007E-2</v>
      </c>
      <c r="AD69" s="38">
        <f t="shared" si="14"/>
        <v>6.8512000000000003E-2</v>
      </c>
      <c r="AE69" s="43">
        <f t="shared" si="15"/>
        <v>6.8512000000000003E-2</v>
      </c>
      <c r="AF69" s="43">
        <f t="shared" si="16"/>
        <v>6.6310800000000003E-2</v>
      </c>
      <c r="AG69" s="43">
        <f t="shared" si="17"/>
        <v>6.5210199999999996E-2</v>
      </c>
      <c r="AI69" s="64">
        <f>SUMIFS('Paths and Tariffs'!Q:Q,'Paths and Tariffs'!E:E,'Costing Detail'!E69,'Paths and Tariffs'!G:G,"GAS",'Paths and Tariffs'!N:N,1,'Paths and Tariffs'!M:M,1)</f>
        <v>5.2879000000000002E-2</v>
      </c>
    </row>
    <row r="70" spans="1:35" hidden="1" x14ac:dyDescent="0.55000000000000004">
      <c r="A70" s="35" t="s">
        <v>1761</v>
      </c>
      <c r="B70" t="s">
        <v>1763</v>
      </c>
      <c r="C70" t="s">
        <v>1763</v>
      </c>
      <c r="D70" t="s">
        <v>7312</v>
      </c>
      <c r="E70" s="35" t="s">
        <v>1764</v>
      </c>
      <c r="F70" t="s">
        <v>1765</v>
      </c>
      <c r="G70" s="36">
        <v>0</v>
      </c>
      <c r="H70" s="36">
        <v>0</v>
      </c>
      <c r="I70" s="36">
        <v>1.15E-2</v>
      </c>
      <c r="J70" s="37">
        <f t="shared" si="9"/>
        <v>1.15E-2</v>
      </c>
      <c r="K70" s="54">
        <v>0</v>
      </c>
      <c r="L70" s="54">
        <v>0</v>
      </c>
      <c r="M70" s="54">
        <v>0</v>
      </c>
      <c r="N70" s="54">
        <v>0</v>
      </c>
      <c r="O70" s="54">
        <v>0</v>
      </c>
      <c r="P70" s="54">
        <v>1.4999999999999999E-2</v>
      </c>
      <c r="Q70" s="54">
        <v>0.02</v>
      </c>
      <c r="R70" s="54">
        <v>0</v>
      </c>
      <c r="S70" s="59">
        <f t="shared" si="10"/>
        <v>3.5000000000000003E-2</v>
      </c>
      <c r="T70" s="38">
        <f t="shared" si="11"/>
        <v>4.65E-2</v>
      </c>
      <c r="U70" s="39">
        <v>0</v>
      </c>
      <c r="V70" s="39">
        <v>0</v>
      </c>
      <c r="W70" s="39">
        <v>1.15E-2</v>
      </c>
      <c r="X70" s="40">
        <f t="shared" si="12"/>
        <v>1.15E-2</v>
      </c>
      <c r="Y70" s="41">
        <v>3.8678999999999998E-2</v>
      </c>
      <c r="Z70" s="41">
        <v>1.3960000000000001E-3</v>
      </c>
      <c r="AA70" s="41">
        <v>3.0000000000000001E-3</v>
      </c>
      <c r="AB70" s="41">
        <v>0</v>
      </c>
      <c r="AC70" s="42">
        <f t="shared" si="13"/>
        <v>4.3075000000000002E-2</v>
      </c>
      <c r="AD70" s="38">
        <f t="shared" si="14"/>
        <v>5.4574999999999999E-2</v>
      </c>
      <c r="AE70" s="43">
        <f t="shared" si="15"/>
        <v>5.4574999999999999E-2</v>
      </c>
      <c r="AF70" s="43">
        <f t="shared" si="16"/>
        <v>5.3767500000000003E-2</v>
      </c>
      <c r="AG70" s="43">
        <f t="shared" si="17"/>
        <v>5.3363750000000001E-2</v>
      </c>
      <c r="AI70" s="64">
        <f>SUMIFS('Paths and Tariffs'!Q:Q,'Paths and Tariffs'!E:E,'Costing Detail'!E70,'Paths and Tariffs'!G:G,"GAS",'Paths and Tariffs'!N:N,1,'Paths and Tariffs'!M:M,1)</f>
        <v>3.8678999999999998E-2</v>
      </c>
    </row>
    <row r="71" spans="1:35" hidden="1" x14ac:dyDescent="0.55000000000000004">
      <c r="A71" s="35" t="s">
        <v>1761</v>
      </c>
      <c r="B71" t="s">
        <v>1763</v>
      </c>
      <c r="C71" t="s">
        <v>1763</v>
      </c>
      <c r="D71" t="s">
        <v>7312</v>
      </c>
      <c r="E71" s="35" t="s">
        <v>1847</v>
      </c>
      <c r="F71" t="s">
        <v>1848</v>
      </c>
      <c r="G71" s="36">
        <v>0</v>
      </c>
      <c r="H71" s="36">
        <v>0</v>
      </c>
      <c r="I71" s="36">
        <v>1.15E-2</v>
      </c>
      <c r="J71" s="37">
        <f t="shared" si="9"/>
        <v>1.15E-2</v>
      </c>
      <c r="K71" s="54">
        <v>0</v>
      </c>
      <c r="L71" s="54">
        <v>0</v>
      </c>
      <c r="M71" s="54">
        <v>0</v>
      </c>
      <c r="N71" s="54">
        <v>0</v>
      </c>
      <c r="O71" s="54">
        <v>0</v>
      </c>
      <c r="P71" s="54">
        <v>1.4999999999999999E-2</v>
      </c>
      <c r="Q71" s="54">
        <v>0.02</v>
      </c>
      <c r="R71" s="54">
        <v>0</v>
      </c>
      <c r="S71" s="59">
        <f t="shared" si="10"/>
        <v>3.5000000000000003E-2</v>
      </c>
      <c r="T71" s="38">
        <f t="shared" si="11"/>
        <v>4.65E-2</v>
      </c>
      <c r="U71" s="39">
        <v>0</v>
      </c>
      <c r="V71" s="39">
        <v>0</v>
      </c>
      <c r="W71" s="39">
        <v>1.15E-2</v>
      </c>
      <c r="X71" s="40">
        <f t="shared" si="12"/>
        <v>1.15E-2</v>
      </c>
      <c r="Y71" s="41">
        <v>7.0113999999999996E-2</v>
      </c>
      <c r="Z71" s="41">
        <v>1.212E-3</v>
      </c>
      <c r="AA71" s="41">
        <v>3.0000000000000001E-3</v>
      </c>
      <c r="AB71" s="41">
        <v>0</v>
      </c>
      <c r="AC71" s="42">
        <f t="shared" si="13"/>
        <v>7.4326000000000003E-2</v>
      </c>
      <c r="AD71" s="38">
        <f t="shared" si="14"/>
        <v>8.5826E-2</v>
      </c>
      <c r="AE71" s="43">
        <f t="shared" si="15"/>
        <v>8.5826E-2</v>
      </c>
      <c r="AF71" s="43">
        <f t="shared" si="16"/>
        <v>8.1893400000000005E-2</v>
      </c>
      <c r="AG71" s="43">
        <f t="shared" si="17"/>
        <v>7.9927099999999987E-2</v>
      </c>
      <c r="AI71" s="64">
        <f>SUMIFS('Paths and Tariffs'!Q:Q,'Paths and Tariffs'!E:E,'Costing Detail'!E71,'Paths and Tariffs'!G:G,"GAS",'Paths and Tariffs'!N:N,1,'Paths and Tariffs'!M:M,1)</f>
        <v>7.0113999999999996E-2</v>
      </c>
    </row>
    <row r="72" spans="1:35" hidden="1" x14ac:dyDescent="0.55000000000000004">
      <c r="A72" s="35" t="s">
        <v>1761</v>
      </c>
      <c r="B72" t="s">
        <v>1923</v>
      </c>
      <c r="C72" t="s">
        <v>1763</v>
      </c>
      <c r="D72" t="s">
        <v>7312</v>
      </c>
      <c r="E72" s="35" t="s">
        <v>1932</v>
      </c>
      <c r="F72" t="s">
        <v>1933</v>
      </c>
      <c r="G72" s="36">
        <v>0</v>
      </c>
      <c r="H72" s="36">
        <v>0</v>
      </c>
      <c r="I72" s="36">
        <v>1.15E-2</v>
      </c>
      <c r="J72" s="37">
        <f t="shared" si="9"/>
        <v>1.15E-2</v>
      </c>
      <c r="K72" s="54">
        <v>0</v>
      </c>
      <c r="L72" s="54">
        <v>0</v>
      </c>
      <c r="M72" s="54">
        <v>0</v>
      </c>
      <c r="N72" s="54">
        <v>0</v>
      </c>
      <c r="O72" s="54">
        <v>0</v>
      </c>
      <c r="P72" s="54">
        <v>1.4999999999999999E-2</v>
      </c>
      <c r="Q72" s="54">
        <v>0.02</v>
      </c>
      <c r="R72" s="54">
        <v>0</v>
      </c>
      <c r="S72" s="59">
        <f t="shared" si="10"/>
        <v>3.5000000000000003E-2</v>
      </c>
      <c r="T72" s="38">
        <f t="shared" si="11"/>
        <v>4.65E-2</v>
      </c>
      <c r="U72" s="39">
        <v>0</v>
      </c>
      <c r="V72" s="39">
        <v>0</v>
      </c>
      <c r="W72" s="39">
        <v>1.15E-2</v>
      </c>
      <c r="X72" s="40">
        <f t="shared" si="12"/>
        <v>1.15E-2</v>
      </c>
      <c r="Y72" s="41">
        <v>2.8330999999999999E-2</v>
      </c>
      <c r="Z72" s="41">
        <v>1.4319999999999999E-3</v>
      </c>
      <c r="AA72" s="41">
        <v>3.0000000000000001E-3</v>
      </c>
      <c r="AB72" s="41">
        <v>0</v>
      </c>
      <c r="AC72" s="42">
        <f t="shared" si="13"/>
        <v>3.2763E-2</v>
      </c>
      <c r="AD72" s="38">
        <f t="shared" si="14"/>
        <v>4.4262999999999997E-2</v>
      </c>
      <c r="AE72" s="43">
        <f t="shared" si="15"/>
        <v>4.4262999999999997E-2</v>
      </c>
      <c r="AF72" s="43">
        <f t="shared" si="16"/>
        <v>4.4486699999999997E-2</v>
      </c>
      <c r="AG72" s="43">
        <f t="shared" si="17"/>
        <v>4.4598550000000001E-2</v>
      </c>
      <c r="AI72" s="64">
        <f>SUMIFS('Paths and Tariffs'!Q:Q,'Paths and Tariffs'!E:E,'Costing Detail'!E72,'Paths and Tariffs'!G:G,"GAS",'Paths and Tariffs'!N:N,1,'Paths and Tariffs'!M:M,1)</f>
        <v>2.8330999999999999E-2</v>
      </c>
    </row>
    <row r="73" spans="1:35" hidden="1" x14ac:dyDescent="0.55000000000000004">
      <c r="A73" s="35" t="s">
        <v>1761</v>
      </c>
      <c r="B73" t="s">
        <v>1873</v>
      </c>
      <c r="C73" t="s">
        <v>1873</v>
      </c>
      <c r="D73" t="s">
        <v>7312</v>
      </c>
      <c r="E73" s="35" t="s">
        <v>1879</v>
      </c>
      <c r="F73" t="s">
        <v>1880</v>
      </c>
      <c r="G73" s="36">
        <v>0</v>
      </c>
      <c r="H73" s="36">
        <v>0</v>
      </c>
      <c r="I73" s="36">
        <v>1.15E-2</v>
      </c>
      <c r="J73" s="37">
        <f t="shared" si="9"/>
        <v>1.15E-2</v>
      </c>
      <c r="K73" s="54">
        <v>0</v>
      </c>
      <c r="L73" s="54">
        <v>0</v>
      </c>
      <c r="M73" s="54">
        <v>0</v>
      </c>
      <c r="N73" s="54">
        <v>0</v>
      </c>
      <c r="O73" s="54">
        <v>0</v>
      </c>
      <c r="P73" s="54">
        <v>1.4999999999999999E-2</v>
      </c>
      <c r="Q73" s="54">
        <v>0.02</v>
      </c>
      <c r="R73" s="54">
        <v>0</v>
      </c>
      <c r="S73" s="59">
        <f t="shared" si="10"/>
        <v>3.5000000000000003E-2</v>
      </c>
      <c r="T73" s="38">
        <f t="shared" si="11"/>
        <v>4.65E-2</v>
      </c>
      <c r="U73" s="39">
        <v>0</v>
      </c>
      <c r="V73" s="39">
        <v>0</v>
      </c>
      <c r="W73" s="39">
        <v>1.15E-2</v>
      </c>
      <c r="X73" s="40">
        <f t="shared" si="12"/>
        <v>1.15E-2</v>
      </c>
      <c r="Y73" s="41">
        <v>3.7775999999999997E-2</v>
      </c>
      <c r="Z73" s="41">
        <v>1.5889999999999999E-3</v>
      </c>
      <c r="AA73" s="41">
        <v>3.0000000000000001E-3</v>
      </c>
      <c r="AB73" s="41">
        <v>0</v>
      </c>
      <c r="AC73" s="42">
        <f t="shared" si="13"/>
        <v>4.2365E-2</v>
      </c>
      <c r="AD73" s="38">
        <f t="shared" si="14"/>
        <v>5.3864999999999996E-2</v>
      </c>
      <c r="AE73" s="43">
        <f t="shared" si="15"/>
        <v>5.3864999999999996E-2</v>
      </c>
      <c r="AF73" s="43">
        <f t="shared" si="16"/>
        <v>5.3128500000000002E-2</v>
      </c>
      <c r="AG73" s="43">
        <f t="shared" si="17"/>
        <v>5.2760249999999995E-2</v>
      </c>
      <c r="AI73" s="64">
        <f>SUMIFS('Paths and Tariffs'!Q:Q,'Paths and Tariffs'!E:E,'Costing Detail'!E73,'Paths and Tariffs'!G:G,"GAS",'Paths and Tariffs'!N:N,1,'Paths and Tariffs'!M:M,1)</f>
        <v>3.7775999999999997E-2</v>
      </c>
    </row>
    <row r="74" spans="1:35" hidden="1" x14ac:dyDescent="0.55000000000000004">
      <c r="A74" s="35" t="s">
        <v>1761</v>
      </c>
      <c r="B74" t="s">
        <v>1795</v>
      </c>
      <c r="C74" t="s">
        <v>1796</v>
      </c>
      <c r="D74" t="s">
        <v>7312</v>
      </c>
      <c r="E74" s="35" t="s">
        <v>1797</v>
      </c>
      <c r="F74" t="s">
        <v>1798</v>
      </c>
      <c r="G74" s="36">
        <v>0</v>
      </c>
      <c r="H74" s="36">
        <v>0</v>
      </c>
      <c r="I74" s="36">
        <v>1.15E-2</v>
      </c>
      <c r="J74" s="37">
        <f t="shared" si="9"/>
        <v>1.15E-2</v>
      </c>
      <c r="K74" s="54">
        <v>0</v>
      </c>
      <c r="L74" s="54">
        <v>0</v>
      </c>
      <c r="M74" s="54">
        <v>0</v>
      </c>
      <c r="N74" s="54">
        <v>0</v>
      </c>
      <c r="O74" s="54">
        <v>0</v>
      </c>
      <c r="P74" s="54">
        <v>1.4999999999999999E-2</v>
      </c>
      <c r="Q74" s="54">
        <v>0.02</v>
      </c>
      <c r="R74" s="54">
        <v>0</v>
      </c>
      <c r="S74" s="59">
        <f t="shared" si="10"/>
        <v>3.5000000000000003E-2</v>
      </c>
      <c r="T74" s="38">
        <f t="shared" si="11"/>
        <v>4.65E-2</v>
      </c>
      <c r="U74" s="39">
        <v>0</v>
      </c>
      <c r="V74" s="39">
        <v>0</v>
      </c>
      <c r="W74" s="39">
        <v>1.15E-2</v>
      </c>
      <c r="X74" s="40">
        <f t="shared" si="12"/>
        <v>1.15E-2</v>
      </c>
      <c r="Y74" s="41">
        <v>2.2416999999999999E-2</v>
      </c>
      <c r="Z74" s="41">
        <v>9.9099999999999991E-4</v>
      </c>
      <c r="AA74" s="41">
        <v>3.0000000000000001E-3</v>
      </c>
      <c r="AB74" s="41">
        <v>0</v>
      </c>
      <c r="AC74" s="42">
        <f t="shared" si="13"/>
        <v>2.6407999999999997E-2</v>
      </c>
      <c r="AD74" s="38">
        <f t="shared" si="14"/>
        <v>3.7907999999999997E-2</v>
      </c>
      <c r="AE74" s="43">
        <f t="shared" si="15"/>
        <v>3.7907999999999997E-2</v>
      </c>
      <c r="AF74" s="43">
        <f t="shared" si="16"/>
        <v>3.8767200000000002E-2</v>
      </c>
      <c r="AG74" s="43">
        <f t="shared" si="17"/>
        <v>3.9196799999999997E-2</v>
      </c>
      <c r="AI74" s="64">
        <f>SUMIFS('Paths and Tariffs'!Q:Q,'Paths and Tariffs'!E:E,'Costing Detail'!E74,'Paths and Tariffs'!G:G,"GAS",'Paths and Tariffs'!N:N,1,'Paths and Tariffs'!M:M,1)</f>
        <v>2.2416999999999999E-2</v>
      </c>
    </row>
    <row r="75" spans="1:35" hidden="1" x14ac:dyDescent="0.55000000000000004">
      <c r="A75" s="35" t="s">
        <v>1761</v>
      </c>
      <c r="B75" t="s">
        <v>1893</v>
      </c>
      <c r="C75" t="s">
        <v>1893</v>
      </c>
      <c r="D75" t="s">
        <v>7312</v>
      </c>
      <c r="E75" s="35" t="s">
        <v>1894</v>
      </c>
      <c r="F75" t="s">
        <v>1895</v>
      </c>
      <c r="G75" s="36">
        <v>0</v>
      </c>
      <c r="H75" s="36">
        <v>0</v>
      </c>
      <c r="I75" s="36">
        <v>1.15E-2</v>
      </c>
      <c r="J75" s="37">
        <f t="shared" si="9"/>
        <v>1.15E-2</v>
      </c>
      <c r="K75" s="54">
        <v>0.18007300000000001</v>
      </c>
      <c r="L75" s="54">
        <v>2.0899999999999998E-3</v>
      </c>
      <c r="M75" s="54">
        <v>-5.5E-2</v>
      </c>
      <c r="N75" s="54">
        <v>5.0000000000000001E-3</v>
      </c>
      <c r="O75" s="54">
        <v>1.2500000000000001E-2</v>
      </c>
      <c r="P75" s="54">
        <v>1.4999999999999999E-2</v>
      </c>
      <c r="Q75" s="54">
        <v>0.02</v>
      </c>
      <c r="R75" s="54">
        <v>0</v>
      </c>
      <c r="S75" s="59">
        <f t="shared" si="10"/>
        <v>0.17966300000000004</v>
      </c>
      <c r="T75" s="38">
        <f t="shared" si="11"/>
        <v>0.19116300000000006</v>
      </c>
      <c r="U75" s="39">
        <v>0</v>
      </c>
      <c r="V75" s="39">
        <v>0</v>
      </c>
      <c r="W75" s="39">
        <v>1.15E-2</v>
      </c>
      <c r="X75" s="40">
        <f t="shared" si="12"/>
        <v>1.15E-2</v>
      </c>
      <c r="Y75" s="41">
        <v>8.7168999999999996E-2</v>
      </c>
      <c r="Z75" s="41">
        <v>3.1939999999999998E-3</v>
      </c>
      <c r="AA75" s="41">
        <v>3.0000000000000001E-3</v>
      </c>
      <c r="AB75" s="41">
        <v>0</v>
      </c>
      <c r="AC75" s="42">
        <f t="shared" si="13"/>
        <v>9.3363000000000002E-2</v>
      </c>
      <c r="AD75" s="38">
        <f t="shared" si="14"/>
        <v>0.104863</v>
      </c>
      <c r="AE75" s="43">
        <f t="shared" si="15"/>
        <v>0.104863</v>
      </c>
      <c r="AF75" s="43">
        <f t="shared" si="16"/>
        <v>0.113493</v>
      </c>
      <c r="AG75" s="43">
        <f t="shared" si="17"/>
        <v>0.117808</v>
      </c>
      <c r="AI75" s="64">
        <f>SUMIFS('Paths and Tariffs'!Q:Q,'Paths and Tariffs'!E:E,'Costing Detail'!E75,'Paths and Tariffs'!G:G,"GAS",'Paths and Tariffs'!N:N,1,'Paths and Tariffs'!M:M,1)</f>
        <v>8.7168999999999996E-2</v>
      </c>
    </row>
    <row r="76" spans="1:35" hidden="1" x14ac:dyDescent="0.55000000000000004">
      <c r="A76" s="35" t="s">
        <v>1761</v>
      </c>
      <c r="B76" t="s">
        <v>1902</v>
      </c>
      <c r="C76" t="s">
        <v>1902</v>
      </c>
      <c r="D76" t="s">
        <v>7312</v>
      </c>
      <c r="E76" s="35" t="s">
        <v>1903</v>
      </c>
      <c r="F76" t="s">
        <v>1904</v>
      </c>
      <c r="G76" s="36">
        <v>0</v>
      </c>
      <c r="H76" s="36">
        <v>0</v>
      </c>
      <c r="I76" s="36">
        <v>1.15E-2</v>
      </c>
      <c r="J76" s="37">
        <f t="shared" si="9"/>
        <v>1.15E-2</v>
      </c>
      <c r="K76" s="54">
        <v>0</v>
      </c>
      <c r="L76" s="54">
        <v>0</v>
      </c>
      <c r="M76" s="54">
        <v>0</v>
      </c>
      <c r="N76" s="54">
        <v>0</v>
      </c>
      <c r="O76" s="54">
        <v>0</v>
      </c>
      <c r="P76" s="54">
        <v>1.4999999999999999E-2</v>
      </c>
      <c r="Q76" s="54">
        <v>0.02</v>
      </c>
      <c r="R76" s="54">
        <v>0</v>
      </c>
      <c r="S76" s="59">
        <f t="shared" si="10"/>
        <v>3.5000000000000003E-2</v>
      </c>
      <c r="T76" s="38">
        <f t="shared" si="11"/>
        <v>4.65E-2</v>
      </c>
      <c r="U76" s="39">
        <v>0</v>
      </c>
      <c r="V76" s="39">
        <v>0</v>
      </c>
      <c r="W76" s="39">
        <v>1.15E-2</v>
      </c>
      <c r="X76" s="40">
        <f t="shared" si="12"/>
        <v>1.15E-2</v>
      </c>
      <c r="Y76" s="41">
        <v>8.1961999999999993E-2</v>
      </c>
      <c r="Z76" s="41">
        <v>3.4849999999999998E-3</v>
      </c>
      <c r="AA76" s="41">
        <v>3.0000000000000001E-3</v>
      </c>
      <c r="AB76" s="41">
        <v>0</v>
      </c>
      <c r="AC76" s="42">
        <f t="shared" si="13"/>
        <v>8.8446999999999998E-2</v>
      </c>
      <c r="AD76" s="38">
        <f t="shared" si="14"/>
        <v>9.9946999999999994E-2</v>
      </c>
      <c r="AE76" s="43">
        <f t="shared" si="15"/>
        <v>9.9946999999999994E-2</v>
      </c>
      <c r="AF76" s="43">
        <f t="shared" si="16"/>
        <v>9.46023E-2</v>
      </c>
      <c r="AG76" s="43">
        <f t="shared" si="17"/>
        <v>9.1929949999999983E-2</v>
      </c>
      <c r="AI76" s="64">
        <f>SUMIFS('Paths and Tariffs'!Q:Q,'Paths and Tariffs'!E:E,'Costing Detail'!E76,'Paths and Tariffs'!G:G,"GAS",'Paths and Tariffs'!N:N,1,'Paths and Tariffs'!M:M,1)</f>
        <v>8.1961999999999993E-2</v>
      </c>
    </row>
    <row r="77" spans="1:35" hidden="1" x14ac:dyDescent="0.55000000000000004">
      <c r="A77" s="35" t="s">
        <v>1937</v>
      </c>
      <c r="B77" t="s">
        <v>1944</v>
      </c>
      <c r="C77" t="s">
        <v>1944</v>
      </c>
      <c r="D77" t="s">
        <v>7312</v>
      </c>
      <c r="E77" s="35" t="s">
        <v>1945</v>
      </c>
      <c r="F77" t="s">
        <v>1946</v>
      </c>
      <c r="G77" s="36">
        <v>0</v>
      </c>
      <c r="H77" s="36">
        <v>0</v>
      </c>
      <c r="I77" s="36">
        <v>1.15E-2</v>
      </c>
      <c r="J77" s="37">
        <f t="shared" si="9"/>
        <v>1.15E-2</v>
      </c>
      <c r="K77" s="54">
        <v>0.180311</v>
      </c>
      <c r="L77" s="54">
        <v>2.1029999999999998E-3</v>
      </c>
      <c r="M77" s="54">
        <v>-0.125</v>
      </c>
      <c r="N77" s="54">
        <v>5.0000000000000001E-3</v>
      </c>
      <c r="O77" s="54">
        <v>1.2500000000000001E-2</v>
      </c>
      <c r="P77" s="54">
        <v>1.4999999999999999E-2</v>
      </c>
      <c r="Q77" s="54">
        <v>0.02</v>
      </c>
      <c r="R77" s="54">
        <v>0</v>
      </c>
      <c r="S77" s="59">
        <f t="shared" si="10"/>
        <v>0.109914</v>
      </c>
      <c r="T77" s="38">
        <f t="shared" si="11"/>
        <v>0.12141399999999999</v>
      </c>
      <c r="U77" s="39">
        <v>0</v>
      </c>
      <c r="V77" s="39">
        <v>0</v>
      </c>
      <c r="W77" s="39">
        <v>1.15E-2</v>
      </c>
      <c r="X77" s="40">
        <f t="shared" si="12"/>
        <v>1.15E-2</v>
      </c>
      <c r="Y77" s="41">
        <v>2.9488E-2</v>
      </c>
      <c r="Z77" s="41">
        <v>1.405E-3</v>
      </c>
      <c r="AA77" s="41">
        <v>3.0000000000000001E-3</v>
      </c>
      <c r="AB77" s="41">
        <v>0</v>
      </c>
      <c r="AC77" s="42">
        <f t="shared" si="13"/>
        <v>3.3893E-2</v>
      </c>
      <c r="AD77" s="38">
        <f t="shared" si="14"/>
        <v>4.5393000000000003E-2</v>
      </c>
      <c r="AE77" s="43">
        <f t="shared" si="15"/>
        <v>4.5393000000000003E-2</v>
      </c>
      <c r="AF77" s="43">
        <f t="shared" si="16"/>
        <v>5.2995100000000003E-2</v>
      </c>
      <c r="AG77" s="43">
        <f t="shared" si="17"/>
        <v>5.6796150000000004E-2</v>
      </c>
      <c r="AI77" s="64">
        <f>SUMIFS('Paths and Tariffs'!Q:Q,'Paths and Tariffs'!E:E,'Costing Detail'!E77,'Paths and Tariffs'!G:G,"GAS",'Paths and Tariffs'!N:N,1,'Paths and Tariffs'!M:M,1)</f>
        <v>2.9488E-2</v>
      </c>
    </row>
    <row r="78" spans="1:35" hidden="1" x14ac:dyDescent="0.55000000000000004">
      <c r="A78" s="35" t="s">
        <v>1937</v>
      </c>
      <c r="B78" t="s">
        <v>2069</v>
      </c>
      <c r="C78" t="s">
        <v>2069</v>
      </c>
      <c r="D78" t="s">
        <v>7312</v>
      </c>
      <c r="E78" s="35" t="s">
        <v>2070</v>
      </c>
      <c r="F78" t="s">
        <v>2071</v>
      </c>
      <c r="G78" s="36">
        <v>0</v>
      </c>
      <c r="H78" s="36">
        <v>0</v>
      </c>
      <c r="I78" s="36">
        <v>1.15E-2</v>
      </c>
      <c r="J78" s="37">
        <f t="shared" si="9"/>
        <v>1.15E-2</v>
      </c>
      <c r="K78" s="54">
        <v>0</v>
      </c>
      <c r="L78" s="54">
        <v>2.5149999999999999E-3</v>
      </c>
      <c r="M78" s="54">
        <v>-5.5E-2</v>
      </c>
      <c r="N78" s="54">
        <v>0</v>
      </c>
      <c r="O78" s="54">
        <v>0</v>
      </c>
      <c r="P78" s="54">
        <v>1.4999999999999999E-2</v>
      </c>
      <c r="Q78" s="54">
        <v>0.02</v>
      </c>
      <c r="R78" s="54">
        <v>0</v>
      </c>
      <c r="S78" s="59">
        <f t="shared" si="10"/>
        <v>-1.7485000000000004E-2</v>
      </c>
      <c r="T78" s="38">
        <f t="shared" si="11"/>
        <v>-5.9850000000000042E-3</v>
      </c>
      <c r="U78" s="39">
        <v>0</v>
      </c>
      <c r="V78" s="39">
        <v>0</v>
      </c>
      <c r="W78" s="39">
        <v>1.15E-2</v>
      </c>
      <c r="X78" s="40">
        <f t="shared" si="12"/>
        <v>1.15E-2</v>
      </c>
      <c r="Y78" s="41">
        <v>7.7338000000000004E-2</v>
      </c>
      <c r="Z78" s="41">
        <v>1.7210000000000001E-3</v>
      </c>
      <c r="AA78" s="41">
        <v>3.0000000000000001E-3</v>
      </c>
      <c r="AB78" s="41">
        <v>0</v>
      </c>
      <c r="AC78" s="42">
        <f t="shared" si="13"/>
        <v>8.2059000000000007E-2</v>
      </c>
      <c r="AD78" s="38">
        <f t="shared" si="14"/>
        <v>9.3559000000000003E-2</v>
      </c>
      <c r="AE78" s="43">
        <f t="shared" si="15"/>
        <v>9.3559000000000003E-2</v>
      </c>
      <c r="AF78" s="43">
        <f t="shared" si="16"/>
        <v>8.3604600000000001E-2</v>
      </c>
      <c r="AG78" s="43">
        <f t="shared" si="17"/>
        <v>7.86274E-2</v>
      </c>
      <c r="AI78" s="64">
        <f>SUMIFS('Paths and Tariffs'!Q:Q,'Paths and Tariffs'!E:E,'Costing Detail'!E78,'Paths and Tariffs'!G:G,"GAS",'Paths and Tariffs'!N:N,1,'Paths and Tariffs'!M:M,1)</f>
        <v>7.7338000000000004E-2</v>
      </c>
    </row>
    <row r="79" spans="1:35" hidden="1" x14ac:dyDescent="0.55000000000000004">
      <c r="A79" s="35" t="s">
        <v>1937</v>
      </c>
      <c r="B79" t="s">
        <v>1983</v>
      </c>
      <c r="C79" t="s">
        <v>1983</v>
      </c>
      <c r="D79" t="s">
        <v>7312</v>
      </c>
      <c r="E79" s="35" t="s">
        <v>1984</v>
      </c>
      <c r="F79" t="s">
        <v>1985</v>
      </c>
      <c r="G79" s="36">
        <v>0</v>
      </c>
      <c r="H79" s="36">
        <v>0</v>
      </c>
      <c r="I79" s="36">
        <v>1.15E-2</v>
      </c>
      <c r="J79" s="37">
        <f t="shared" si="9"/>
        <v>1.15E-2</v>
      </c>
      <c r="K79" s="54">
        <v>0.18157499999999999</v>
      </c>
      <c r="L79" s="54">
        <v>2.1710000000000002E-3</v>
      </c>
      <c r="M79" s="54">
        <v>-0.125</v>
      </c>
      <c r="N79" s="54">
        <v>5.0000000000000001E-3</v>
      </c>
      <c r="O79" s="54">
        <v>1.2500000000000001E-2</v>
      </c>
      <c r="P79" s="54">
        <v>1.4999999999999999E-2</v>
      </c>
      <c r="Q79" s="54">
        <v>0.02</v>
      </c>
      <c r="R79" s="54">
        <v>0</v>
      </c>
      <c r="S79" s="59">
        <f t="shared" si="10"/>
        <v>0.111246</v>
      </c>
      <c r="T79" s="38">
        <f t="shared" si="11"/>
        <v>0.12274599999999999</v>
      </c>
      <c r="U79" s="39">
        <v>0</v>
      </c>
      <c r="V79" s="39">
        <v>0</v>
      </c>
      <c r="W79" s="39">
        <v>1.15E-2</v>
      </c>
      <c r="X79" s="40">
        <f t="shared" si="12"/>
        <v>1.15E-2</v>
      </c>
      <c r="Y79" s="41">
        <v>1.9675999999999999E-2</v>
      </c>
      <c r="Z79" s="41">
        <v>1.2949999999999999E-3</v>
      </c>
      <c r="AA79" s="41">
        <v>3.0000000000000001E-3</v>
      </c>
      <c r="AB79" s="41">
        <v>0</v>
      </c>
      <c r="AC79" s="42">
        <f t="shared" si="13"/>
        <v>2.3970999999999999E-2</v>
      </c>
      <c r="AD79" s="38">
        <f t="shared" si="14"/>
        <v>3.5471000000000003E-2</v>
      </c>
      <c r="AE79" s="43">
        <f t="shared" si="15"/>
        <v>3.5471000000000003E-2</v>
      </c>
      <c r="AF79" s="43">
        <f t="shared" si="16"/>
        <v>4.4198500000000002E-2</v>
      </c>
      <c r="AG79" s="43">
        <f t="shared" si="17"/>
        <v>4.8562250000000001E-2</v>
      </c>
      <c r="AI79" s="64">
        <f>SUMIFS('Paths and Tariffs'!Q:Q,'Paths and Tariffs'!E:E,'Costing Detail'!E79,'Paths and Tariffs'!G:G,"GAS",'Paths and Tariffs'!N:N,1,'Paths and Tariffs'!M:M,1)</f>
        <v>1.9675999999999999E-2</v>
      </c>
    </row>
    <row r="80" spans="1:35" hidden="1" x14ac:dyDescent="0.55000000000000004">
      <c r="A80" s="35" t="s">
        <v>1937</v>
      </c>
      <c r="B80" t="s">
        <v>1999</v>
      </c>
      <c r="C80" t="s">
        <v>1999</v>
      </c>
      <c r="D80" t="s">
        <v>7312</v>
      </c>
      <c r="E80" s="35" t="s">
        <v>2027</v>
      </c>
      <c r="F80" t="s">
        <v>2028</v>
      </c>
      <c r="G80" s="36">
        <v>0</v>
      </c>
      <c r="H80" s="36">
        <v>0</v>
      </c>
      <c r="I80" s="36">
        <v>1.15E-2</v>
      </c>
      <c r="J80" s="37">
        <f t="shared" si="9"/>
        <v>1.15E-2</v>
      </c>
      <c r="K80" s="54">
        <v>0.18046400000000001</v>
      </c>
      <c r="L80" s="54">
        <v>2.111E-3</v>
      </c>
      <c r="M80" s="54">
        <v>-0.125</v>
      </c>
      <c r="N80" s="54">
        <v>5.0000000000000001E-3</v>
      </c>
      <c r="O80" s="54">
        <v>1.2500000000000001E-2</v>
      </c>
      <c r="P80" s="54">
        <v>1.4999999999999999E-2</v>
      </c>
      <c r="Q80" s="54">
        <v>0.02</v>
      </c>
      <c r="R80" s="54">
        <v>0</v>
      </c>
      <c r="S80" s="59">
        <f t="shared" si="10"/>
        <v>0.11007500000000002</v>
      </c>
      <c r="T80" s="38">
        <f t="shared" si="11"/>
        <v>0.12157500000000002</v>
      </c>
      <c r="U80" s="39">
        <v>0</v>
      </c>
      <c r="V80" s="39">
        <v>0</v>
      </c>
      <c r="W80" s="39">
        <v>0</v>
      </c>
      <c r="X80" s="40">
        <f t="shared" si="12"/>
        <v>0</v>
      </c>
      <c r="Y80" s="41">
        <v>7.6704999999999995E-2</v>
      </c>
      <c r="Z80" s="41">
        <v>1.632E-3</v>
      </c>
      <c r="AA80" s="41">
        <v>3.0000000000000001E-3</v>
      </c>
      <c r="AB80" s="41">
        <v>0</v>
      </c>
      <c r="AC80" s="42">
        <f t="shared" si="13"/>
        <v>8.1336999999999993E-2</v>
      </c>
      <c r="AD80" s="38">
        <f t="shared" si="14"/>
        <v>8.1336999999999993E-2</v>
      </c>
      <c r="AE80" s="43">
        <f t="shared" si="15"/>
        <v>8.1336999999999993E-2</v>
      </c>
      <c r="AF80" s="43">
        <f t="shared" si="16"/>
        <v>8.5360800000000001E-2</v>
      </c>
      <c r="AG80" s="43">
        <f t="shared" si="17"/>
        <v>8.7372699999999998E-2</v>
      </c>
      <c r="AI80" s="64">
        <f>SUMIFS('Paths and Tariffs'!Q:Q,'Paths and Tariffs'!E:E,'Costing Detail'!E80,'Paths and Tariffs'!G:G,"GAS",'Paths and Tariffs'!N:N,1,'Paths and Tariffs'!M:M,1)</f>
        <v>7.6704999999999995E-2</v>
      </c>
    </row>
    <row r="81" spans="1:35" hidden="1" x14ac:dyDescent="0.55000000000000004">
      <c r="A81" s="35" t="s">
        <v>1937</v>
      </c>
      <c r="B81" t="s">
        <v>2038</v>
      </c>
      <c r="C81" t="s">
        <v>2038</v>
      </c>
      <c r="D81" t="s">
        <v>7312</v>
      </c>
      <c r="E81" s="35" t="s">
        <v>2039</v>
      </c>
      <c r="F81" t="s">
        <v>2040</v>
      </c>
      <c r="G81" s="36">
        <v>0</v>
      </c>
      <c r="H81" s="36">
        <v>0</v>
      </c>
      <c r="I81" s="36">
        <v>1.15E-2</v>
      </c>
      <c r="J81" s="37">
        <f t="shared" si="9"/>
        <v>1.15E-2</v>
      </c>
      <c r="K81" s="54">
        <v>0.18061099999999999</v>
      </c>
      <c r="L81" s="54">
        <v>2.1189999999999998E-3</v>
      </c>
      <c r="M81" s="54">
        <v>-0.125</v>
      </c>
      <c r="N81" s="54">
        <v>5.0000000000000001E-3</v>
      </c>
      <c r="O81" s="54">
        <v>1.2500000000000001E-2</v>
      </c>
      <c r="P81" s="54">
        <v>1.4999999999999999E-2</v>
      </c>
      <c r="Q81" s="54">
        <v>0.02</v>
      </c>
      <c r="R81" s="54">
        <v>0</v>
      </c>
      <c r="S81" s="59">
        <f t="shared" si="10"/>
        <v>0.11023000000000001</v>
      </c>
      <c r="T81" s="38">
        <f t="shared" si="11"/>
        <v>0.12173</v>
      </c>
      <c r="U81" s="39">
        <v>0</v>
      </c>
      <c r="V81" s="39">
        <v>0</v>
      </c>
      <c r="W81" s="39">
        <v>0</v>
      </c>
      <c r="X81" s="40">
        <f t="shared" si="12"/>
        <v>0</v>
      </c>
      <c r="Y81" s="41">
        <v>7.0723999999999995E-2</v>
      </c>
      <c r="Z81" s="41">
        <v>1.647E-3</v>
      </c>
      <c r="AA81" s="41">
        <v>3.0000000000000001E-3</v>
      </c>
      <c r="AB81" s="41">
        <v>0</v>
      </c>
      <c r="AC81" s="42">
        <f t="shared" si="13"/>
        <v>7.5370999999999994E-2</v>
      </c>
      <c r="AD81" s="38">
        <f t="shared" si="14"/>
        <v>7.5370999999999994E-2</v>
      </c>
      <c r="AE81" s="43">
        <f t="shared" si="15"/>
        <v>7.5370999999999994E-2</v>
      </c>
      <c r="AF81" s="43">
        <f t="shared" si="16"/>
        <v>8.0006900000000006E-2</v>
      </c>
      <c r="AG81" s="43">
        <f t="shared" si="17"/>
        <v>8.2324849999999991E-2</v>
      </c>
      <c r="AI81" s="64">
        <f>SUMIFS('Paths and Tariffs'!Q:Q,'Paths and Tariffs'!E:E,'Costing Detail'!E81,'Paths and Tariffs'!G:G,"GAS",'Paths and Tariffs'!N:N,1,'Paths and Tariffs'!M:M,1)</f>
        <v>7.0723999999999995E-2</v>
      </c>
    </row>
    <row r="82" spans="1:35" hidden="1" x14ac:dyDescent="0.55000000000000004">
      <c r="A82" s="35" t="s">
        <v>1937</v>
      </c>
      <c r="B82" t="s">
        <v>1966</v>
      </c>
      <c r="C82" t="s">
        <v>1966</v>
      </c>
      <c r="D82" t="s">
        <v>7312</v>
      </c>
      <c r="E82" s="35" t="s">
        <v>1968</v>
      </c>
      <c r="F82" t="s">
        <v>1969</v>
      </c>
      <c r="G82" s="36">
        <v>0</v>
      </c>
      <c r="H82" s="36">
        <v>0</v>
      </c>
      <c r="I82" s="36">
        <v>1.15E-2</v>
      </c>
      <c r="J82" s="37">
        <f t="shared" si="9"/>
        <v>1.15E-2</v>
      </c>
      <c r="K82" s="54">
        <v>0</v>
      </c>
      <c r="L82" s="54">
        <v>2.4420000000000002E-3</v>
      </c>
      <c r="M82" s="54">
        <v>-5.5E-2</v>
      </c>
      <c r="N82" s="54">
        <v>0</v>
      </c>
      <c r="O82" s="54">
        <v>0</v>
      </c>
      <c r="P82" s="54">
        <v>1.4999999999999999E-2</v>
      </c>
      <c r="Q82" s="54">
        <v>0.02</v>
      </c>
      <c r="R82" s="54">
        <v>0</v>
      </c>
      <c r="S82" s="59">
        <f t="shared" si="10"/>
        <v>-1.7558000000000001E-2</v>
      </c>
      <c r="T82" s="38">
        <f t="shared" si="11"/>
        <v>-6.0580000000000009E-3</v>
      </c>
      <c r="U82" s="39">
        <v>0</v>
      </c>
      <c r="V82" s="39">
        <v>0</v>
      </c>
      <c r="W82" s="39">
        <v>1.15E-2</v>
      </c>
      <c r="X82" s="40">
        <f t="shared" si="12"/>
        <v>1.15E-2</v>
      </c>
      <c r="Y82" s="41">
        <v>6.5721000000000002E-2</v>
      </c>
      <c r="Z82" s="41">
        <v>1.3619999999999999E-3</v>
      </c>
      <c r="AA82" s="41">
        <v>3.0000000000000001E-3</v>
      </c>
      <c r="AB82" s="41">
        <v>0</v>
      </c>
      <c r="AC82" s="42">
        <f t="shared" si="13"/>
        <v>7.0083000000000006E-2</v>
      </c>
      <c r="AD82" s="38">
        <f t="shared" si="14"/>
        <v>8.1583000000000003E-2</v>
      </c>
      <c r="AE82" s="43">
        <f t="shared" si="15"/>
        <v>8.1583000000000003E-2</v>
      </c>
      <c r="AF82" s="43">
        <f t="shared" si="16"/>
        <v>7.2818900000000006E-2</v>
      </c>
      <c r="AG82" s="43">
        <f t="shared" si="17"/>
        <v>6.8436850000000007E-2</v>
      </c>
      <c r="AI82" s="64">
        <f>SUMIFS('Paths and Tariffs'!Q:Q,'Paths and Tariffs'!E:E,'Costing Detail'!E82,'Paths and Tariffs'!G:G,"GAS",'Paths and Tariffs'!N:N,1,'Paths and Tariffs'!M:M,1)</f>
        <v>6.5721000000000002E-2</v>
      </c>
    </row>
    <row r="83" spans="1:35" hidden="1" x14ac:dyDescent="0.55000000000000004">
      <c r="A83" s="35" t="s">
        <v>1937</v>
      </c>
      <c r="B83" t="s">
        <v>1967</v>
      </c>
      <c r="C83" t="s">
        <v>1967</v>
      </c>
      <c r="D83" t="s">
        <v>7312</v>
      </c>
      <c r="E83" s="35" t="s">
        <v>2056</v>
      </c>
      <c r="F83" t="s">
        <v>2057</v>
      </c>
      <c r="G83" s="36">
        <v>0</v>
      </c>
      <c r="H83" s="36">
        <v>0</v>
      </c>
      <c r="I83" s="36">
        <v>1.15E-2</v>
      </c>
      <c r="J83" s="37">
        <f t="shared" si="9"/>
        <v>1.15E-2</v>
      </c>
      <c r="K83" s="54">
        <v>0.18085999999999999</v>
      </c>
      <c r="L83" s="54">
        <v>2.1320000000000002E-3</v>
      </c>
      <c r="M83" s="54">
        <v>-0.125</v>
      </c>
      <c r="N83" s="54">
        <v>5.0000000000000001E-3</v>
      </c>
      <c r="O83" s="54">
        <v>1.2500000000000001E-2</v>
      </c>
      <c r="P83" s="54">
        <v>1.4999999999999999E-2</v>
      </c>
      <c r="Q83" s="54">
        <v>0.02</v>
      </c>
      <c r="R83" s="54">
        <v>0</v>
      </c>
      <c r="S83" s="59">
        <f t="shared" si="10"/>
        <v>0.11049199999999999</v>
      </c>
      <c r="T83" s="38">
        <f t="shared" si="11"/>
        <v>0.12199199999999999</v>
      </c>
      <c r="U83" s="39">
        <v>0</v>
      </c>
      <c r="V83" s="39">
        <v>0</v>
      </c>
      <c r="W83" s="39">
        <v>1.15E-2</v>
      </c>
      <c r="X83" s="40">
        <f t="shared" si="12"/>
        <v>1.15E-2</v>
      </c>
      <c r="Y83" s="41">
        <v>2.8323999999999998E-2</v>
      </c>
      <c r="Z83" s="41">
        <v>1.297E-3</v>
      </c>
      <c r="AA83" s="41">
        <v>3.0000000000000001E-3</v>
      </c>
      <c r="AB83" s="41">
        <v>0</v>
      </c>
      <c r="AC83" s="42">
        <f t="shared" si="13"/>
        <v>3.2620999999999997E-2</v>
      </c>
      <c r="AD83" s="38">
        <f t="shared" si="14"/>
        <v>4.4120999999999994E-2</v>
      </c>
      <c r="AE83" s="43">
        <f t="shared" si="15"/>
        <v>4.4120999999999994E-2</v>
      </c>
      <c r="AF83" s="43">
        <f t="shared" si="16"/>
        <v>5.1908099999999999E-2</v>
      </c>
      <c r="AG83" s="43">
        <f t="shared" si="17"/>
        <v>5.5801649999999987E-2</v>
      </c>
      <c r="AI83" s="64">
        <f>SUMIFS('Paths and Tariffs'!Q:Q,'Paths and Tariffs'!E:E,'Costing Detail'!E83,'Paths and Tariffs'!G:G,"GAS",'Paths and Tariffs'!N:N,1,'Paths and Tariffs'!M:M,1)</f>
        <v>2.8323999999999998E-2</v>
      </c>
    </row>
    <row r="84" spans="1:35" hidden="1" x14ac:dyDescent="0.55000000000000004">
      <c r="A84" s="35" t="s">
        <v>1937</v>
      </c>
      <c r="B84" t="s">
        <v>2084</v>
      </c>
      <c r="C84" t="s">
        <v>2084</v>
      </c>
      <c r="D84" t="s">
        <v>7312</v>
      </c>
      <c r="E84" s="35" t="s">
        <v>2085</v>
      </c>
      <c r="F84" t="s">
        <v>2086</v>
      </c>
      <c r="G84" s="36">
        <v>0</v>
      </c>
      <c r="H84" s="36">
        <v>0</v>
      </c>
      <c r="I84" s="36">
        <v>1.15E-2</v>
      </c>
      <c r="J84" s="37">
        <f t="shared" si="9"/>
        <v>1.15E-2</v>
      </c>
      <c r="K84" s="54">
        <v>0.18034500000000001</v>
      </c>
      <c r="L84" s="54">
        <v>2.1050000000000001E-3</v>
      </c>
      <c r="M84" s="54">
        <v>-0.125</v>
      </c>
      <c r="N84" s="54">
        <v>5.0000000000000001E-3</v>
      </c>
      <c r="O84" s="54">
        <v>1.2500000000000001E-2</v>
      </c>
      <c r="P84" s="54">
        <v>1.4999999999999999E-2</v>
      </c>
      <c r="Q84" s="54">
        <v>0.02</v>
      </c>
      <c r="R84" s="54">
        <v>0</v>
      </c>
      <c r="S84" s="59">
        <f t="shared" si="10"/>
        <v>0.10995000000000001</v>
      </c>
      <c r="T84" s="38">
        <f t="shared" si="11"/>
        <v>0.12145</v>
      </c>
      <c r="U84" s="39">
        <v>0</v>
      </c>
      <c r="V84" s="39">
        <v>0</v>
      </c>
      <c r="W84" s="39">
        <v>0</v>
      </c>
      <c r="X84" s="40">
        <f t="shared" si="12"/>
        <v>0</v>
      </c>
      <c r="Y84" s="41">
        <v>6.1633E-2</v>
      </c>
      <c r="Z84" s="41">
        <v>1.4519999999999999E-3</v>
      </c>
      <c r="AA84" s="41">
        <v>3.0000000000000001E-3</v>
      </c>
      <c r="AB84" s="41">
        <v>0</v>
      </c>
      <c r="AC84" s="42">
        <f t="shared" si="13"/>
        <v>6.6085000000000005E-2</v>
      </c>
      <c r="AD84" s="38">
        <f t="shared" si="14"/>
        <v>6.6085000000000005E-2</v>
      </c>
      <c r="AE84" s="43">
        <f t="shared" si="15"/>
        <v>6.6085000000000005E-2</v>
      </c>
      <c r="AF84" s="43">
        <f t="shared" si="16"/>
        <v>7.1621500000000005E-2</v>
      </c>
      <c r="AG84" s="43">
        <f t="shared" si="17"/>
        <v>7.4389750000000004E-2</v>
      </c>
      <c r="AI84" s="64">
        <f>SUMIFS('Paths and Tariffs'!Q:Q,'Paths and Tariffs'!E:E,'Costing Detail'!E84,'Paths and Tariffs'!G:G,"GAS",'Paths and Tariffs'!N:N,1,'Paths and Tariffs'!M:M,1)</f>
        <v>6.1633E-2</v>
      </c>
    </row>
    <row r="85" spans="1:35" hidden="1" x14ac:dyDescent="0.55000000000000004">
      <c r="A85" s="35" t="s">
        <v>1937</v>
      </c>
      <c r="B85" t="s">
        <v>7345</v>
      </c>
      <c r="C85" t="s">
        <v>2117</v>
      </c>
      <c r="D85" t="s">
        <v>7312</v>
      </c>
      <c r="E85" s="35" t="s">
        <v>2118</v>
      </c>
      <c r="F85" t="s">
        <v>2119</v>
      </c>
      <c r="G85" s="36">
        <v>0</v>
      </c>
      <c r="H85" s="36">
        <v>0</v>
      </c>
      <c r="I85" s="36">
        <v>1.15E-2</v>
      </c>
      <c r="J85" s="37">
        <f t="shared" si="9"/>
        <v>1.15E-2</v>
      </c>
      <c r="K85" s="54">
        <v>0.18174899999999999</v>
      </c>
      <c r="L85" s="54">
        <v>2.1800000000000001E-3</v>
      </c>
      <c r="M85" s="54">
        <v>-0.125</v>
      </c>
      <c r="N85" s="54">
        <v>5.0000000000000001E-3</v>
      </c>
      <c r="O85" s="54">
        <v>1.2500000000000001E-2</v>
      </c>
      <c r="P85" s="54">
        <v>1.4999999999999999E-2</v>
      </c>
      <c r="Q85" s="54">
        <v>0.02</v>
      </c>
      <c r="R85" s="54">
        <v>0</v>
      </c>
      <c r="S85" s="59">
        <f t="shared" si="10"/>
        <v>0.11142899999999999</v>
      </c>
      <c r="T85" s="38">
        <f t="shared" si="11"/>
        <v>0.12292899999999998</v>
      </c>
      <c r="U85" s="39">
        <v>0</v>
      </c>
      <c r="V85" s="39">
        <v>0</v>
      </c>
      <c r="W85" s="39">
        <v>1.15E-2</v>
      </c>
      <c r="X85" s="40">
        <f t="shared" si="12"/>
        <v>1.15E-2</v>
      </c>
      <c r="Y85" s="41">
        <v>4.3740000000000001E-2</v>
      </c>
      <c r="Z85" s="41">
        <v>1.1529999999999999E-3</v>
      </c>
      <c r="AA85" s="41">
        <v>3.0000000000000001E-3</v>
      </c>
      <c r="AB85" s="41">
        <v>0</v>
      </c>
      <c r="AC85" s="42">
        <f t="shared" si="13"/>
        <v>4.7893000000000005E-2</v>
      </c>
      <c r="AD85" s="38">
        <f t="shared" si="14"/>
        <v>5.9393000000000001E-2</v>
      </c>
      <c r="AE85" s="43">
        <f t="shared" si="15"/>
        <v>5.9393000000000001E-2</v>
      </c>
      <c r="AF85" s="43">
        <f t="shared" si="16"/>
        <v>6.5746600000000002E-2</v>
      </c>
      <c r="AG85" s="43">
        <f t="shared" si="17"/>
        <v>6.8923399999999996E-2</v>
      </c>
      <c r="AI85" s="64">
        <f>SUMIFS('Paths and Tariffs'!Q:Q,'Paths and Tariffs'!E:E,'Costing Detail'!E85,'Paths and Tariffs'!G:G,"GAS",'Paths and Tariffs'!N:N,1,'Paths and Tariffs'!M:M,1)</f>
        <v>4.3740000000000001E-2</v>
      </c>
    </row>
    <row r="86" spans="1:35" hidden="1" x14ac:dyDescent="0.55000000000000004">
      <c r="A86" s="35" t="s">
        <v>2143</v>
      </c>
      <c r="B86" t="s">
        <v>2180</v>
      </c>
      <c r="C86" t="s">
        <v>2180</v>
      </c>
      <c r="D86" t="s">
        <v>7312</v>
      </c>
      <c r="E86" s="35" t="s">
        <v>2193</v>
      </c>
      <c r="F86" t="s">
        <v>2194</v>
      </c>
      <c r="G86" s="36">
        <v>0</v>
      </c>
      <c r="H86" s="36">
        <v>0</v>
      </c>
      <c r="I86" s="36">
        <v>1.15E-2</v>
      </c>
      <c r="J86" s="37">
        <f t="shared" si="9"/>
        <v>1.15E-2</v>
      </c>
      <c r="K86" s="54">
        <v>0.18196000000000001</v>
      </c>
      <c r="L86" s="54">
        <v>2.1909999999999998E-3</v>
      </c>
      <c r="M86" s="54">
        <v>-5.5E-2</v>
      </c>
      <c r="N86" s="54">
        <v>5.0000000000000001E-3</v>
      </c>
      <c r="O86" s="54">
        <v>1.2500000000000001E-2</v>
      </c>
      <c r="P86" s="54">
        <v>1.4999999999999999E-2</v>
      </c>
      <c r="Q86" s="54">
        <v>0.02</v>
      </c>
      <c r="R86" s="54">
        <v>0</v>
      </c>
      <c r="S86" s="59">
        <f t="shared" si="10"/>
        <v>0.18165100000000003</v>
      </c>
      <c r="T86" s="38">
        <f t="shared" si="11"/>
        <v>0.19315100000000004</v>
      </c>
      <c r="U86" s="39">
        <v>0</v>
      </c>
      <c r="V86" s="39">
        <v>0</v>
      </c>
      <c r="W86" s="39">
        <v>1.15E-2</v>
      </c>
      <c r="X86" s="40">
        <f t="shared" si="12"/>
        <v>1.15E-2</v>
      </c>
      <c r="Y86" s="41">
        <v>3.3914E-2</v>
      </c>
      <c r="Z86" s="41">
        <v>1.1349999999999999E-3</v>
      </c>
      <c r="AA86" s="41">
        <v>3.0000000000000001E-3</v>
      </c>
      <c r="AB86" s="41">
        <v>0</v>
      </c>
      <c r="AC86" s="42">
        <f t="shared" si="13"/>
        <v>3.8048999999999999E-2</v>
      </c>
      <c r="AD86" s="38">
        <f t="shared" si="14"/>
        <v>4.9548999999999996E-2</v>
      </c>
      <c r="AE86" s="43">
        <f t="shared" si="15"/>
        <v>4.9548999999999996E-2</v>
      </c>
      <c r="AF86" s="43">
        <f t="shared" si="16"/>
        <v>6.3909199999999999E-2</v>
      </c>
      <c r="AG86" s="43">
        <f t="shared" si="17"/>
        <v>7.1089300000000008E-2</v>
      </c>
      <c r="AI86" s="64">
        <f>SUMIFS('Paths and Tariffs'!Q:Q,'Paths and Tariffs'!E:E,'Costing Detail'!E86,'Paths and Tariffs'!G:G,"GAS",'Paths and Tariffs'!N:N,1,'Paths and Tariffs'!M:M,1)</f>
        <v>3.3914E-2</v>
      </c>
    </row>
    <row r="87" spans="1:35" hidden="1" x14ac:dyDescent="0.55000000000000004">
      <c r="A87" s="35" t="s">
        <v>2219</v>
      </c>
      <c r="B87" t="s">
        <v>2227</v>
      </c>
      <c r="C87" t="s">
        <v>2227</v>
      </c>
      <c r="D87" t="s">
        <v>7314</v>
      </c>
      <c r="E87" s="35" t="s">
        <v>2233</v>
      </c>
      <c r="F87" t="s">
        <v>2234</v>
      </c>
      <c r="G87" s="36">
        <v>0</v>
      </c>
      <c r="H87" s="36">
        <v>0</v>
      </c>
      <c r="I87" s="36">
        <v>1.15E-2</v>
      </c>
      <c r="J87" s="37">
        <f t="shared" si="9"/>
        <v>1.15E-2</v>
      </c>
      <c r="K87" s="54">
        <v>0.23300000000000001</v>
      </c>
      <c r="L87" s="54">
        <v>2.5040000000000001E-3</v>
      </c>
      <c r="M87" s="54">
        <v>-0.125</v>
      </c>
      <c r="N87" s="54">
        <v>5.0000000000000001E-3</v>
      </c>
      <c r="O87" s="54">
        <v>1.2500000000000001E-2</v>
      </c>
      <c r="P87" s="54">
        <v>1.4999999999999999E-2</v>
      </c>
      <c r="Q87" s="54">
        <v>0.02</v>
      </c>
      <c r="R87" s="54">
        <v>0</v>
      </c>
      <c r="S87" s="59">
        <f t="shared" si="10"/>
        <v>0.16300400000000001</v>
      </c>
      <c r="T87" s="38">
        <f t="shared" si="11"/>
        <v>0.17450400000000002</v>
      </c>
      <c r="U87" s="39">
        <v>0</v>
      </c>
      <c r="V87" s="39">
        <v>0</v>
      </c>
      <c r="W87" s="39">
        <v>1.15E-2</v>
      </c>
      <c r="X87" s="40">
        <f t="shared" si="12"/>
        <v>1.15E-2</v>
      </c>
      <c r="Y87" s="41">
        <v>4.2845000000000001E-2</v>
      </c>
      <c r="Z87" s="41">
        <v>1.6299999999999999E-3</v>
      </c>
      <c r="AA87" s="41">
        <v>3.0000000000000001E-3</v>
      </c>
      <c r="AB87" s="41">
        <v>0</v>
      </c>
      <c r="AC87" s="42">
        <f t="shared" si="13"/>
        <v>4.7475000000000003E-2</v>
      </c>
      <c r="AD87" s="38">
        <f t="shared" si="14"/>
        <v>5.8975E-2</v>
      </c>
      <c r="AE87" s="43">
        <f t="shared" si="15"/>
        <v>5.8975E-2</v>
      </c>
      <c r="AF87" s="43">
        <f t="shared" si="16"/>
        <v>7.0527900000000004E-2</v>
      </c>
      <c r="AG87" s="43">
        <f t="shared" si="17"/>
        <v>7.6304350000000007E-2</v>
      </c>
      <c r="AI87" s="64">
        <f>SUMIFS('Paths and Tariffs'!Q:Q,'Paths and Tariffs'!E:E,'Costing Detail'!E87,'Paths and Tariffs'!G:G,"GAS",'Paths and Tariffs'!N:N,1,'Paths and Tariffs'!M:M,1)</f>
        <v>4.2845000000000001E-2</v>
      </c>
    </row>
    <row r="88" spans="1:35" hidden="1" x14ac:dyDescent="0.55000000000000004">
      <c r="A88" s="35" t="s">
        <v>2219</v>
      </c>
      <c r="B88" t="s">
        <v>2311</v>
      </c>
      <c r="C88" t="s">
        <v>2311</v>
      </c>
      <c r="D88" t="s">
        <v>7314</v>
      </c>
      <c r="E88" s="35" t="s">
        <v>2312</v>
      </c>
      <c r="F88" t="s">
        <v>2313</v>
      </c>
      <c r="G88" s="36">
        <v>0</v>
      </c>
      <c r="H88" s="36">
        <v>0</v>
      </c>
      <c r="I88" s="36">
        <v>1.15E-2</v>
      </c>
      <c r="J88" s="37">
        <f t="shared" si="9"/>
        <v>1.15E-2</v>
      </c>
      <c r="K88" s="54">
        <v>0.23966699999999999</v>
      </c>
      <c r="L88" s="54">
        <v>2.3939999999999999E-3</v>
      </c>
      <c r="M88" s="54">
        <v>-0.125</v>
      </c>
      <c r="N88" s="54">
        <v>5.0000000000000001E-3</v>
      </c>
      <c r="O88" s="54">
        <v>1.2500000000000001E-2</v>
      </c>
      <c r="P88" s="54">
        <v>1.4999999999999999E-2</v>
      </c>
      <c r="Q88" s="54">
        <v>0.02</v>
      </c>
      <c r="R88" s="54">
        <v>0</v>
      </c>
      <c r="S88" s="59">
        <f t="shared" si="10"/>
        <v>0.16956099999999999</v>
      </c>
      <c r="T88" s="38">
        <f t="shared" si="11"/>
        <v>0.181061</v>
      </c>
      <c r="U88" s="39">
        <v>0</v>
      </c>
      <c r="V88" s="39">
        <v>0</v>
      </c>
      <c r="W88" s="39">
        <v>1.15E-2</v>
      </c>
      <c r="X88" s="40">
        <f t="shared" si="12"/>
        <v>1.15E-2</v>
      </c>
      <c r="Y88" s="41">
        <v>1.5942999999999999E-2</v>
      </c>
      <c r="Z88" s="41">
        <v>1.361E-3</v>
      </c>
      <c r="AA88" s="41">
        <v>3.0000000000000001E-3</v>
      </c>
      <c r="AB88" s="41">
        <v>0</v>
      </c>
      <c r="AC88" s="42">
        <f t="shared" si="13"/>
        <v>2.0303999999999999E-2</v>
      </c>
      <c r="AD88" s="38">
        <f t="shared" si="14"/>
        <v>3.1803999999999999E-2</v>
      </c>
      <c r="AE88" s="43">
        <f t="shared" si="15"/>
        <v>3.1803999999999999E-2</v>
      </c>
      <c r="AF88" s="43">
        <f t="shared" si="16"/>
        <v>4.6729699999999999E-2</v>
      </c>
      <c r="AG88" s="43">
        <f t="shared" si="17"/>
        <v>5.4192549999999999E-2</v>
      </c>
      <c r="AI88" s="64">
        <f>SUMIFS('Paths and Tariffs'!Q:Q,'Paths and Tariffs'!E:E,'Costing Detail'!E88,'Paths and Tariffs'!G:G,"GAS",'Paths and Tariffs'!N:N,1,'Paths and Tariffs'!M:M,1)</f>
        <v>1.5942999999999999E-2</v>
      </c>
    </row>
    <row r="89" spans="1:35" hidden="1" x14ac:dyDescent="0.55000000000000004">
      <c r="A89" s="35" t="s">
        <v>2219</v>
      </c>
      <c r="B89" t="s">
        <v>7351</v>
      </c>
      <c r="C89" t="s">
        <v>2221</v>
      </c>
      <c r="D89" t="s">
        <v>7314</v>
      </c>
      <c r="E89" s="35" t="s">
        <v>2328</v>
      </c>
      <c r="F89" t="s">
        <v>2329</v>
      </c>
      <c r="G89" s="36">
        <v>0</v>
      </c>
      <c r="H89" s="36">
        <v>0</v>
      </c>
      <c r="I89" s="36">
        <v>1.15E-2</v>
      </c>
      <c r="J89" s="37">
        <f t="shared" si="9"/>
        <v>1.15E-2</v>
      </c>
      <c r="K89" s="54">
        <v>0.21859100000000001</v>
      </c>
      <c r="L89" s="54">
        <v>2.4320000000000001E-3</v>
      </c>
      <c r="M89" s="54">
        <v>-0.125</v>
      </c>
      <c r="N89" s="54">
        <v>5.0000000000000001E-3</v>
      </c>
      <c r="O89" s="54">
        <v>1.2500000000000001E-2</v>
      </c>
      <c r="P89" s="54">
        <v>1.4999999999999999E-2</v>
      </c>
      <c r="Q89" s="54">
        <v>0.02</v>
      </c>
      <c r="R89" s="54">
        <v>0</v>
      </c>
      <c r="S89" s="59">
        <f t="shared" si="10"/>
        <v>0.14852299999999999</v>
      </c>
      <c r="T89" s="38">
        <f t="shared" si="11"/>
        <v>0.160023</v>
      </c>
      <c r="U89" s="39">
        <v>0</v>
      </c>
      <c r="V89" s="39">
        <v>0</v>
      </c>
      <c r="W89" s="39">
        <v>1.15E-2</v>
      </c>
      <c r="X89" s="40">
        <f t="shared" si="12"/>
        <v>1.15E-2</v>
      </c>
      <c r="Y89" s="41">
        <v>0.101857</v>
      </c>
      <c r="Z89" s="41">
        <v>2.0460000000000001E-3</v>
      </c>
      <c r="AA89" s="41">
        <v>3.0000000000000001E-3</v>
      </c>
      <c r="AB89" s="41">
        <v>0</v>
      </c>
      <c r="AC89" s="42">
        <f t="shared" si="13"/>
        <v>0.10690300000000001</v>
      </c>
      <c r="AD89" s="38">
        <f t="shared" si="14"/>
        <v>0.11840300000000001</v>
      </c>
      <c r="AE89" s="43">
        <f t="shared" si="15"/>
        <v>0.11840300000000001</v>
      </c>
      <c r="AF89" s="43">
        <f t="shared" si="16"/>
        <v>0.12256500000000001</v>
      </c>
      <c r="AG89" s="43">
        <f t="shared" si="17"/>
        <v>0.12464600000000001</v>
      </c>
      <c r="AI89" s="64">
        <f>SUMIFS('Paths and Tariffs'!Q:Q,'Paths and Tariffs'!E:E,'Costing Detail'!E89,'Paths and Tariffs'!G:G,"GAS",'Paths and Tariffs'!N:N,1,'Paths and Tariffs'!M:M,1)</f>
        <v>0.101857</v>
      </c>
    </row>
    <row r="90" spans="1:35" hidden="1" x14ac:dyDescent="0.55000000000000004">
      <c r="A90" s="35" t="s">
        <v>2391</v>
      </c>
      <c r="B90" t="s">
        <v>2392</v>
      </c>
      <c r="C90" t="s">
        <v>2392</v>
      </c>
      <c r="D90" t="s">
        <v>7329</v>
      </c>
      <c r="E90" s="35" t="s">
        <v>2393</v>
      </c>
      <c r="F90" t="s">
        <v>2394</v>
      </c>
      <c r="G90" s="36">
        <v>0</v>
      </c>
      <c r="H90" s="36">
        <v>0</v>
      </c>
      <c r="I90" s="36">
        <v>1.15E-2</v>
      </c>
      <c r="J90" s="37">
        <f t="shared" si="9"/>
        <v>1.15E-2</v>
      </c>
      <c r="K90" s="54">
        <v>0.206867</v>
      </c>
      <c r="L90" s="54">
        <v>2.4710000000000001E-3</v>
      </c>
      <c r="M90" s="54">
        <v>-5.5E-2</v>
      </c>
      <c r="N90" s="54">
        <v>5.0000000000000001E-3</v>
      </c>
      <c r="O90" s="54">
        <v>1.2500000000000001E-2</v>
      </c>
      <c r="P90" s="54">
        <v>1.4999999999999999E-2</v>
      </c>
      <c r="Q90" s="54">
        <v>0.02</v>
      </c>
      <c r="R90" s="54">
        <v>0</v>
      </c>
      <c r="S90" s="59">
        <f t="shared" si="10"/>
        <v>0.20683799999999999</v>
      </c>
      <c r="T90" s="38">
        <f t="shared" si="11"/>
        <v>0.218338</v>
      </c>
      <c r="U90" s="39">
        <v>0</v>
      </c>
      <c r="V90" s="39">
        <v>0</v>
      </c>
      <c r="W90" s="39">
        <v>1.15E-2</v>
      </c>
      <c r="X90" s="40">
        <f t="shared" si="12"/>
        <v>1.15E-2</v>
      </c>
      <c r="Y90" s="41">
        <v>4.9969E-2</v>
      </c>
      <c r="Z90" s="41">
        <v>4.7200000000000002E-3</v>
      </c>
      <c r="AA90" s="41">
        <v>3.0000000000000001E-3</v>
      </c>
      <c r="AB90" s="41">
        <v>0</v>
      </c>
      <c r="AC90" s="42">
        <f t="shared" si="13"/>
        <v>5.7689000000000004E-2</v>
      </c>
      <c r="AD90" s="38">
        <f t="shared" si="14"/>
        <v>6.9189000000000001E-2</v>
      </c>
      <c r="AE90" s="43">
        <f t="shared" si="15"/>
        <v>6.9189000000000001E-2</v>
      </c>
      <c r="AF90" s="43">
        <f t="shared" si="16"/>
        <v>8.4103900000000009E-2</v>
      </c>
      <c r="AG90" s="43">
        <f t="shared" si="17"/>
        <v>9.156135E-2</v>
      </c>
      <c r="AI90" s="64">
        <f>SUMIFS('Paths and Tariffs'!Q:Q,'Paths and Tariffs'!E:E,'Costing Detail'!E90,'Paths and Tariffs'!G:G,"GAS",'Paths and Tariffs'!N:N,1,'Paths and Tariffs'!M:M,1)</f>
        <v>4.9969E-2</v>
      </c>
    </row>
    <row r="91" spans="1:35" hidden="1" x14ac:dyDescent="0.55000000000000004">
      <c r="A91" s="35" t="s">
        <v>2457</v>
      </c>
      <c r="B91" t="s">
        <v>2458</v>
      </c>
      <c r="C91" t="s">
        <v>2458</v>
      </c>
      <c r="D91" t="s">
        <v>7312</v>
      </c>
      <c r="E91" s="35" t="s">
        <v>2459</v>
      </c>
      <c r="F91" t="s">
        <v>2460</v>
      </c>
      <c r="G91" s="36">
        <v>0</v>
      </c>
      <c r="H91" s="36">
        <v>0</v>
      </c>
      <c r="I91" s="36">
        <v>1.15E-2</v>
      </c>
      <c r="J91" s="37">
        <f t="shared" si="9"/>
        <v>1.15E-2</v>
      </c>
      <c r="K91" s="54">
        <v>0.181285</v>
      </c>
      <c r="L91" s="54">
        <v>2.1549999999999998E-3</v>
      </c>
      <c r="M91" s="54">
        <v>-5.5E-2</v>
      </c>
      <c r="N91" s="54">
        <v>5.0000000000000001E-3</v>
      </c>
      <c r="O91" s="54">
        <v>1.2500000000000001E-2</v>
      </c>
      <c r="P91" s="54">
        <v>1.4999999999999999E-2</v>
      </c>
      <c r="Q91" s="54">
        <v>0.02</v>
      </c>
      <c r="R91" s="54">
        <v>0</v>
      </c>
      <c r="S91" s="59">
        <f t="shared" si="10"/>
        <v>0.18094000000000002</v>
      </c>
      <c r="T91" s="38">
        <f t="shared" si="11"/>
        <v>0.19244000000000003</v>
      </c>
      <c r="U91" s="39">
        <v>1.7343000000000001E-2</v>
      </c>
      <c r="V91" s="39">
        <v>0</v>
      </c>
      <c r="W91" s="39">
        <v>0</v>
      </c>
      <c r="X91" s="40">
        <f t="shared" si="12"/>
        <v>1.7343000000000001E-2</v>
      </c>
      <c r="Y91" s="41">
        <v>9.5990000000000006E-2</v>
      </c>
      <c r="Z91" s="41">
        <v>1.635E-3</v>
      </c>
      <c r="AA91" s="41">
        <v>3.0000000000000001E-3</v>
      </c>
      <c r="AB91" s="41">
        <v>0</v>
      </c>
      <c r="AC91" s="42">
        <f t="shared" si="13"/>
        <v>0.10062500000000001</v>
      </c>
      <c r="AD91" s="38">
        <f t="shared" si="14"/>
        <v>0.117968</v>
      </c>
      <c r="AE91" s="43">
        <f t="shared" si="15"/>
        <v>0.117968</v>
      </c>
      <c r="AF91" s="43">
        <f t="shared" si="16"/>
        <v>0.1254152</v>
      </c>
      <c r="AG91" s="43">
        <f t="shared" si="17"/>
        <v>0.1291388</v>
      </c>
      <c r="AI91" s="64">
        <f>SUMIFS('Paths and Tariffs'!Q:Q,'Paths and Tariffs'!E:E,'Costing Detail'!E91,'Paths and Tariffs'!G:G,"GAS",'Paths and Tariffs'!N:N,1,'Paths and Tariffs'!M:M,1)</f>
        <v>9.5990000000000006E-2</v>
      </c>
    </row>
    <row r="92" spans="1:35" hidden="1" x14ac:dyDescent="0.55000000000000004">
      <c r="A92" s="35" t="s">
        <v>2457</v>
      </c>
      <c r="B92" t="s">
        <v>2574</v>
      </c>
      <c r="C92" t="s">
        <v>2575</v>
      </c>
      <c r="D92" t="s">
        <v>7312</v>
      </c>
      <c r="E92" s="35" t="s">
        <v>2576</v>
      </c>
      <c r="F92" t="s">
        <v>2577</v>
      </c>
      <c r="G92" s="36">
        <v>0</v>
      </c>
      <c r="H92" s="36">
        <v>0</v>
      </c>
      <c r="I92" s="36">
        <v>1.15E-2</v>
      </c>
      <c r="J92" s="37">
        <f t="shared" si="9"/>
        <v>1.15E-2</v>
      </c>
      <c r="K92" s="54">
        <v>0.12640000000000001</v>
      </c>
      <c r="L92" s="54">
        <v>2.2469999999999999E-3</v>
      </c>
      <c r="M92" s="54">
        <v>-5.5E-2</v>
      </c>
      <c r="N92" s="54">
        <v>5.0000000000000001E-3</v>
      </c>
      <c r="O92" s="54">
        <v>1.2500000000000001E-2</v>
      </c>
      <c r="P92" s="54">
        <v>1.4999999999999999E-2</v>
      </c>
      <c r="Q92" s="54">
        <v>0.02</v>
      </c>
      <c r="R92" s="54">
        <v>0</v>
      </c>
      <c r="S92" s="59">
        <f t="shared" si="10"/>
        <v>0.12614700000000001</v>
      </c>
      <c r="T92" s="38">
        <f t="shared" si="11"/>
        <v>0.13764700000000002</v>
      </c>
      <c r="U92" s="39">
        <v>0</v>
      </c>
      <c r="V92" s="39">
        <v>0</v>
      </c>
      <c r="W92" s="39">
        <v>1.15E-2</v>
      </c>
      <c r="X92" s="40">
        <f t="shared" si="12"/>
        <v>1.15E-2</v>
      </c>
      <c r="Y92" s="41">
        <v>4.7924000000000001E-2</v>
      </c>
      <c r="Z92" s="41">
        <v>1.4630000000000001E-3</v>
      </c>
      <c r="AA92" s="41">
        <v>3.0000000000000001E-3</v>
      </c>
      <c r="AB92" s="41">
        <v>0</v>
      </c>
      <c r="AC92" s="42">
        <f t="shared" si="13"/>
        <v>5.2387000000000003E-2</v>
      </c>
      <c r="AD92" s="38">
        <f t="shared" si="14"/>
        <v>6.3886999999999999E-2</v>
      </c>
      <c r="AE92" s="43">
        <f t="shared" si="15"/>
        <v>6.3886999999999999E-2</v>
      </c>
      <c r="AF92" s="43">
        <f t="shared" si="16"/>
        <v>7.1263000000000007E-2</v>
      </c>
      <c r="AG92" s="43">
        <f t="shared" si="17"/>
        <v>7.4951000000000004E-2</v>
      </c>
      <c r="AI92" s="64">
        <f>SUMIFS('Paths and Tariffs'!Q:Q,'Paths and Tariffs'!E:E,'Costing Detail'!E92,'Paths and Tariffs'!G:G,"GAS",'Paths and Tariffs'!N:N,1,'Paths and Tariffs'!M:M,1)</f>
        <v>4.7924000000000001E-2</v>
      </c>
    </row>
    <row r="93" spans="1:35" hidden="1" x14ac:dyDescent="0.55000000000000004">
      <c r="A93" s="35" t="s">
        <v>2457</v>
      </c>
      <c r="B93" t="s">
        <v>2627</v>
      </c>
      <c r="C93" t="s">
        <v>2575</v>
      </c>
      <c r="D93" t="s">
        <v>7312</v>
      </c>
      <c r="E93" s="35" t="s">
        <v>2628</v>
      </c>
      <c r="F93" t="s">
        <v>2629</v>
      </c>
      <c r="G93" s="36">
        <v>0</v>
      </c>
      <c r="H93" s="36">
        <v>0</v>
      </c>
      <c r="I93" s="36">
        <v>1.15E-2</v>
      </c>
      <c r="J93" s="37">
        <f t="shared" si="9"/>
        <v>1.15E-2</v>
      </c>
      <c r="K93" s="54">
        <v>0.181308</v>
      </c>
      <c r="L93" s="54">
        <v>2.1559999999999999E-3</v>
      </c>
      <c r="M93" s="54">
        <v>-5.5E-2</v>
      </c>
      <c r="N93" s="54">
        <v>5.0000000000000001E-3</v>
      </c>
      <c r="O93" s="54">
        <v>1.2500000000000001E-2</v>
      </c>
      <c r="P93" s="54">
        <v>1.4999999999999999E-2</v>
      </c>
      <c r="Q93" s="54">
        <v>0.02</v>
      </c>
      <c r="R93" s="54">
        <v>0</v>
      </c>
      <c r="S93" s="59">
        <f t="shared" si="10"/>
        <v>0.18096399999999999</v>
      </c>
      <c r="T93" s="38">
        <f t="shared" si="11"/>
        <v>0.192464</v>
      </c>
      <c r="U93" s="39">
        <v>0</v>
      </c>
      <c r="V93" s="39">
        <v>0</v>
      </c>
      <c r="W93" s="39">
        <v>1.15E-2</v>
      </c>
      <c r="X93" s="40">
        <f t="shared" si="12"/>
        <v>1.15E-2</v>
      </c>
      <c r="Y93" s="41">
        <v>6.0706999999999997E-2</v>
      </c>
      <c r="Z93" s="41">
        <v>1.4729999999999999E-3</v>
      </c>
      <c r="AA93" s="41">
        <v>3.0000000000000001E-3</v>
      </c>
      <c r="AB93" s="41">
        <v>0</v>
      </c>
      <c r="AC93" s="42">
        <f t="shared" si="13"/>
        <v>6.5180000000000002E-2</v>
      </c>
      <c r="AD93" s="38">
        <f t="shared" si="14"/>
        <v>7.6679999999999998E-2</v>
      </c>
      <c r="AE93" s="43">
        <f t="shared" si="15"/>
        <v>7.6679999999999998E-2</v>
      </c>
      <c r="AF93" s="43">
        <f t="shared" si="16"/>
        <v>8.8258400000000001E-2</v>
      </c>
      <c r="AG93" s="43">
        <f t="shared" si="17"/>
        <v>9.4047599999999995E-2</v>
      </c>
      <c r="AI93" s="64">
        <f>SUMIFS('Paths and Tariffs'!Q:Q,'Paths and Tariffs'!E:E,'Costing Detail'!E93,'Paths and Tariffs'!G:G,"GAS",'Paths and Tariffs'!N:N,1,'Paths and Tariffs'!M:M,1)</f>
        <v>6.0706999999999997E-2</v>
      </c>
    </row>
    <row r="94" spans="1:35" hidden="1" x14ac:dyDescent="0.55000000000000004">
      <c r="A94" s="35" t="s">
        <v>2457</v>
      </c>
      <c r="B94" t="s">
        <v>2482</v>
      </c>
      <c r="C94" t="s">
        <v>2482</v>
      </c>
      <c r="D94" t="s">
        <v>7312</v>
      </c>
      <c r="E94" s="35" t="s">
        <v>2491</v>
      </c>
      <c r="F94" t="s">
        <v>2492</v>
      </c>
      <c r="G94" s="36">
        <v>0</v>
      </c>
      <c r="H94" s="36">
        <v>0</v>
      </c>
      <c r="I94" s="36">
        <v>1.15E-2</v>
      </c>
      <c r="J94" s="37">
        <f t="shared" si="9"/>
        <v>1.15E-2</v>
      </c>
      <c r="K94" s="54">
        <v>0.181175</v>
      </c>
      <c r="L94" s="54">
        <v>2.1489999999999999E-3</v>
      </c>
      <c r="M94" s="54">
        <v>-5.5E-2</v>
      </c>
      <c r="N94" s="54">
        <v>5.0000000000000001E-3</v>
      </c>
      <c r="O94" s="54">
        <v>1.2500000000000001E-2</v>
      </c>
      <c r="P94" s="54">
        <v>1.4999999999999999E-2</v>
      </c>
      <c r="Q94" s="54">
        <v>0.02</v>
      </c>
      <c r="R94" s="54">
        <v>0</v>
      </c>
      <c r="S94" s="59">
        <f t="shared" si="10"/>
        <v>0.18082400000000001</v>
      </c>
      <c r="T94" s="38">
        <f t="shared" si="11"/>
        <v>0.19232400000000002</v>
      </c>
      <c r="U94" s="39">
        <v>0</v>
      </c>
      <c r="V94" s="39">
        <v>0</v>
      </c>
      <c r="W94" s="39">
        <v>1.15E-2</v>
      </c>
      <c r="X94" s="40">
        <f t="shared" si="12"/>
        <v>1.15E-2</v>
      </c>
      <c r="Y94" s="41">
        <v>8.1642999999999993E-2</v>
      </c>
      <c r="Z94" s="41">
        <v>1.7210000000000001E-3</v>
      </c>
      <c r="AA94" s="41">
        <v>3.0000000000000001E-3</v>
      </c>
      <c r="AB94" s="41">
        <v>0</v>
      </c>
      <c r="AC94" s="42">
        <f t="shared" si="13"/>
        <v>8.6363999999999996E-2</v>
      </c>
      <c r="AD94" s="38">
        <f t="shared" si="14"/>
        <v>9.7863999999999993E-2</v>
      </c>
      <c r="AE94" s="43">
        <f t="shared" si="15"/>
        <v>9.7863999999999993E-2</v>
      </c>
      <c r="AF94" s="43">
        <f t="shared" si="16"/>
        <v>0.10730999999999999</v>
      </c>
      <c r="AG94" s="43">
        <f t="shared" si="17"/>
        <v>0.11203299999999999</v>
      </c>
      <c r="AI94" s="64">
        <f>SUMIFS('Paths and Tariffs'!Q:Q,'Paths and Tariffs'!E:E,'Costing Detail'!E94,'Paths and Tariffs'!G:G,"GAS",'Paths and Tariffs'!N:N,1,'Paths and Tariffs'!M:M,1)</f>
        <v>8.1642999999999993E-2</v>
      </c>
    </row>
    <row r="95" spans="1:35" hidden="1" x14ac:dyDescent="0.55000000000000004">
      <c r="A95" s="35" t="s">
        <v>2457</v>
      </c>
      <c r="B95" t="s">
        <v>2565</v>
      </c>
      <c r="C95" t="s">
        <v>2482</v>
      </c>
      <c r="D95" t="s">
        <v>7312</v>
      </c>
      <c r="E95" s="35" t="s">
        <v>2566</v>
      </c>
      <c r="F95" t="s">
        <v>2567</v>
      </c>
      <c r="G95" s="36">
        <v>0</v>
      </c>
      <c r="H95" s="36">
        <v>0</v>
      </c>
      <c r="I95" s="36">
        <v>1.15E-2</v>
      </c>
      <c r="J95" s="37">
        <f t="shared" si="9"/>
        <v>1.15E-2</v>
      </c>
      <c r="K95" s="54">
        <v>0.18087</v>
      </c>
      <c r="L95" s="54">
        <v>2.1329999999999999E-3</v>
      </c>
      <c r="M95" s="54">
        <v>-5.5E-2</v>
      </c>
      <c r="N95" s="54">
        <v>5.0000000000000001E-3</v>
      </c>
      <c r="O95" s="54">
        <v>1.2500000000000001E-2</v>
      </c>
      <c r="P95" s="54">
        <v>1.4999999999999999E-2</v>
      </c>
      <c r="Q95" s="54">
        <v>0.02</v>
      </c>
      <c r="R95" s="54">
        <v>0</v>
      </c>
      <c r="S95" s="59">
        <f t="shared" si="10"/>
        <v>0.180503</v>
      </c>
      <c r="T95" s="38">
        <f t="shared" si="11"/>
        <v>0.19200300000000001</v>
      </c>
      <c r="U95" s="39">
        <v>0</v>
      </c>
      <c r="V95" s="39">
        <v>0</v>
      </c>
      <c r="W95" s="39">
        <v>1.15E-2</v>
      </c>
      <c r="X95" s="40">
        <f t="shared" si="12"/>
        <v>1.15E-2</v>
      </c>
      <c r="Y95" s="41">
        <v>9.3324000000000004E-2</v>
      </c>
      <c r="Z95" s="41">
        <v>1.8079999999999999E-3</v>
      </c>
      <c r="AA95" s="41">
        <v>3.0000000000000001E-3</v>
      </c>
      <c r="AB95" s="41">
        <v>0</v>
      </c>
      <c r="AC95" s="42">
        <f t="shared" si="13"/>
        <v>9.8132000000000011E-2</v>
      </c>
      <c r="AD95" s="38">
        <f t="shared" si="14"/>
        <v>0.10963200000000001</v>
      </c>
      <c r="AE95" s="43">
        <f t="shared" si="15"/>
        <v>0.10963200000000001</v>
      </c>
      <c r="AF95" s="43">
        <f t="shared" si="16"/>
        <v>0.11786910000000002</v>
      </c>
      <c r="AG95" s="43">
        <f t="shared" si="17"/>
        <v>0.12198765</v>
      </c>
      <c r="AI95" s="64">
        <f>SUMIFS('Paths and Tariffs'!Q:Q,'Paths and Tariffs'!E:E,'Costing Detail'!E95,'Paths and Tariffs'!G:G,"GAS",'Paths and Tariffs'!N:N,1,'Paths and Tariffs'!M:M,1)</f>
        <v>9.3324000000000004E-2</v>
      </c>
    </row>
    <row r="96" spans="1:35" hidden="1" x14ac:dyDescent="0.55000000000000004">
      <c r="A96" s="35" t="s">
        <v>2457</v>
      </c>
      <c r="B96" t="s">
        <v>2468</v>
      </c>
      <c r="C96" t="s">
        <v>2468</v>
      </c>
      <c r="D96" t="s">
        <v>7312</v>
      </c>
      <c r="E96" s="35" t="s">
        <v>2480</v>
      </c>
      <c r="F96" t="s">
        <v>2481</v>
      </c>
      <c r="G96" s="36">
        <v>0</v>
      </c>
      <c r="H96" s="36">
        <v>0</v>
      </c>
      <c r="I96" s="36">
        <v>1.15E-2</v>
      </c>
      <c r="J96" s="37">
        <f t="shared" si="9"/>
        <v>1.15E-2</v>
      </c>
      <c r="K96" s="54">
        <v>0.17978</v>
      </c>
      <c r="L96" s="54">
        <v>2.0739999999999999E-3</v>
      </c>
      <c r="M96" s="54">
        <v>-5.5E-2</v>
      </c>
      <c r="N96" s="54">
        <v>5.0000000000000001E-3</v>
      </c>
      <c r="O96" s="54">
        <v>1.2500000000000001E-2</v>
      </c>
      <c r="P96" s="54">
        <v>1.4999999999999999E-2</v>
      </c>
      <c r="Q96" s="54">
        <v>0.02</v>
      </c>
      <c r="R96" s="54">
        <v>0</v>
      </c>
      <c r="S96" s="59">
        <f t="shared" si="10"/>
        <v>0.17935399999999999</v>
      </c>
      <c r="T96" s="38">
        <f t="shared" si="11"/>
        <v>0.190854</v>
      </c>
      <c r="U96" s="39">
        <v>0</v>
      </c>
      <c r="V96" s="39">
        <v>0</v>
      </c>
      <c r="W96" s="39">
        <v>1.15E-2</v>
      </c>
      <c r="X96" s="40">
        <f t="shared" si="12"/>
        <v>1.15E-2</v>
      </c>
      <c r="Y96" s="41">
        <v>3.5258999999999999E-2</v>
      </c>
      <c r="Z96" s="41">
        <v>1.24E-3</v>
      </c>
      <c r="AA96" s="41">
        <v>3.0000000000000001E-3</v>
      </c>
      <c r="AB96" s="41">
        <v>0</v>
      </c>
      <c r="AC96" s="42">
        <f t="shared" si="13"/>
        <v>3.9498999999999999E-2</v>
      </c>
      <c r="AD96" s="38">
        <f t="shared" si="14"/>
        <v>5.0999000000000003E-2</v>
      </c>
      <c r="AE96" s="43">
        <f t="shared" si="15"/>
        <v>5.0999000000000003E-2</v>
      </c>
      <c r="AF96" s="43">
        <f t="shared" si="16"/>
        <v>6.4984500000000001E-2</v>
      </c>
      <c r="AG96" s="43">
        <f t="shared" si="17"/>
        <v>7.1977249999999993E-2</v>
      </c>
      <c r="AI96" s="64">
        <f>SUMIFS('Paths and Tariffs'!Q:Q,'Paths and Tariffs'!E:E,'Costing Detail'!E96,'Paths and Tariffs'!G:G,"GAS",'Paths and Tariffs'!N:N,1,'Paths and Tariffs'!M:M,1)</f>
        <v>3.5258999999999999E-2</v>
      </c>
    </row>
    <row r="97" spans="1:35" hidden="1" x14ac:dyDescent="0.55000000000000004">
      <c r="A97" s="35" t="s">
        <v>2457</v>
      </c>
      <c r="B97" t="s">
        <v>2493</v>
      </c>
      <c r="C97" t="s">
        <v>2493</v>
      </c>
      <c r="D97" t="s">
        <v>7312</v>
      </c>
      <c r="E97" s="35" t="s">
        <v>2494</v>
      </c>
      <c r="F97" t="s">
        <v>2495</v>
      </c>
      <c r="G97" s="36">
        <v>0</v>
      </c>
      <c r="H97" s="36">
        <v>0</v>
      </c>
      <c r="I97" s="36">
        <v>1.15E-2</v>
      </c>
      <c r="J97" s="37">
        <f t="shared" si="9"/>
        <v>1.15E-2</v>
      </c>
      <c r="K97" s="54">
        <v>0.179645</v>
      </c>
      <c r="L97" s="54">
        <v>2.0669999999999998E-3</v>
      </c>
      <c r="M97" s="54">
        <v>-5.5E-2</v>
      </c>
      <c r="N97" s="54">
        <v>5.0000000000000001E-3</v>
      </c>
      <c r="O97" s="54">
        <v>1.2500000000000001E-2</v>
      </c>
      <c r="P97" s="54">
        <v>1.4999999999999999E-2</v>
      </c>
      <c r="Q97" s="54">
        <v>0.02</v>
      </c>
      <c r="R97" s="54">
        <v>0</v>
      </c>
      <c r="S97" s="59">
        <f t="shared" si="10"/>
        <v>0.17921200000000001</v>
      </c>
      <c r="T97" s="38">
        <f t="shared" si="11"/>
        <v>0.19071200000000002</v>
      </c>
      <c r="U97" s="39">
        <v>0</v>
      </c>
      <c r="V97" s="39">
        <v>0</v>
      </c>
      <c r="W97" s="39">
        <v>1.15E-2</v>
      </c>
      <c r="X97" s="40">
        <f t="shared" si="12"/>
        <v>1.15E-2</v>
      </c>
      <c r="Y97" s="41">
        <v>3.2569000000000001E-2</v>
      </c>
      <c r="Z97" s="41">
        <v>1.175E-3</v>
      </c>
      <c r="AA97" s="41">
        <v>3.0000000000000001E-3</v>
      </c>
      <c r="AB97" s="41">
        <v>0</v>
      </c>
      <c r="AC97" s="42">
        <f t="shared" si="13"/>
        <v>3.6744000000000006E-2</v>
      </c>
      <c r="AD97" s="38">
        <f t="shared" si="14"/>
        <v>4.8244000000000009E-2</v>
      </c>
      <c r="AE97" s="43">
        <f t="shared" si="15"/>
        <v>4.8244000000000009E-2</v>
      </c>
      <c r="AF97" s="43">
        <f t="shared" si="16"/>
        <v>6.2490800000000013E-2</v>
      </c>
      <c r="AG97" s="43">
        <f t="shared" si="17"/>
        <v>6.9614200000000015E-2</v>
      </c>
      <c r="AI97" s="64">
        <f>SUMIFS('Paths and Tariffs'!Q:Q,'Paths and Tariffs'!E:E,'Costing Detail'!E97,'Paths and Tariffs'!G:G,"GAS",'Paths and Tariffs'!N:N,1,'Paths and Tariffs'!M:M,1)</f>
        <v>3.2569000000000001E-2</v>
      </c>
    </row>
    <row r="98" spans="1:35" hidden="1" x14ac:dyDescent="0.55000000000000004">
      <c r="A98" s="35" t="s">
        <v>2457</v>
      </c>
      <c r="B98" t="s">
        <v>2502</v>
      </c>
      <c r="C98" t="s">
        <v>2502</v>
      </c>
      <c r="D98" t="s">
        <v>7312</v>
      </c>
      <c r="E98" s="35" t="s">
        <v>2503</v>
      </c>
      <c r="F98" t="s">
        <v>2504</v>
      </c>
      <c r="G98" s="36">
        <v>0</v>
      </c>
      <c r="H98" s="36">
        <v>0</v>
      </c>
      <c r="I98" s="36">
        <v>1.15E-2</v>
      </c>
      <c r="J98" s="37">
        <f t="shared" si="9"/>
        <v>1.15E-2</v>
      </c>
      <c r="K98" s="54">
        <v>0</v>
      </c>
      <c r="L98" s="54">
        <v>0</v>
      </c>
      <c r="M98" s="54">
        <v>0</v>
      </c>
      <c r="N98" s="54">
        <v>0</v>
      </c>
      <c r="O98" s="54">
        <v>0</v>
      </c>
      <c r="P98" s="54">
        <v>1.4999999999999999E-2</v>
      </c>
      <c r="Q98" s="54">
        <v>0.02</v>
      </c>
      <c r="R98" s="54">
        <v>0</v>
      </c>
      <c r="S98" s="59">
        <f t="shared" si="10"/>
        <v>3.5000000000000003E-2</v>
      </c>
      <c r="T98" s="38">
        <f t="shared" si="11"/>
        <v>4.65E-2</v>
      </c>
      <c r="U98" s="39">
        <v>0</v>
      </c>
      <c r="V98" s="39">
        <v>0</v>
      </c>
      <c r="W98" s="39">
        <v>1.15E-2</v>
      </c>
      <c r="X98" s="40">
        <f t="shared" si="12"/>
        <v>1.15E-2</v>
      </c>
      <c r="Y98" s="41">
        <v>4.3476000000000001E-2</v>
      </c>
      <c r="Z98" s="41">
        <v>1.2769999999999999E-3</v>
      </c>
      <c r="AA98" s="41">
        <v>3.0000000000000001E-3</v>
      </c>
      <c r="AB98" s="41">
        <v>0</v>
      </c>
      <c r="AC98" s="42">
        <f t="shared" si="13"/>
        <v>4.7753000000000004E-2</v>
      </c>
      <c r="AD98" s="38">
        <f t="shared" si="14"/>
        <v>5.9253E-2</v>
      </c>
      <c r="AE98" s="43">
        <f t="shared" si="15"/>
        <v>5.9253E-2</v>
      </c>
      <c r="AF98" s="43">
        <f t="shared" si="16"/>
        <v>5.79777E-2</v>
      </c>
      <c r="AG98" s="43">
        <f t="shared" si="17"/>
        <v>5.7340050000000004E-2</v>
      </c>
      <c r="AI98" s="64">
        <f>SUMIFS('Paths and Tariffs'!Q:Q,'Paths and Tariffs'!E:E,'Costing Detail'!E98,'Paths and Tariffs'!G:G,"GAS",'Paths and Tariffs'!N:N,1,'Paths and Tariffs'!M:M,1)</f>
        <v>4.3476000000000001E-2</v>
      </c>
    </row>
    <row r="99" spans="1:35" hidden="1" x14ac:dyDescent="0.55000000000000004">
      <c r="A99" s="35" t="s">
        <v>2457</v>
      </c>
      <c r="B99" t="s">
        <v>2513</v>
      </c>
      <c r="C99" t="s">
        <v>2513</v>
      </c>
      <c r="D99" t="s">
        <v>7312</v>
      </c>
      <c r="E99" s="35" t="s">
        <v>2514</v>
      </c>
      <c r="F99" t="s">
        <v>2515</v>
      </c>
      <c r="G99" s="36">
        <v>0</v>
      </c>
      <c r="H99" s="36">
        <v>0</v>
      </c>
      <c r="I99" s="36">
        <v>1.15E-2</v>
      </c>
      <c r="J99" s="37">
        <f t="shared" si="9"/>
        <v>1.15E-2</v>
      </c>
      <c r="K99" s="54">
        <v>0.18054400000000001</v>
      </c>
      <c r="L99" s="54">
        <v>2.1150000000000001E-3</v>
      </c>
      <c r="M99" s="54">
        <v>-5.5E-2</v>
      </c>
      <c r="N99" s="54">
        <v>5.0000000000000001E-3</v>
      </c>
      <c r="O99" s="54">
        <v>1.2500000000000001E-2</v>
      </c>
      <c r="P99" s="54">
        <v>1.4999999999999999E-2</v>
      </c>
      <c r="Q99" s="54">
        <v>0.02</v>
      </c>
      <c r="R99" s="54">
        <v>0</v>
      </c>
      <c r="S99" s="59">
        <f t="shared" si="10"/>
        <v>0.18015900000000004</v>
      </c>
      <c r="T99" s="38">
        <f t="shared" si="11"/>
        <v>0.19165900000000005</v>
      </c>
      <c r="U99" s="39">
        <v>1.5879000000000001E-2</v>
      </c>
      <c r="V99" s="39">
        <v>0</v>
      </c>
      <c r="W99" s="39">
        <v>0</v>
      </c>
      <c r="X99" s="40">
        <f t="shared" si="12"/>
        <v>1.5879000000000001E-2</v>
      </c>
      <c r="Y99" s="41">
        <v>4.3297000000000002E-2</v>
      </c>
      <c r="Z99" s="41">
        <v>1.41E-3</v>
      </c>
      <c r="AA99" s="41">
        <v>3.0000000000000001E-3</v>
      </c>
      <c r="AB99" s="41">
        <v>0</v>
      </c>
      <c r="AC99" s="42">
        <f t="shared" si="13"/>
        <v>4.7707000000000006E-2</v>
      </c>
      <c r="AD99" s="38">
        <f t="shared" si="14"/>
        <v>6.3586000000000004E-2</v>
      </c>
      <c r="AE99" s="43">
        <f t="shared" si="15"/>
        <v>6.3586000000000004E-2</v>
      </c>
      <c r="AF99" s="43">
        <f t="shared" si="16"/>
        <v>7.6393300000000011E-2</v>
      </c>
      <c r="AG99" s="43">
        <f t="shared" si="17"/>
        <v>8.2796950000000008E-2</v>
      </c>
      <c r="AI99" s="64">
        <f>SUMIFS('Paths and Tariffs'!Q:Q,'Paths and Tariffs'!E:E,'Costing Detail'!E99,'Paths and Tariffs'!G:G,"GAS",'Paths and Tariffs'!N:N,1,'Paths and Tariffs'!M:M,1)</f>
        <v>4.3297000000000002E-2</v>
      </c>
    </row>
    <row r="100" spans="1:35" hidden="1" x14ac:dyDescent="0.55000000000000004">
      <c r="A100" s="35" t="s">
        <v>2457</v>
      </c>
      <c r="B100" t="s">
        <v>2526</v>
      </c>
      <c r="C100" t="s">
        <v>2526</v>
      </c>
      <c r="D100" t="s">
        <v>7312</v>
      </c>
      <c r="E100" s="35" t="s">
        <v>2527</v>
      </c>
      <c r="F100" t="s">
        <v>2528</v>
      </c>
      <c r="G100" s="36">
        <v>0</v>
      </c>
      <c r="H100" s="36">
        <v>0</v>
      </c>
      <c r="I100" s="36">
        <v>1.15E-2</v>
      </c>
      <c r="J100" s="37">
        <f t="shared" si="9"/>
        <v>1.15E-2</v>
      </c>
      <c r="K100" s="54">
        <v>0</v>
      </c>
      <c r="L100" s="54">
        <v>0</v>
      </c>
      <c r="M100" s="54">
        <v>0</v>
      </c>
      <c r="N100" s="54">
        <v>0</v>
      </c>
      <c r="O100" s="54">
        <v>0</v>
      </c>
      <c r="P100" s="54">
        <v>1.4999999999999999E-2</v>
      </c>
      <c r="Q100" s="54">
        <v>0.02</v>
      </c>
      <c r="R100" s="54">
        <v>0</v>
      </c>
      <c r="S100" s="59">
        <f t="shared" si="10"/>
        <v>3.5000000000000003E-2</v>
      </c>
      <c r="T100" s="38">
        <f t="shared" si="11"/>
        <v>4.65E-2</v>
      </c>
      <c r="U100" s="39">
        <v>0</v>
      </c>
      <c r="V100" s="39">
        <v>0</v>
      </c>
      <c r="W100" s="39">
        <v>1.15E-2</v>
      </c>
      <c r="X100" s="40">
        <f t="shared" si="12"/>
        <v>1.15E-2</v>
      </c>
      <c r="Y100" s="41">
        <v>2.2752000000000001E-2</v>
      </c>
      <c r="Z100" s="41">
        <v>1.194E-3</v>
      </c>
      <c r="AA100" s="41">
        <v>3.0000000000000001E-3</v>
      </c>
      <c r="AB100" s="41">
        <v>0</v>
      </c>
      <c r="AC100" s="42">
        <f t="shared" si="13"/>
        <v>2.6946000000000001E-2</v>
      </c>
      <c r="AD100" s="38">
        <f t="shared" si="14"/>
        <v>3.8446000000000001E-2</v>
      </c>
      <c r="AE100" s="43">
        <f t="shared" si="15"/>
        <v>3.8446000000000001E-2</v>
      </c>
      <c r="AF100" s="43">
        <f t="shared" si="16"/>
        <v>3.9251400000000006E-2</v>
      </c>
      <c r="AG100" s="43">
        <f t="shared" si="17"/>
        <v>3.9654100000000005E-2</v>
      </c>
      <c r="AI100" s="64">
        <f>SUMIFS('Paths and Tariffs'!Q:Q,'Paths and Tariffs'!E:E,'Costing Detail'!E100,'Paths and Tariffs'!G:G,"GAS",'Paths and Tariffs'!N:N,1,'Paths and Tariffs'!M:M,1)</f>
        <v>2.2752000000000001E-2</v>
      </c>
    </row>
    <row r="101" spans="1:35" hidden="1" x14ac:dyDescent="0.55000000000000004">
      <c r="A101" s="35" t="s">
        <v>2457</v>
      </c>
      <c r="B101" t="s">
        <v>2541</v>
      </c>
      <c r="C101" t="s">
        <v>2502</v>
      </c>
      <c r="D101" t="s">
        <v>7312</v>
      </c>
      <c r="E101" s="35" t="s">
        <v>2542</v>
      </c>
      <c r="F101" t="s">
        <v>2543</v>
      </c>
      <c r="G101" s="36">
        <v>0</v>
      </c>
      <c r="H101" s="36">
        <v>0</v>
      </c>
      <c r="I101" s="36">
        <v>1.15E-2</v>
      </c>
      <c r="J101" s="37">
        <f t="shared" si="9"/>
        <v>1.15E-2</v>
      </c>
      <c r="K101" s="54">
        <v>0.18227299999999999</v>
      </c>
      <c r="L101" s="54">
        <v>2.1410000000000001E-3</v>
      </c>
      <c r="M101" s="54">
        <v>-5.5E-2</v>
      </c>
      <c r="N101" s="54">
        <v>0</v>
      </c>
      <c r="O101" s="54">
        <v>0</v>
      </c>
      <c r="P101" s="54">
        <v>1.4999999999999999E-2</v>
      </c>
      <c r="Q101" s="54">
        <v>0.02</v>
      </c>
      <c r="R101" s="54">
        <v>0</v>
      </c>
      <c r="S101" s="59">
        <f t="shared" si="10"/>
        <v>0.16441399999999998</v>
      </c>
      <c r="T101" s="38">
        <f t="shared" si="11"/>
        <v>0.17591399999999999</v>
      </c>
      <c r="U101" s="39">
        <v>0</v>
      </c>
      <c r="V101" s="39">
        <v>0</v>
      </c>
      <c r="W101" s="39">
        <v>1.15E-2</v>
      </c>
      <c r="X101" s="40">
        <f t="shared" si="12"/>
        <v>1.15E-2</v>
      </c>
      <c r="Y101" s="41">
        <v>4.3916999999999998E-2</v>
      </c>
      <c r="Z101" s="41">
        <v>1.2880000000000001E-3</v>
      </c>
      <c r="AA101" s="41">
        <v>3.0000000000000001E-3</v>
      </c>
      <c r="AB101" s="41">
        <v>0</v>
      </c>
      <c r="AC101" s="42">
        <f t="shared" si="13"/>
        <v>4.8204999999999998E-2</v>
      </c>
      <c r="AD101" s="38">
        <f t="shared" si="14"/>
        <v>5.9704999999999994E-2</v>
      </c>
      <c r="AE101" s="43">
        <f t="shared" si="15"/>
        <v>5.9704999999999994E-2</v>
      </c>
      <c r="AF101" s="43">
        <f t="shared" si="16"/>
        <v>7.1325899999999998E-2</v>
      </c>
      <c r="AG101" s="43">
        <f t="shared" si="17"/>
        <v>7.7136349999999992E-2</v>
      </c>
      <c r="AI101" s="64">
        <f>SUMIFS('Paths and Tariffs'!Q:Q,'Paths and Tariffs'!E:E,'Costing Detail'!E101,'Paths and Tariffs'!G:G,"GAS",'Paths and Tariffs'!N:N,1,'Paths and Tariffs'!M:M,1)</f>
        <v>4.3916999999999998E-2</v>
      </c>
    </row>
    <row r="102" spans="1:35" hidden="1" x14ac:dyDescent="0.55000000000000004">
      <c r="A102" s="35" t="s">
        <v>2457</v>
      </c>
      <c r="B102" t="s">
        <v>1796</v>
      </c>
      <c r="C102" t="s">
        <v>1796</v>
      </c>
      <c r="D102" t="s">
        <v>7312</v>
      </c>
      <c r="E102" s="35" t="s">
        <v>2557</v>
      </c>
      <c r="F102" t="s">
        <v>2558</v>
      </c>
      <c r="G102" s="36">
        <v>0</v>
      </c>
      <c r="H102" s="36">
        <v>0</v>
      </c>
      <c r="I102" s="36">
        <v>1.15E-2</v>
      </c>
      <c r="J102" s="37">
        <f t="shared" si="9"/>
        <v>1.15E-2</v>
      </c>
      <c r="K102" s="54">
        <v>0</v>
      </c>
      <c r="L102" s="54">
        <v>0</v>
      </c>
      <c r="M102" s="54">
        <v>0</v>
      </c>
      <c r="N102" s="54">
        <v>0</v>
      </c>
      <c r="O102" s="54">
        <v>0</v>
      </c>
      <c r="P102" s="54">
        <v>1.4999999999999999E-2</v>
      </c>
      <c r="Q102" s="54">
        <v>0.02</v>
      </c>
      <c r="R102" s="54">
        <v>0</v>
      </c>
      <c r="S102" s="59">
        <f t="shared" si="10"/>
        <v>3.5000000000000003E-2</v>
      </c>
      <c r="T102" s="38">
        <f t="shared" si="11"/>
        <v>4.65E-2</v>
      </c>
      <c r="U102" s="39">
        <v>0</v>
      </c>
      <c r="V102" s="39">
        <v>0</v>
      </c>
      <c r="W102" s="39">
        <v>1.15E-2</v>
      </c>
      <c r="X102" s="40">
        <f t="shared" si="12"/>
        <v>1.15E-2</v>
      </c>
      <c r="Y102" s="41">
        <v>2.2190000000000001E-2</v>
      </c>
      <c r="Z102" s="41">
        <v>9.7099999999999997E-4</v>
      </c>
      <c r="AA102" s="41">
        <v>3.0000000000000001E-3</v>
      </c>
      <c r="AB102" s="41">
        <v>0</v>
      </c>
      <c r="AC102" s="42">
        <f t="shared" si="13"/>
        <v>2.6161E-2</v>
      </c>
      <c r="AD102" s="38">
        <f t="shared" si="14"/>
        <v>3.7661E-2</v>
      </c>
      <c r="AE102" s="43">
        <f t="shared" si="15"/>
        <v>3.7661E-2</v>
      </c>
      <c r="AF102" s="43">
        <f t="shared" si="16"/>
        <v>3.85449E-2</v>
      </c>
      <c r="AG102" s="43">
        <f t="shared" si="17"/>
        <v>3.8986850000000003E-2</v>
      </c>
      <c r="AI102" s="64">
        <f>SUMIFS('Paths and Tariffs'!Q:Q,'Paths and Tariffs'!E:E,'Costing Detail'!E102,'Paths and Tariffs'!G:G,"GAS",'Paths and Tariffs'!N:N,1,'Paths and Tariffs'!M:M,1)</f>
        <v>2.2190000000000001E-2</v>
      </c>
    </row>
    <row r="103" spans="1:35" x14ac:dyDescent="0.55000000000000004">
      <c r="A103" s="35" t="s">
        <v>2457</v>
      </c>
      <c r="B103" t="s">
        <v>2559</v>
      </c>
      <c r="C103" t="s">
        <v>2575</v>
      </c>
      <c r="D103" t="s">
        <v>7312</v>
      </c>
      <c r="E103" s="35" t="s">
        <v>2560</v>
      </c>
      <c r="F103" t="s">
        <v>2561</v>
      </c>
      <c r="G103" s="36">
        <v>0</v>
      </c>
      <c r="H103" s="36">
        <v>0</v>
      </c>
      <c r="I103" s="36">
        <v>1.15E-2</v>
      </c>
      <c r="J103" s="37">
        <f t="shared" si="9"/>
        <v>1.15E-2</v>
      </c>
      <c r="K103" s="54">
        <v>0.18118699999999999</v>
      </c>
      <c r="L103" s="54">
        <v>2.15E-3</v>
      </c>
      <c r="M103" s="54">
        <v>-5.5E-2</v>
      </c>
      <c r="N103" s="54">
        <v>5.0000000000000001E-3</v>
      </c>
      <c r="O103" s="54">
        <v>1.2500000000000001E-2</v>
      </c>
      <c r="P103" s="54">
        <v>1.4999999999999999E-2</v>
      </c>
      <c r="Q103" s="54">
        <v>0.02</v>
      </c>
      <c r="R103" s="54">
        <v>0</v>
      </c>
      <c r="S103" s="59">
        <f t="shared" si="10"/>
        <v>0.180837</v>
      </c>
      <c r="T103" s="38">
        <f t="shared" si="11"/>
        <v>0.19233700000000001</v>
      </c>
      <c r="U103" s="39">
        <v>0</v>
      </c>
      <c r="V103" s="39">
        <v>0</v>
      </c>
      <c r="W103" s="39">
        <v>1.15E-2</v>
      </c>
      <c r="X103" s="40">
        <f t="shared" si="12"/>
        <v>1.15E-2</v>
      </c>
      <c r="Y103" s="41">
        <v>7.2117000000000001E-2</v>
      </c>
      <c r="Z103" s="41">
        <v>1.5889999999999999E-3</v>
      </c>
      <c r="AA103" s="41">
        <v>3.0000000000000001E-3</v>
      </c>
      <c r="AB103" s="41">
        <v>0</v>
      </c>
      <c r="AC103" s="42">
        <f t="shared" si="13"/>
        <v>7.6705999999999996E-2</v>
      </c>
      <c r="AD103" s="38">
        <f t="shared" si="14"/>
        <v>8.8205999999999993E-2</v>
      </c>
      <c r="AE103" s="43">
        <f t="shared" si="15"/>
        <v>8.8205999999999993E-2</v>
      </c>
      <c r="AF103" s="43">
        <f t="shared" si="16"/>
        <v>9.8619100000000001E-2</v>
      </c>
      <c r="AG103" s="43">
        <f t="shared" si="17"/>
        <v>0.10382564999999999</v>
      </c>
      <c r="AI103" s="64">
        <f>SUMIFS('Paths and Tariffs'!Q:Q,'Paths and Tariffs'!E:E,'Costing Detail'!E103,'Paths and Tariffs'!G:G,"GAS",'Paths and Tariffs'!N:N,1,'Paths and Tariffs'!M:M,1)</f>
        <v>0</v>
      </c>
    </row>
    <row r="104" spans="1:35" hidden="1" x14ac:dyDescent="0.55000000000000004">
      <c r="A104" s="35" t="s">
        <v>2457</v>
      </c>
      <c r="B104" t="s">
        <v>2604</v>
      </c>
      <c r="C104" t="s">
        <v>2575</v>
      </c>
      <c r="D104" t="s">
        <v>7312</v>
      </c>
      <c r="E104" s="35" t="s">
        <v>2605</v>
      </c>
      <c r="F104" t="s">
        <v>2606</v>
      </c>
      <c r="G104" s="36">
        <v>0</v>
      </c>
      <c r="H104" s="36">
        <v>0</v>
      </c>
      <c r="I104" s="36">
        <v>1.15E-2</v>
      </c>
      <c r="J104" s="37">
        <f t="shared" si="9"/>
        <v>1.15E-2</v>
      </c>
      <c r="K104" s="54">
        <v>0.12640000000000001</v>
      </c>
      <c r="L104" s="54">
        <v>2.2399999999999998E-3</v>
      </c>
      <c r="M104" s="54">
        <v>-5.5E-2</v>
      </c>
      <c r="N104" s="54">
        <v>5.0000000000000001E-3</v>
      </c>
      <c r="O104" s="54">
        <v>1.2500000000000001E-2</v>
      </c>
      <c r="P104" s="54">
        <v>1.4999999999999999E-2</v>
      </c>
      <c r="Q104" s="54">
        <v>0.02</v>
      </c>
      <c r="R104" s="54">
        <v>0</v>
      </c>
      <c r="S104" s="59">
        <f t="shared" si="10"/>
        <v>0.12614</v>
      </c>
      <c r="T104" s="38">
        <f t="shared" si="11"/>
        <v>0.13764000000000001</v>
      </c>
      <c r="U104" s="39">
        <v>3.9302999999999998E-2</v>
      </c>
      <c r="V104" s="39">
        <v>0</v>
      </c>
      <c r="W104" s="39">
        <v>0</v>
      </c>
      <c r="X104" s="40">
        <f t="shared" si="12"/>
        <v>3.9302999999999998E-2</v>
      </c>
      <c r="Y104" s="41">
        <v>6.4890000000000003E-2</v>
      </c>
      <c r="Z104" s="41">
        <v>1.5299999999999999E-3</v>
      </c>
      <c r="AA104" s="41">
        <v>3.0000000000000001E-3</v>
      </c>
      <c r="AB104" s="41">
        <v>0</v>
      </c>
      <c r="AC104" s="42">
        <f t="shared" si="13"/>
        <v>6.9420000000000009E-2</v>
      </c>
      <c r="AD104" s="38">
        <f t="shared" si="14"/>
        <v>0.10872300000000001</v>
      </c>
      <c r="AE104" s="43">
        <f t="shared" si="15"/>
        <v>0.10872300000000001</v>
      </c>
      <c r="AF104" s="43">
        <f t="shared" si="16"/>
        <v>0.11161470000000001</v>
      </c>
      <c r="AG104" s="43">
        <f t="shared" si="17"/>
        <v>0.11306055000000001</v>
      </c>
      <c r="AI104" s="64">
        <f>SUMIFS('Paths and Tariffs'!Q:Q,'Paths and Tariffs'!E:E,'Costing Detail'!E104,'Paths and Tariffs'!G:G,"GAS",'Paths and Tariffs'!N:N,1,'Paths and Tariffs'!M:M,1)</f>
        <v>6.4890000000000003E-2</v>
      </c>
    </row>
    <row r="105" spans="1:35" hidden="1" x14ac:dyDescent="0.55000000000000004">
      <c r="A105" s="35" t="s">
        <v>2457</v>
      </c>
      <c r="B105" t="s">
        <v>2575</v>
      </c>
      <c r="C105" t="s">
        <v>2575</v>
      </c>
      <c r="D105" t="s">
        <v>7312</v>
      </c>
      <c r="E105" s="35" t="s">
        <v>2620</v>
      </c>
      <c r="F105" t="s">
        <v>2621</v>
      </c>
      <c r="G105" s="36">
        <v>0</v>
      </c>
      <c r="H105" s="36">
        <v>0</v>
      </c>
      <c r="I105" s="36">
        <v>1.15E-2</v>
      </c>
      <c r="J105" s="37">
        <f t="shared" si="9"/>
        <v>1.15E-2</v>
      </c>
      <c r="K105" s="54">
        <v>0.12640000000000001</v>
      </c>
      <c r="L105" s="54">
        <v>2.2409999999999999E-3</v>
      </c>
      <c r="M105" s="54">
        <v>-5.5E-2</v>
      </c>
      <c r="N105" s="54">
        <v>5.0000000000000001E-3</v>
      </c>
      <c r="O105" s="54">
        <v>1.2500000000000001E-2</v>
      </c>
      <c r="P105" s="54">
        <v>1.4999999999999999E-2</v>
      </c>
      <c r="Q105" s="54">
        <v>0.02</v>
      </c>
      <c r="R105" s="54">
        <v>0</v>
      </c>
      <c r="S105" s="59">
        <f t="shared" si="10"/>
        <v>0.126141</v>
      </c>
      <c r="T105" s="38">
        <f t="shared" si="11"/>
        <v>0.13764100000000001</v>
      </c>
      <c r="U105" s="39">
        <v>0</v>
      </c>
      <c r="V105" s="39">
        <v>0</v>
      </c>
      <c r="W105" s="39">
        <v>1.15E-2</v>
      </c>
      <c r="X105" s="40">
        <f t="shared" si="12"/>
        <v>1.15E-2</v>
      </c>
      <c r="Y105" s="41">
        <v>4.7912000000000003E-2</v>
      </c>
      <c r="Z105" s="41">
        <v>1.4350000000000001E-3</v>
      </c>
      <c r="AA105" s="41">
        <v>3.0000000000000001E-3</v>
      </c>
      <c r="AB105" s="41">
        <v>0</v>
      </c>
      <c r="AC105" s="42">
        <f t="shared" si="13"/>
        <v>5.2347000000000005E-2</v>
      </c>
      <c r="AD105" s="38">
        <f t="shared" si="14"/>
        <v>6.3847000000000001E-2</v>
      </c>
      <c r="AE105" s="43">
        <f t="shared" si="15"/>
        <v>6.3847000000000001E-2</v>
      </c>
      <c r="AF105" s="43">
        <f t="shared" si="16"/>
        <v>7.1226399999999995E-2</v>
      </c>
      <c r="AG105" s="43">
        <f t="shared" si="17"/>
        <v>7.4916099999999999E-2</v>
      </c>
      <c r="AI105" s="64">
        <f>SUMIFS('Paths and Tariffs'!Q:Q,'Paths and Tariffs'!E:E,'Costing Detail'!E105,'Paths and Tariffs'!G:G,"GAS",'Paths and Tariffs'!N:N,1,'Paths and Tariffs'!M:M,1)</f>
        <v>4.7912000000000003E-2</v>
      </c>
    </row>
    <row r="106" spans="1:35" hidden="1" x14ac:dyDescent="0.55000000000000004">
      <c r="A106" s="35" t="s">
        <v>2640</v>
      </c>
      <c r="B106" t="s">
        <v>7358</v>
      </c>
      <c r="C106" t="s">
        <v>2662</v>
      </c>
      <c r="D106" t="s">
        <v>7312</v>
      </c>
      <c r="E106" s="35" t="s">
        <v>2663</v>
      </c>
      <c r="F106" t="s">
        <v>2664</v>
      </c>
      <c r="G106" s="36">
        <v>0</v>
      </c>
      <c r="H106" s="36">
        <v>0</v>
      </c>
      <c r="I106" s="36">
        <v>1.15E-2</v>
      </c>
      <c r="J106" s="37">
        <f t="shared" si="9"/>
        <v>1.15E-2</v>
      </c>
      <c r="K106" s="54">
        <v>0.18393200000000001</v>
      </c>
      <c r="L106" s="54">
        <v>2.297E-3</v>
      </c>
      <c r="M106" s="54">
        <v>-0.125</v>
      </c>
      <c r="N106" s="54">
        <v>5.0000000000000001E-3</v>
      </c>
      <c r="O106" s="54">
        <v>1.2500000000000001E-2</v>
      </c>
      <c r="P106" s="54">
        <v>1.4999999999999999E-2</v>
      </c>
      <c r="Q106" s="54">
        <v>0.02</v>
      </c>
      <c r="R106" s="54">
        <v>0</v>
      </c>
      <c r="S106" s="59">
        <f t="shared" si="10"/>
        <v>0.11372900000000001</v>
      </c>
      <c r="T106" s="38">
        <f t="shared" si="11"/>
        <v>0.12522900000000001</v>
      </c>
      <c r="U106" s="39">
        <v>0</v>
      </c>
      <c r="V106" s="39">
        <v>0</v>
      </c>
      <c r="W106" s="39">
        <v>1.15E-2</v>
      </c>
      <c r="X106" s="40">
        <f t="shared" si="12"/>
        <v>1.15E-2</v>
      </c>
      <c r="Y106" s="41">
        <v>5.0436000000000002E-2</v>
      </c>
      <c r="Z106" s="41">
        <v>1.268E-3</v>
      </c>
      <c r="AA106" s="41">
        <v>3.0000000000000001E-3</v>
      </c>
      <c r="AB106" s="41">
        <v>0</v>
      </c>
      <c r="AC106" s="42">
        <f t="shared" si="13"/>
        <v>5.4704000000000003E-2</v>
      </c>
      <c r="AD106" s="38">
        <f t="shared" si="14"/>
        <v>6.6203999999999999E-2</v>
      </c>
      <c r="AE106" s="43">
        <f t="shared" si="15"/>
        <v>6.6203999999999999E-2</v>
      </c>
      <c r="AF106" s="43">
        <f t="shared" si="16"/>
        <v>7.2106500000000004E-2</v>
      </c>
      <c r="AG106" s="43">
        <f t="shared" si="17"/>
        <v>7.5057749999999993E-2</v>
      </c>
      <c r="AI106" s="64">
        <f>SUMIFS('Paths and Tariffs'!Q:Q,'Paths and Tariffs'!E:E,'Costing Detail'!E106,'Paths and Tariffs'!G:G,"GAS",'Paths and Tariffs'!N:N,1,'Paths and Tariffs'!M:M,1)</f>
        <v>5.0436000000000002E-2</v>
      </c>
    </row>
    <row r="107" spans="1:35" hidden="1" x14ac:dyDescent="0.55000000000000004">
      <c r="A107" s="35" t="s">
        <v>2640</v>
      </c>
      <c r="B107" t="s">
        <v>2745</v>
      </c>
      <c r="C107" t="s">
        <v>7356</v>
      </c>
      <c r="D107" t="s">
        <v>7312</v>
      </c>
      <c r="E107" s="35" t="s">
        <v>2746</v>
      </c>
      <c r="F107" t="s">
        <v>2747</v>
      </c>
      <c r="G107" s="36">
        <v>0</v>
      </c>
      <c r="H107" s="36">
        <v>0</v>
      </c>
      <c r="I107" s="36">
        <v>1.15E-2</v>
      </c>
      <c r="J107" s="37">
        <f t="shared" si="9"/>
        <v>1.15E-2</v>
      </c>
      <c r="K107" s="54">
        <v>0</v>
      </c>
      <c r="L107" s="54">
        <v>0</v>
      </c>
      <c r="M107" s="54">
        <v>-0.125</v>
      </c>
      <c r="N107" s="54">
        <v>0</v>
      </c>
      <c r="O107" s="54">
        <v>0</v>
      </c>
      <c r="P107" s="54">
        <v>1.4999999999999999E-2</v>
      </c>
      <c r="Q107" s="54">
        <v>0.02</v>
      </c>
      <c r="R107" s="54">
        <v>0</v>
      </c>
      <c r="S107" s="59">
        <f t="shared" si="10"/>
        <v>-0.09</v>
      </c>
      <c r="T107" s="38">
        <f t="shared" si="11"/>
        <v>-7.85E-2</v>
      </c>
      <c r="U107" s="39">
        <v>0</v>
      </c>
      <c r="V107" s="39">
        <v>0</v>
      </c>
      <c r="W107" s="39">
        <v>1.15E-2</v>
      </c>
      <c r="X107" s="40">
        <f t="shared" si="12"/>
        <v>1.15E-2</v>
      </c>
      <c r="Y107" s="41">
        <v>5.4224000000000001E-2</v>
      </c>
      <c r="Z107" s="41">
        <v>1.3630000000000001E-3</v>
      </c>
      <c r="AA107" s="41">
        <v>3.0000000000000001E-3</v>
      </c>
      <c r="AB107" s="41">
        <v>0</v>
      </c>
      <c r="AC107" s="42">
        <f t="shared" si="13"/>
        <v>5.8587000000000007E-2</v>
      </c>
      <c r="AD107" s="38">
        <f t="shared" si="14"/>
        <v>7.008700000000001E-2</v>
      </c>
      <c r="AE107" s="43">
        <f t="shared" si="15"/>
        <v>7.008700000000001E-2</v>
      </c>
      <c r="AF107" s="43">
        <f t="shared" si="16"/>
        <v>5.5228300000000015E-2</v>
      </c>
      <c r="AG107" s="43">
        <f t="shared" si="17"/>
        <v>4.7798950000000007E-2</v>
      </c>
      <c r="AI107" s="64">
        <f>SUMIFS('Paths and Tariffs'!Q:Q,'Paths and Tariffs'!E:E,'Costing Detail'!E107,'Paths and Tariffs'!G:G,"GAS",'Paths and Tariffs'!N:N,1,'Paths and Tariffs'!M:M,1)</f>
        <v>5.4224000000000001E-2</v>
      </c>
    </row>
    <row r="108" spans="1:35" hidden="1" x14ac:dyDescent="0.55000000000000004">
      <c r="A108" s="35" t="s">
        <v>2640</v>
      </c>
      <c r="B108" t="s">
        <v>2703</v>
      </c>
      <c r="C108" t="s">
        <v>2703</v>
      </c>
      <c r="D108" t="s">
        <v>7312</v>
      </c>
      <c r="E108" s="35" t="s">
        <v>2704</v>
      </c>
      <c r="F108" t="s">
        <v>2705</v>
      </c>
      <c r="G108" s="36">
        <v>0</v>
      </c>
      <c r="H108" s="36">
        <v>0</v>
      </c>
      <c r="I108" s="36">
        <v>1.15E-2</v>
      </c>
      <c r="J108" s="37">
        <f t="shared" si="9"/>
        <v>1.15E-2</v>
      </c>
      <c r="K108" s="54">
        <v>0</v>
      </c>
      <c r="L108" s="54">
        <v>0</v>
      </c>
      <c r="M108" s="54">
        <v>-0.125</v>
      </c>
      <c r="N108" s="54">
        <v>0</v>
      </c>
      <c r="O108" s="54">
        <v>0</v>
      </c>
      <c r="P108" s="54">
        <v>1.4999999999999999E-2</v>
      </c>
      <c r="Q108" s="54">
        <v>0.02</v>
      </c>
      <c r="R108" s="54">
        <v>0</v>
      </c>
      <c r="S108" s="59">
        <f t="shared" si="10"/>
        <v>-0.09</v>
      </c>
      <c r="T108" s="38">
        <f t="shared" si="11"/>
        <v>-7.85E-2</v>
      </c>
      <c r="U108" s="39">
        <v>0</v>
      </c>
      <c r="V108" s="39">
        <v>0</v>
      </c>
      <c r="W108" s="39">
        <v>0</v>
      </c>
      <c r="X108" s="40">
        <f t="shared" si="12"/>
        <v>0</v>
      </c>
      <c r="Y108" s="41">
        <v>4.9931000000000003E-2</v>
      </c>
      <c r="Z108" s="41">
        <v>1.2459999999999999E-3</v>
      </c>
      <c r="AA108" s="41">
        <v>3.0000000000000001E-3</v>
      </c>
      <c r="AB108" s="41">
        <v>0</v>
      </c>
      <c r="AC108" s="42">
        <f t="shared" si="13"/>
        <v>5.4177000000000003E-2</v>
      </c>
      <c r="AD108" s="38">
        <f t="shared" si="14"/>
        <v>5.4177000000000003E-2</v>
      </c>
      <c r="AE108" s="43">
        <f t="shared" si="15"/>
        <v>5.4177000000000003E-2</v>
      </c>
      <c r="AF108" s="43">
        <f t="shared" si="16"/>
        <v>4.0909300000000003E-2</v>
      </c>
      <c r="AG108" s="43">
        <f t="shared" si="17"/>
        <v>3.4275449999999999E-2</v>
      </c>
      <c r="AI108" s="64">
        <f>SUMIFS('Paths and Tariffs'!Q:Q,'Paths and Tariffs'!E:E,'Costing Detail'!E108,'Paths and Tariffs'!G:G,"GAS",'Paths and Tariffs'!N:N,1,'Paths and Tariffs'!M:M,1)</f>
        <v>4.9931000000000003E-2</v>
      </c>
    </row>
    <row r="109" spans="1:35" hidden="1" x14ac:dyDescent="0.55000000000000004">
      <c r="A109" s="35" t="s">
        <v>2640</v>
      </c>
      <c r="B109" t="s">
        <v>2724</v>
      </c>
      <c r="C109" t="s">
        <v>2724</v>
      </c>
      <c r="D109" t="s">
        <v>7312</v>
      </c>
      <c r="E109" s="35" t="s">
        <v>2725</v>
      </c>
      <c r="F109" t="s">
        <v>2726</v>
      </c>
      <c r="G109" s="36">
        <v>0</v>
      </c>
      <c r="H109" s="36">
        <v>0</v>
      </c>
      <c r="I109" s="36">
        <v>1.15E-2</v>
      </c>
      <c r="J109" s="37">
        <f t="shared" si="9"/>
        <v>1.15E-2</v>
      </c>
      <c r="K109" s="54">
        <v>0</v>
      </c>
      <c r="L109" s="54">
        <v>0</v>
      </c>
      <c r="M109" s="54">
        <v>-0.125</v>
      </c>
      <c r="N109" s="54">
        <v>0</v>
      </c>
      <c r="O109" s="54">
        <v>0</v>
      </c>
      <c r="P109" s="54">
        <v>1.4999999999999999E-2</v>
      </c>
      <c r="Q109" s="54">
        <v>0.02</v>
      </c>
      <c r="R109" s="54">
        <v>0</v>
      </c>
      <c r="S109" s="59">
        <f t="shared" si="10"/>
        <v>-0.09</v>
      </c>
      <c r="T109" s="38">
        <f t="shared" si="11"/>
        <v>-7.85E-2</v>
      </c>
      <c r="U109" s="39">
        <v>0</v>
      </c>
      <c r="V109" s="39">
        <v>0</v>
      </c>
      <c r="W109" s="39">
        <v>0</v>
      </c>
      <c r="X109" s="40">
        <f t="shared" si="12"/>
        <v>0</v>
      </c>
      <c r="Y109" s="41">
        <v>6.1383E-2</v>
      </c>
      <c r="Z109" s="41">
        <v>1.286E-3</v>
      </c>
      <c r="AA109" s="41">
        <v>3.0000000000000001E-3</v>
      </c>
      <c r="AB109" s="41">
        <v>0</v>
      </c>
      <c r="AC109" s="42">
        <f t="shared" si="13"/>
        <v>6.5669000000000005E-2</v>
      </c>
      <c r="AD109" s="38">
        <f t="shared" si="14"/>
        <v>6.5669000000000005E-2</v>
      </c>
      <c r="AE109" s="43">
        <f t="shared" si="15"/>
        <v>6.5669000000000005E-2</v>
      </c>
      <c r="AF109" s="43">
        <f t="shared" si="16"/>
        <v>5.1252100000000002E-2</v>
      </c>
      <c r="AG109" s="43">
        <f t="shared" si="17"/>
        <v>4.4043650000000004E-2</v>
      </c>
      <c r="AI109" s="64">
        <f>SUMIFS('Paths and Tariffs'!Q:Q,'Paths and Tariffs'!E:E,'Costing Detail'!E109,'Paths and Tariffs'!G:G,"GAS",'Paths and Tariffs'!N:N,1,'Paths and Tariffs'!M:M,1)</f>
        <v>6.1383E-2</v>
      </c>
    </row>
    <row r="110" spans="1:35" hidden="1" x14ac:dyDescent="0.55000000000000004">
      <c r="A110" s="35" t="s">
        <v>2640</v>
      </c>
      <c r="B110" t="s">
        <v>2762</v>
      </c>
      <c r="C110" t="s">
        <v>7357</v>
      </c>
      <c r="D110" t="s">
        <v>7312</v>
      </c>
      <c r="E110" s="35" t="s">
        <v>2774</v>
      </c>
      <c r="F110" t="s">
        <v>2775</v>
      </c>
      <c r="G110" s="36">
        <v>0</v>
      </c>
      <c r="H110" s="36">
        <v>0</v>
      </c>
      <c r="I110" s="36">
        <v>1.15E-2</v>
      </c>
      <c r="J110" s="37">
        <f t="shared" si="9"/>
        <v>1.15E-2</v>
      </c>
      <c r="K110" s="54">
        <v>0</v>
      </c>
      <c r="L110" s="54">
        <v>0</v>
      </c>
      <c r="M110" s="54">
        <v>-0.125</v>
      </c>
      <c r="N110" s="54">
        <v>0</v>
      </c>
      <c r="O110" s="54">
        <v>0</v>
      </c>
      <c r="P110" s="54">
        <v>1.4999999999999999E-2</v>
      </c>
      <c r="Q110" s="54">
        <v>0.02</v>
      </c>
      <c r="R110" s="54">
        <v>0</v>
      </c>
      <c r="S110" s="59">
        <f t="shared" si="10"/>
        <v>-0.09</v>
      </c>
      <c r="T110" s="38">
        <f t="shared" si="11"/>
        <v>-7.85E-2</v>
      </c>
      <c r="U110" s="39">
        <v>0</v>
      </c>
      <c r="V110" s="39">
        <v>0</v>
      </c>
      <c r="W110" s="39">
        <v>0</v>
      </c>
      <c r="X110" s="40">
        <f t="shared" si="12"/>
        <v>0</v>
      </c>
      <c r="Y110" s="41">
        <v>3.1511999999999998E-2</v>
      </c>
      <c r="Z110" s="41">
        <v>8.8699999999999998E-4</v>
      </c>
      <c r="AA110" s="41">
        <v>3.0000000000000001E-3</v>
      </c>
      <c r="AB110" s="41">
        <v>0</v>
      </c>
      <c r="AC110" s="42">
        <f t="shared" si="13"/>
        <v>3.5399E-2</v>
      </c>
      <c r="AD110" s="38">
        <f t="shared" si="14"/>
        <v>3.5399E-2</v>
      </c>
      <c r="AE110" s="43">
        <f t="shared" si="15"/>
        <v>3.5399E-2</v>
      </c>
      <c r="AF110" s="43">
        <f t="shared" si="16"/>
        <v>2.4009099999999998E-2</v>
      </c>
      <c r="AG110" s="43">
        <f t="shared" si="17"/>
        <v>1.8314150000000001E-2</v>
      </c>
      <c r="AI110" s="64">
        <f>SUMIFS('Paths and Tariffs'!Q:Q,'Paths and Tariffs'!E:E,'Costing Detail'!E110,'Paths and Tariffs'!G:G,"GAS",'Paths and Tariffs'!N:N,1,'Paths and Tariffs'!M:M,1)</f>
        <v>3.1511999999999998E-2</v>
      </c>
    </row>
    <row r="111" spans="1:35" hidden="1" x14ac:dyDescent="0.55000000000000004">
      <c r="A111" s="35" t="s">
        <v>2640</v>
      </c>
      <c r="B111" t="s">
        <v>2681</v>
      </c>
      <c r="C111" t="s">
        <v>2682</v>
      </c>
      <c r="D111" t="s">
        <v>7312</v>
      </c>
      <c r="E111" s="35" t="s">
        <v>2683</v>
      </c>
      <c r="F111" t="s">
        <v>2684</v>
      </c>
      <c r="G111" s="36">
        <v>0</v>
      </c>
      <c r="H111" s="36">
        <v>0</v>
      </c>
      <c r="I111" s="36">
        <v>1.15E-2</v>
      </c>
      <c r="J111" s="37">
        <f t="shared" si="9"/>
        <v>1.15E-2</v>
      </c>
      <c r="K111" s="54">
        <v>0</v>
      </c>
      <c r="L111" s="54">
        <v>0</v>
      </c>
      <c r="M111" s="54">
        <v>-0.125</v>
      </c>
      <c r="N111" s="54">
        <v>0</v>
      </c>
      <c r="O111" s="54">
        <v>0</v>
      </c>
      <c r="P111" s="54">
        <v>1.4999999999999999E-2</v>
      </c>
      <c r="Q111" s="54">
        <v>0.02</v>
      </c>
      <c r="R111" s="54">
        <v>0</v>
      </c>
      <c r="S111" s="59">
        <f t="shared" si="10"/>
        <v>-0.09</v>
      </c>
      <c r="T111" s="38">
        <f t="shared" si="11"/>
        <v>-7.85E-2</v>
      </c>
      <c r="U111" s="39">
        <v>0</v>
      </c>
      <c r="V111" s="39">
        <v>0</v>
      </c>
      <c r="W111" s="39">
        <v>0</v>
      </c>
      <c r="X111" s="40">
        <f t="shared" si="12"/>
        <v>0</v>
      </c>
      <c r="Y111" s="41">
        <v>4.8279000000000002E-2</v>
      </c>
      <c r="Z111" s="41">
        <v>1.0089999999999999E-3</v>
      </c>
      <c r="AA111" s="41">
        <v>3.0000000000000001E-3</v>
      </c>
      <c r="AB111" s="41">
        <v>0</v>
      </c>
      <c r="AC111" s="42">
        <f t="shared" si="13"/>
        <v>5.2288000000000008E-2</v>
      </c>
      <c r="AD111" s="38">
        <f t="shared" si="14"/>
        <v>5.2288000000000008E-2</v>
      </c>
      <c r="AE111" s="43">
        <f t="shared" si="15"/>
        <v>5.2288000000000008E-2</v>
      </c>
      <c r="AF111" s="43">
        <f t="shared" si="16"/>
        <v>3.9209200000000007E-2</v>
      </c>
      <c r="AG111" s="43">
        <f t="shared" si="17"/>
        <v>3.2669800000000006E-2</v>
      </c>
      <c r="AI111" s="64">
        <f>SUMIFS('Paths and Tariffs'!Q:Q,'Paths and Tariffs'!E:E,'Costing Detail'!E111,'Paths and Tariffs'!G:G,"GAS",'Paths and Tariffs'!N:N,1,'Paths and Tariffs'!M:M,1)</f>
        <v>4.8279000000000002E-2</v>
      </c>
    </row>
    <row r="112" spans="1:35" hidden="1" x14ac:dyDescent="0.55000000000000004">
      <c r="A112" s="35" t="s">
        <v>2640</v>
      </c>
      <c r="B112" t="s">
        <v>2798</v>
      </c>
      <c r="C112" t="s">
        <v>2799</v>
      </c>
      <c r="D112" t="s">
        <v>7312</v>
      </c>
      <c r="E112" s="35" t="s">
        <v>2800</v>
      </c>
      <c r="F112" t="s">
        <v>2801</v>
      </c>
      <c r="G112" s="36">
        <v>0</v>
      </c>
      <c r="H112" s="36">
        <v>0</v>
      </c>
      <c r="I112" s="36">
        <v>1.15E-2</v>
      </c>
      <c r="J112" s="37">
        <f t="shared" si="9"/>
        <v>1.15E-2</v>
      </c>
      <c r="K112" s="54">
        <v>0</v>
      </c>
      <c r="L112" s="54">
        <v>0</v>
      </c>
      <c r="M112" s="54">
        <v>-0.125</v>
      </c>
      <c r="N112" s="54">
        <v>0</v>
      </c>
      <c r="O112" s="54">
        <v>0</v>
      </c>
      <c r="P112" s="54">
        <v>1.4999999999999999E-2</v>
      </c>
      <c r="Q112" s="54">
        <v>0.02</v>
      </c>
      <c r="R112" s="54">
        <v>0</v>
      </c>
      <c r="S112" s="59">
        <f t="shared" si="10"/>
        <v>-0.09</v>
      </c>
      <c r="T112" s="38">
        <f t="shared" si="11"/>
        <v>-7.85E-2</v>
      </c>
      <c r="U112" s="39">
        <v>0</v>
      </c>
      <c r="V112" s="39">
        <v>0</v>
      </c>
      <c r="W112" s="39">
        <v>1.15E-2</v>
      </c>
      <c r="X112" s="40">
        <f t="shared" si="12"/>
        <v>1.15E-2</v>
      </c>
      <c r="Y112" s="41">
        <v>8.1331000000000001E-2</v>
      </c>
      <c r="Z112" s="41">
        <v>1.7110000000000001E-3</v>
      </c>
      <c r="AA112" s="41">
        <v>3.0000000000000001E-3</v>
      </c>
      <c r="AB112" s="41">
        <v>0</v>
      </c>
      <c r="AC112" s="42">
        <f t="shared" si="13"/>
        <v>8.6042000000000007E-2</v>
      </c>
      <c r="AD112" s="38">
        <f t="shared" si="14"/>
        <v>9.7542000000000004E-2</v>
      </c>
      <c r="AE112" s="43">
        <f t="shared" si="15"/>
        <v>9.7542000000000004E-2</v>
      </c>
      <c r="AF112" s="43">
        <f t="shared" si="16"/>
        <v>7.9937800000000003E-2</v>
      </c>
      <c r="AG112" s="43">
        <f t="shared" si="17"/>
        <v>7.113570000000001E-2</v>
      </c>
      <c r="AI112" s="64">
        <f>SUMIFS('Paths and Tariffs'!Q:Q,'Paths and Tariffs'!E:E,'Costing Detail'!E112,'Paths and Tariffs'!G:G,"GAS",'Paths and Tariffs'!N:N,1,'Paths and Tariffs'!M:M,1)</f>
        <v>8.1331000000000001E-2</v>
      </c>
    </row>
    <row r="113" spans="1:35" hidden="1" x14ac:dyDescent="0.55000000000000004">
      <c r="A113" s="35" t="s">
        <v>2640</v>
      </c>
      <c r="B113" t="s">
        <v>2817</v>
      </c>
      <c r="C113" t="s">
        <v>2662</v>
      </c>
      <c r="D113" t="s">
        <v>7312</v>
      </c>
      <c r="E113" s="35" t="s">
        <v>2818</v>
      </c>
      <c r="F113" t="s">
        <v>2819</v>
      </c>
      <c r="G113" s="36">
        <v>0</v>
      </c>
      <c r="H113" s="36">
        <v>0</v>
      </c>
      <c r="I113" s="36">
        <v>1.15E-2</v>
      </c>
      <c r="J113" s="37">
        <f t="shared" si="9"/>
        <v>1.15E-2</v>
      </c>
      <c r="K113" s="54">
        <v>0.18371699999999999</v>
      </c>
      <c r="L113" s="54">
        <v>2.2859999999999998E-3</v>
      </c>
      <c r="M113" s="54">
        <v>-0.125</v>
      </c>
      <c r="N113" s="54">
        <v>5.0000000000000001E-3</v>
      </c>
      <c r="O113" s="54">
        <v>1.2500000000000001E-2</v>
      </c>
      <c r="P113" s="54">
        <v>1.4999999999999999E-2</v>
      </c>
      <c r="Q113" s="54">
        <v>0.02</v>
      </c>
      <c r="R113" s="54">
        <v>0</v>
      </c>
      <c r="S113" s="59">
        <f t="shared" si="10"/>
        <v>0.11350300000000001</v>
      </c>
      <c r="T113" s="38">
        <f t="shared" si="11"/>
        <v>0.125003</v>
      </c>
      <c r="U113" s="39">
        <v>0</v>
      </c>
      <c r="V113" s="39">
        <v>0</v>
      </c>
      <c r="W113" s="39">
        <v>1.15E-2</v>
      </c>
      <c r="X113" s="40">
        <f t="shared" si="12"/>
        <v>1.15E-2</v>
      </c>
      <c r="Y113" s="41">
        <v>5.0436000000000002E-2</v>
      </c>
      <c r="Z113" s="41">
        <v>1.2539999999999999E-3</v>
      </c>
      <c r="AA113" s="41">
        <v>3.0000000000000001E-3</v>
      </c>
      <c r="AB113" s="41">
        <v>0</v>
      </c>
      <c r="AC113" s="42">
        <f t="shared" si="13"/>
        <v>5.4690000000000003E-2</v>
      </c>
      <c r="AD113" s="38">
        <f t="shared" si="14"/>
        <v>6.6189999999999999E-2</v>
      </c>
      <c r="AE113" s="43">
        <f t="shared" si="15"/>
        <v>6.6189999999999999E-2</v>
      </c>
      <c r="AF113" s="43">
        <f t="shared" si="16"/>
        <v>7.2071300000000005E-2</v>
      </c>
      <c r="AG113" s="43">
        <f t="shared" si="17"/>
        <v>7.5011949999999994E-2</v>
      </c>
      <c r="AI113" s="64">
        <f>SUMIFS('Paths and Tariffs'!Q:Q,'Paths and Tariffs'!E:E,'Costing Detail'!E113,'Paths and Tariffs'!G:G,"GAS",'Paths and Tariffs'!N:N,1,'Paths and Tariffs'!M:M,1)</f>
        <v>5.0436000000000002E-2</v>
      </c>
    </row>
    <row r="114" spans="1:35" hidden="1" x14ac:dyDescent="0.55000000000000004">
      <c r="A114" s="35" t="s">
        <v>2836</v>
      </c>
      <c r="B114" t="s">
        <v>7359</v>
      </c>
      <c r="C114" t="s">
        <v>2837</v>
      </c>
      <c r="D114" t="s">
        <v>7312</v>
      </c>
      <c r="E114" s="35" t="s">
        <v>2843</v>
      </c>
      <c r="F114" t="s">
        <v>2844</v>
      </c>
      <c r="G114" s="36">
        <v>0</v>
      </c>
      <c r="H114" s="36">
        <v>0</v>
      </c>
      <c r="I114" s="36">
        <v>1.15E-2</v>
      </c>
      <c r="J114" s="37">
        <f t="shared" si="9"/>
        <v>1.15E-2</v>
      </c>
      <c r="K114" s="54">
        <v>0.18404699999999999</v>
      </c>
      <c r="L114" s="54">
        <v>2.3029999999999999E-3</v>
      </c>
      <c r="M114" s="54">
        <v>-0.125</v>
      </c>
      <c r="N114" s="54">
        <v>5.0000000000000001E-3</v>
      </c>
      <c r="O114" s="54">
        <v>1.2500000000000001E-2</v>
      </c>
      <c r="P114" s="54">
        <v>1.4999999999999999E-2</v>
      </c>
      <c r="Q114" s="54">
        <v>0.02</v>
      </c>
      <c r="R114" s="54">
        <v>0</v>
      </c>
      <c r="S114" s="59">
        <f t="shared" si="10"/>
        <v>0.11384999999999999</v>
      </c>
      <c r="T114" s="38">
        <f t="shared" si="11"/>
        <v>0.12534999999999999</v>
      </c>
      <c r="U114" s="39">
        <v>0</v>
      </c>
      <c r="V114" s="39">
        <v>0</v>
      </c>
      <c r="W114" s="39">
        <v>1.15E-2</v>
      </c>
      <c r="X114" s="40">
        <f t="shared" si="12"/>
        <v>1.15E-2</v>
      </c>
      <c r="Y114" s="41">
        <v>9.3816999999999998E-2</v>
      </c>
      <c r="Z114" s="41">
        <v>2.784E-3</v>
      </c>
      <c r="AA114" s="41">
        <v>3.0000000000000001E-3</v>
      </c>
      <c r="AB114" s="41">
        <v>0</v>
      </c>
      <c r="AC114" s="42">
        <f t="shared" si="13"/>
        <v>9.9600999999999995E-2</v>
      </c>
      <c r="AD114" s="38">
        <f t="shared" si="14"/>
        <v>0.11110099999999999</v>
      </c>
      <c r="AE114" s="43">
        <f t="shared" si="15"/>
        <v>0.11110099999999999</v>
      </c>
      <c r="AF114" s="43">
        <f t="shared" si="16"/>
        <v>0.1125259</v>
      </c>
      <c r="AG114" s="43">
        <f t="shared" si="17"/>
        <v>0.11323834999999999</v>
      </c>
      <c r="AI114" s="64">
        <f>SUMIFS('Paths and Tariffs'!Q:Q,'Paths and Tariffs'!E:E,'Costing Detail'!E114,'Paths and Tariffs'!G:G,"GAS",'Paths and Tariffs'!N:N,1,'Paths and Tariffs'!M:M,1)</f>
        <v>9.3816999999999998E-2</v>
      </c>
    </row>
    <row r="115" spans="1:35" x14ac:dyDescent="0.55000000000000004">
      <c r="A115" s="35" t="s">
        <v>2836</v>
      </c>
      <c r="B115" t="s">
        <v>2855</v>
      </c>
      <c r="C115" t="s">
        <v>2855</v>
      </c>
      <c r="D115" t="s">
        <v>7312</v>
      </c>
      <c r="E115" s="35" t="s">
        <v>2856</v>
      </c>
      <c r="F115" t="s">
        <v>2857</v>
      </c>
      <c r="G115" s="36">
        <v>0</v>
      </c>
      <c r="H115" s="36">
        <v>0</v>
      </c>
      <c r="I115" s="36">
        <v>1.15E-2</v>
      </c>
      <c r="J115" s="37">
        <f t="shared" si="9"/>
        <v>1.15E-2</v>
      </c>
      <c r="K115" s="54">
        <v>0.18220500000000001</v>
      </c>
      <c r="L115" s="54">
        <v>2.2039999999999998E-3</v>
      </c>
      <c r="M115" s="54">
        <v>-0.125</v>
      </c>
      <c r="N115" s="54">
        <v>5.0000000000000001E-3</v>
      </c>
      <c r="O115" s="54">
        <v>1.2500000000000001E-2</v>
      </c>
      <c r="P115" s="54">
        <v>1.4999999999999999E-2</v>
      </c>
      <c r="Q115" s="54">
        <v>0.02</v>
      </c>
      <c r="R115" s="54">
        <v>0</v>
      </c>
      <c r="S115" s="59">
        <f t="shared" si="10"/>
        <v>0.11190900000000002</v>
      </c>
      <c r="T115" s="38">
        <f t="shared" si="11"/>
        <v>0.12340900000000002</v>
      </c>
      <c r="U115" s="39">
        <v>0</v>
      </c>
      <c r="V115" s="39">
        <v>0</v>
      </c>
      <c r="W115" s="39">
        <v>0</v>
      </c>
      <c r="X115" s="40">
        <f t="shared" si="12"/>
        <v>0</v>
      </c>
      <c r="Y115" s="41">
        <v>0.22069800000000001</v>
      </c>
      <c r="Z115" s="41">
        <v>3.2529999999999998E-3</v>
      </c>
      <c r="AA115" s="41">
        <v>3.0000000000000001E-3</v>
      </c>
      <c r="AB115" s="41">
        <v>0</v>
      </c>
      <c r="AC115" s="42">
        <f t="shared" si="13"/>
        <v>0.22695100000000001</v>
      </c>
      <c r="AD115" s="38">
        <f t="shared" si="14"/>
        <v>0.22695100000000001</v>
      </c>
      <c r="AE115" s="43">
        <f t="shared" si="15"/>
        <v>0.22695100000000001</v>
      </c>
      <c r="AF115" s="43">
        <f t="shared" si="16"/>
        <v>0.21659680000000003</v>
      </c>
      <c r="AG115" s="43">
        <f t="shared" si="17"/>
        <v>0.21141970000000002</v>
      </c>
      <c r="AI115" s="64">
        <f>SUMIFS('Paths and Tariffs'!Q:Q,'Paths and Tariffs'!E:E,'Costing Detail'!E115,'Paths and Tariffs'!G:G,"GAS",'Paths and Tariffs'!N:N,1,'Paths and Tariffs'!M:M,1)</f>
        <v>0.16427599999999998</v>
      </c>
    </row>
    <row r="116" spans="1:35" hidden="1" x14ac:dyDescent="0.55000000000000004">
      <c r="A116" s="35" t="s">
        <v>2836</v>
      </c>
      <c r="B116" t="s">
        <v>2864</v>
      </c>
      <c r="C116" t="s">
        <v>2864</v>
      </c>
      <c r="D116" t="s">
        <v>7312</v>
      </c>
      <c r="E116" s="35" t="s">
        <v>2865</v>
      </c>
      <c r="F116" t="s">
        <v>2866</v>
      </c>
      <c r="G116" s="36">
        <v>0</v>
      </c>
      <c r="H116" s="36">
        <v>0</v>
      </c>
      <c r="I116" s="36">
        <v>1.15E-2</v>
      </c>
      <c r="J116" s="37">
        <f t="shared" si="9"/>
        <v>1.15E-2</v>
      </c>
      <c r="K116" s="54">
        <v>0.18160000000000001</v>
      </c>
      <c r="L116" s="54">
        <v>2.114E-3</v>
      </c>
      <c r="M116" s="54">
        <v>-5.5E-2</v>
      </c>
      <c r="N116" s="54">
        <v>0</v>
      </c>
      <c r="O116" s="54">
        <v>0</v>
      </c>
      <c r="P116" s="54">
        <v>1.4999999999999999E-2</v>
      </c>
      <c r="Q116" s="54">
        <v>0.02</v>
      </c>
      <c r="R116" s="54">
        <v>0</v>
      </c>
      <c r="S116" s="59">
        <f t="shared" si="10"/>
        <v>0.163714</v>
      </c>
      <c r="T116" s="38">
        <f t="shared" si="11"/>
        <v>0.17521400000000001</v>
      </c>
      <c r="U116" s="39">
        <v>0</v>
      </c>
      <c r="V116" s="39">
        <v>0</v>
      </c>
      <c r="W116" s="39">
        <v>0</v>
      </c>
      <c r="X116" s="40">
        <f t="shared" si="12"/>
        <v>0</v>
      </c>
      <c r="Y116" s="41">
        <v>0.19012400000000002</v>
      </c>
      <c r="Z116" s="41">
        <v>3.6900000000000001E-3</v>
      </c>
      <c r="AA116" s="41">
        <v>3.0000000000000001E-3</v>
      </c>
      <c r="AB116" s="41">
        <v>0</v>
      </c>
      <c r="AC116" s="42">
        <f t="shared" si="13"/>
        <v>0.19681400000000002</v>
      </c>
      <c r="AD116" s="38">
        <f t="shared" si="14"/>
        <v>0.19681400000000002</v>
      </c>
      <c r="AE116" s="43">
        <f t="shared" si="15"/>
        <v>0.19681400000000002</v>
      </c>
      <c r="AF116" s="43">
        <f t="shared" si="16"/>
        <v>0.19465400000000002</v>
      </c>
      <c r="AG116" s="43">
        <f t="shared" si="17"/>
        <v>0.19357400000000002</v>
      </c>
      <c r="AI116" s="64">
        <f>SUMIFS('Paths and Tariffs'!Q:Q,'Paths and Tariffs'!E:E,'Costing Detail'!E116,'Paths and Tariffs'!G:G,"GAS",'Paths and Tariffs'!N:N,1,'Paths and Tariffs'!M:M,1)</f>
        <v>0.19012400000000002</v>
      </c>
    </row>
    <row r="117" spans="1:35" hidden="1" x14ac:dyDescent="0.55000000000000004">
      <c r="A117" s="35" t="s">
        <v>2836</v>
      </c>
      <c r="B117" t="s">
        <v>2879</v>
      </c>
      <c r="C117" t="s">
        <v>2879</v>
      </c>
      <c r="D117" t="s">
        <v>7312</v>
      </c>
      <c r="E117" s="35" t="s">
        <v>2880</v>
      </c>
      <c r="F117" t="s">
        <v>2881</v>
      </c>
      <c r="G117" s="36">
        <v>0</v>
      </c>
      <c r="H117" s="36">
        <v>0</v>
      </c>
      <c r="I117" s="36">
        <v>1.15E-2</v>
      </c>
      <c r="J117" s="37">
        <f t="shared" si="9"/>
        <v>1.15E-2</v>
      </c>
      <c r="K117" s="54">
        <v>0.181838</v>
      </c>
      <c r="L117" s="54">
        <v>2.1229999999999999E-3</v>
      </c>
      <c r="M117" s="54">
        <v>-5.5E-2</v>
      </c>
      <c r="N117" s="54">
        <v>0</v>
      </c>
      <c r="O117" s="54">
        <v>0</v>
      </c>
      <c r="P117" s="54">
        <v>1.4999999999999999E-2</v>
      </c>
      <c r="Q117" s="54">
        <v>0.02</v>
      </c>
      <c r="R117" s="54">
        <v>0</v>
      </c>
      <c r="S117" s="59">
        <f t="shared" si="10"/>
        <v>0.163961</v>
      </c>
      <c r="T117" s="38">
        <f t="shared" si="11"/>
        <v>0.17546100000000001</v>
      </c>
      <c r="U117" s="39">
        <v>0</v>
      </c>
      <c r="V117" s="39">
        <v>0</v>
      </c>
      <c r="W117" s="39">
        <v>1.15E-2</v>
      </c>
      <c r="X117" s="40">
        <f t="shared" si="12"/>
        <v>1.15E-2</v>
      </c>
      <c r="Y117" s="41">
        <v>8.8954000000000005E-2</v>
      </c>
      <c r="Z117" s="41">
        <v>2.4269999999999999E-3</v>
      </c>
      <c r="AA117" s="41">
        <v>3.0000000000000001E-3</v>
      </c>
      <c r="AB117" s="41">
        <v>0</v>
      </c>
      <c r="AC117" s="42">
        <f t="shared" si="13"/>
        <v>9.4381000000000007E-2</v>
      </c>
      <c r="AD117" s="38">
        <f t="shared" si="14"/>
        <v>0.105881</v>
      </c>
      <c r="AE117" s="43">
        <f t="shared" si="15"/>
        <v>0.105881</v>
      </c>
      <c r="AF117" s="43">
        <f t="shared" si="16"/>
        <v>0.11283899999999999</v>
      </c>
      <c r="AG117" s="43">
        <f t="shared" si="17"/>
        <v>0.116318</v>
      </c>
      <c r="AI117" s="64">
        <f>SUMIFS('Paths and Tariffs'!Q:Q,'Paths and Tariffs'!E:E,'Costing Detail'!E117,'Paths and Tariffs'!G:G,"GAS",'Paths and Tariffs'!N:N,1,'Paths and Tariffs'!M:M,1)</f>
        <v>8.8954000000000005E-2</v>
      </c>
    </row>
    <row r="118" spans="1:35" hidden="1" x14ac:dyDescent="0.55000000000000004">
      <c r="A118" s="35" t="s">
        <v>2836</v>
      </c>
      <c r="B118" t="s">
        <v>2901</v>
      </c>
      <c r="C118" t="s">
        <v>2901</v>
      </c>
      <c r="D118" t="s">
        <v>7312</v>
      </c>
      <c r="E118" s="35" t="s">
        <v>2902</v>
      </c>
      <c r="F118" t="s">
        <v>2903</v>
      </c>
      <c r="G118" s="36">
        <v>0</v>
      </c>
      <c r="H118" s="36">
        <v>0</v>
      </c>
      <c r="I118" s="36">
        <v>1.15E-2</v>
      </c>
      <c r="J118" s="37">
        <f t="shared" si="9"/>
        <v>1.15E-2</v>
      </c>
      <c r="K118" s="54">
        <v>0.181612</v>
      </c>
      <c r="L118" s="54">
        <v>2.173E-3</v>
      </c>
      <c r="M118" s="54">
        <v>-0.125</v>
      </c>
      <c r="N118" s="54">
        <v>5.0000000000000001E-3</v>
      </c>
      <c r="O118" s="54">
        <v>1.2500000000000001E-2</v>
      </c>
      <c r="P118" s="54">
        <v>1.4999999999999999E-2</v>
      </c>
      <c r="Q118" s="54">
        <v>0.02</v>
      </c>
      <c r="R118" s="54">
        <v>0</v>
      </c>
      <c r="S118" s="59">
        <f t="shared" si="10"/>
        <v>0.11128500000000001</v>
      </c>
      <c r="T118" s="38">
        <f t="shared" si="11"/>
        <v>0.12278500000000001</v>
      </c>
      <c r="U118" s="39">
        <v>0</v>
      </c>
      <c r="V118" s="39">
        <v>0</v>
      </c>
      <c r="W118" s="39">
        <v>0</v>
      </c>
      <c r="X118" s="40">
        <f t="shared" si="12"/>
        <v>0</v>
      </c>
      <c r="Y118" s="41">
        <v>0.19012400000000002</v>
      </c>
      <c r="Z118" s="41">
        <v>3.9249999999999997E-3</v>
      </c>
      <c r="AA118" s="41">
        <v>3.0000000000000001E-3</v>
      </c>
      <c r="AB118" s="41">
        <v>0</v>
      </c>
      <c r="AC118" s="42">
        <f t="shared" si="13"/>
        <v>0.19704900000000003</v>
      </c>
      <c r="AD118" s="38">
        <f t="shared" si="14"/>
        <v>0.19704900000000003</v>
      </c>
      <c r="AE118" s="43">
        <f t="shared" si="15"/>
        <v>0.19704900000000003</v>
      </c>
      <c r="AF118" s="43">
        <f t="shared" si="16"/>
        <v>0.18962260000000003</v>
      </c>
      <c r="AG118" s="43">
        <f t="shared" si="17"/>
        <v>0.18590940000000003</v>
      </c>
      <c r="AI118" s="64">
        <f>SUMIFS('Paths and Tariffs'!Q:Q,'Paths and Tariffs'!E:E,'Costing Detail'!E118,'Paths and Tariffs'!G:G,"GAS",'Paths and Tariffs'!N:N,1,'Paths and Tariffs'!M:M,1)</f>
        <v>0.19012400000000002</v>
      </c>
    </row>
    <row r="119" spans="1:35" hidden="1" x14ac:dyDescent="0.55000000000000004">
      <c r="A119" s="35" t="s">
        <v>2836</v>
      </c>
      <c r="B119" t="s">
        <v>2889</v>
      </c>
      <c r="C119" t="s">
        <v>2889</v>
      </c>
      <c r="D119" t="s">
        <v>7312</v>
      </c>
      <c r="E119" s="35" t="s">
        <v>2899</v>
      </c>
      <c r="F119" t="s">
        <v>2900</v>
      </c>
      <c r="G119" s="36">
        <v>0</v>
      </c>
      <c r="H119" s="36">
        <v>0</v>
      </c>
      <c r="I119" s="36">
        <v>1.15E-2</v>
      </c>
      <c r="J119" s="37">
        <f t="shared" si="9"/>
        <v>1.15E-2</v>
      </c>
      <c r="K119" s="54">
        <v>0.18238299999999999</v>
      </c>
      <c r="L119" s="54">
        <v>2.2139999999999998E-3</v>
      </c>
      <c r="M119" s="54">
        <v>-0.125</v>
      </c>
      <c r="N119" s="54">
        <v>5.0000000000000001E-3</v>
      </c>
      <c r="O119" s="54">
        <v>1.2500000000000001E-2</v>
      </c>
      <c r="P119" s="54">
        <v>1.4999999999999999E-2</v>
      </c>
      <c r="Q119" s="54">
        <v>0.02</v>
      </c>
      <c r="R119" s="54">
        <v>0</v>
      </c>
      <c r="S119" s="59">
        <f t="shared" si="10"/>
        <v>0.11209699999999999</v>
      </c>
      <c r="T119" s="38">
        <f t="shared" si="11"/>
        <v>0.12359699999999998</v>
      </c>
      <c r="U119" s="39">
        <v>0</v>
      </c>
      <c r="V119" s="39">
        <v>0</v>
      </c>
      <c r="W119" s="39">
        <v>1.15E-2</v>
      </c>
      <c r="X119" s="40">
        <f t="shared" si="12"/>
        <v>1.15E-2</v>
      </c>
      <c r="Y119" s="41">
        <v>0.15584799999999999</v>
      </c>
      <c r="Z119" s="41">
        <v>3.3430000000000001E-3</v>
      </c>
      <c r="AA119" s="41">
        <v>3.0000000000000001E-3</v>
      </c>
      <c r="AB119" s="41">
        <v>0</v>
      </c>
      <c r="AC119" s="42">
        <f t="shared" si="13"/>
        <v>0.162191</v>
      </c>
      <c r="AD119" s="38">
        <f t="shared" si="14"/>
        <v>0.17369100000000001</v>
      </c>
      <c r="AE119" s="43">
        <f t="shared" si="15"/>
        <v>0.17369100000000001</v>
      </c>
      <c r="AF119" s="43">
        <f t="shared" si="16"/>
        <v>0.16868160000000001</v>
      </c>
      <c r="AG119" s="43">
        <f t="shared" si="17"/>
        <v>0.16617689999999999</v>
      </c>
      <c r="AI119" s="64">
        <f>SUMIFS('Paths and Tariffs'!Q:Q,'Paths and Tariffs'!E:E,'Costing Detail'!E119,'Paths and Tariffs'!G:G,"GAS",'Paths and Tariffs'!N:N,1,'Paths and Tariffs'!M:M,1)</f>
        <v>0.15584799999999999</v>
      </c>
    </row>
    <row r="120" spans="1:35" hidden="1" x14ac:dyDescent="0.55000000000000004">
      <c r="A120" s="35" t="s">
        <v>2836</v>
      </c>
      <c r="B120" t="s">
        <v>2890</v>
      </c>
      <c r="C120" t="s">
        <v>2890</v>
      </c>
      <c r="D120" t="s">
        <v>7312</v>
      </c>
      <c r="E120" s="35" t="s">
        <v>2939</v>
      </c>
      <c r="F120" t="s">
        <v>2940</v>
      </c>
      <c r="G120" s="36">
        <v>0</v>
      </c>
      <c r="H120" s="36">
        <v>0</v>
      </c>
      <c r="I120" s="36">
        <v>1.15E-2</v>
      </c>
      <c r="J120" s="37">
        <f t="shared" si="9"/>
        <v>1.15E-2</v>
      </c>
      <c r="K120" s="54">
        <v>0.18243500000000001</v>
      </c>
      <c r="L120" s="54">
        <v>2.2169999999999998E-3</v>
      </c>
      <c r="M120" s="54">
        <v>-0.125</v>
      </c>
      <c r="N120" s="54">
        <v>5.0000000000000001E-3</v>
      </c>
      <c r="O120" s="54">
        <v>1.2500000000000001E-2</v>
      </c>
      <c r="P120" s="54">
        <v>1.4999999999999999E-2</v>
      </c>
      <c r="Q120" s="54">
        <v>0.02</v>
      </c>
      <c r="R120" s="54">
        <v>0</v>
      </c>
      <c r="S120" s="59">
        <f t="shared" si="10"/>
        <v>0.11215200000000002</v>
      </c>
      <c r="T120" s="38">
        <f t="shared" si="11"/>
        <v>0.12365200000000001</v>
      </c>
      <c r="U120" s="39">
        <v>0</v>
      </c>
      <c r="V120" s="39">
        <v>0</v>
      </c>
      <c r="W120" s="39">
        <v>0</v>
      </c>
      <c r="X120" s="40">
        <f t="shared" si="12"/>
        <v>0</v>
      </c>
      <c r="Y120" s="41">
        <v>0.16464999999999999</v>
      </c>
      <c r="Z120" s="41">
        <v>3.4009999999999999E-3</v>
      </c>
      <c r="AA120" s="41">
        <v>3.0000000000000001E-3</v>
      </c>
      <c r="AB120" s="41">
        <v>0</v>
      </c>
      <c r="AC120" s="42">
        <f t="shared" si="13"/>
        <v>0.17105099999999998</v>
      </c>
      <c r="AD120" s="38">
        <f t="shared" si="14"/>
        <v>0.17105099999999998</v>
      </c>
      <c r="AE120" s="43">
        <f t="shared" si="15"/>
        <v>0.17105099999999998</v>
      </c>
      <c r="AF120" s="43">
        <f t="shared" si="16"/>
        <v>0.16631109999999999</v>
      </c>
      <c r="AG120" s="43">
        <f t="shared" si="17"/>
        <v>0.16394114999999998</v>
      </c>
      <c r="AI120" s="64">
        <f>SUMIFS('Paths and Tariffs'!Q:Q,'Paths and Tariffs'!E:E,'Costing Detail'!E120,'Paths and Tariffs'!G:G,"GAS",'Paths and Tariffs'!N:N,1,'Paths and Tariffs'!M:M,1)</f>
        <v>0.16464999999999999</v>
      </c>
    </row>
    <row r="121" spans="1:35" hidden="1" x14ac:dyDescent="0.55000000000000004">
      <c r="A121" s="35" t="s">
        <v>2836</v>
      </c>
      <c r="B121" t="s">
        <v>2921</v>
      </c>
      <c r="C121" t="s">
        <v>2921</v>
      </c>
      <c r="D121" t="s">
        <v>7312</v>
      </c>
      <c r="E121" s="35" t="s">
        <v>2932</v>
      </c>
      <c r="F121" t="s">
        <v>2933</v>
      </c>
      <c r="G121" s="36">
        <v>0</v>
      </c>
      <c r="H121" s="36">
        <v>0</v>
      </c>
      <c r="I121" s="36">
        <v>1.15E-2</v>
      </c>
      <c r="J121" s="37">
        <f t="shared" si="9"/>
        <v>1.15E-2</v>
      </c>
      <c r="K121" s="54">
        <v>0.188167</v>
      </c>
      <c r="L121" s="54">
        <v>2.2390000000000001E-3</v>
      </c>
      <c r="M121" s="54">
        <v>-0.125</v>
      </c>
      <c r="N121" s="54">
        <v>5.0000000000000001E-3</v>
      </c>
      <c r="O121" s="54">
        <v>1.2500000000000001E-2</v>
      </c>
      <c r="P121" s="54">
        <v>1.4999999999999999E-2</v>
      </c>
      <c r="Q121" s="54">
        <v>0.02</v>
      </c>
      <c r="R121" s="54">
        <v>0</v>
      </c>
      <c r="S121" s="59">
        <f t="shared" si="10"/>
        <v>0.117906</v>
      </c>
      <c r="T121" s="38">
        <f t="shared" si="11"/>
        <v>0.12940599999999999</v>
      </c>
      <c r="U121" s="39">
        <v>0</v>
      </c>
      <c r="V121" s="39">
        <v>0</v>
      </c>
      <c r="W121" s="39">
        <v>1.15E-2</v>
      </c>
      <c r="X121" s="40">
        <f t="shared" si="12"/>
        <v>1.15E-2</v>
      </c>
      <c r="Y121" s="41">
        <v>1.4182999999999999E-2</v>
      </c>
      <c r="Z121" s="41">
        <v>8.1700000000000002E-4</v>
      </c>
      <c r="AA121" s="41">
        <v>3.0000000000000001E-3</v>
      </c>
      <c r="AB121" s="41">
        <v>0</v>
      </c>
      <c r="AC121" s="42">
        <f t="shared" si="13"/>
        <v>1.7999999999999999E-2</v>
      </c>
      <c r="AD121" s="38">
        <f t="shared" si="14"/>
        <v>2.9499999999999998E-2</v>
      </c>
      <c r="AE121" s="43">
        <f t="shared" si="15"/>
        <v>2.9499999999999998E-2</v>
      </c>
      <c r="AF121" s="43">
        <f t="shared" si="16"/>
        <v>3.9490600000000001E-2</v>
      </c>
      <c r="AG121" s="43">
        <f t="shared" si="17"/>
        <v>4.4485899999999995E-2</v>
      </c>
      <c r="AI121" s="64">
        <f>SUMIFS('Paths and Tariffs'!Q:Q,'Paths and Tariffs'!E:E,'Costing Detail'!E121,'Paths and Tariffs'!G:G,"GAS",'Paths and Tariffs'!N:N,1,'Paths and Tariffs'!M:M,1)</f>
        <v>1.4182999999999999E-2</v>
      </c>
    </row>
    <row r="122" spans="1:35" hidden="1" x14ac:dyDescent="0.55000000000000004">
      <c r="A122" s="35" t="s">
        <v>2963</v>
      </c>
      <c r="B122" t="s">
        <v>2970</v>
      </c>
      <c r="C122" t="s">
        <v>2970</v>
      </c>
      <c r="D122" t="s">
        <v>7314</v>
      </c>
      <c r="E122" s="35" t="s">
        <v>2984</v>
      </c>
      <c r="F122" t="s">
        <v>2985</v>
      </c>
      <c r="G122" s="36">
        <v>0</v>
      </c>
      <c r="H122" s="36">
        <v>0</v>
      </c>
      <c r="I122" s="36">
        <v>1.15E-2</v>
      </c>
      <c r="J122" s="37">
        <f t="shared" si="9"/>
        <v>1.15E-2</v>
      </c>
      <c r="K122" s="54">
        <v>0.189667</v>
      </c>
      <c r="L122" s="54">
        <v>2.3999999999999998E-3</v>
      </c>
      <c r="M122" s="54">
        <v>-5.5E-2</v>
      </c>
      <c r="N122" s="54">
        <v>5.0000000000000001E-3</v>
      </c>
      <c r="O122" s="54">
        <v>1.2500000000000001E-2</v>
      </c>
      <c r="P122" s="54">
        <v>1.4999999999999999E-2</v>
      </c>
      <c r="Q122" s="54">
        <v>0.02</v>
      </c>
      <c r="R122" s="54">
        <v>0</v>
      </c>
      <c r="S122" s="59">
        <f t="shared" si="10"/>
        <v>0.18956700000000001</v>
      </c>
      <c r="T122" s="38">
        <f t="shared" si="11"/>
        <v>0.20106700000000002</v>
      </c>
      <c r="U122" s="39">
        <v>0</v>
      </c>
      <c r="V122" s="39">
        <v>0</v>
      </c>
      <c r="W122" s="39">
        <v>1.15E-2</v>
      </c>
      <c r="X122" s="40">
        <f t="shared" si="12"/>
        <v>1.15E-2</v>
      </c>
      <c r="Y122" s="41">
        <v>2.9499999999999998E-2</v>
      </c>
      <c r="Z122" s="41">
        <v>1.8730000000000001E-3</v>
      </c>
      <c r="AA122" s="41">
        <v>3.0000000000000001E-3</v>
      </c>
      <c r="AB122" s="41">
        <v>0</v>
      </c>
      <c r="AC122" s="42">
        <f t="shared" si="13"/>
        <v>3.4373000000000001E-2</v>
      </c>
      <c r="AD122" s="38">
        <f t="shared" si="14"/>
        <v>4.5872999999999997E-2</v>
      </c>
      <c r="AE122" s="43">
        <f t="shared" si="15"/>
        <v>4.5872999999999997E-2</v>
      </c>
      <c r="AF122" s="43">
        <f t="shared" si="16"/>
        <v>6.1392400000000007E-2</v>
      </c>
      <c r="AG122" s="43">
        <f t="shared" si="17"/>
        <v>6.9152099999999994E-2</v>
      </c>
      <c r="AI122" s="64">
        <f>SUMIFS('Paths and Tariffs'!Q:Q,'Paths and Tariffs'!E:E,'Costing Detail'!E122,'Paths and Tariffs'!G:G,"GAS",'Paths and Tariffs'!N:N,1,'Paths and Tariffs'!M:M,1)</f>
        <v>2.9499999999999998E-2</v>
      </c>
    </row>
    <row r="123" spans="1:35" hidden="1" x14ac:dyDescent="0.55000000000000004">
      <c r="A123" s="35" t="s">
        <v>2963</v>
      </c>
      <c r="B123" t="s">
        <v>3002</v>
      </c>
      <c r="C123" t="s">
        <v>3002</v>
      </c>
      <c r="D123" t="s">
        <v>7314</v>
      </c>
      <c r="E123" s="35" t="s">
        <v>3018</v>
      </c>
      <c r="F123" t="s">
        <v>3019</v>
      </c>
      <c r="G123" s="36">
        <v>0</v>
      </c>
      <c r="H123" s="36">
        <v>0</v>
      </c>
      <c r="I123" s="36">
        <v>1.15E-2</v>
      </c>
      <c r="J123" s="37">
        <f t="shared" si="9"/>
        <v>1.15E-2</v>
      </c>
      <c r="K123" s="54">
        <v>0.21730099999999999</v>
      </c>
      <c r="L123" s="54">
        <v>2.258E-3</v>
      </c>
      <c r="M123" s="54">
        <v>-5.5E-2</v>
      </c>
      <c r="N123" s="54">
        <v>5.0000000000000001E-3</v>
      </c>
      <c r="O123" s="54">
        <v>1.2500000000000001E-2</v>
      </c>
      <c r="P123" s="54">
        <v>1.4999999999999999E-2</v>
      </c>
      <c r="Q123" s="54">
        <v>0.02</v>
      </c>
      <c r="R123" s="54">
        <v>0</v>
      </c>
      <c r="S123" s="59">
        <f t="shared" si="10"/>
        <v>0.21705900000000003</v>
      </c>
      <c r="T123" s="38">
        <f t="shared" si="11"/>
        <v>0.22855900000000004</v>
      </c>
      <c r="U123" s="39">
        <v>0</v>
      </c>
      <c r="V123" s="39">
        <v>0</v>
      </c>
      <c r="W123" s="39">
        <v>1.15E-2</v>
      </c>
      <c r="X123" s="40">
        <f t="shared" si="12"/>
        <v>1.15E-2</v>
      </c>
      <c r="Y123" s="41">
        <v>2.9499999999999998E-2</v>
      </c>
      <c r="Z123" s="41">
        <v>2.0769999999999999E-3</v>
      </c>
      <c r="AA123" s="41">
        <v>3.0000000000000001E-3</v>
      </c>
      <c r="AB123" s="41">
        <v>0</v>
      </c>
      <c r="AC123" s="42">
        <f t="shared" si="13"/>
        <v>3.4577000000000004E-2</v>
      </c>
      <c r="AD123" s="38">
        <f t="shared" si="14"/>
        <v>4.6077000000000007E-2</v>
      </c>
      <c r="AE123" s="43">
        <f t="shared" si="15"/>
        <v>4.6077000000000007E-2</v>
      </c>
      <c r="AF123" s="43">
        <f t="shared" si="16"/>
        <v>6.4325200000000013E-2</v>
      </c>
      <c r="AG123" s="43">
        <f t="shared" si="17"/>
        <v>7.3449300000000009E-2</v>
      </c>
      <c r="AI123" s="64">
        <f>SUMIFS('Paths and Tariffs'!Q:Q,'Paths and Tariffs'!E:E,'Costing Detail'!E123,'Paths and Tariffs'!G:G,"GAS",'Paths and Tariffs'!N:N,1,'Paths and Tariffs'!M:M,1)</f>
        <v>2.9499999999999998E-2</v>
      </c>
    </row>
    <row r="124" spans="1:35" hidden="1" x14ac:dyDescent="0.55000000000000004">
      <c r="A124" s="35" t="s">
        <v>3085</v>
      </c>
      <c r="B124" t="s">
        <v>3086</v>
      </c>
      <c r="C124" t="s">
        <v>7363</v>
      </c>
      <c r="D124" t="s">
        <v>7329</v>
      </c>
      <c r="E124" s="35" t="s">
        <v>3087</v>
      </c>
      <c r="F124" t="s">
        <v>3088</v>
      </c>
      <c r="G124" s="36">
        <v>0</v>
      </c>
      <c r="H124" s="36">
        <v>0</v>
      </c>
      <c r="I124" s="36">
        <v>1.15E-2</v>
      </c>
      <c r="J124" s="37">
        <f t="shared" si="9"/>
        <v>1.15E-2</v>
      </c>
      <c r="K124" s="54">
        <v>0.21885499999999999</v>
      </c>
      <c r="L124" s="54">
        <v>2.4459999999999998E-3</v>
      </c>
      <c r="M124" s="54">
        <v>-5.5E-2</v>
      </c>
      <c r="N124" s="54">
        <v>5.0000000000000001E-3</v>
      </c>
      <c r="O124" s="54">
        <v>1.2500000000000001E-2</v>
      </c>
      <c r="P124" s="54">
        <v>1.4999999999999999E-2</v>
      </c>
      <c r="Q124" s="54">
        <v>0.02</v>
      </c>
      <c r="R124" s="54">
        <v>0</v>
      </c>
      <c r="S124" s="59">
        <f t="shared" si="10"/>
        <v>0.218801</v>
      </c>
      <c r="T124" s="38">
        <f t="shared" si="11"/>
        <v>0.23030100000000001</v>
      </c>
      <c r="U124" s="39">
        <v>0</v>
      </c>
      <c r="V124" s="39">
        <v>0</v>
      </c>
      <c r="W124" s="39">
        <v>1.15E-2</v>
      </c>
      <c r="X124" s="40">
        <f t="shared" si="12"/>
        <v>1.15E-2</v>
      </c>
      <c r="Y124" s="41">
        <v>4.6736E-2</v>
      </c>
      <c r="Z124" s="41">
        <v>4.0049999999999999E-3</v>
      </c>
      <c r="AA124" s="41">
        <v>3.0000000000000001E-3</v>
      </c>
      <c r="AB124" s="41">
        <v>0</v>
      </c>
      <c r="AC124" s="42">
        <f t="shared" si="13"/>
        <v>5.3741000000000004E-2</v>
      </c>
      <c r="AD124" s="38">
        <f t="shared" si="14"/>
        <v>6.5241000000000007E-2</v>
      </c>
      <c r="AE124" s="43">
        <f t="shared" si="15"/>
        <v>6.5241000000000007E-2</v>
      </c>
      <c r="AF124" s="43">
        <f t="shared" si="16"/>
        <v>8.1747000000000014E-2</v>
      </c>
      <c r="AG124" s="43">
        <f t="shared" si="17"/>
        <v>0.09</v>
      </c>
      <c r="AI124" s="64">
        <f>SUMIFS('Paths and Tariffs'!Q:Q,'Paths and Tariffs'!E:E,'Costing Detail'!E124,'Paths and Tariffs'!G:G,"GAS",'Paths and Tariffs'!N:N,1,'Paths and Tariffs'!M:M,1)</f>
        <v>4.6736E-2</v>
      </c>
    </row>
    <row r="125" spans="1:35" hidden="1" x14ac:dyDescent="0.55000000000000004">
      <c r="A125" s="35" t="s">
        <v>3085</v>
      </c>
      <c r="B125" t="s">
        <v>3095</v>
      </c>
      <c r="C125" t="s">
        <v>3095</v>
      </c>
      <c r="D125" t="s">
        <v>7329</v>
      </c>
      <c r="E125" s="35" t="s">
        <v>3118</v>
      </c>
      <c r="F125" t="s">
        <v>3119</v>
      </c>
      <c r="G125" s="36">
        <v>0</v>
      </c>
      <c r="H125" s="36">
        <v>0</v>
      </c>
      <c r="I125" s="36">
        <v>1.15E-2</v>
      </c>
      <c r="J125" s="37">
        <f t="shared" si="9"/>
        <v>1.15E-2</v>
      </c>
      <c r="K125" s="54">
        <v>0.21823200000000001</v>
      </c>
      <c r="L125" s="54">
        <v>2.4130000000000002E-3</v>
      </c>
      <c r="M125" s="54">
        <v>-5.5E-2</v>
      </c>
      <c r="N125" s="54">
        <v>5.0000000000000001E-3</v>
      </c>
      <c r="O125" s="54">
        <v>1.2500000000000001E-2</v>
      </c>
      <c r="P125" s="54">
        <v>1.4999999999999999E-2</v>
      </c>
      <c r="Q125" s="54">
        <v>0.02</v>
      </c>
      <c r="R125" s="54">
        <v>0</v>
      </c>
      <c r="S125" s="59">
        <f t="shared" si="10"/>
        <v>0.21814500000000001</v>
      </c>
      <c r="T125" s="38">
        <f t="shared" si="11"/>
        <v>0.22964500000000002</v>
      </c>
      <c r="U125" s="39">
        <v>0</v>
      </c>
      <c r="V125" s="39">
        <v>0</v>
      </c>
      <c r="W125" s="39">
        <v>1.15E-2</v>
      </c>
      <c r="X125" s="40">
        <f t="shared" si="12"/>
        <v>1.15E-2</v>
      </c>
      <c r="Y125" s="41">
        <v>4.2233E-2</v>
      </c>
      <c r="Z125" s="41">
        <v>3.5720000000000001E-3</v>
      </c>
      <c r="AA125" s="41">
        <v>3.0000000000000001E-3</v>
      </c>
      <c r="AB125" s="41">
        <v>0</v>
      </c>
      <c r="AC125" s="42">
        <f t="shared" si="13"/>
        <v>4.8805000000000001E-2</v>
      </c>
      <c r="AD125" s="38">
        <f t="shared" si="14"/>
        <v>6.0304999999999997E-2</v>
      </c>
      <c r="AE125" s="43">
        <f t="shared" si="15"/>
        <v>6.0304999999999997E-2</v>
      </c>
      <c r="AF125" s="43">
        <f t="shared" si="16"/>
        <v>7.7239000000000002E-2</v>
      </c>
      <c r="AG125" s="43">
        <f t="shared" si="17"/>
        <v>8.5706000000000004E-2</v>
      </c>
      <c r="AI125" s="64">
        <f>SUMIFS('Paths and Tariffs'!Q:Q,'Paths and Tariffs'!E:E,'Costing Detail'!E125,'Paths and Tariffs'!G:G,"GAS",'Paths and Tariffs'!N:N,1,'Paths and Tariffs'!M:M,1)</f>
        <v>4.2233E-2</v>
      </c>
    </row>
    <row r="126" spans="1:35" hidden="1" x14ac:dyDescent="0.55000000000000004">
      <c r="A126" s="35" t="s">
        <v>3085</v>
      </c>
      <c r="B126" t="s">
        <v>3130</v>
      </c>
      <c r="C126" t="s">
        <v>3130</v>
      </c>
      <c r="D126" t="s">
        <v>7329</v>
      </c>
      <c r="E126" s="35" t="s">
        <v>3131</v>
      </c>
      <c r="F126" t="s">
        <v>3132</v>
      </c>
      <c r="G126" s="36">
        <v>0</v>
      </c>
      <c r="H126" s="36">
        <v>0</v>
      </c>
      <c r="I126" s="36">
        <v>1.15E-2</v>
      </c>
      <c r="J126" s="37">
        <f t="shared" si="9"/>
        <v>1.15E-2</v>
      </c>
      <c r="K126" s="54">
        <v>0.23263300000000001</v>
      </c>
      <c r="L126" s="54">
        <v>2.454E-3</v>
      </c>
      <c r="M126" s="54">
        <v>-5.5E-2</v>
      </c>
      <c r="N126" s="54">
        <v>5.0000000000000001E-3</v>
      </c>
      <c r="O126" s="54">
        <v>1.2500000000000001E-2</v>
      </c>
      <c r="P126" s="54">
        <v>1.4999999999999999E-2</v>
      </c>
      <c r="Q126" s="54">
        <v>0.02</v>
      </c>
      <c r="R126" s="54">
        <v>0</v>
      </c>
      <c r="S126" s="59">
        <f t="shared" si="10"/>
        <v>0.23258700000000002</v>
      </c>
      <c r="T126" s="38">
        <f t="shared" si="11"/>
        <v>0.24408700000000003</v>
      </c>
      <c r="U126" s="39">
        <v>0</v>
      </c>
      <c r="V126" s="39">
        <v>0</v>
      </c>
      <c r="W126" s="39">
        <v>1.15E-2</v>
      </c>
      <c r="X126" s="40">
        <f t="shared" si="12"/>
        <v>1.15E-2</v>
      </c>
      <c r="Y126" s="41">
        <v>4.7424000000000001E-2</v>
      </c>
      <c r="Z126" s="41">
        <v>4.1310000000000001E-3</v>
      </c>
      <c r="AA126" s="41">
        <v>3.0000000000000001E-3</v>
      </c>
      <c r="AB126" s="41">
        <v>0</v>
      </c>
      <c r="AC126" s="42">
        <f t="shared" si="13"/>
        <v>5.4555000000000006E-2</v>
      </c>
      <c r="AD126" s="38">
        <f t="shared" si="14"/>
        <v>6.6055000000000003E-2</v>
      </c>
      <c r="AE126" s="43">
        <f t="shared" si="15"/>
        <v>6.6055000000000003E-2</v>
      </c>
      <c r="AF126" s="43">
        <f t="shared" si="16"/>
        <v>8.3858200000000008E-2</v>
      </c>
      <c r="AG126" s="43">
        <f t="shared" si="17"/>
        <v>9.2759800000000003E-2</v>
      </c>
      <c r="AI126" s="64">
        <f>SUMIFS('Paths and Tariffs'!Q:Q,'Paths and Tariffs'!E:E,'Costing Detail'!E126,'Paths and Tariffs'!G:G,"GAS",'Paths and Tariffs'!N:N,1,'Paths and Tariffs'!M:M,1)</f>
        <v>4.7424000000000001E-2</v>
      </c>
    </row>
    <row r="127" spans="1:35" hidden="1" x14ac:dyDescent="0.55000000000000004">
      <c r="A127" s="35" t="s">
        <v>3085</v>
      </c>
      <c r="B127" t="s">
        <v>3141</v>
      </c>
      <c r="C127" t="s">
        <v>3141</v>
      </c>
      <c r="D127" t="s">
        <v>7329</v>
      </c>
      <c r="E127" s="35" t="s">
        <v>3142</v>
      </c>
      <c r="F127" t="s">
        <v>3143</v>
      </c>
      <c r="G127" s="36">
        <v>0</v>
      </c>
      <c r="H127" s="36">
        <v>0</v>
      </c>
      <c r="I127" s="36">
        <v>1.15E-2</v>
      </c>
      <c r="J127" s="37">
        <f t="shared" si="9"/>
        <v>1.15E-2</v>
      </c>
      <c r="K127" s="54">
        <v>0.218333</v>
      </c>
      <c r="L127" s="54">
        <v>2.395E-3</v>
      </c>
      <c r="M127" s="54">
        <v>-5.5E-2</v>
      </c>
      <c r="N127" s="54">
        <v>5.0000000000000001E-3</v>
      </c>
      <c r="O127" s="54">
        <v>1.2500000000000001E-2</v>
      </c>
      <c r="P127" s="54">
        <v>1.4999999999999999E-2</v>
      </c>
      <c r="Q127" s="54">
        <v>0.02</v>
      </c>
      <c r="R127" s="54">
        <v>0</v>
      </c>
      <c r="S127" s="59">
        <f t="shared" si="10"/>
        <v>0.21822800000000001</v>
      </c>
      <c r="T127" s="38">
        <f t="shared" si="11"/>
        <v>0.22972800000000002</v>
      </c>
      <c r="U127" s="39">
        <v>0</v>
      </c>
      <c r="V127" s="39">
        <v>0</v>
      </c>
      <c r="W127" s="39">
        <v>1.15E-2</v>
      </c>
      <c r="X127" s="40">
        <f t="shared" si="12"/>
        <v>1.15E-2</v>
      </c>
      <c r="Y127" s="41">
        <v>4.4193000000000003E-2</v>
      </c>
      <c r="Z127" s="41">
        <v>3.8040000000000001E-3</v>
      </c>
      <c r="AA127" s="41">
        <v>3.0000000000000001E-3</v>
      </c>
      <c r="AB127" s="41">
        <v>0</v>
      </c>
      <c r="AC127" s="42">
        <f t="shared" si="13"/>
        <v>5.0997000000000008E-2</v>
      </c>
      <c r="AD127" s="38">
        <f t="shared" si="14"/>
        <v>6.2497000000000011E-2</v>
      </c>
      <c r="AE127" s="43">
        <f t="shared" si="15"/>
        <v>6.2497000000000011E-2</v>
      </c>
      <c r="AF127" s="43">
        <f t="shared" si="16"/>
        <v>7.9220100000000016E-2</v>
      </c>
      <c r="AG127" s="43">
        <f t="shared" si="17"/>
        <v>8.7581650000000011E-2</v>
      </c>
      <c r="AI127" s="64">
        <f>SUMIFS('Paths and Tariffs'!Q:Q,'Paths and Tariffs'!E:E,'Costing Detail'!E127,'Paths and Tariffs'!G:G,"GAS",'Paths and Tariffs'!N:N,1,'Paths and Tariffs'!M:M,1)</f>
        <v>4.4193000000000003E-2</v>
      </c>
    </row>
    <row r="128" spans="1:35" hidden="1" x14ac:dyDescent="0.55000000000000004">
      <c r="A128" s="35" t="s">
        <v>3085</v>
      </c>
      <c r="B128" t="s">
        <v>3167</v>
      </c>
      <c r="C128" t="s">
        <v>3167</v>
      </c>
      <c r="D128" t="s">
        <v>7329</v>
      </c>
      <c r="E128" s="35" t="s">
        <v>3194</v>
      </c>
      <c r="F128" t="s">
        <v>3195</v>
      </c>
      <c r="G128" s="36">
        <v>0</v>
      </c>
      <c r="H128" s="36">
        <v>0</v>
      </c>
      <c r="I128" s="36">
        <v>1.15E-2</v>
      </c>
      <c r="J128" s="37">
        <f t="shared" si="9"/>
        <v>1.15E-2</v>
      </c>
      <c r="K128" s="54">
        <v>0.23263300000000001</v>
      </c>
      <c r="L128" s="54">
        <v>2.464E-3</v>
      </c>
      <c r="M128" s="54">
        <v>-5.5E-2</v>
      </c>
      <c r="N128" s="54">
        <v>5.0000000000000001E-3</v>
      </c>
      <c r="O128" s="54">
        <v>1.2500000000000001E-2</v>
      </c>
      <c r="P128" s="54">
        <v>1.4999999999999999E-2</v>
      </c>
      <c r="Q128" s="54">
        <v>0.02</v>
      </c>
      <c r="R128" s="54">
        <v>0</v>
      </c>
      <c r="S128" s="59">
        <f t="shared" si="10"/>
        <v>0.23259700000000003</v>
      </c>
      <c r="T128" s="38">
        <f t="shared" si="11"/>
        <v>0.24409700000000004</v>
      </c>
      <c r="U128" s="39">
        <v>0</v>
      </c>
      <c r="V128" s="39">
        <v>0</v>
      </c>
      <c r="W128" s="39">
        <v>1.15E-2</v>
      </c>
      <c r="X128" s="40">
        <f t="shared" si="12"/>
        <v>1.15E-2</v>
      </c>
      <c r="Y128" s="41">
        <v>4.7424000000000001E-2</v>
      </c>
      <c r="Z128" s="41">
        <v>4.0959999999999998E-3</v>
      </c>
      <c r="AA128" s="41">
        <v>3.0000000000000001E-3</v>
      </c>
      <c r="AB128" s="41">
        <v>0</v>
      </c>
      <c r="AC128" s="42">
        <f t="shared" si="13"/>
        <v>5.4520000000000006E-2</v>
      </c>
      <c r="AD128" s="38">
        <f t="shared" si="14"/>
        <v>6.6020000000000009E-2</v>
      </c>
      <c r="AE128" s="43">
        <f t="shared" si="15"/>
        <v>6.6020000000000009E-2</v>
      </c>
      <c r="AF128" s="43">
        <f t="shared" si="16"/>
        <v>8.3827700000000019E-2</v>
      </c>
      <c r="AG128" s="43">
        <f t="shared" si="17"/>
        <v>9.273155000000001E-2</v>
      </c>
      <c r="AI128" s="64">
        <f>SUMIFS('Paths and Tariffs'!Q:Q,'Paths and Tariffs'!E:E,'Costing Detail'!E128,'Paths and Tariffs'!G:G,"GAS",'Paths and Tariffs'!N:N,1,'Paths and Tariffs'!M:M,1)</f>
        <v>4.7424000000000001E-2</v>
      </c>
    </row>
    <row r="129" spans="1:35" hidden="1" x14ac:dyDescent="0.55000000000000004">
      <c r="A129" s="35" t="s">
        <v>3204</v>
      </c>
      <c r="B129" t="s">
        <v>3211</v>
      </c>
      <c r="C129" t="s">
        <v>3211</v>
      </c>
      <c r="D129" t="s">
        <v>7312</v>
      </c>
      <c r="E129" s="35" t="s">
        <v>3212</v>
      </c>
      <c r="F129" t="s">
        <v>3213</v>
      </c>
      <c r="G129" s="36">
        <v>0</v>
      </c>
      <c r="H129" s="36">
        <v>0</v>
      </c>
      <c r="I129" s="36">
        <v>1.15E-2</v>
      </c>
      <c r="J129" s="37">
        <f t="shared" si="9"/>
        <v>1.15E-2</v>
      </c>
      <c r="K129" s="54">
        <v>0</v>
      </c>
      <c r="L129" s="54">
        <v>0</v>
      </c>
      <c r="M129" s="54">
        <v>-0.125</v>
      </c>
      <c r="N129" s="54">
        <v>0</v>
      </c>
      <c r="O129" s="54">
        <v>0</v>
      </c>
      <c r="P129" s="54">
        <v>1.4999999999999999E-2</v>
      </c>
      <c r="Q129" s="54">
        <v>0.02</v>
      </c>
      <c r="R129" s="54">
        <v>0</v>
      </c>
      <c r="S129" s="59">
        <f t="shared" si="10"/>
        <v>-0.09</v>
      </c>
      <c r="T129" s="38">
        <f t="shared" si="11"/>
        <v>-7.85E-2</v>
      </c>
      <c r="U129" s="39">
        <v>0</v>
      </c>
      <c r="V129" s="39">
        <v>0</v>
      </c>
      <c r="W129" s="39">
        <v>0</v>
      </c>
      <c r="X129" s="40">
        <f t="shared" si="12"/>
        <v>0</v>
      </c>
      <c r="Y129" s="41">
        <v>8.1828999999999999E-2</v>
      </c>
      <c r="Z129" s="41">
        <v>1.5740000000000001E-3</v>
      </c>
      <c r="AA129" s="41">
        <v>3.0000000000000001E-3</v>
      </c>
      <c r="AB129" s="41">
        <v>0</v>
      </c>
      <c r="AC129" s="42">
        <f t="shared" si="13"/>
        <v>8.6403000000000008E-2</v>
      </c>
      <c r="AD129" s="38">
        <f t="shared" si="14"/>
        <v>8.6403000000000008E-2</v>
      </c>
      <c r="AE129" s="43">
        <f t="shared" si="15"/>
        <v>8.6403000000000008E-2</v>
      </c>
      <c r="AF129" s="43">
        <f t="shared" si="16"/>
        <v>6.9912700000000008E-2</v>
      </c>
      <c r="AG129" s="43">
        <f t="shared" si="17"/>
        <v>6.1667550000000008E-2</v>
      </c>
      <c r="AI129" s="64">
        <f>SUMIFS('Paths and Tariffs'!Q:Q,'Paths and Tariffs'!E:E,'Costing Detail'!E129,'Paths and Tariffs'!G:G,"GAS",'Paths and Tariffs'!N:N,1,'Paths and Tariffs'!M:M,1)</f>
        <v>8.1828999999999999E-2</v>
      </c>
    </row>
    <row r="130" spans="1:35" hidden="1" x14ac:dyDescent="0.55000000000000004">
      <c r="A130" s="35" t="s">
        <v>3204</v>
      </c>
      <c r="B130" t="s">
        <v>3228</v>
      </c>
      <c r="C130" t="s">
        <v>3228</v>
      </c>
      <c r="D130" t="s">
        <v>7312</v>
      </c>
      <c r="E130" s="35" t="s">
        <v>3229</v>
      </c>
      <c r="F130" t="s">
        <v>3230</v>
      </c>
      <c r="G130" s="36">
        <v>0</v>
      </c>
      <c r="H130" s="36">
        <v>0</v>
      </c>
      <c r="I130" s="36">
        <v>1.15E-2</v>
      </c>
      <c r="J130" s="37">
        <f t="shared" si="9"/>
        <v>1.15E-2</v>
      </c>
      <c r="K130" s="54">
        <v>0.18445600000000001</v>
      </c>
      <c r="L130" s="54">
        <v>2.3249999999999998E-3</v>
      </c>
      <c r="M130" s="54">
        <v>-0.125</v>
      </c>
      <c r="N130" s="54">
        <v>5.0000000000000001E-3</v>
      </c>
      <c r="O130" s="54">
        <v>1.2500000000000001E-2</v>
      </c>
      <c r="P130" s="54">
        <v>1.4999999999999999E-2</v>
      </c>
      <c r="Q130" s="54">
        <v>0.02</v>
      </c>
      <c r="R130" s="54">
        <v>0</v>
      </c>
      <c r="S130" s="59">
        <f t="shared" si="10"/>
        <v>0.11428100000000001</v>
      </c>
      <c r="T130" s="38">
        <f t="shared" si="11"/>
        <v>0.125781</v>
      </c>
      <c r="U130" s="39">
        <v>0</v>
      </c>
      <c r="V130" s="39">
        <v>0</v>
      </c>
      <c r="W130" s="39">
        <v>0</v>
      </c>
      <c r="X130" s="40">
        <f t="shared" si="12"/>
        <v>0</v>
      </c>
      <c r="Y130" s="41">
        <v>6.6423999999999997E-2</v>
      </c>
      <c r="Z130" s="41">
        <v>1.794E-3</v>
      </c>
      <c r="AA130" s="41">
        <v>3.0000000000000001E-3</v>
      </c>
      <c r="AB130" s="41">
        <v>0</v>
      </c>
      <c r="AC130" s="42">
        <f t="shared" si="13"/>
        <v>7.1218000000000004E-2</v>
      </c>
      <c r="AD130" s="38">
        <f t="shared" si="14"/>
        <v>7.1218000000000004E-2</v>
      </c>
      <c r="AE130" s="43">
        <f t="shared" si="15"/>
        <v>7.1218000000000004E-2</v>
      </c>
      <c r="AF130" s="43">
        <f t="shared" si="16"/>
        <v>7.6674300000000001E-2</v>
      </c>
      <c r="AG130" s="43">
        <f t="shared" si="17"/>
        <v>7.9402449999999999E-2</v>
      </c>
      <c r="AI130" s="64">
        <f>SUMIFS('Paths and Tariffs'!Q:Q,'Paths and Tariffs'!E:E,'Costing Detail'!E130,'Paths and Tariffs'!G:G,"GAS",'Paths and Tariffs'!N:N,1,'Paths and Tariffs'!M:M,1)</f>
        <v>6.6423999999999997E-2</v>
      </c>
    </row>
    <row r="131" spans="1:35" hidden="1" x14ac:dyDescent="0.55000000000000004">
      <c r="A131" s="35" t="s">
        <v>3277</v>
      </c>
      <c r="B131" t="s">
        <v>3278</v>
      </c>
      <c r="C131" t="s">
        <v>3278</v>
      </c>
      <c r="D131" t="s">
        <v>7312</v>
      </c>
      <c r="E131" s="35" t="s">
        <v>3279</v>
      </c>
      <c r="F131" t="s">
        <v>3280</v>
      </c>
      <c r="G131" s="36">
        <v>0</v>
      </c>
      <c r="H131" s="36">
        <v>0</v>
      </c>
      <c r="I131" s="36">
        <v>1.15E-2</v>
      </c>
      <c r="J131" s="37">
        <f t="shared" si="9"/>
        <v>1.15E-2</v>
      </c>
      <c r="K131" s="54">
        <v>0</v>
      </c>
      <c r="L131" s="54">
        <v>0</v>
      </c>
      <c r="M131" s="54">
        <v>-0.125</v>
      </c>
      <c r="N131" s="54">
        <v>0</v>
      </c>
      <c r="O131" s="54">
        <v>0</v>
      </c>
      <c r="P131" s="54">
        <v>1.4999999999999999E-2</v>
      </c>
      <c r="Q131" s="54">
        <v>0.02</v>
      </c>
      <c r="R131" s="54">
        <v>0</v>
      </c>
      <c r="S131" s="59">
        <f t="shared" si="10"/>
        <v>-0.09</v>
      </c>
      <c r="T131" s="38">
        <f t="shared" si="11"/>
        <v>-7.85E-2</v>
      </c>
      <c r="U131" s="39">
        <v>0</v>
      </c>
      <c r="V131" s="39">
        <v>0</v>
      </c>
      <c r="W131" s="39">
        <v>1.15E-2</v>
      </c>
      <c r="X131" s="40">
        <f t="shared" si="12"/>
        <v>1.15E-2</v>
      </c>
      <c r="Y131" s="41">
        <v>5.876E-2</v>
      </c>
      <c r="Z131" s="41">
        <v>1.892E-3</v>
      </c>
      <c r="AA131" s="41">
        <v>3.0000000000000001E-3</v>
      </c>
      <c r="AB131" s="41">
        <v>0</v>
      </c>
      <c r="AC131" s="42">
        <f t="shared" si="13"/>
        <v>6.3652E-2</v>
      </c>
      <c r="AD131" s="38">
        <f t="shared" si="14"/>
        <v>7.5151999999999997E-2</v>
      </c>
      <c r="AE131" s="43">
        <f t="shared" si="15"/>
        <v>7.5151999999999997E-2</v>
      </c>
      <c r="AF131" s="43">
        <f t="shared" si="16"/>
        <v>5.9786799999999994E-2</v>
      </c>
      <c r="AG131" s="43">
        <f t="shared" si="17"/>
        <v>5.2104199999999996E-2</v>
      </c>
      <c r="AI131" s="64">
        <f>SUMIFS('Paths and Tariffs'!Q:Q,'Paths and Tariffs'!E:E,'Costing Detail'!E131,'Paths and Tariffs'!G:G,"GAS",'Paths and Tariffs'!N:N,1,'Paths and Tariffs'!M:M,1)</f>
        <v>5.876E-2</v>
      </c>
    </row>
    <row r="132" spans="1:35" hidden="1" x14ac:dyDescent="0.55000000000000004">
      <c r="A132" s="35" t="s">
        <v>3277</v>
      </c>
      <c r="B132" t="s">
        <v>3291</v>
      </c>
      <c r="C132" t="s">
        <v>3291</v>
      </c>
      <c r="D132" t="s">
        <v>7312</v>
      </c>
      <c r="E132" s="35" t="s">
        <v>3292</v>
      </c>
      <c r="F132" t="s">
        <v>3293</v>
      </c>
      <c r="G132" s="36">
        <v>0</v>
      </c>
      <c r="H132" s="36">
        <v>0</v>
      </c>
      <c r="I132" s="36">
        <v>1.15E-2</v>
      </c>
      <c r="J132" s="37">
        <f t="shared" ref="J132:J195" si="18">SUM(G132:I132)</f>
        <v>1.15E-2</v>
      </c>
      <c r="K132" s="54">
        <v>0</v>
      </c>
      <c r="L132" s="54">
        <v>0</v>
      </c>
      <c r="M132" s="54">
        <v>-0.125</v>
      </c>
      <c r="N132" s="54">
        <v>0</v>
      </c>
      <c r="O132" s="54">
        <v>0</v>
      </c>
      <c r="P132" s="54">
        <v>1.4999999999999999E-2</v>
      </c>
      <c r="Q132" s="54">
        <v>0.02</v>
      </c>
      <c r="R132" s="54">
        <v>0</v>
      </c>
      <c r="S132" s="59">
        <f t="shared" ref="S132:S195" si="19">SUM(K132:R132)</f>
        <v>-0.09</v>
      </c>
      <c r="T132" s="38">
        <f t="shared" ref="T132:T195" si="20">J132+S132</f>
        <v>-7.85E-2</v>
      </c>
      <c r="U132" s="39">
        <v>0</v>
      </c>
      <c r="V132" s="39">
        <v>0</v>
      </c>
      <c r="W132" s="39">
        <v>0</v>
      </c>
      <c r="X132" s="40">
        <f t="shared" ref="X132:X195" si="21">SUM(U132:W132)</f>
        <v>0</v>
      </c>
      <c r="Y132" s="41">
        <v>6.8104999999999999E-2</v>
      </c>
      <c r="Z132" s="41">
        <v>2.2560000000000002E-3</v>
      </c>
      <c r="AA132" s="41">
        <v>3.0000000000000001E-3</v>
      </c>
      <c r="AB132" s="41">
        <v>0</v>
      </c>
      <c r="AC132" s="42">
        <f t="shared" ref="AC132:AC195" si="22">SUM(Y132:AB132)</f>
        <v>7.3360999999999996E-2</v>
      </c>
      <c r="AD132" s="38">
        <f t="shared" ref="AD132:AD195" si="23">AC132+X132</f>
        <v>7.3360999999999996E-2</v>
      </c>
      <c r="AE132" s="43">
        <f t="shared" ref="AE132:AE195" si="24">0*T132+1*AD132</f>
        <v>7.3360999999999996E-2</v>
      </c>
      <c r="AF132" s="43">
        <f t="shared" ref="AF132:AF195" si="25">0.1*T132+0.9*AD132</f>
        <v>5.8174899999999995E-2</v>
      </c>
      <c r="AG132" s="43">
        <f t="shared" ref="AG132:AG195" si="26">0.15*T132+0.85*AD132</f>
        <v>5.0581849999999991E-2</v>
      </c>
      <c r="AI132" s="64">
        <f>SUMIFS('Paths and Tariffs'!Q:Q,'Paths and Tariffs'!E:E,'Costing Detail'!E132,'Paths and Tariffs'!G:G,"GAS",'Paths and Tariffs'!N:N,1,'Paths and Tariffs'!M:M,1)</f>
        <v>6.8104999999999999E-2</v>
      </c>
    </row>
    <row r="133" spans="1:35" hidden="1" x14ac:dyDescent="0.55000000000000004">
      <c r="A133" s="35" t="s">
        <v>3277</v>
      </c>
      <c r="B133" t="s">
        <v>3323</v>
      </c>
      <c r="C133" t="s">
        <v>3323</v>
      </c>
      <c r="D133" t="s">
        <v>7312</v>
      </c>
      <c r="E133" s="35" t="s">
        <v>3338</v>
      </c>
      <c r="F133" t="s">
        <v>3339</v>
      </c>
      <c r="G133" s="36">
        <v>0</v>
      </c>
      <c r="H133" s="36">
        <v>0</v>
      </c>
      <c r="I133" s="36">
        <v>1.15E-2</v>
      </c>
      <c r="J133" s="37">
        <f t="shared" si="18"/>
        <v>1.15E-2</v>
      </c>
      <c r="K133" s="54">
        <v>0</v>
      </c>
      <c r="L133" s="54">
        <v>0</v>
      </c>
      <c r="M133" s="54">
        <v>-0.125</v>
      </c>
      <c r="N133" s="54">
        <v>0</v>
      </c>
      <c r="O133" s="54">
        <v>0</v>
      </c>
      <c r="P133" s="54">
        <v>1.4999999999999999E-2</v>
      </c>
      <c r="Q133" s="54">
        <v>0.02</v>
      </c>
      <c r="R133" s="54">
        <v>0</v>
      </c>
      <c r="S133" s="59">
        <f t="shared" si="19"/>
        <v>-0.09</v>
      </c>
      <c r="T133" s="38">
        <f t="shared" si="20"/>
        <v>-7.85E-2</v>
      </c>
      <c r="U133" s="39">
        <v>0</v>
      </c>
      <c r="V133" s="39">
        <v>0</v>
      </c>
      <c r="W133" s="39">
        <v>0</v>
      </c>
      <c r="X133" s="40">
        <f t="shared" si="21"/>
        <v>0</v>
      </c>
      <c r="Y133" s="41">
        <v>8.7262000000000006E-2</v>
      </c>
      <c r="Z133" s="41">
        <v>1.9940000000000001E-3</v>
      </c>
      <c r="AA133" s="41">
        <v>3.0000000000000001E-3</v>
      </c>
      <c r="AB133" s="41">
        <v>0</v>
      </c>
      <c r="AC133" s="42">
        <f t="shared" si="22"/>
        <v>9.2256000000000005E-2</v>
      </c>
      <c r="AD133" s="38">
        <f t="shared" si="23"/>
        <v>9.2256000000000005E-2</v>
      </c>
      <c r="AE133" s="43">
        <f t="shared" si="24"/>
        <v>9.2256000000000005E-2</v>
      </c>
      <c r="AF133" s="43">
        <f t="shared" si="25"/>
        <v>7.5180400000000008E-2</v>
      </c>
      <c r="AG133" s="43">
        <f t="shared" si="26"/>
        <v>6.664260000000001E-2</v>
      </c>
      <c r="AI133" s="64">
        <f>SUMIFS('Paths and Tariffs'!Q:Q,'Paths and Tariffs'!E:E,'Costing Detail'!E133,'Paths and Tariffs'!G:G,"GAS",'Paths and Tariffs'!N:N,1,'Paths and Tariffs'!M:M,1)</f>
        <v>8.7262000000000006E-2</v>
      </c>
    </row>
    <row r="134" spans="1:35" hidden="1" x14ac:dyDescent="0.55000000000000004">
      <c r="A134" s="35" t="s">
        <v>3277</v>
      </c>
      <c r="B134" t="s">
        <v>3340</v>
      </c>
      <c r="C134" t="s">
        <v>3340</v>
      </c>
      <c r="D134" t="s">
        <v>7312</v>
      </c>
      <c r="E134" s="35" t="s">
        <v>3341</v>
      </c>
      <c r="F134" t="s">
        <v>3342</v>
      </c>
      <c r="G134" s="36">
        <v>0</v>
      </c>
      <c r="H134" s="36">
        <v>0</v>
      </c>
      <c r="I134" s="36">
        <v>1.15E-2</v>
      </c>
      <c r="J134" s="37">
        <f t="shared" si="18"/>
        <v>1.15E-2</v>
      </c>
      <c r="K134" s="54">
        <v>0</v>
      </c>
      <c r="L134" s="54">
        <v>0</v>
      </c>
      <c r="M134" s="54">
        <v>-0.125</v>
      </c>
      <c r="N134" s="54">
        <v>0</v>
      </c>
      <c r="O134" s="54">
        <v>0</v>
      </c>
      <c r="P134" s="54">
        <v>1.4999999999999999E-2</v>
      </c>
      <c r="Q134" s="54">
        <v>0.02</v>
      </c>
      <c r="R134" s="54">
        <v>0</v>
      </c>
      <c r="S134" s="59">
        <f t="shared" si="19"/>
        <v>-0.09</v>
      </c>
      <c r="T134" s="38">
        <f t="shared" si="20"/>
        <v>-7.85E-2</v>
      </c>
      <c r="U134" s="39">
        <v>0</v>
      </c>
      <c r="V134" s="39">
        <v>0</v>
      </c>
      <c r="W134" s="39">
        <v>1.15E-2</v>
      </c>
      <c r="X134" s="40">
        <f t="shared" si="21"/>
        <v>1.15E-2</v>
      </c>
      <c r="Y134" s="41">
        <v>6.4880999999999994E-2</v>
      </c>
      <c r="Z134" s="41">
        <v>1.967E-3</v>
      </c>
      <c r="AA134" s="41">
        <v>3.0000000000000001E-3</v>
      </c>
      <c r="AB134" s="41">
        <v>0</v>
      </c>
      <c r="AC134" s="42">
        <f t="shared" si="22"/>
        <v>6.9847999999999993E-2</v>
      </c>
      <c r="AD134" s="38">
        <f t="shared" si="23"/>
        <v>8.134799999999999E-2</v>
      </c>
      <c r="AE134" s="43">
        <f t="shared" si="24"/>
        <v>8.134799999999999E-2</v>
      </c>
      <c r="AF134" s="43">
        <f t="shared" si="25"/>
        <v>6.5363199999999996E-2</v>
      </c>
      <c r="AG134" s="43">
        <f t="shared" si="26"/>
        <v>5.7370799999999993E-2</v>
      </c>
      <c r="AI134" s="64">
        <f>SUMIFS('Paths and Tariffs'!Q:Q,'Paths and Tariffs'!E:E,'Costing Detail'!E134,'Paths and Tariffs'!G:G,"GAS",'Paths and Tariffs'!N:N,1,'Paths and Tariffs'!M:M,1)</f>
        <v>6.4880999999999994E-2</v>
      </c>
    </row>
    <row r="135" spans="1:35" hidden="1" x14ac:dyDescent="0.55000000000000004">
      <c r="A135" s="35" t="s">
        <v>3277</v>
      </c>
      <c r="B135" t="s">
        <v>3354</v>
      </c>
      <c r="C135" t="s">
        <v>3354</v>
      </c>
      <c r="D135" t="s">
        <v>7312</v>
      </c>
      <c r="E135" s="35" t="s">
        <v>3355</v>
      </c>
      <c r="F135" t="s">
        <v>3356</v>
      </c>
      <c r="G135" s="36">
        <v>0</v>
      </c>
      <c r="H135" s="36">
        <v>0</v>
      </c>
      <c r="I135" s="36">
        <v>1.15E-2</v>
      </c>
      <c r="J135" s="37">
        <f t="shared" si="18"/>
        <v>1.15E-2</v>
      </c>
      <c r="K135" s="54">
        <v>0.18171399999999999</v>
      </c>
      <c r="L135" s="54">
        <v>2.1779999999999998E-3</v>
      </c>
      <c r="M135" s="54">
        <v>-0.125</v>
      </c>
      <c r="N135" s="54">
        <v>5.0000000000000001E-3</v>
      </c>
      <c r="O135" s="54">
        <v>1.2500000000000001E-2</v>
      </c>
      <c r="P135" s="54">
        <v>1.4999999999999999E-2</v>
      </c>
      <c r="Q135" s="54">
        <v>0.02</v>
      </c>
      <c r="R135" s="54">
        <v>0</v>
      </c>
      <c r="S135" s="59">
        <f t="shared" si="19"/>
        <v>0.111392</v>
      </c>
      <c r="T135" s="38">
        <f t="shared" si="20"/>
        <v>0.122892</v>
      </c>
      <c r="U135" s="39">
        <v>0</v>
      </c>
      <c r="V135" s="39">
        <v>0</v>
      </c>
      <c r="W135" s="39">
        <v>1.15E-2</v>
      </c>
      <c r="X135" s="40">
        <f t="shared" si="21"/>
        <v>1.15E-2</v>
      </c>
      <c r="Y135" s="41">
        <v>7.1168999999999996E-2</v>
      </c>
      <c r="Z135" s="41">
        <v>2.1810000000000002E-3</v>
      </c>
      <c r="AA135" s="41">
        <v>3.0000000000000001E-3</v>
      </c>
      <c r="AB135" s="41">
        <v>0</v>
      </c>
      <c r="AC135" s="42">
        <f t="shared" si="22"/>
        <v>7.6350000000000001E-2</v>
      </c>
      <c r="AD135" s="38">
        <f t="shared" si="23"/>
        <v>8.7849999999999998E-2</v>
      </c>
      <c r="AE135" s="43">
        <f t="shared" si="24"/>
        <v>8.7849999999999998E-2</v>
      </c>
      <c r="AF135" s="43">
        <f t="shared" si="25"/>
        <v>9.1354199999999997E-2</v>
      </c>
      <c r="AG135" s="43">
        <f t="shared" si="26"/>
        <v>9.3106300000000003E-2</v>
      </c>
      <c r="AI135" s="64">
        <f>SUMIFS('Paths and Tariffs'!Q:Q,'Paths and Tariffs'!E:E,'Costing Detail'!E135,'Paths and Tariffs'!G:G,"GAS",'Paths and Tariffs'!N:N,1,'Paths and Tariffs'!M:M,1)</f>
        <v>7.1168999999999996E-2</v>
      </c>
    </row>
    <row r="136" spans="1:35" hidden="1" x14ac:dyDescent="0.55000000000000004">
      <c r="A136" s="35" t="s">
        <v>3277</v>
      </c>
      <c r="B136" t="s">
        <v>3309</v>
      </c>
      <c r="C136" t="s">
        <v>3309</v>
      </c>
      <c r="D136" t="s">
        <v>7312</v>
      </c>
      <c r="E136" s="35" t="s">
        <v>3311</v>
      </c>
      <c r="F136" t="s">
        <v>3312</v>
      </c>
      <c r="G136" s="36">
        <v>0</v>
      </c>
      <c r="H136" s="36">
        <v>0</v>
      </c>
      <c r="I136" s="36">
        <v>1.15E-2</v>
      </c>
      <c r="J136" s="37">
        <f t="shared" si="18"/>
        <v>1.15E-2</v>
      </c>
      <c r="K136" s="54">
        <v>0</v>
      </c>
      <c r="L136" s="54">
        <v>0</v>
      </c>
      <c r="M136" s="54">
        <v>-0.125</v>
      </c>
      <c r="N136" s="54">
        <v>0</v>
      </c>
      <c r="O136" s="54">
        <v>0</v>
      </c>
      <c r="P136" s="54">
        <v>1.4999999999999999E-2</v>
      </c>
      <c r="Q136" s="54">
        <v>0.02</v>
      </c>
      <c r="R136" s="54">
        <v>0</v>
      </c>
      <c r="S136" s="59">
        <f t="shared" si="19"/>
        <v>-0.09</v>
      </c>
      <c r="T136" s="38">
        <f t="shared" si="20"/>
        <v>-7.85E-2</v>
      </c>
      <c r="U136" s="39">
        <v>0</v>
      </c>
      <c r="V136" s="39">
        <v>0</v>
      </c>
      <c r="W136" s="39">
        <v>1.15E-2</v>
      </c>
      <c r="X136" s="40">
        <f t="shared" si="21"/>
        <v>1.15E-2</v>
      </c>
      <c r="Y136" s="41">
        <v>4.4937999999999999E-2</v>
      </c>
      <c r="Z136" s="41">
        <v>1.6490000000000001E-3</v>
      </c>
      <c r="AA136" s="41">
        <v>3.0000000000000001E-3</v>
      </c>
      <c r="AB136" s="41">
        <v>0</v>
      </c>
      <c r="AC136" s="42">
        <f t="shared" si="22"/>
        <v>4.9586999999999999E-2</v>
      </c>
      <c r="AD136" s="38">
        <f t="shared" si="23"/>
        <v>6.1087000000000002E-2</v>
      </c>
      <c r="AE136" s="43">
        <f t="shared" si="24"/>
        <v>6.1087000000000002E-2</v>
      </c>
      <c r="AF136" s="43">
        <f t="shared" si="25"/>
        <v>4.7128299999999998E-2</v>
      </c>
      <c r="AG136" s="43">
        <f t="shared" si="26"/>
        <v>4.0148950000000003E-2</v>
      </c>
      <c r="AI136" s="64">
        <f>SUMIFS('Paths and Tariffs'!Q:Q,'Paths and Tariffs'!E:E,'Costing Detail'!E136,'Paths and Tariffs'!G:G,"GAS",'Paths and Tariffs'!N:N,1,'Paths and Tariffs'!M:M,1)</f>
        <v>4.4937999999999999E-2</v>
      </c>
    </row>
    <row r="137" spans="1:35" hidden="1" x14ac:dyDescent="0.55000000000000004">
      <c r="A137" s="35" t="s">
        <v>3277</v>
      </c>
      <c r="B137" t="s">
        <v>3310</v>
      </c>
      <c r="C137" t="s">
        <v>3310</v>
      </c>
      <c r="D137" t="s">
        <v>7312</v>
      </c>
      <c r="E137" s="35" t="s">
        <v>3367</v>
      </c>
      <c r="F137" t="s">
        <v>3368</v>
      </c>
      <c r="G137" s="36">
        <v>0</v>
      </c>
      <c r="H137" s="36">
        <v>0</v>
      </c>
      <c r="I137" s="36">
        <v>1.15E-2</v>
      </c>
      <c r="J137" s="37">
        <f t="shared" si="18"/>
        <v>1.15E-2</v>
      </c>
      <c r="K137" s="54">
        <v>0</v>
      </c>
      <c r="L137" s="54">
        <v>0</v>
      </c>
      <c r="M137" s="54">
        <v>-0.125</v>
      </c>
      <c r="N137" s="54">
        <v>0</v>
      </c>
      <c r="O137" s="54">
        <v>0</v>
      </c>
      <c r="P137" s="54">
        <v>1.4999999999999999E-2</v>
      </c>
      <c r="Q137" s="54">
        <v>0.02</v>
      </c>
      <c r="R137" s="54">
        <v>0</v>
      </c>
      <c r="S137" s="59">
        <f t="shared" si="19"/>
        <v>-0.09</v>
      </c>
      <c r="T137" s="38">
        <f t="shared" si="20"/>
        <v>-7.85E-2</v>
      </c>
      <c r="U137" s="39">
        <v>0</v>
      </c>
      <c r="V137" s="39">
        <v>0</v>
      </c>
      <c r="W137" s="39">
        <v>0</v>
      </c>
      <c r="X137" s="40">
        <f t="shared" si="21"/>
        <v>0</v>
      </c>
      <c r="Y137" s="41">
        <v>8.0767000000000005E-2</v>
      </c>
      <c r="Z137" s="41">
        <v>2.0339999999999998E-3</v>
      </c>
      <c r="AA137" s="41">
        <v>3.0000000000000001E-3</v>
      </c>
      <c r="AB137" s="41">
        <v>0</v>
      </c>
      <c r="AC137" s="42">
        <f t="shared" si="22"/>
        <v>8.5801000000000002E-2</v>
      </c>
      <c r="AD137" s="38">
        <f t="shared" si="23"/>
        <v>8.5801000000000002E-2</v>
      </c>
      <c r="AE137" s="43">
        <f t="shared" si="24"/>
        <v>8.5801000000000002E-2</v>
      </c>
      <c r="AF137" s="43">
        <f t="shared" si="25"/>
        <v>6.9370900000000013E-2</v>
      </c>
      <c r="AG137" s="43">
        <f t="shared" si="26"/>
        <v>6.1155850000000005E-2</v>
      </c>
      <c r="AI137" s="64">
        <f>SUMIFS('Paths and Tariffs'!Q:Q,'Paths and Tariffs'!E:E,'Costing Detail'!E137,'Paths and Tariffs'!G:G,"GAS",'Paths and Tariffs'!N:N,1,'Paths and Tariffs'!M:M,1)</f>
        <v>8.0767000000000005E-2</v>
      </c>
    </row>
    <row r="138" spans="1:35" hidden="1" x14ac:dyDescent="0.55000000000000004">
      <c r="A138" s="35" t="s">
        <v>3406</v>
      </c>
      <c r="B138" t="s">
        <v>3519</v>
      </c>
      <c r="C138" t="s">
        <v>3465</v>
      </c>
      <c r="D138" t="s">
        <v>7329</v>
      </c>
      <c r="E138" s="35" t="s">
        <v>3520</v>
      </c>
      <c r="F138" t="s">
        <v>3521</v>
      </c>
      <c r="G138" s="36">
        <v>0</v>
      </c>
      <c r="H138" s="36">
        <v>0</v>
      </c>
      <c r="I138" s="36">
        <v>1.15E-2</v>
      </c>
      <c r="J138" s="37">
        <f t="shared" si="18"/>
        <v>1.15E-2</v>
      </c>
      <c r="K138" s="54">
        <v>0.183867</v>
      </c>
      <c r="L138" s="54">
        <v>2.519E-3</v>
      </c>
      <c r="M138" s="54">
        <v>-5.5E-2</v>
      </c>
      <c r="N138" s="54">
        <v>5.0000000000000001E-3</v>
      </c>
      <c r="O138" s="54">
        <v>1.2500000000000001E-2</v>
      </c>
      <c r="P138" s="54">
        <v>1.4999999999999999E-2</v>
      </c>
      <c r="Q138" s="54">
        <v>0.02</v>
      </c>
      <c r="R138" s="54">
        <v>0</v>
      </c>
      <c r="S138" s="59">
        <f t="shared" si="19"/>
        <v>0.18388600000000002</v>
      </c>
      <c r="T138" s="38">
        <f t="shared" si="20"/>
        <v>0.19538600000000003</v>
      </c>
      <c r="U138" s="39">
        <v>0</v>
      </c>
      <c r="V138" s="39">
        <v>0</v>
      </c>
      <c r="W138" s="39">
        <v>1.15E-2</v>
      </c>
      <c r="X138" s="40">
        <f t="shared" si="21"/>
        <v>1.15E-2</v>
      </c>
      <c r="Y138" s="41">
        <v>6.9766999999999996E-2</v>
      </c>
      <c r="Z138" s="41">
        <v>4.9509999999999997E-3</v>
      </c>
      <c r="AA138" s="41">
        <v>3.0000000000000001E-3</v>
      </c>
      <c r="AB138" s="41">
        <v>0</v>
      </c>
      <c r="AC138" s="42">
        <f t="shared" si="22"/>
        <v>7.7717999999999995E-2</v>
      </c>
      <c r="AD138" s="38">
        <f t="shared" si="23"/>
        <v>8.9217999999999992E-2</v>
      </c>
      <c r="AE138" s="43">
        <f t="shared" si="24"/>
        <v>8.9217999999999992E-2</v>
      </c>
      <c r="AF138" s="43">
        <f t="shared" si="25"/>
        <v>9.9834800000000001E-2</v>
      </c>
      <c r="AG138" s="43">
        <f t="shared" si="26"/>
        <v>0.10514319999999999</v>
      </c>
      <c r="AI138" s="64">
        <f>SUMIFS('Paths and Tariffs'!Q:Q,'Paths and Tariffs'!E:E,'Costing Detail'!E138,'Paths and Tariffs'!G:G,"GAS",'Paths and Tariffs'!N:N,1,'Paths and Tariffs'!M:M,1)</f>
        <v>6.9766999999999996E-2</v>
      </c>
    </row>
    <row r="139" spans="1:35" hidden="1" x14ac:dyDescent="0.55000000000000004">
      <c r="A139" s="35" t="s">
        <v>3406</v>
      </c>
      <c r="B139" t="s">
        <v>3481</v>
      </c>
      <c r="C139" t="s">
        <v>3481</v>
      </c>
      <c r="D139" t="s">
        <v>7329</v>
      </c>
      <c r="E139" s="35" t="s">
        <v>3482</v>
      </c>
      <c r="F139" t="s">
        <v>3483</v>
      </c>
      <c r="G139" s="36">
        <v>0</v>
      </c>
      <c r="H139" s="36">
        <v>0</v>
      </c>
      <c r="I139" s="36">
        <v>1.15E-2</v>
      </c>
      <c r="J139" s="37">
        <f t="shared" si="18"/>
        <v>1.15E-2</v>
      </c>
      <c r="K139" s="54">
        <v>0.219304</v>
      </c>
      <c r="L139" s="54">
        <v>2.4710000000000001E-3</v>
      </c>
      <c r="M139" s="54">
        <v>-5.5E-2</v>
      </c>
      <c r="N139" s="54">
        <v>5.0000000000000001E-3</v>
      </c>
      <c r="O139" s="54">
        <v>1.2500000000000001E-2</v>
      </c>
      <c r="P139" s="54">
        <v>1.4999999999999999E-2</v>
      </c>
      <c r="Q139" s="54">
        <v>0.02</v>
      </c>
      <c r="R139" s="54">
        <v>0</v>
      </c>
      <c r="S139" s="59">
        <f t="shared" si="19"/>
        <v>0.21927500000000003</v>
      </c>
      <c r="T139" s="38">
        <f t="shared" si="20"/>
        <v>0.23077500000000004</v>
      </c>
      <c r="U139" s="39">
        <v>0</v>
      </c>
      <c r="V139" s="39">
        <v>0</v>
      </c>
      <c r="W139" s="39">
        <v>1.15E-2</v>
      </c>
      <c r="X139" s="40">
        <f t="shared" si="21"/>
        <v>1.15E-2</v>
      </c>
      <c r="Y139" s="41">
        <v>6.9766999999999996E-2</v>
      </c>
      <c r="Z139" s="41">
        <v>5.0220000000000004E-3</v>
      </c>
      <c r="AA139" s="41">
        <v>3.0000000000000001E-3</v>
      </c>
      <c r="AB139" s="41">
        <v>0</v>
      </c>
      <c r="AC139" s="42">
        <f t="shared" si="22"/>
        <v>7.7788999999999997E-2</v>
      </c>
      <c r="AD139" s="38">
        <f t="shared" si="23"/>
        <v>8.9288999999999993E-2</v>
      </c>
      <c r="AE139" s="43">
        <f t="shared" si="24"/>
        <v>8.9288999999999993E-2</v>
      </c>
      <c r="AF139" s="43">
        <f t="shared" si="25"/>
        <v>0.10343759999999999</v>
      </c>
      <c r="AG139" s="43">
        <f t="shared" si="26"/>
        <v>0.1105119</v>
      </c>
      <c r="AI139" s="64">
        <f>SUMIFS('Paths and Tariffs'!Q:Q,'Paths and Tariffs'!E:E,'Costing Detail'!E139,'Paths and Tariffs'!G:G,"GAS",'Paths and Tariffs'!N:N,1,'Paths and Tariffs'!M:M,1)</f>
        <v>6.9766999999999996E-2</v>
      </c>
    </row>
    <row r="140" spans="1:35" hidden="1" x14ac:dyDescent="0.55000000000000004">
      <c r="A140" s="35" t="s">
        <v>3546</v>
      </c>
      <c r="B140" t="s">
        <v>3547</v>
      </c>
      <c r="C140" t="s">
        <v>3547</v>
      </c>
      <c r="D140" t="s">
        <v>7314</v>
      </c>
      <c r="E140" s="35" t="s">
        <v>3548</v>
      </c>
      <c r="F140" t="s">
        <v>3549</v>
      </c>
      <c r="G140" s="36">
        <v>0</v>
      </c>
      <c r="H140" s="36">
        <v>0</v>
      </c>
      <c r="I140" s="36">
        <v>1.15E-2</v>
      </c>
      <c r="J140" s="37">
        <f t="shared" si="18"/>
        <v>1.15E-2</v>
      </c>
      <c r="K140" s="54">
        <v>0.25729600000000002</v>
      </c>
      <c r="L140" s="54">
        <v>2.5100000000000001E-3</v>
      </c>
      <c r="M140" s="54">
        <v>-0.125</v>
      </c>
      <c r="N140" s="54">
        <v>5.0000000000000001E-3</v>
      </c>
      <c r="O140" s="54">
        <v>1.2500000000000001E-2</v>
      </c>
      <c r="P140" s="54">
        <v>1.4999999999999999E-2</v>
      </c>
      <c r="Q140" s="54">
        <v>0.02</v>
      </c>
      <c r="R140" s="54">
        <v>0</v>
      </c>
      <c r="S140" s="59">
        <f t="shared" si="19"/>
        <v>0.18730600000000006</v>
      </c>
      <c r="T140" s="38">
        <f t="shared" si="20"/>
        <v>0.19880600000000007</v>
      </c>
      <c r="U140" s="39">
        <v>0</v>
      </c>
      <c r="V140" s="39">
        <v>0</v>
      </c>
      <c r="W140" s="39">
        <v>1.15E-2</v>
      </c>
      <c r="X140" s="40">
        <f t="shared" si="21"/>
        <v>1.15E-2</v>
      </c>
      <c r="Y140" s="41">
        <v>0.188198</v>
      </c>
      <c r="Z140" s="41">
        <v>3.6080000000000001E-3</v>
      </c>
      <c r="AA140" s="41">
        <v>3.0000000000000001E-3</v>
      </c>
      <c r="AB140" s="41">
        <v>0</v>
      </c>
      <c r="AC140" s="42">
        <f t="shared" si="22"/>
        <v>0.19480600000000001</v>
      </c>
      <c r="AD140" s="38">
        <f t="shared" si="23"/>
        <v>0.20630600000000002</v>
      </c>
      <c r="AE140" s="43">
        <f t="shared" si="24"/>
        <v>0.20630600000000002</v>
      </c>
      <c r="AF140" s="43">
        <f t="shared" si="25"/>
        <v>0.20555600000000002</v>
      </c>
      <c r="AG140" s="43">
        <f t="shared" si="26"/>
        <v>0.20518100000000003</v>
      </c>
      <c r="AI140" s="64">
        <f>SUMIFS('Paths and Tariffs'!Q:Q,'Paths and Tariffs'!E:E,'Costing Detail'!E140,'Paths and Tariffs'!G:G,"GAS",'Paths and Tariffs'!N:N,1,'Paths and Tariffs'!M:M,1)</f>
        <v>0.188198</v>
      </c>
    </row>
    <row r="141" spans="1:35" hidden="1" x14ac:dyDescent="0.55000000000000004">
      <c r="A141" s="35" t="s">
        <v>3595</v>
      </c>
      <c r="B141" t="s">
        <v>3596</v>
      </c>
      <c r="C141" t="s">
        <v>3596</v>
      </c>
      <c r="D141" t="s">
        <v>7319</v>
      </c>
      <c r="E141" s="35" t="s">
        <v>3597</v>
      </c>
      <c r="F141" t="s">
        <v>3598</v>
      </c>
      <c r="G141" s="36">
        <v>0</v>
      </c>
      <c r="H141" s="36">
        <v>0.05</v>
      </c>
      <c r="I141" s="36">
        <v>0</v>
      </c>
      <c r="J141" s="37">
        <f t="shared" si="18"/>
        <v>0.05</v>
      </c>
      <c r="K141" s="54">
        <v>0.29366700000000001</v>
      </c>
      <c r="L141" s="54">
        <v>2.7680000000000001E-3</v>
      </c>
      <c r="M141" s="54">
        <v>-0.125</v>
      </c>
      <c r="N141" s="54">
        <v>5.0000000000000001E-3</v>
      </c>
      <c r="O141" s="54">
        <v>1.2500000000000001E-2</v>
      </c>
      <c r="P141" s="54">
        <v>1.4999999999999999E-2</v>
      </c>
      <c r="Q141" s="54">
        <v>0.02</v>
      </c>
      <c r="R141" s="54">
        <v>0</v>
      </c>
      <c r="S141" s="59">
        <f t="shared" si="19"/>
        <v>0.22393500000000002</v>
      </c>
      <c r="T141" s="38">
        <f t="shared" si="20"/>
        <v>0.27393500000000004</v>
      </c>
      <c r="U141" s="39">
        <v>0</v>
      </c>
      <c r="V141" s="39">
        <v>0</v>
      </c>
      <c r="W141" s="39">
        <v>1.15E-2</v>
      </c>
      <c r="X141" s="40">
        <f t="shared" si="21"/>
        <v>1.15E-2</v>
      </c>
      <c r="Y141" s="41">
        <v>4.8250000000000001E-2</v>
      </c>
      <c r="Z141" s="41">
        <v>1.464E-3</v>
      </c>
      <c r="AA141" s="41">
        <v>3.0000000000000001E-3</v>
      </c>
      <c r="AB141" s="41">
        <v>0</v>
      </c>
      <c r="AC141" s="42">
        <f t="shared" si="22"/>
        <v>5.2714000000000004E-2</v>
      </c>
      <c r="AD141" s="38">
        <f t="shared" si="23"/>
        <v>6.4214000000000007E-2</v>
      </c>
      <c r="AE141" s="43">
        <f t="shared" si="24"/>
        <v>6.4214000000000007E-2</v>
      </c>
      <c r="AF141" s="43">
        <f t="shared" si="25"/>
        <v>8.5186100000000015E-2</v>
      </c>
      <c r="AG141" s="43">
        <f t="shared" si="26"/>
        <v>9.5672150000000011E-2</v>
      </c>
      <c r="AI141" s="64">
        <f>SUMIFS('Paths and Tariffs'!Q:Q,'Paths and Tariffs'!E:E,'Costing Detail'!E141,'Paths and Tariffs'!G:G,"GAS",'Paths and Tariffs'!N:N,1,'Paths and Tariffs'!M:M,1)</f>
        <v>4.8250000000000001E-2</v>
      </c>
    </row>
    <row r="142" spans="1:35" hidden="1" x14ac:dyDescent="0.55000000000000004">
      <c r="A142" s="35" t="s">
        <v>3595</v>
      </c>
      <c r="B142" t="s">
        <v>7368</v>
      </c>
      <c r="C142" t="s">
        <v>7367</v>
      </c>
      <c r="D142" t="s">
        <v>7319</v>
      </c>
      <c r="E142" s="35" t="s">
        <v>3649</v>
      </c>
      <c r="F142" t="s">
        <v>3650</v>
      </c>
      <c r="G142" s="36">
        <v>0.09</v>
      </c>
      <c r="H142" s="36">
        <v>0</v>
      </c>
      <c r="I142" s="36">
        <v>0</v>
      </c>
      <c r="J142" s="37">
        <f t="shared" si="18"/>
        <v>0.09</v>
      </c>
      <c r="K142" s="54">
        <v>0.29366700000000001</v>
      </c>
      <c r="L142" s="54">
        <v>2.7950000000000002E-3</v>
      </c>
      <c r="M142" s="54">
        <v>-0.125</v>
      </c>
      <c r="N142" s="54">
        <v>5.0000000000000001E-3</v>
      </c>
      <c r="O142" s="54">
        <v>1.2500000000000001E-2</v>
      </c>
      <c r="P142" s="54">
        <v>1.4999999999999999E-2</v>
      </c>
      <c r="Q142" s="54">
        <v>0.02</v>
      </c>
      <c r="R142" s="54">
        <v>0</v>
      </c>
      <c r="S142" s="59">
        <f t="shared" si="19"/>
        <v>0.22396200000000002</v>
      </c>
      <c r="T142" s="38">
        <f t="shared" si="20"/>
        <v>0.31396200000000002</v>
      </c>
      <c r="U142" s="39">
        <v>8.7500000000000008E-3</v>
      </c>
      <c r="V142" s="39">
        <v>2.2620000000000001E-3</v>
      </c>
      <c r="W142" s="39">
        <v>0</v>
      </c>
      <c r="X142" s="40">
        <f t="shared" si="21"/>
        <v>1.1012000000000001E-2</v>
      </c>
      <c r="Y142" s="41">
        <v>5.6195000000000002E-2</v>
      </c>
      <c r="Z142" s="41">
        <v>1.34E-3</v>
      </c>
      <c r="AA142" s="41">
        <v>3.0000000000000001E-3</v>
      </c>
      <c r="AB142" s="41">
        <v>0</v>
      </c>
      <c r="AC142" s="42">
        <f t="shared" si="22"/>
        <v>6.0535000000000005E-2</v>
      </c>
      <c r="AD142" s="38">
        <f t="shared" si="23"/>
        <v>7.1546999999999999E-2</v>
      </c>
      <c r="AE142" s="43">
        <f t="shared" si="24"/>
        <v>7.1546999999999999E-2</v>
      </c>
      <c r="AF142" s="43">
        <f t="shared" si="25"/>
        <v>9.5788499999999999E-2</v>
      </c>
      <c r="AG142" s="43">
        <f t="shared" si="26"/>
        <v>0.10790925</v>
      </c>
      <c r="AI142" s="64">
        <f>SUMIFS('Paths and Tariffs'!Q:Q,'Paths and Tariffs'!E:E,'Costing Detail'!E142,'Paths and Tariffs'!G:G,"GAS",'Paths and Tariffs'!N:N,1,'Paths and Tariffs'!M:M,1)</f>
        <v>5.6195000000000002E-2</v>
      </c>
    </row>
    <row r="143" spans="1:35" hidden="1" x14ac:dyDescent="0.55000000000000004">
      <c r="A143" s="35" t="s">
        <v>3659</v>
      </c>
      <c r="B143" t="s">
        <v>3735</v>
      </c>
      <c r="C143" t="s">
        <v>7369</v>
      </c>
      <c r="D143" t="s">
        <v>7329</v>
      </c>
      <c r="E143" s="35" t="s">
        <v>3736</v>
      </c>
      <c r="F143" t="s">
        <v>3737</v>
      </c>
      <c r="G143" s="36">
        <v>0</v>
      </c>
      <c r="H143" s="36">
        <v>0</v>
      </c>
      <c r="I143" s="36">
        <v>1.15E-2</v>
      </c>
      <c r="J143" s="37">
        <f t="shared" si="18"/>
        <v>1.15E-2</v>
      </c>
      <c r="K143" s="54">
        <v>0.18590000000000001</v>
      </c>
      <c r="L143" s="54">
        <v>2.5630000000000002E-3</v>
      </c>
      <c r="M143" s="54">
        <v>-5.5E-2</v>
      </c>
      <c r="N143" s="54">
        <v>5.0000000000000001E-3</v>
      </c>
      <c r="O143" s="54">
        <v>1.2500000000000001E-2</v>
      </c>
      <c r="P143" s="54">
        <v>1.4999999999999999E-2</v>
      </c>
      <c r="Q143" s="54">
        <v>0.02</v>
      </c>
      <c r="R143" s="54">
        <v>0</v>
      </c>
      <c r="S143" s="59">
        <f t="shared" si="19"/>
        <v>0.18596300000000002</v>
      </c>
      <c r="T143" s="38">
        <f t="shared" si="20"/>
        <v>0.19746300000000003</v>
      </c>
      <c r="U143" s="39">
        <v>0</v>
      </c>
      <c r="V143" s="39">
        <v>0</v>
      </c>
      <c r="W143" s="39">
        <v>1.15E-2</v>
      </c>
      <c r="X143" s="40">
        <f t="shared" si="21"/>
        <v>1.15E-2</v>
      </c>
      <c r="Y143" s="41">
        <v>2.6838000000000001E-2</v>
      </c>
      <c r="Z143" s="41">
        <v>8.5999999999999998E-4</v>
      </c>
      <c r="AA143" s="41">
        <v>3.0000000000000001E-3</v>
      </c>
      <c r="AB143" s="41">
        <v>0</v>
      </c>
      <c r="AC143" s="42">
        <f t="shared" si="22"/>
        <v>3.0698E-2</v>
      </c>
      <c r="AD143" s="38">
        <f t="shared" si="23"/>
        <v>4.2197999999999999E-2</v>
      </c>
      <c r="AE143" s="43">
        <f t="shared" si="24"/>
        <v>4.2197999999999999E-2</v>
      </c>
      <c r="AF143" s="43">
        <f t="shared" si="25"/>
        <v>5.7724500000000012E-2</v>
      </c>
      <c r="AG143" s="43">
        <f t="shared" si="26"/>
        <v>6.5487749999999997E-2</v>
      </c>
      <c r="AI143" s="64">
        <f>SUMIFS('Paths and Tariffs'!Q:Q,'Paths and Tariffs'!E:E,'Costing Detail'!E143,'Paths and Tariffs'!G:G,"GAS",'Paths and Tariffs'!N:N,1,'Paths and Tariffs'!M:M,1)</f>
        <v>2.6838000000000001E-2</v>
      </c>
    </row>
    <row r="144" spans="1:35" hidden="1" x14ac:dyDescent="0.55000000000000004">
      <c r="A144" s="35" t="s">
        <v>3659</v>
      </c>
      <c r="B144" t="s">
        <v>3703</v>
      </c>
      <c r="C144" t="s">
        <v>3703</v>
      </c>
      <c r="D144" t="s">
        <v>7329</v>
      </c>
      <c r="E144" s="35" t="s">
        <v>3704</v>
      </c>
      <c r="F144" t="s">
        <v>3705</v>
      </c>
      <c r="G144" s="36">
        <v>0</v>
      </c>
      <c r="H144" s="36">
        <v>0</v>
      </c>
      <c r="I144" s="36">
        <v>1.15E-2</v>
      </c>
      <c r="J144" s="37">
        <f t="shared" si="18"/>
        <v>1.15E-2</v>
      </c>
      <c r="K144" s="54">
        <v>0.18429200000000001</v>
      </c>
      <c r="L144" s="54">
        <v>2.317E-3</v>
      </c>
      <c r="M144" s="54">
        <v>-5.5E-2</v>
      </c>
      <c r="N144" s="54">
        <v>5.0000000000000001E-3</v>
      </c>
      <c r="O144" s="54">
        <v>1.2500000000000001E-2</v>
      </c>
      <c r="P144" s="54">
        <v>1.4999999999999999E-2</v>
      </c>
      <c r="Q144" s="54">
        <v>0.02</v>
      </c>
      <c r="R144" s="54">
        <v>0</v>
      </c>
      <c r="S144" s="59">
        <f t="shared" si="19"/>
        <v>0.18410900000000005</v>
      </c>
      <c r="T144" s="38">
        <f t="shared" si="20"/>
        <v>0.19560900000000006</v>
      </c>
      <c r="U144" s="39">
        <v>0</v>
      </c>
      <c r="V144" s="39">
        <v>0</v>
      </c>
      <c r="W144" s="39">
        <v>1.15E-2</v>
      </c>
      <c r="X144" s="40">
        <f t="shared" si="21"/>
        <v>1.15E-2</v>
      </c>
      <c r="Y144" s="41">
        <v>7.0248000000000005E-2</v>
      </c>
      <c r="Z144" s="41">
        <v>1.838E-3</v>
      </c>
      <c r="AA144" s="41">
        <v>3.0000000000000001E-3</v>
      </c>
      <c r="AB144" s="41">
        <v>0</v>
      </c>
      <c r="AC144" s="42">
        <f t="shared" si="22"/>
        <v>7.5086000000000014E-2</v>
      </c>
      <c r="AD144" s="38">
        <f t="shared" si="23"/>
        <v>8.658600000000001E-2</v>
      </c>
      <c r="AE144" s="43">
        <f t="shared" si="24"/>
        <v>8.658600000000001E-2</v>
      </c>
      <c r="AF144" s="43">
        <f t="shared" si="25"/>
        <v>9.7488300000000014E-2</v>
      </c>
      <c r="AG144" s="43">
        <f t="shared" si="26"/>
        <v>0.10293945000000002</v>
      </c>
      <c r="AI144" s="64">
        <f>SUMIFS('Paths and Tariffs'!Q:Q,'Paths and Tariffs'!E:E,'Costing Detail'!E144,'Paths and Tariffs'!G:G,"GAS",'Paths and Tariffs'!N:N,1,'Paths and Tariffs'!M:M,1)</f>
        <v>7.0248000000000005E-2</v>
      </c>
    </row>
    <row r="145" spans="1:35" hidden="1" x14ac:dyDescent="0.55000000000000004">
      <c r="A145" s="35" t="s">
        <v>3659</v>
      </c>
      <c r="B145" t="s">
        <v>3718</v>
      </c>
      <c r="C145" t="s">
        <v>3719</v>
      </c>
      <c r="D145" t="s">
        <v>7329</v>
      </c>
      <c r="E145" s="35" t="s">
        <v>3720</v>
      </c>
      <c r="F145" t="s">
        <v>3721</v>
      </c>
      <c r="G145" s="36">
        <v>0</v>
      </c>
      <c r="H145" s="36">
        <v>0</v>
      </c>
      <c r="I145" s="36">
        <v>1.15E-2</v>
      </c>
      <c r="J145" s="37">
        <f t="shared" si="18"/>
        <v>1.15E-2</v>
      </c>
      <c r="K145" s="54">
        <v>0.257324</v>
      </c>
      <c r="L145" s="54">
        <v>2.5110000000000002E-3</v>
      </c>
      <c r="M145" s="54">
        <v>-5.5E-2</v>
      </c>
      <c r="N145" s="54">
        <v>5.0000000000000001E-3</v>
      </c>
      <c r="O145" s="54">
        <v>1.2500000000000001E-2</v>
      </c>
      <c r="P145" s="54">
        <v>1.4999999999999999E-2</v>
      </c>
      <c r="Q145" s="54">
        <v>0.02</v>
      </c>
      <c r="R145" s="54">
        <v>0</v>
      </c>
      <c r="S145" s="59">
        <f t="shared" si="19"/>
        <v>0.25733500000000004</v>
      </c>
      <c r="T145" s="38">
        <f t="shared" si="20"/>
        <v>0.26883500000000005</v>
      </c>
      <c r="U145" s="39">
        <v>0</v>
      </c>
      <c r="V145" s="39">
        <v>0</v>
      </c>
      <c r="W145" s="39">
        <v>1.15E-2</v>
      </c>
      <c r="X145" s="40">
        <f t="shared" si="21"/>
        <v>1.15E-2</v>
      </c>
      <c r="Y145" s="41">
        <v>2.7498000000000002E-2</v>
      </c>
      <c r="Z145" s="41">
        <v>8.6700000000000004E-4</v>
      </c>
      <c r="AA145" s="41">
        <v>3.0000000000000001E-3</v>
      </c>
      <c r="AB145" s="41">
        <v>0</v>
      </c>
      <c r="AC145" s="42">
        <f t="shared" si="22"/>
        <v>3.1365000000000004E-2</v>
      </c>
      <c r="AD145" s="38">
        <f t="shared" si="23"/>
        <v>4.2865E-2</v>
      </c>
      <c r="AE145" s="43">
        <f t="shared" si="24"/>
        <v>4.2865E-2</v>
      </c>
      <c r="AF145" s="43">
        <f t="shared" si="25"/>
        <v>6.5462000000000006E-2</v>
      </c>
      <c r="AG145" s="43">
        <f t="shared" si="26"/>
        <v>7.6760500000000009E-2</v>
      </c>
      <c r="AI145" s="64">
        <f>SUMIFS('Paths and Tariffs'!Q:Q,'Paths and Tariffs'!E:E,'Costing Detail'!E145,'Paths and Tariffs'!G:G,"GAS",'Paths and Tariffs'!N:N,1,'Paths and Tariffs'!M:M,1)</f>
        <v>2.7498000000000002E-2</v>
      </c>
    </row>
    <row r="146" spans="1:35" hidden="1" x14ac:dyDescent="0.55000000000000004">
      <c r="A146" s="35" t="s">
        <v>3659</v>
      </c>
      <c r="B146" t="s">
        <v>3769</v>
      </c>
      <c r="C146" t="s">
        <v>3769</v>
      </c>
      <c r="D146" t="s">
        <v>7329</v>
      </c>
      <c r="E146" s="35" t="s">
        <v>3780</v>
      </c>
      <c r="F146" t="s">
        <v>3781</v>
      </c>
      <c r="G146" s="36">
        <v>0</v>
      </c>
      <c r="H146" s="36">
        <v>0</v>
      </c>
      <c r="I146" s="36">
        <v>1.15E-2</v>
      </c>
      <c r="J146" s="37">
        <f t="shared" si="18"/>
        <v>1.15E-2</v>
      </c>
      <c r="K146" s="54">
        <v>0.21729699999999999</v>
      </c>
      <c r="L146" s="54">
        <v>2.3630000000000001E-3</v>
      </c>
      <c r="M146" s="54">
        <v>-5.5E-2</v>
      </c>
      <c r="N146" s="54">
        <v>5.0000000000000001E-3</v>
      </c>
      <c r="O146" s="54">
        <v>1.2500000000000001E-2</v>
      </c>
      <c r="P146" s="54">
        <v>1.4999999999999999E-2</v>
      </c>
      <c r="Q146" s="54">
        <v>0.02</v>
      </c>
      <c r="R146" s="54">
        <v>0</v>
      </c>
      <c r="S146" s="59">
        <f t="shared" si="19"/>
        <v>0.21715999999999999</v>
      </c>
      <c r="T146" s="38">
        <f t="shared" si="20"/>
        <v>0.22866</v>
      </c>
      <c r="U146" s="39">
        <v>0</v>
      </c>
      <c r="V146" s="39">
        <v>0</v>
      </c>
      <c r="W146" s="39">
        <v>1.15E-2</v>
      </c>
      <c r="X146" s="40">
        <f t="shared" si="21"/>
        <v>1.15E-2</v>
      </c>
      <c r="Y146" s="41">
        <v>6.3057000000000002E-2</v>
      </c>
      <c r="Z146" s="41">
        <v>1.7110000000000001E-3</v>
      </c>
      <c r="AA146" s="41">
        <v>3.0000000000000001E-3</v>
      </c>
      <c r="AB146" s="41">
        <v>0</v>
      </c>
      <c r="AC146" s="42">
        <f t="shared" si="22"/>
        <v>6.7768000000000009E-2</v>
      </c>
      <c r="AD146" s="38">
        <f t="shared" si="23"/>
        <v>7.9268000000000005E-2</v>
      </c>
      <c r="AE146" s="43">
        <f t="shared" si="24"/>
        <v>7.9268000000000005E-2</v>
      </c>
      <c r="AF146" s="43">
        <f t="shared" si="25"/>
        <v>9.4207200000000005E-2</v>
      </c>
      <c r="AG146" s="43">
        <f t="shared" si="26"/>
        <v>0.1016768</v>
      </c>
      <c r="AI146" s="64">
        <f>SUMIFS('Paths and Tariffs'!Q:Q,'Paths and Tariffs'!E:E,'Costing Detail'!E146,'Paths and Tariffs'!G:G,"GAS",'Paths and Tariffs'!N:N,1,'Paths and Tariffs'!M:M,1)</f>
        <v>6.3057000000000002E-2</v>
      </c>
    </row>
    <row r="147" spans="1:35" hidden="1" x14ac:dyDescent="0.55000000000000004">
      <c r="A147" s="35" t="s">
        <v>3659</v>
      </c>
      <c r="B147" t="s">
        <v>3686</v>
      </c>
      <c r="C147" t="s">
        <v>3687</v>
      </c>
      <c r="D147" t="s">
        <v>7329</v>
      </c>
      <c r="E147" s="35" t="s">
        <v>3688</v>
      </c>
      <c r="F147" t="s">
        <v>3689</v>
      </c>
      <c r="G147" s="36">
        <v>0</v>
      </c>
      <c r="H147" s="36">
        <v>0</v>
      </c>
      <c r="I147" s="36">
        <v>1.15E-2</v>
      </c>
      <c r="J147" s="37">
        <f t="shared" si="18"/>
        <v>1.15E-2</v>
      </c>
      <c r="K147" s="54">
        <v>0.218281</v>
      </c>
      <c r="L147" s="54">
        <v>2.4160000000000002E-3</v>
      </c>
      <c r="M147" s="54">
        <v>-5.5E-2</v>
      </c>
      <c r="N147" s="54">
        <v>5.0000000000000001E-3</v>
      </c>
      <c r="O147" s="54">
        <v>1.2500000000000001E-2</v>
      </c>
      <c r="P147" s="54">
        <v>1.4999999999999999E-2</v>
      </c>
      <c r="Q147" s="54">
        <v>0.02</v>
      </c>
      <c r="R147" s="54">
        <v>0</v>
      </c>
      <c r="S147" s="59">
        <f t="shared" si="19"/>
        <v>0.218197</v>
      </c>
      <c r="T147" s="38">
        <f t="shared" si="20"/>
        <v>0.22969700000000001</v>
      </c>
      <c r="U147" s="39">
        <v>0</v>
      </c>
      <c r="V147" s="39">
        <v>0</v>
      </c>
      <c r="W147" s="39">
        <v>1.15E-2</v>
      </c>
      <c r="X147" s="40">
        <f t="shared" si="21"/>
        <v>1.15E-2</v>
      </c>
      <c r="Y147" s="41">
        <v>7.0786000000000002E-2</v>
      </c>
      <c r="Z147" s="41">
        <v>1.5939999999999999E-3</v>
      </c>
      <c r="AA147" s="41">
        <v>3.0000000000000001E-3</v>
      </c>
      <c r="AB147" s="41">
        <v>0</v>
      </c>
      <c r="AC147" s="42">
        <f t="shared" si="22"/>
        <v>7.5380000000000003E-2</v>
      </c>
      <c r="AD147" s="38">
        <f t="shared" si="23"/>
        <v>8.6879999999999999E-2</v>
      </c>
      <c r="AE147" s="43">
        <f t="shared" si="24"/>
        <v>8.6879999999999999E-2</v>
      </c>
      <c r="AF147" s="43">
        <f t="shared" si="25"/>
        <v>0.10116169999999999</v>
      </c>
      <c r="AG147" s="43">
        <f t="shared" si="26"/>
        <v>0.10830255</v>
      </c>
      <c r="AI147" s="64">
        <f>SUMIFS('Paths and Tariffs'!Q:Q,'Paths and Tariffs'!E:E,'Costing Detail'!E147,'Paths and Tariffs'!G:G,"GAS",'Paths and Tariffs'!N:N,1,'Paths and Tariffs'!M:M,1)</f>
        <v>7.0786000000000002E-2</v>
      </c>
    </row>
    <row r="148" spans="1:35" hidden="1" x14ac:dyDescent="0.55000000000000004">
      <c r="A148" s="35" t="s">
        <v>3659</v>
      </c>
      <c r="B148" t="s">
        <v>3687</v>
      </c>
      <c r="C148" t="s">
        <v>3687</v>
      </c>
      <c r="D148" t="s">
        <v>7329</v>
      </c>
      <c r="E148" s="35" t="s">
        <v>3830</v>
      </c>
      <c r="F148" t="s">
        <v>3831</v>
      </c>
      <c r="G148" s="36">
        <v>0</v>
      </c>
      <c r="H148" s="36">
        <v>0</v>
      </c>
      <c r="I148" s="36">
        <v>1.15E-2</v>
      </c>
      <c r="J148" s="37">
        <f t="shared" si="18"/>
        <v>1.15E-2</v>
      </c>
      <c r="K148" s="54">
        <v>0.218144</v>
      </c>
      <c r="L148" s="54">
        <v>2.408E-3</v>
      </c>
      <c r="M148" s="54">
        <v>-5.5E-2</v>
      </c>
      <c r="N148" s="54">
        <v>5.0000000000000001E-3</v>
      </c>
      <c r="O148" s="54">
        <v>1.2500000000000001E-2</v>
      </c>
      <c r="P148" s="54">
        <v>1.4999999999999999E-2</v>
      </c>
      <c r="Q148" s="54">
        <v>0.02</v>
      </c>
      <c r="R148" s="54">
        <v>0</v>
      </c>
      <c r="S148" s="59">
        <f t="shared" si="19"/>
        <v>0.218052</v>
      </c>
      <c r="T148" s="38">
        <f t="shared" si="20"/>
        <v>0.22955200000000001</v>
      </c>
      <c r="U148" s="39">
        <v>0</v>
      </c>
      <c r="V148" s="39">
        <v>0</v>
      </c>
      <c r="W148" s="39">
        <v>1.15E-2</v>
      </c>
      <c r="X148" s="40">
        <f t="shared" si="21"/>
        <v>1.15E-2</v>
      </c>
      <c r="Y148" s="41">
        <v>6.8918999999999994E-2</v>
      </c>
      <c r="Z148" s="41">
        <v>1.557E-3</v>
      </c>
      <c r="AA148" s="41">
        <v>3.0000000000000001E-3</v>
      </c>
      <c r="AB148" s="41">
        <v>0</v>
      </c>
      <c r="AC148" s="42">
        <f t="shared" si="22"/>
        <v>7.3476E-2</v>
      </c>
      <c r="AD148" s="38">
        <f t="shared" si="23"/>
        <v>8.4975999999999996E-2</v>
      </c>
      <c r="AE148" s="43">
        <f t="shared" si="24"/>
        <v>8.4975999999999996E-2</v>
      </c>
      <c r="AF148" s="43">
        <f t="shared" si="25"/>
        <v>9.9433600000000011E-2</v>
      </c>
      <c r="AG148" s="43">
        <f t="shared" si="26"/>
        <v>0.10666239999999999</v>
      </c>
      <c r="AI148" s="64">
        <f>SUMIFS('Paths and Tariffs'!Q:Q,'Paths and Tariffs'!E:E,'Costing Detail'!E148,'Paths and Tariffs'!G:G,"GAS",'Paths and Tariffs'!N:N,1,'Paths and Tariffs'!M:M,1)</f>
        <v>6.8918999999999994E-2</v>
      </c>
    </row>
    <row r="149" spans="1:35" hidden="1" x14ac:dyDescent="0.55000000000000004">
      <c r="A149" s="35" t="s">
        <v>3659</v>
      </c>
      <c r="B149" t="s">
        <v>7373</v>
      </c>
      <c r="C149" t="s">
        <v>3803</v>
      </c>
      <c r="D149" t="s">
        <v>7329</v>
      </c>
      <c r="E149" s="35" t="s">
        <v>3804</v>
      </c>
      <c r="F149" t="s">
        <v>3805</v>
      </c>
      <c r="G149" s="36">
        <v>0</v>
      </c>
      <c r="H149" s="36">
        <v>0</v>
      </c>
      <c r="I149" s="36">
        <v>1.15E-2</v>
      </c>
      <c r="J149" s="37">
        <f t="shared" si="18"/>
        <v>1.15E-2</v>
      </c>
      <c r="K149" s="54">
        <v>0.21887699999999999</v>
      </c>
      <c r="L149" s="54">
        <v>2.4480000000000001E-3</v>
      </c>
      <c r="M149" s="54">
        <v>-5.5E-2</v>
      </c>
      <c r="N149" s="54">
        <v>5.0000000000000001E-3</v>
      </c>
      <c r="O149" s="54">
        <v>1.2500000000000001E-2</v>
      </c>
      <c r="P149" s="54">
        <v>1.4999999999999999E-2</v>
      </c>
      <c r="Q149" s="54">
        <v>0.02</v>
      </c>
      <c r="R149" s="54">
        <v>0</v>
      </c>
      <c r="S149" s="59">
        <f t="shared" si="19"/>
        <v>0.21882500000000002</v>
      </c>
      <c r="T149" s="38">
        <f t="shared" si="20"/>
        <v>0.23032500000000003</v>
      </c>
      <c r="U149" s="39">
        <v>0</v>
      </c>
      <c r="V149" s="39">
        <v>0</v>
      </c>
      <c r="W149" s="39">
        <v>1.15E-2</v>
      </c>
      <c r="X149" s="40">
        <f t="shared" si="21"/>
        <v>1.15E-2</v>
      </c>
      <c r="Y149" s="41">
        <v>7.3686000000000001E-2</v>
      </c>
      <c r="Z149" s="41">
        <v>1.7160000000000001E-3</v>
      </c>
      <c r="AA149" s="41">
        <v>3.0000000000000001E-3</v>
      </c>
      <c r="AB149" s="41">
        <v>0</v>
      </c>
      <c r="AC149" s="42">
        <f t="shared" si="22"/>
        <v>7.8401999999999999E-2</v>
      </c>
      <c r="AD149" s="38">
        <f t="shared" si="23"/>
        <v>8.9901999999999996E-2</v>
      </c>
      <c r="AE149" s="43">
        <f t="shared" si="24"/>
        <v>8.9901999999999996E-2</v>
      </c>
      <c r="AF149" s="43">
        <f t="shared" si="25"/>
        <v>0.10394429999999999</v>
      </c>
      <c r="AG149" s="43">
        <f t="shared" si="26"/>
        <v>0.11096544999999999</v>
      </c>
      <c r="AI149" s="64">
        <f>SUMIFS('Paths and Tariffs'!Q:Q,'Paths and Tariffs'!E:E,'Costing Detail'!E149,'Paths and Tariffs'!G:G,"GAS",'Paths and Tariffs'!N:N,1,'Paths and Tariffs'!M:M,1)</f>
        <v>7.3686000000000001E-2</v>
      </c>
    </row>
    <row r="150" spans="1:35" hidden="1" x14ac:dyDescent="0.55000000000000004">
      <c r="A150" s="35" t="s">
        <v>3659</v>
      </c>
      <c r="B150" t="s">
        <v>3819</v>
      </c>
      <c r="C150" t="s">
        <v>7374</v>
      </c>
      <c r="D150" t="s">
        <v>7329</v>
      </c>
      <c r="E150" s="35" t="s">
        <v>3820</v>
      </c>
      <c r="F150" t="s">
        <v>3821</v>
      </c>
      <c r="G150" s="36">
        <v>0</v>
      </c>
      <c r="H150" s="36">
        <v>0</v>
      </c>
      <c r="I150" s="36">
        <v>1.15E-2</v>
      </c>
      <c r="J150" s="37">
        <f t="shared" si="18"/>
        <v>1.15E-2</v>
      </c>
      <c r="K150" s="54">
        <v>0.21968099999999999</v>
      </c>
      <c r="L150" s="54">
        <v>2.3549999999999999E-3</v>
      </c>
      <c r="M150" s="54">
        <v>-5.5E-2</v>
      </c>
      <c r="N150" s="54">
        <v>5.0000000000000001E-3</v>
      </c>
      <c r="O150" s="54">
        <v>1.2500000000000001E-2</v>
      </c>
      <c r="P150" s="54">
        <v>1.4999999999999999E-2</v>
      </c>
      <c r="Q150" s="54">
        <v>0.02</v>
      </c>
      <c r="R150" s="54">
        <v>0</v>
      </c>
      <c r="S150" s="59">
        <f t="shared" si="19"/>
        <v>0.21953599999999998</v>
      </c>
      <c r="T150" s="38">
        <f t="shared" si="20"/>
        <v>0.23103599999999999</v>
      </c>
      <c r="U150" s="39">
        <v>0</v>
      </c>
      <c r="V150" s="39">
        <v>0</v>
      </c>
      <c r="W150" s="39">
        <v>1.15E-2</v>
      </c>
      <c r="X150" s="40">
        <f t="shared" si="21"/>
        <v>1.15E-2</v>
      </c>
      <c r="Y150" s="41">
        <v>6.3551999999999997E-2</v>
      </c>
      <c r="Z150" s="41">
        <v>1.3179999999999999E-3</v>
      </c>
      <c r="AA150" s="41">
        <v>3.0000000000000001E-3</v>
      </c>
      <c r="AB150" s="41">
        <v>0</v>
      </c>
      <c r="AC150" s="42">
        <f t="shared" si="22"/>
        <v>6.787E-2</v>
      </c>
      <c r="AD150" s="38">
        <f t="shared" si="23"/>
        <v>7.9369999999999996E-2</v>
      </c>
      <c r="AE150" s="43">
        <f t="shared" si="24"/>
        <v>7.9369999999999996E-2</v>
      </c>
      <c r="AF150" s="43">
        <f t="shared" si="25"/>
        <v>9.4536599999999998E-2</v>
      </c>
      <c r="AG150" s="43">
        <f t="shared" si="26"/>
        <v>0.10211989999999999</v>
      </c>
      <c r="AI150" s="64">
        <f>SUMIFS('Paths and Tariffs'!Q:Q,'Paths and Tariffs'!E:E,'Costing Detail'!E150,'Paths and Tariffs'!G:G,"GAS",'Paths and Tariffs'!N:N,1,'Paths and Tariffs'!M:M,1)</f>
        <v>6.3551999999999997E-2</v>
      </c>
    </row>
    <row r="151" spans="1:35" hidden="1" x14ac:dyDescent="0.55000000000000004">
      <c r="A151" s="35" t="s">
        <v>3840</v>
      </c>
      <c r="B151" t="s">
        <v>3841</v>
      </c>
      <c r="C151" t="s">
        <v>7375</v>
      </c>
      <c r="D151" t="s">
        <v>7312</v>
      </c>
      <c r="E151" s="35" t="s">
        <v>3842</v>
      </c>
      <c r="F151" t="s">
        <v>3843</v>
      </c>
      <c r="G151" s="36">
        <v>0</v>
      </c>
      <c r="H151" s="36">
        <v>0</v>
      </c>
      <c r="I151" s="36">
        <v>1.15E-2</v>
      </c>
      <c r="J151" s="37">
        <f t="shared" si="18"/>
        <v>1.15E-2</v>
      </c>
      <c r="K151" s="54">
        <v>0.18256900000000001</v>
      </c>
      <c r="L151" s="54">
        <v>2.2239999999999998E-3</v>
      </c>
      <c r="M151" s="54">
        <v>-5.5E-2</v>
      </c>
      <c r="N151" s="54">
        <v>5.0000000000000001E-3</v>
      </c>
      <c r="O151" s="54">
        <v>1.2500000000000001E-2</v>
      </c>
      <c r="P151" s="54">
        <v>1.4999999999999999E-2</v>
      </c>
      <c r="Q151" s="54">
        <v>0.02</v>
      </c>
      <c r="R151" s="54">
        <v>0</v>
      </c>
      <c r="S151" s="59">
        <f t="shared" si="19"/>
        <v>0.18229300000000001</v>
      </c>
      <c r="T151" s="38">
        <f t="shared" si="20"/>
        <v>0.19379300000000002</v>
      </c>
      <c r="U151" s="39">
        <v>0</v>
      </c>
      <c r="V151" s="39">
        <v>0</v>
      </c>
      <c r="W151" s="39">
        <v>1.15E-2</v>
      </c>
      <c r="X151" s="40">
        <f t="shared" si="21"/>
        <v>1.15E-2</v>
      </c>
      <c r="Y151" s="41">
        <v>4.4992999999999998E-2</v>
      </c>
      <c r="Z151" s="41">
        <v>1.25E-3</v>
      </c>
      <c r="AA151" s="41">
        <v>3.0000000000000001E-3</v>
      </c>
      <c r="AB151" s="41">
        <v>0</v>
      </c>
      <c r="AC151" s="42">
        <f t="shared" si="22"/>
        <v>4.9243000000000002E-2</v>
      </c>
      <c r="AD151" s="38">
        <f t="shared" si="23"/>
        <v>6.0743000000000005E-2</v>
      </c>
      <c r="AE151" s="43">
        <f t="shared" si="24"/>
        <v>6.0743000000000005E-2</v>
      </c>
      <c r="AF151" s="43">
        <f t="shared" si="25"/>
        <v>7.4048000000000003E-2</v>
      </c>
      <c r="AG151" s="43">
        <f t="shared" si="26"/>
        <v>8.0700500000000008E-2</v>
      </c>
      <c r="AI151" s="64">
        <f>SUMIFS('Paths and Tariffs'!Q:Q,'Paths and Tariffs'!E:E,'Costing Detail'!E151,'Paths and Tariffs'!G:G,"GAS",'Paths and Tariffs'!N:N,1,'Paths and Tariffs'!M:M,1)</f>
        <v>4.4992999999999998E-2</v>
      </c>
    </row>
    <row r="152" spans="1:35" hidden="1" x14ac:dyDescent="0.55000000000000004">
      <c r="A152" s="35" t="s">
        <v>3840</v>
      </c>
      <c r="B152" t="s">
        <v>3890</v>
      </c>
      <c r="C152" t="s">
        <v>3890</v>
      </c>
      <c r="D152" t="s">
        <v>7312</v>
      </c>
      <c r="E152" s="35" t="s">
        <v>3896</v>
      </c>
      <c r="F152" t="s">
        <v>3897</v>
      </c>
      <c r="G152" s="36">
        <v>0</v>
      </c>
      <c r="H152" s="36">
        <v>0</v>
      </c>
      <c r="I152" s="36">
        <v>1.15E-2</v>
      </c>
      <c r="J152" s="37">
        <f t="shared" si="18"/>
        <v>1.15E-2</v>
      </c>
      <c r="K152" s="54">
        <v>0</v>
      </c>
      <c r="L152" s="54">
        <v>0</v>
      </c>
      <c r="M152" s="54">
        <v>0</v>
      </c>
      <c r="N152" s="54">
        <v>0</v>
      </c>
      <c r="O152" s="54">
        <v>0</v>
      </c>
      <c r="P152" s="54">
        <v>1.4999999999999999E-2</v>
      </c>
      <c r="Q152" s="54">
        <v>0.02</v>
      </c>
      <c r="R152" s="54">
        <v>0</v>
      </c>
      <c r="S152" s="59">
        <f t="shared" si="19"/>
        <v>3.5000000000000003E-2</v>
      </c>
      <c r="T152" s="38">
        <f t="shared" si="20"/>
        <v>4.65E-2</v>
      </c>
      <c r="U152" s="39">
        <v>0</v>
      </c>
      <c r="V152" s="39">
        <v>0</v>
      </c>
      <c r="W152" s="39">
        <v>1.15E-2</v>
      </c>
      <c r="X152" s="40">
        <f t="shared" si="21"/>
        <v>1.15E-2</v>
      </c>
      <c r="Y152" s="41">
        <v>9.1035000000000005E-2</v>
      </c>
      <c r="Z152" s="41">
        <v>1.108E-3</v>
      </c>
      <c r="AA152" s="41">
        <v>3.0000000000000001E-3</v>
      </c>
      <c r="AB152" s="41">
        <v>0</v>
      </c>
      <c r="AC152" s="42">
        <f t="shared" si="22"/>
        <v>9.5143000000000005E-2</v>
      </c>
      <c r="AD152" s="38">
        <f t="shared" si="23"/>
        <v>0.106643</v>
      </c>
      <c r="AE152" s="43">
        <f t="shared" si="24"/>
        <v>0.106643</v>
      </c>
      <c r="AF152" s="43">
        <f t="shared" si="25"/>
        <v>0.1006287</v>
      </c>
      <c r="AG152" s="43">
        <f t="shared" si="26"/>
        <v>9.7621549999999988E-2</v>
      </c>
      <c r="AI152" s="64">
        <f>SUMIFS('Paths and Tariffs'!Q:Q,'Paths and Tariffs'!E:E,'Costing Detail'!E152,'Paths and Tariffs'!G:G,"GAS",'Paths and Tariffs'!N:N,1,'Paths and Tariffs'!M:M,1)</f>
        <v>9.1035000000000005E-2</v>
      </c>
    </row>
    <row r="153" spans="1:35" hidden="1" x14ac:dyDescent="0.55000000000000004">
      <c r="A153" s="35" t="s">
        <v>3840</v>
      </c>
      <c r="B153" t="s">
        <v>3857</v>
      </c>
      <c r="C153" t="s">
        <v>3858</v>
      </c>
      <c r="D153" t="s">
        <v>7312</v>
      </c>
      <c r="E153" s="35" t="s">
        <v>3859</v>
      </c>
      <c r="F153" t="s">
        <v>3860</v>
      </c>
      <c r="G153" s="36">
        <v>0</v>
      </c>
      <c r="H153" s="36">
        <v>0</v>
      </c>
      <c r="I153" s="36">
        <v>1.15E-2</v>
      </c>
      <c r="J153" s="37">
        <f t="shared" si="18"/>
        <v>1.15E-2</v>
      </c>
      <c r="K153" s="54">
        <v>0.14363300000000001</v>
      </c>
      <c r="L153" s="54">
        <v>2.2929999999999999E-3</v>
      </c>
      <c r="M153" s="54">
        <v>-5.5E-2</v>
      </c>
      <c r="N153" s="54">
        <v>5.0000000000000001E-3</v>
      </c>
      <c r="O153" s="54">
        <v>1.2500000000000001E-2</v>
      </c>
      <c r="P153" s="54">
        <v>1.4999999999999999E-2</v>
      </c>
      <c r="Q153" s="54">
        <v>0.02</v>
      </c>
      <c r="R153" s="54">
        <v>0</v>
      </c>
      <c r="S153" s="59">
        <f t="shared" si="19"/>
        <v>0.143426</v>
      </c>
      <c r="T153" s="38">
        <f t="shared" si="20"/>
        <v>0.15492600000000001</v>
      </c>
      <c r="U153" s="39">
        <v>0</v>
      </c>
      <c r="V153" s="39">
        <v>0</v>
      </c>
      <c r="W153" s="39">
        <v>1.15E-2</v>
      </c>
      <c r="X153" s="40">
        <f t="shared" si="21"/>
        <v>1.15E-2</v>
      </c>
      <c r="Y153" s="41">
        <v>3.4076000000000002E-2</v>
      </c>
      <c r="Z153" s="41">
        <v>1.2329999999999999E-3</v>
      </c>
      <c r="AA153" s="41">
        <v>3.0000000000000001E-3</v>
      </c>
      <c r="AB153" s="41">
        <v>0</v>
      </c>
      <c r="AC153" s="42">
        <f t="shared" si="22"/>
        <v>3.8309000000000003E-2</v>
      </c>
      <c r="AD153" s="38">
        <f t="shared" si="23"/>
        <v>4.9809000000000006E-2</v>
      </c>
      <c r="AE153" s="43">
        <f t="shared" si="24"/>
        <v>4.9809000000000006E-2</v>
      </c>
      <c r="AF153" s="43">
        <f t="shared" si="25"/>
        <v>6.0320700000000012E-2</v>
      </c>
      <c r="AG153" s="43">
        <f t="shared" si="26"/>
        <v>6.5576550000000011E-2</v>
      </c>
      <c r="AI153" s="64">
        <f>SUMIFS('Paths and Tariffs'!Q:Q,'Paths and Tariffs'!E:E,'Costing Detail'!E153,'Paths and Tariffs'!G:G,"GAS",'Paths and Tariffs'!N:N,1,'Paths and Tariffs'!M:M,1)</f>
        <v>3.4076000000000002E-2</v>
      </c>
    </row>
    <row r="154" spans="1:35" hidden="1" x14ac:dyDescent="0.55000000000000004">
      <c r="A154" s="35" t="s">
        <v>3840</v>
      </c>
      <c r="B154" t="s">
        <v>3871</v>
      </c>
      <c r="C154" t="s">
        <v>3858</v>
      </c>
      <c r="D154" t="s">
        <v>7312</v>
      </c>
      <c r="E154" s="35" t="s">
        <v>3872</v>
      </c>
      <c r="F154" t="s">
        <v>3873</v>
      </c>
      <c r="G154" s="36">
        <v>0</v>
      </c>
      <c r="H154" s="36">
        <v>0</v>
      </c>
      <c r="I154" s="36">
        <v>1.15E-2</v>
      </c>
      <c r="J154" s="37">
        <f t="shared" si="18"/>
        <v>1.15E-2</v>
      </c>
      <c r="K154" s="54">
        <v>0.14363300000000001</v>
      </c>
      <c r="L154" s="54">
        <v>2.2829999999999999E-3</v>
      </c>
      <c r="M154" s="54">
        <v>-5.5E-2</v>
      </c>
      <c r="N154" s="54">
        <v>5.0000000000000001E-3</v>
      </c>
      <c r="O154" s="54">
        <v>1.2500000000000001E-2</v>
      </c>
      <c r="P154" s="54">
        <v>1.4999999999999999E-2</v>
      </c>
      <c r="Q154" s="54">
        <v>0.02</v>
      </c>
      <c r="R154" s="54">
        <v>0</v>
      </c>
      <c r="S154" s="59">
        <f t="shared" si="19"/>
        <v>0.14341600000000002</v>
      </c>
      <c r="T154" s="38">
        <f t="shared" si="20"/>
        <v>0.15491600000000003</v>
      </c>
      <c r="U154" s="39">
        <v>3.5136000000000001E-2</v>
      </c>
      <c r="V154" s="39">
        <v>0</v>
      </c>
      <c r="W154" s="39">
        <v>0</v>
      </c>
      <c r="X154" s="40">
        <f t="shared" si="21"/>
        <v>3.5136000000000001E-2</v>
      </c>
      <c r="Y154" s="41">
        <v>3.2967000000000003E-2</v>
      </c>
      <c r="Z154" s="41">
        <v>1.1900000000000001E-3</v>
      </c>
      <c r="AA154" s="41">
        <v>3.0000000000000001E-3</v>
      </c>
      <c r="AB154" s="41">
        <v>0</v>
      </c>
      <c r="AC154" s="42">
        <f t="shared" si="22"/>
        <v>3.7157000000000009E-2</v>
      </c>
      <c r="AD154" s="38">
        <f t="shared" si="23"/>
        <v>7.229300000000001E-2</v>
      </c>
      <c r="AE154" s="43">
        <f t="shared" si="24"/>
        <v>7.229300000000001E-2</v>
      </c>
      <c r="AF154" s="43">
        <f t="shared" si="25"/>
        <v>8.0555300000000024E-2</v>
      </c>
      <c r="AG154" s="43">
        <f t="shared" si="26"/>
        <v>8.468645000000001E-2</v>
      </c>
      <c r="AI154" s="64">
        <f>SUMIFS('Paths and Tariffs'!Q:Q,'Paths and Tariffs'!E:E,'Costing Detail'!E154,'Paths and Tariffs'!G:G,"GAS",'Paths and Tariffs'!N:N,1,'Paths and Tariffs'!M:M,1)</f>
        <v>3.2967000000000003E-2</v>
      </c>
    </row>
    <row r="155" spans="1:35" hidden="1" x14ac:dyDescent="0.55000000000000004">
      <c r="A155" s="35" t="s">
        <v>3840</v>
      </c>
      <c r="B155" t="s">
        <v>3858</v>
      </c>
      <c r="C155" t="s">
        <v>3858</v>
      </c>
      <c r="D155" t="s">
        <v>7312</v>
      </c>
      <c r="E155" s="35" t="s">
        <v>3909</v>
      </c>
      <c r="F155" t="s">
        <v>3910</v>
      </c>
      <c r="G155" s="36">
        <v>0</v>
      </c>
      <c r="H155" s="36">
        <v>0</v>
      </c>
      <c r="I155" s="36">
        <v>1.15E-2</v>
      </c>
      <c r="J155" s="37">
        <f t="shared" si="18"/>
        <v>1.15E-2</v>
      </c>
      <c r="K155" s="54">
        <v>0.18238699999999999</v>
      </c>
      <c r="L155" s="54">
        <v>2.2139999999999998E-3</v>
      </c>
      <c r="M155" s="54">
        <v>-5.5E-2</v>
      </c>
      <c r="N155" s="54">
        <v>5.0000000000000001E-3</v>
      </c>
      <c r="O155" s="54">
        <v>1.2500000000000001E-2</v>
      </c>
      <c r="P155" s="54">
        <v>1.4999999999999999E-2</v>
      </c>
      <c r="Q155" s="54">
        <v>0.02</v>
      </c>
      <c r="R155" s="54">
        <v>0</v>
      </c>
      <c r="S155" s="59">
        <f t="shared" si="19"/>
        <v>0.18210099999999999</v>
      </c>
      <c r="T155" s="38">
        <f t="shared" si="20"/>
        <v>0.193601</v>
      </c>
      <c r="U155" s="39">
        <v>0</v>
      </c>
      <c r="V155" s="39">
        <v>0</v>
      </c>
      <c r="W155" s="39">
        <v>1.15E-2</v>
      </c>
      <c r="X155" s="40">
        <f t="shared" si="21"/>
        <v>1.15E-2</v>
      </c>
      <c r="Y155" s="41">
        <v>3.3319000000000001E-2</v>
      </c>
      <c r="Z155" s="41">
        <v>1.3359999999999999E-3</v>
      </c>
      <c r="AA155" s="41">
        <v>3.0000000000000001E-3</v>
      </c>
      <c r="AB155" s="41">
        <v>0</v>
      </c>
      <c r="AC155" s="42">
        <f t="shared" si="22"/>
        <v>3.7655000000000001E-2</v>
      </c>
      <c r="AD155" s="38">
        <f t="shared" si="23"/>
        <v>4.9155000000000004E-2</v>
      </c>
      <c r="AE155" s="43">
        <f t="shared" si="24"/>
        <v>4.9155000000000004E-2</v>
      </c>
      <c r="AF155" s="43">
        <f t="shared" si="25"/>
        <v>6.3599600000000006E-2</v>
      </c>
      <c r="AG155" s="43">
        <f t="shared" si="26"/>
        <v>7.0821899999999993E-2</v>
      </c>
      <c r="AI155" s="64">
        <f>SUMIFS('Paths and Tariffs'!Q:Q,'Paths and Tariffs'!E:E,'Costing Detail'!E155,'Paths and Tariffs'!G:G,"GAS",'Paths and Tariffs'!N:N,1,'Paths and Tariffs'!M:M,1)</f>
        <v>3.3319000000000001E-2</v>
      </c>
    </row>
    <row r="156" spans="1:35" hidden="1" x14ac:dyDescent="0.55000000000000004">
      <c r="A156" s="35" t="s">
        <v>3840</v>
      </c>
      <c r="B156" t="s">
        <v>3858</v>
      </c>
      <c r="C156" t="s">
        <v>3858</v>
      </c>
      <c r="D156" t="s">
        <v>7312</v>
      </c>
      <c r="E156" s="35" t="s">
        <v>3958</v>
      </c>
      <c r="F156" t="s">
        <v>3959</v>
      </c>
      <c r="G156" s="36">
        <v>0</v>
      </c>
      <c r="H156" s="36">
        <v>0</v>
      </c>
      <c r="I156" s="36">
        <v>1.15E-2</v>
      </c>
      <c r="J156" s="37">
        <f t="shared" si="18"/>
        <v>1.15E-2</v>
      </c>
      <c r="K156" s="54">
        <v>0.14363300000000001</v>
      </c>
      <c r="L156" s="54">
        <v>2.2829999999999999E-3</v>
      </c>
      <c r="M156" s="54">
        <v>-5.5E-2</v>
      </c>
      <c r="N156" s="54">
        <v>5.0000000000000001E-3</v>
      </c>
      <c r="O156" s="54">
        <v>1.2500000000000001E-2</v>
      </c>
      <c r="P156" s="54">
        <v>1.4999999999999999E-2</v>
      </c>
      <c r="Q156" s="54">
        <v>0.02</v>
      </c>
      <c r="R156" s="54">
        <v>0</v>
      </c>
      <c r="S156" s="59">
        <f t="shared" si="19"/>
        <v>0.14341600000000002</v>
      </c>
      <c r="T156" s="38">
        <f t="shared" si="20"/>
        <v>0.15491600000000003</v>
      </c>
      <c r="U156" s="39">
        <v>0</v>
      </c>
      <c r="V156" s="39">
        <v>0</v>
      </c>
      <c r="W156" s="39">
        <v>1.15E-2</v>
      </c>
      <c r="X156" s="40">
        <f t="shared" si="21"/>
        <v>1.15E-2</v>
      </c>
      <c r="Y156" s="41">
        <v>5.4725999999999997E-2</v>
      </c>
      <c r="Z156" s="41">
        <v>1.08E-3</v>
      </c>
      <c r="AA156" s="41">
        <v>3.0000000000000001E-3</v>
      </c>
      <c r="AB156" s="41">
        <v>0</v>
      </c>
      <c r="AC156" s="42">
        <f t="shared" si="22"/>
        <v>5.8805999999999997E-2</v>
      </c>
      <c r="AD156" s="38">
        <f t="shared" si="23"/>
        <v>7.0305999999999993E-2</v>
      </c>
      <c r="AE156" s="43">
        <f t="shared" si="24"/>
        <v>7.0305999999999993E-2</v>
      </c>
      <c r="AF156" s="43">
        <f t="shared" si="25"/>
        <v>7.8767000000000004E-2</v>
      </c>
      <c r="AG156" s="43">
        <f t="shared" si="26"/>
        <v>8.2997499999999988E-2</v>
      </c>
      <c r="AI156" s="64">
        <f>SUMIFS('Paths and Tariffs'!Q:Q,'Paths and Tariffs'!E:E,'Costing Detail'!E156,'Paths and Tariffs'!G:G,"GAS",'Paths and Tariffs'!N:N,1,'Paths and Tariffs'!M:M,1)</f>
        <v>5.4725999999999997E-2</v>
      </c>
    </row>
    <row r="157" spans="1:35" hidden="1" x14ac:dyDescent="0.55000000000000004">
      <c r="A157" s="35" t="s">
        <v>3840</v>
      </c>
      <c r="B157" t="s">
        <v>7376</v>
      </c>
      <c r="C157" t="s">
        <v>4030</v>
      </c>
      <c r="D157" t="s">
        <v>7312</v>
      </c>
      <c r="E157" s="35" t="s">
        <v>4031</v>
      </c>
      <c r="F157" t="s">
        <v>4032</v>
      </c>
      <c r="G157" s="36">
        <v>0</v>
      </c>
      <c r="H157" s="36">
        <v>0</v>
      </c>
      <c r="I157" s="36">
        <v>1.15E-2</v>
      </c>
      <c r="J157" s="37">
        <f t="shared" si="18"/>
        <v>1.15E-2</v>
      </c>
      <c r="K157" s="54">
        <v>0.14363300000000001</v>
      </c>
      <c r="L157" s="54">
        <v>2.2690000000000002E-3</v>
      </c>
      <c r="M157" s="54">
        <v>-5.5E-2</v>
      </c>
      <c r="N157" s="54">
        <v>5.0000000000000001E-3</v>
      </c>
      <c r="O157" s="54">
        <v>1.2500000000000001E-2</v>
      </c>
      <c r="P157" s="54">
        <v>1.4999999999999999E-2</v>
      </c>
      <c r="Q157" s="54">
        <v>0.02</v>
      </c>
      <c r="R157" s="54">
        <v>0</v>
      </c>
      <c r="S157" s="59">
        <f t="shared" si="19"/>
        <v>0.143402</v>
      </c>
      <c r="T157" s="38">
        <f t="shared" si="20"/>
        <v>0.15490200000000001</v>
      </c>
      <c r="U157" s="39">
        <v>0</v>
      </c>
      <c r="V157" s="39">
        <v>0</v>
      </c>
      <c r="W157" s="39">
        <v>1.15E-2</v>
      </c>
      <c r="X157" s="40">
        <f t="shared" si="21"/>
        <v>1.15E-2</v>
      </c>
      <c r="Y157" s="41">
        <v>2.2311999999999999E-2</v>
      </c>
      <c r="Z157" s="41">
        <v>1.018E-3</v>
      </c>
      <c r="AA157" s="41">
        <v>3.0000000000000001E-3</v>
      </c>
      <c r="AB157" s="41">
        <v>0</v>
      </c>
      <c r="AC157" s="42">
        <f t="shared" si="22"/>
        <v>2.6329999999999999E-2</v>
      </c>
      <c r="AD157" s="38">
        <f t="shared" si="23"/>
        <v>3.7830000000000003E-2</v>
      </c>
      <c r="AE157" s="43">
        <f t="shared" si="24"/>
        <v>3.7830000000000003E-2</v>
      </c>
      <c r="AF157" s="43">
        <f t="shared" si="25"/>
        <v>4.9537200000000003E-2</v>
      </c>
      <c r="AG157" s="43">
        <f t="shared" si="26"/>
        <v>5.5390800000000004E-2</v>
      </c>
      <c r="AI157" s="64">
        <f>SUMIFS('Paths and Tariffs'!Q:Q,'Paths and Tariffs'!E:E,'Costing Detail'!E157,'Paths and Tariffs'!G:G,"GAS",'Paths and Tariffs'!N:N,1,'Paths and Tariffs'!M:M,1)</f>
        <v>2.2311999999999999E-2</v>
      </c>
    </row>
    <row r="158" spans="1:35" hidden="1" x14ac:dyDescent="0.55000000000000004">
      <c r="A158" s="35" t="s">
        <v>3840</v>
      </c>
      <c r="B158" t="s">
        <v>3921</v>
      </c>
      <c r="C158" t="s">
        <v>3921</v>
      </c>
      <c r="D158" t="s">
        <v>7312</v>
      </c>
      <c r="E158" s="35" t="s">
        <v>3939</v>
      </c>
      <c r="F158" t="s">
        <v>3940</v>
      </c>
      <c r="G158" s="36">
        <v>0</v>
      </c>
      <c r="H158" s="36">
        <v>0</v>
      </c>
      <c r="I158" s="36">
        <v>1.15E-2</v>
      </c>
      <c r="J158" s="37">
        <f t="shared" si="18"/>
        <v>1.15E-2</v>
      </c>
      <c r="K158" s="54">
        <v>0</v>
      </c>
      <c r="L158" s="54">
        <v>0</v>
      </c>
      <c r="M158" s="54">
        <v>0</v>
      </c>
      <c r="N158" s="54">
        <v>0</v>
      </c>
      <c r="O158" s="54">
        <v>0</v>
      </c>
      <c r="P158" s="54">
        <v>1.4999999999999999E-2</v>
      </c>
      <c r="Q158" s="54">
        <v>0.02</v>
      </c>
      <c r="R158" s="54">
        <v>0</v>
      </c>
      <c r="S158" s="59">
        <f t="shared" si="19"/>
        <v>3.5000000000000003E-2</v>
      </c>
      <c r="T158" s="38">
        <f t="shared" si="20"/>
        <v>4.65E-2</v>
      </c>
      <c r="U158" s="39">
        <v>0</v>
      </c>
      <c r="V158" s="39">
        <v>0</v>
      </c>
      <c r="W158" s="39">
        <v>1.15E-2</v>
      </c>
      <c r="X158" s="40">
        <f t="shared" si="21"/>
        <v>1.15E-2</v>
      </c>
      <c r="Y158" s="41">
        <v>3.6831000000000003E-2</v>
      </c>
      <c r="Z158" s="41">
        <v>1.2329999999999999E-3</v>
      </c>
      <c r="AA158" s="41">
        <v>3.0000000000000001E-3</v>
      </c>
      <c r="AB158" s="41">
        <v>0</v>
      </c>
      <c r="AC158" s="42">
        <f t="shared" si="22"/>
        <v>4.1064000000000003E-2</v>
      </c>
      <c r="AD158" s="38">
        <f t="shared" si="23"/>
        <v>5.2564E-2</v>
      </c>
      <c r="AE158" s="43">
        <f t="shared" si="24"/>
        <v>5.2564E-2</v>
      </c>
      <c r="AF158" s="43">
        <f t="shared" si="25"/>
        <v>5.19576E-2</v>
      </c>
      <c r="AG158" s="43">
        <f t="shared" si="26"/>
        <v>5.1654400000000003E-2</v>
      </c>
      <c r="AI158" s="64">
        <f>SUMIFS('Paths and Tariffs'!Q:Q,'Paths and Tariffs'!E:E,'Costing Detail'!E158,'Paths and Tariffs'!G:G,"GAS",'Paths and Tariffs'!N:N,1,'Paths and Tariffs'!M:M,1)</f>
        <v>3.6831000000000003E-2</v>
      </c>
    </row>
    <row r="159" spans="1:35" hidden="1" x14ac:dyDescent="0.55000000000000004">
      <c r="A159" s="35" t="s">
        <v>3840</v>
      </c>
      <c r="B159" t="s">
        <v>3969</v>
      </c>
      <c r="C159" t="s">
        <v>3969</v>
      </c>
      <c r="D159" t="s">
        <v>7312</v>
      </c>
      <c r="E159" s="35" t="s">
        <v>3978</v>
      </c>
      <c r="F159" t="s">
        <v>3979</v>
      </c>
      <c r="G159" s="36">
        <v>0</v>
      </c>
      <c r="H159" s="36">
        <v>0</v>
      </c>
      <c r="I159" s="36">
        <v>1.15E-2</v>
      </c>
      <c r="J159" s="37">
        <f t="shared" si="18"/>
        <v>1.15E-2</v>
      </c>
      <c r="K159" s="54">
        <v>0</v>
      </c>
      <c r="L159" s="54">
        <v>0</v>
      </c>
      <c r="M159" s="54">
        <v>0</v>
      </c>
      <c r="N159" s="54">
        <v>0</v>
      </c>
      <c r="O159" s="54">
        <v>0</v>
      </c>
      <c r="P159" s="54">
        <v>1.4999999999999999E-2</v>
      </c>
      <c r="Q159" s="54">
        <v>0.02</v>
      </c>
      <c r="R159" s="54">
        <v>0</v>
      </c>
      <c r="S159" s="59">
        <f t="shared" si="19"/>
        <v>3.5000000000000003E-2</v>
      </c>
      <c r="T159" s="38">
        <f t="shared" si="20"/>
        <v>4.65E-2</v>
      </c>
      <c r="U159" s="39">
        <v>0</v>
      </c>
      <c r="V159" s="39">
        <v>0</v>
      </c>
      <c r="W159" s="39">
        <v>1.15E-2</v>
      </c>
      <c r="X159" s="40">
        <f t="shared" si="21"/>
        <v>1.15E-2</v>
      </c>
      <c r="Y159" s="41">
        <v>0.110509</v>
      </c>
      <c r="Z159" s="41">
        <v>1.346E-3</v>
      </c>
      <c r="AA159" s="41">
        <v>3.0000000000000001E-3</v>
      </c>
      <c r="AB159" s="41">
        <v>0</v>
      </c>
      <c r="AC159" s="42">
        <f t="shared" si="22"/>
        <v>0.114855</v>
      </c>
      <c r="AD159" s="38">
        <f t="shared" si="23"/>
        <v>0.126355</v>
      </c>
      <c r="AE159" s="43">
        <f t="shared" si="24"/>
        <v>0.126355</v>
      </c>
      <c r="AF159" s="43">
        <f t="shared" si="25"/>
        <v>0.1183695</v>
      </c>
      <c r="AG159" s="43">
        <f t="shared" si="26"/>
        <v>0.11437674999999999</v>
      </c>
      <c r="AI159" s="64">
        <f>SUMIFS('Paths and Tariffs'!Q:Q,'Paths and Tariffs'!E:E,'Costing Detail'!E159,'Paths and Tariffs'!G:G,"GAS",'Paths and Tariffs'!N:N,1,'Paths and Tariffs'!M:M,1)</f>
        <v>0.110509</v>
      </c>
    </row>
    <row r="160" spans="1:35" hidden="1" x14ac:dyDescent="0.55000000000000004">
      <c r="A160" s="35" t="s">
        <v>3840</v>
      </c>
      <c r="B160" t="s">
        <v>3992</v>
      </c>
      <c r="C160" t="s">
        <v>3992</v>
      </c>
      <c r="D160" t="s">
        <v>7312</v>
      </c>
      <c r="E160" s="35" t="s">
        <v>3993</v>
      </c>
      <c r="F160" t="s">
        <v>3994</v>
      </c>
      <c r="G160" s="36">
        <v>0</v>
      </c>
      <c r="H160" s="36">
        <v>0</v>
      </c>
      <c r="I160" s="36">
        <v>1.15E-2</v>
      </c>
      <c r="J160" s="37">
        <f t="shared" si="18"/>
        <v>1.15E-2</v>
      </c>
      <c r="K160" s="54">
        <v>0.15113299999999999</v>
      </c>
      <c r="L160" s="54">
        <v>2.2409999999999999E-3</v>
      </c>
      <c r="M160" s="54">
        <v>-5.5E-2</v>
      </c>
      <c r="N160" s="54">
        <v>5.0000000000000001E-3</v>
      </c>
      <c r="O160" s="54">
        <v>1.2500000000000001E-2</v>
      </c>
      <c r="P160" s="54">
        <v>1.4999999999999999E-2</v>
      </c>
      <c r="Q160" s="54">
        <v>0.02</v>
      </c>
      <c r="R160" s="54">
        <v>0</v>
      </c>
      <c r="S160" s="59">
        <f t="shared" si="19"/>
        <v>0.15087399999999998</v>
      </c>
      <c r="T160" s="38">
        <f t="shared" si="20"/>
        <v>0.16237399999999999</v>
      </c>
      <c r="U160" s="39">
        <v>1.2951000000000001E-2</v>
      </c>
      <c r="V160" s="39">
        <v>0</v>
      </c>
      <c r="W160" s="39">
        <v>0</v>
      </c>
      <c r="X160" s="40">
        <f t="shared" si="21"/>
        <v>1.2951000000000001E-2</v>
      </c>
      <c r="Y160" s="41">
        <v>4.6719000000000004E-2</v>
      </c>
      <c r="Z160" s="41">
        <v>1.0269999999999999E-3</v>
      </c>
      <c r="AA160" s="41">
        <v>3.0000000000000001E-3</v>
      </c>
      <c r="AB160" s="41">
        <v>0</v>
      </c>
      <c r="AC160" s="42">
        <f t="shared" si="22"/>
        <v>5.0746000000000006E-2</v>
      </c>
      <c r="AD160" s="38">
        <f t="shared" si="23"/>
        <v>6.3697000000000004E-2</v>
      </c>
      <c r="AE160" s="43">
        <f t="shared" si="24"/>
        <v>6.3697000000000004E-2</v>
      </c>
      <c r="AF160" s="43">
        <f t="shared" si="25"/>
        <v>7.3564700000000011E-2</v>
      </c>
      <c r="AG160" s="43">
        <f t="shared" si="26"/>
        <v>7.849855E-2</v>
      </c>
      <c r="AI160" s="64">
        <f>SUMIFS('Paths and Tariffs'!Q:Q,'Paths and Tariffs'!E:E,'Costing Detail'!E160,'Paths and Tariffs'!G:G,"GAS",'Paths and Tariffs'!N:N,1,'Paths and Tariffs'!M:M,1)</f>
        <v>4.6719000000000004E-2</v>
      </c>
    </row>
    <row r="161" spans="1:35" hidden="1" x14ac:dyDescent="0.55000000000000004">
      <c r="A161" s="35" t="s">
        <v>3840</v>
      </c>
      <c r="B161" t="s">
        <v>4009</v>
      </c>
      <c r="C161" t="s">
        <v>4009</v>
      </c>
      <c r="D161" t="s">
        <v>7312</v>
      </c>
      <c r="E161" s="35" t="s">
        <v>4020</v>
      </c>
      <c r="F161" t="s">
        <v>4021</v>
      </c>
      <c r="G161" s="36">
        <v>0</v>
      </c>
      <c r="H161" s="36">
        <v>0</v>
      </c>
      <c r="I161" s="36">
        <v>1.15E-2</v>
      </c>
      <c r="J161" s="37">
        <f t="shared" si="18"/>
        <v>1.15E-2</v>
      </c>
      <c r="K161" s="54">
        <v>0</v>
      </c>
      <c r="L161" s="54">
        <v>0</v>
      </c>
      <c r="M161" s="54">
        <v>0</v>
      </c>
      <c r="N161" s="54">
        <v>0</v>
      </c>
      <c r="O161" s="54">
        <v>0</v>
      </c>
      <c r="P161" s="54">
        <v>1.4999999999999999E-2</v>
      </c>
      <c r="Q161" s="54">
        <v>0.02</v>
      </c>
      <c r="R161" s="54">
        <v>0</v>
      </c>
      <c r="S161" s="59">
        <f t="shared" si="19"/>
        <v>3.5000000000000003E-2</v>
      </c>
      <c r="T161" s="38">
        <f t="shared" si="20"/>
        <v>4.65E-2</v>
      </c>
      <c r="U161" s="39">
        <v>0</v>
      </c>
      <c r="V161" s="39">
        <v>0</v>
      </c>
      <c r="W161" s="39">
        <v>1.15E-2</v>
      </c>
      <c r="X161" s="40">
        <f t="shared" si="21"/>
        <v>1.15E-2</v>
      </c>
      <c r="Y161" s="41">
        <v>2.9364000000000001E-2</v>
      </c>
      <c r="Z161" s="41">
        <v>1.008E-3</v>
      </c>
      <c r="AA161" s="41">
        <v>3.0000000000000001E-3</v>
      </c>
      <c r="AB161" s="41">
        <v>0</v>
      </c>
      <c r="AC161" s="42">
        <f t="shared" si="22"/>
        <v>3.3371999999999999E-2</v>
      </c>
      <c r="AD161" s="38">
        <f t="shared" si="23"/>
        <v>4.4871999999999995E-2</v>
      </c>
      <c r="AE161" s="43">
        <f t="shared" si="24"/>
        <v>4.4871999999999995E-2</v>
      </c>
      <c r="AF161" s="43">
        <f t="shared" si="25"/>
        <v>4.50348E-2</v>
      </c>
      <c r="AG161" s="43">
        <f t="shared" si="26"/>
        <v>4.5116199999999995E-2</v>
      </c>
      <c r="AI161" s="64">
        <f>SUMIFS('Paths and Tariffs'!Q:Q,'Paths and Tariffs'!E:E,'Costing Detail'!E161,'Paths and Tariffs'!G:G,"GAS",'Paths and Tariffs'!N:N,1,'Paths and Tariffs'!M:M,1)</f>
        <v>2.9364000000000001E-2</v>
      </c>
    </row>
    <row r="162" spans="1:35" hidden="1" x14ac:dyDescent="0.55000000000000004">
      <c r="A162" s="35" t="s">
        <v>3840</v>
      </c>
      <c r="B162" t="s">
        <v>4060</v>
      </c>
      <c r="C162" t="s">
        <v>4060</v>
      </c>
      <c r="D162" t="s">
        <v>7312</v>
      </c>
      <c r="E162" s="35" t="s">
        <v>4061</v>
      </c>
      <c r="F162" t="s">
        <v>4062</v>
      </c>
      <c r="G162" s="36">
        <v>0</v>
      </c>
      <c r="H162" s="36">
        <v>0</v>
      </c>
      <c r="I162" s="36">
        <v>1.15E-2</v>
      </c>
      <c r="J162" s="37">
        <f t="shared" si="18"/>
        <v>1.15E-2</v>
      </c>
      <c r="K162" s="54">
        <v>0</v>
      </c>
      <c r="L162" s="54">
        <v>0</v>
      </c>
      <c r="M162" s="54">
        <v>0</v>
      </c>
      <c r="N162" s="54">
        <v>0</v>
      </c>
      <c r="O162" s="54">
        <v>0</v>
      </c>
      <c r="P162" s="54">
        <v>1.4999999999999999E-2</v>
      </c>
      <c r="Q162" s="54">
        <v>0.02</v>
      </c>
      <c r="R162" s="54">
        <v>0</v>
      </c>
      <c r="S162" s="59">
        <f t="shared" si="19"/>
        <v>3.5000000000000003E-2</v>
      </c>
      <c r="T162" s="38">
        <f t="shared" si="20"/>
        <v>4.65E-2</v>
      </c>
      <c r="U162" s="39">
        <v>0</v>
      </c>
      <c r="V162" s="39">
        <v>0</v>
      </c>
      <c r="W162" s="39">
        <v>1.15E-2</v>
      </c>
      <c r="X162" s="40">
        <f t="shared" si="21"/>
        <v>1.15E-2</v>
      </c>
      <c r="Y162" s="41">
        <v>8.4239999999999992E-3</v>
      </c>
      <c r="Z162" s="41">
        <v>8.03E-4</v>
      </c>
      <c r="AA162" s="41">
        <v>3.0000000000000001E-3</v>
      </c>
      <c r="AB162" s="41">
        <v>0</v>
      </c>
      <c r="AC162" s="42">
        <f t="shared" si="22"/>
        <v>1.2226999999999998E-2</v>
      </c>
      <c r="AD162" s="38">
        <f t="shared" si="23"/>
        <v>2.3726999999999998E-2</v>
      </c>
      <c r="AE162" s="43">
        <f t="shared" si="24"/>
        <v>2.3726999999999998E-2</v>
      </c>
      <c r="AF162" s="43">
        <f t="shared" si="25"/>
        <v>2.6004300000000001E-2</v>
      </c>
      <c r="AG162" s="43">
        <f t="shared" si="26"/>
        <v>2.7142949999999996E-2</v>
      </c>
      <c r="AI162" s="64">
        <f>SUMIFS('Paths and Tariffs'!Q:Q,'Paths and Tariffs'!E:E,'Costing Detail'!E162,'Paths and Tariffs'!G:G,"GAS",'Paths and Tariffs'!N:N,1,'Paths and Tariffs'!M:M,1)</f>
        <v>8.4239999999999992E-3</v>
      </c>
    </row>
    <row r="163" spans="1:35" hidden="1" x14ac:dyDescent="0.55000000000000004">
      <c r="A163" s="35" t="s">
        <v>3840</v>
      </c>
      <c r="B163" t="s">
        <v>4048</v>
      </c>
      <c r="C163" t="s">
        <v>4048</v>
      </c>
      <c r="D163" t="s">
        <v>7312</v>
      </c>
      <c r="E163" s="35" t="s">
        <v>4086</v>
      </c>
      <c r="F163" t="s">
        <v>4087</v>
      </c>
      <c r="G163" s="36">
        <v>0</v>
      </c>
      <c r="H163" s="36">
        <v>0</v>
      </c>
      <c r="I163" s="36">
        <v>1.15E-2</v>
      </c>
      <c r="J163" s="37">
        <f t="shared" si="18"/>
        <v>1.15E-2</v>
      </c>
      <c r="K163" s="54">
        <v>0.18314900000000001</v>
      </c>
      <c r="L163" s="54">
        <v>2.2550000000000001E-3</v>
      </c>
      <c r="M163" s="54">
        <v>-5.5E-2</v>
      </c>
      <c r="N163" s="54">
        <v>5.0000000000000001E-3</v>
      </c>
      <c r="O163" s="54">
        <v>1.2500000000000001E-2</v>
      </c>
      <c r="P163" s="54">
        <v>1.4999999999999999E-2</v>
      </c>
      <c r="Q163" s="54">
        <v>0.02</v>
      </c>
      <c r="R163" s="54">
        <v>0</v>
      </c>
      <c r="S163" s="59">
        <f t="shared" si="19"/>
        <v>0.18290400000000004</v>
      </c>
      <c r="T163" s="38">
        <f t="shared" si="20"/>
        <v>0.19440400000000005</v>
      </c>
      <c r="U163" s="39">
        <v>0</v>
      </c>
      <c r="V163" s="39">
        <v>0</v>
      </c>
      <c r="W163" s="39">
        <v>1.15E-2</v>
      </c>
      <c r="X163" s="40">
        <f t="shared" si="21"/>
        <v>1.15E-2</v>
      </c>
      <c r="Y163" s="41">
        <v>4.8211999999999998E-2</v>
      </c>
      <c r="Z163" s="41">
        <v>1.356E-3</v>
      </c>
      <c r="AA163" s="41">
        <v>3.0000000000000001E-3</v>
      </c>
      <c r="AB163" s="41">
        <v>0</v>
      </c>
      <c r="AC163" s="42">
        <f t="shared" si="22"/>
        <v>5.2568000000000004E-2</v>
      </c>
      <c r="AD163" s="38">
        <f t="shared" si="23"/>
        <v>6.4068E-2</v>
      </c>
      <c r="AE163" s="43">
        <f t="shared" si="24"/>
        <v>6.4068E-2</v>
      </c>
      <c r="AF163" s="43">
        <f t="shared" si="25"/>
        <v>7.7101600000000006E-2</v>
      </c>
      <c r="AG163" s="43">
        <f t="shared" si="26"/>
        <v>8.3618400000000009E-2</v>
      </c>
      <c r="AI163" s="64">
        <f>SUMIFS('Paths and Tariffs'!Q:Q,'Paths and Tariffs'!E:E,'Costing Detail'!E163,'Paths and Tariffs'!G:G,"GAS",'Paths and Tariffs'!N:N,1,'Paths and Tariffs'!M:M,1)</f>
        <v>4.8211999999999998E-2</v>
      </c>
    </row>
    <row r="164" spans="1:35" hidden="1" x14ac:dyDescent="0.55000000000000004">
      <c r="A164" s="35" t="s">
        <v>4092</v>
      </c>
      <c r="B164" t="s">
        <v>4099</v>
      </c>
      <c r="C164" t="s">
        <v>4099</v>
      </c>
      <c r="D164" t="s">
        <v>7312</v>
      </c>
      <c r="E164" s="35" t="s">
        <v>4100</v>
      </c>
      <c r="F164" t="s">
        <v>4101</v>
      </c>
      <c r="G164" s="36">
        <v>0</v>
      </c>
      <c r="H164" s="36">
        <v>0</v>
      </c>
      <c r="I164" s="36">
        <v>1.15E-2</v>
      </c>
      <c r="J164" s="37">
        <f t="shared" si="18"/>
        <v>1.15E-2</v>
      </c>
      <c r="K164" s="54">
        <v>0.18299199999999999</v>
      </c>
      <c r="L164" s="54">
        <v>2.2469999999999999E-3</v>
      </c>
      <c r="M164" s="54">
        <v>-0.125</v>
      </c>
      <c r="N164" s="54">
        <v>5.0000000000000001E-3</v>
      </c>
      <c r="O164" s="54">
        <v>1.2500000000000001E-2</v>
      </c>
      <c r="P164" s="54">
        <v>1.4999999999999999E-2</v>
      </c>
      <c r="Q164" s="54">
        <v>0.02</v>
      </c>
      <c r="R164" s="54">
        <v>0</v>
      </c>
      <c r="S164" s="59">
        <f t="shared" si="19"/>
        <v>0.11273899999999999</v>
      </c>
      <c r="T164" s="38">
        <f t="shared" si="20"/>
        <v>0.12423899999999999</v>
      </c>
      <c r="U164" s="39">
        <v>0</v>
      </c>
      <c r="V164" s="39">
        <v>0</v>
      </c>
      <c r="W164" s="39">
        <v>0</v>
      </c>
      <c r="X164" s="40">
        <f t="shared" si="21"/>
        <v>0</v>
      </c>
      <c r="Y164" s="41">
        <v>0.13624</v>
      </c>
      <c r="Z164" s="41">
        <v>2.4620000000000002E-3</v>
      </c>
      <c r="AA164" s="41">
        <v>3.0000000000000001E-3</v>
      </c>
      <c r="AB164" s="41">
        <v>0</v>
      </c>
      <c r="AC164" s="42">
        <f t="shared" si="22"/>
        <v>0.14170199999999999</v>
      </c>
      <c r="AD164" s="38">
        <f t="shared" si="23"/>
        <v>0.14170199999999999</v>
      </c>
      <c r="AE164" s="43">
        <f t="shared" si="24"/>
        <v>0.14170199999999999</v>
      </c>
      <c r="AF164" s="43">
        <f t="shared" si="25"/>
        <v>0.13995569999999999</v>
      </c>
      <c r="AG164" s="43">
        <f t="shared" si="26"/>
        <v>0.13908255</v>
      </c>
      <c r="AI164" s="64">
        <f>SUMIFS('Paths and Tariffs'!Q:Q,'Paths and Tariffs'!E:E,'Costing Detail'!E164,'Paths and Tariffs'!G:G,"GAS",'Paths and Tariffs'!N:N,1,'Paths and Tariffs'!M:M,1)</f>
        <v>0.13624</v>
      </c>
    </row>
    <row r="165" spans="1:35" hidden="1" x14ac:dyDescent="0.55000000000000004">
      <c r="A165" s="35" t="s">
        <v>4092</v>
      </c>
      <c r="B165" t="s">
        <v>4119</v>
      </c>
      <c r="C165" t="s">
        <v>4119</v>
      </c>
      <c r="D165" t="s">
        <v>7312</v>
      </c>
      <c r="E165" s="35" t="s">
        <v>4125</v>
      </c>
      <c r="F165" t="s">
        <v>4126</v>
      </c>
      <c r="G165" s="36">
        <v>0</v>
      </c>
      <c r="H165" s="36">
        <v>0</v>
      </c>
      <c r="I165" s="36">
        <v>1.15E-2</v>
      </c>
      <c r="J165" s="37">
        <f t="shared" si="18"/>
        <v>1.15E-2</v>
      </c>
      <c r="K165" s="54">
        <v>0.18374099999999999</v>
      </c>
      <c r="L165" s="54">
        <v>2.287E-3</v>
      </c>
      <c r="M165" s="54">
        <v>-0.125</v>
      </c>
      <c r="N165" s="54">
        <v>5.0000000000000001E-3</v>
      </c>
      <c r="O165" s="54">
        <v>1.2500000000000001E-2</v>
      </c>
      <c r="P165" s="54">
        <v>1.4999999999999999E-2</v>
      </c>
      <c r="Q165" s="54">
        <v>0.02</v>
      </c>
      <c r="R165" s="54">
        <v>0</v>
      </c>
      <c r="S165" s="59">
        <f t="shared" si="19"/>
        <v>0.113528</v>
      </c>
      <c r="T165" s="38">
        <f t="shared" si="20"/>
        <v>0.125028</v>
      </c>
      <c r="U165" s="39">
        <v>0</v>
      </c>
      <c r="V165" s="39">
        <v>0</v>
      </c>
      <c r="W165" s="39">
        <v>0</v>
      </c>
      <c r="X165" s="40">
        <f t="shared" si="21"/>
        <v>0</v>
      </c>
      <c r="Y165" s="41">
        <v>0.108302</v>
      </c>
      <c r="Z165" s="41">
        <v>2.258E-3</v>
      </c>
      <c r="AA165" s="41">
        <v>3.0000000000000001E-3</v>
      </c>
      <c r="AB165" s="41">
        <v>0</v>
      </c>
      <c r="AC165" s="42">
        <f t="shared" si="22"/>
        <v>0.11355999999999999</v>
      </c>
      <c r="AD165" s="38">
        <f t="shared" si="23"/>
        <v>0.11355999999999999</v>
      </c>
      <c r="AE165" s="43">
        <f t="shared" si="24"/>
        <v>0.11355999999999999</v>
      </c>
      <c r="AF165" s="43">
        <f t="shared" si="25"/>
        <v>0.1147068</v>
      </c>
      <c r="AG165" s="43">
        <f t="shared" si="26"/>
        <v>0.11528019999999999</v>
      </c>
      <c r="AI165" s="64">
        <f>SUMIFS('Paths and Tariffs'!Q:Q,'Paths and Tariffs'!E:E,'Costing Detail'!E165,'Paths and Tariffs'!G:G,"GAS",'Paths and Tariffs'!N:N,1,'Paths and Tariffs'!M:M,1)</f>
        <v>0.108302</v>
      </c>
    </row>
    <row r="166" spans="1:35" hidden="1" x14ac:dyDescent="0.55000000000000004">
      <c r="A166" s="35" t="s">
        <v>4092</v>
      </c>
      <c r="B166" t="s">
        <v>4108</v>
      </c>
      <c r="C166" t="s">
        <v>4109</v>
      </c>
      <c r="D166" t="s">
        <v>7312</v>
      </c>
      <c r="E166" s="35" t="s">
        <v>4110</v>
      </c>
      <c r="F166" t="s">
        <v>4111</v>
      </c>
      <c r="G166" s="36">
        <v>0</v>
      </c>
      <c r="H166" s="36">
        <v>0</v>
      </c>
      <c r="I166" s="36">
        <v>1.15E-2</v>
      </c>
      <c r="J166" s="37">
        <f t="shared" si="18"/>
        <v>1.15E-2</v>
      </c>
      <c r="K166" s="54">
        <v>0.18310399999999999</v>
      </c>
      <c r="L166" s="54">
        <v>2.2529999999999998E-3</v>
      </c>
      <c r="M166" s="54">
        <v>-0.125</v>
      </c>
      <c r="N166" s="54">
        <v>5.0000000000000001E-3</v>
      </c>
      <c r="O166" s="54">
        <v>1.2500000000000001E-2</v>
      </c>
      <c r="P166" s="54">
        <v>1.4999999999999999E-2</v>
      </c>
      <c r="Q166" s="54">
        <v>0.02</v>
      </c>
      <c r="R166" s="54">
        <v>0</v>
      </c>
      <c r="S166" s="59">
        <f t="shared" si="19"/>
        <v>0.112857</v>
      </c>
      <c r="T166" s="38">
        <f t="shared" si="20"/>
        <v>0.124357</v>
      </c>
      <c r="U166" s="39">
        <v>0</v>
      </c>
      <c r="V166" s="39">
        <v>0</v>
      </c>
      <c r="W166" s="39">
        <v>1.15E-2</v>
      </c>
      <c r="X166" s="40">
        <f t="shared" si="21"/>
        <v>1.15E-2</v>
      </c>
      <c r="Y166" s="41">
        <v>7.1429000000000006E-2</v>
      </c>
      <c r="Z166" s="41">
        <v>2.114E-3</v>
      </c>
      <c r="AA166" s="41">
        <v>3.0000000000000001E-3</v>
      </c>
      <c r="AB166" s="41">
        <v>0</v>
      </c>
      <c r="AC166" s="42">
        <f t="shared" si="22"/>
        <v>7.6543000000000014E-2</v>
      </c>
      <c r="AD166" s="38">
        <f t="shared" si="23"/>
        <v>8.804300000000001E-2</v>
      </c>
      <c r="AE166" s="43">
        <f t="shared" si="24"/>
        <v>8.804300000000001E-2</v>
      </c>
      <c r="AF166" s="43">
        <f t="shared" si="25"/>
        <v>9.1674400000000017E-2</v>
      </c>
      <c r="AG166" s="43">
        <f t="shared" si="26"/>
        <v>9.3490099999999993E-2</v>
      </c>
      <c r="AI166" s="64">
        <f>SUMIFS('Paths and Tariffs'!Q:Q,'Paths and Tariffs'!E:E,'Costing Detail'!E166,'Paths and Tariffs'!G:G,"GAS",'Paths and Tariffs'!N:N,1,'Paths and Tariffs'!M:M,1)</f>
        <v>7.1429000000000006E-2</v>
      </c>
    </row>
    <row r="167" spans="1:35" hidden="1" x14ac:dyDescent="0.55000000000000004">
      <c r="A167" s="35" t="s">
        <v>4092</v>
      </c>
      <c r="B167" t="s">
        <v>4109</v>
      </c>
      <c r="C167" t="s">
        <v>4109</v>
      </c>
      <c r="D167" t="s">
        <v>7312</v>
      </c>
      <c r="E167" s="35" t="s">
        <v>4149</v>
      </c>
      <c r="F167" t="s">
        <v>4150</v>
      </c>
      <c r="G167" s="36">
        <v>0</v>
      </c>
      <c r="H167" s="36">
        <v>0</v>
      </c>
      <c r="I167" s="36">
        <v>1.15E-2</v>
      </c>
      <c r="J167" s="37">
        <f t="shared" si="18"/>
        <v>1.15E-2</v>
      </c>
      <c r="K167" s="54">
        <v>0.18298300000000001</v>
      </c>
      <c r="L167" s="54">
        <v>2.2460000000000002E-3</v>
      </c>
      <c r="M167" s="54">
        <v>-0.125</v>
      </c>
      <c r="N167" s="54">
        <v>5.0000000000000001E-3</v>
      </c>
      <c r="O167" s="54">
        <v>1.2500000000000001E-2</v>
      </c>
      <c r="P167" s="54">
        <v>1.4999999999999999E-2</v>
      </c>
      <c r="Q167" s="54">
        <v>0.02</v>
      </c>
      <c r="R167" s="54">
        <v>0</v>
      </c>
      <c r="S167" s="59">
        <f t="shared" si="19"/>
        <v>0.11272900000000001</v>
      </c>
      <c r="T167" s="38">
        <f t="shared" si="20"/>
        <v>0.12422900000000001</v>
      </c>
      <c r="U167" s="39">
        <v>0</v>
      </c>
      <c r="V167" s="39">
        <v>0</v>
      </c>
      <c r="W167" s="39">
        <v>0</v>
      </c>
      <c r="X167" s="40">
        <f t="shared" si="21"/>
        <v>0</v>
      </c>
      <c r="Y167" s="41">
        <v>7.1429000000000006E-2</v>
      </c>
      <c r="Z167" s="41">
        <v>2.1389999999999998E-3</v>
      </c>
      <c r="AA167" s="41">
        <v>3.0000000000000001E-3</v>
      </c>
      <c r="AB167" s="41">
        <v>0</v>
      </c>
      <c r="AC167" s="42">
        <f t="shared" si="22"/>
        <v>7.6568000000000011E-2</v>
      </c>
      <c r="AD167" s="38">
        <f t="shared" si="23"/>
        <v>7.6568000000000011E-2</v>
      </c>
      <c r="AE167" s="43">
        <f t="shared" si="24"/>
        <v>7.6568000000000011E-2</v>
      </c>
      <c r="AF167" s="43">
        <f t="shared" si="25"/>
        <v>8.1334100000000006E-2</v>
      </c>
      <c r="AG167" s="43">
        <f t="shared" si="26"/>
        <v>8.3717150000000018E-2</v>
      </c>
      <c r="AI167" s="64">
        <f>SUMIFS('Paths and Tariffs'!Q:Q,'Paths and Tariffs'!E:E,'Costing Detail'!E167,'Paths and Tariffs'!G:G,"GAS",'Paths and Tariffs'!N:N,1,'Paths and Tariffs'!M:M,1)</f>
        <v>7.1429000000000006E-2</v>
      </c>
    </row>
    <row r="168" spans="1:35" hidden="1" x14ac:dyDescent="0.55000000000000004">
      <c r="A168" s="35" t="s">
        <v>4210</v>
      </c>
      <c r="B168" t="s">
        <v>4211</v>
      </c>
      <c r="C168" t="s">
        <v>4344</v>
      </c>
      <c r="D168" t="s">
        <v>7329</v>
      </c>
      <c r="E168" s="35" t="s">
        <v>4212</v>
      </c>
      <c r="F168" t="s">
        <v>4213</v>
      </c>
      <c r="G168" s="36">
        <v>0</v>
      </c>
      <c r="H168" s="36">
        <v>0</v>
      </c>
      <c r="I168" s="36">
        <v>1.15E-2</v>
      </c>
      <c r="J168" s="37">
        <f t="shared" si="18"/>
        <v>1.15E-2</v>
      </c>
      <c r="K168" s="54">
        <v>0.21213299999999999</v>
      </c>
      <c r="L168" s="54">
        <v>2.5079999999999998E-3</v>
      </c>
      <c r="M168" s="54">
        <v>-5.5E-2</v>
      </c>
      <c r="N168" s="54">
        <v>5.0000000000000001E-3</v>
      </c>
      <c r="O168" s="54">
        <v>1.2500000000000001E-2</v>
      </c>
      <c r="P168" s="54">
        <v>1.4999999999999999E-2</v>
      </c>
      <c r="Q168" s="54">
        <v>0.02</v>
      </c>
      <c r="R168" s="54">
        <v>0</v>
      </c>
      <c r="S168" s="59">
        <f t="shared" si="19"/>
        <v>0.212141</v>
      </c>
      <c r="T168" s="38">
        <f t="shared" si="20"/>
        <v>0.22364100000000001</v>
      </c>
      <c r="U168" s="39">
        <v>0</v>
      </c>
      <c r="V168" s="39">
        <v>0</v>
      </c>
      <c r="W168" s="39">
        <v>1.15E-2</v>
      </c>
      <c r="X168" s="40">
        <f t="shared" si="21"/>
        <v>1.15E-2</v>
      </c>
      <c r="Y168" s="41">
        <v>3.4363999999999999E-2</v>
      </c>
      <c r="Z168" s="41">
        <v>1.072E-3</v>
      </c>
      <c r="AA168" s="41">
        <v>3.0000000000000001E-3</v>
      </c>
      <c r="AB168" s="41">
        <v>0</v>
      </c>
      <c r="AC168" s="42">
        <f t="shared" si="22"/>
        <v>3.8435999999999998E-2</v>
      </c>
      <c r="AD168" s="38">
        <f t="shared" si="23"/>
        <v>4.9935999999999994E-2</v>
      </c>
      <c r="AE168" s="43">
        <f t="shared" si="24"/>
        <v>4.9935999999999994E-2</v>
      </c>
      <c r="AF168" s="43">
        <f t="shared" si="25"/>
        <v>6.7306499999999991E-2</v>
      </c>
      <c r="AG168" s="43">
        <f t="shared" si="26"/>
        <v>7.5991749999999997E-2</v>
      </c>
      <c r="AI168" s="64">
        <f>SUMIFS('Paths and Tariffs'!Q:Q,'Paths and Tariffs'!E:E,'Costing Detail'!E168,'Paths and Tariffs'!G:G,"GAS",'Paths and Tariffs'!N:N,1,'Paths and Tariffs'!M:M,1)</f>
        <v>3.4363999999999999E-2</v>
      </c>
    </row>
    <row r="169" spans="1:35" hidden="1" x14ac:dyDescent="0.55000000000000004">
      <c r="A169" s="35" t="s">
        <v>4210</v>
      </c>
      <c r="B169" t="s">
        <v>4344</v>
      </c>
      <c r="C169" t="s">
        <v>4344</v>
      </c>
      <c r="D169" t="s">
        <v>7329</v>
      </c>
      <c r="E169" s="35" t="s">
        <v>4358</v>
      </c>
      <c r="F169" t="s">
        <v>4359</v>
      </c>
      <c r="G169" s="36">
        <v>0</v>
      </c>
      <c r="H169" s="36">
        <v>0</v>
      </c>
      <c r="I169" s="36">
        <v>1.15E-2</v>
      </c>
      <c r="J169" s="37">
        <f t="shared" si="18"/>
        <v>1.15E-2</v>
      </c>
      <c r="K169" s="54">
        <v>0.21213299999999999</v>
      </c>
      <c r="L169" s="54">
        <v>2.5049999999999998E-3</v>
      </c>
      <c r="M169" s="54">
        <v>-5.5E-2</v>
      </c>
      <c r="N169" s="54">
        <v>5.0000000000000001E-3</v>
      </c>
      <c r="O169" s="54">
        <v>1.2500000000000001E-2</v>
      </c>
      <c r="P169" s="54">
        <v>1.4999999999999999E-2</v>
      </c>
      <c r="Q169" s="54">
        <v>0.02</v>
      </c>
      <c r="R169" s="54">
        <v>0</v>
      </c>
      <c r="S169" s="59">
        <f t="shared" si="19"/>
        <v>0.21213800000000002</v>
      </c>
      <c r="T169" s="38">
        <f t="shared" si="20"/>
        <v>0.22363800000000003</v>
      </c>
      <c r="U169" s="39">
        <v>0</v>
      </c>
      <c r="V169" s="39">
        <v>0</v>
      </c>
      <c r="W169" s="39">
        <v>1.15E-2</v>
      </c>
      <c r="X169" s="40">
        <f t="shared" si="21"/>
        <v>1.15E-2</v>
      </c>
      <c r="Y169" s="41">
        <v>3.9787999999999997E-2</v>
      </c>
      <c r="Z169" s="41">
        <v>1.029E-3</v>
      </c>
      <c r="AA169" s="41">
        <v>3.0000000000000001E-3</v>
      </c>
      <c r="AB169" s="41">
        <v>0</v>
      </c>
      <c r="AC169" s="42">
        <f t="shared" si="22"/>
        <v>4.3817000000000002E-2</v>
      </c>
      <c r="AD169" s="38">
        <f t="shared" si="23"/>
        <v>5.5317000000000005E-2</v>
      </c>
      <c r="AE169" s="43">
        <f t="shared" si="24"/>
        <v>5.5317000000000005E-2</v>
      </c>
      <c r="AF169" s="43">
        <f t="shared" si="25"/>
        <v>7.2149100000000008E-2</v>
      </c>
      <c r="AG169" s="43">
        <f t="shared" si="26"/>
        <v>8.0565150000000002E-2</v>
      </c>
      <c r="AI169" s="64">
        <f>SUMIFS('Paths and Tariffs'!Q:Q,'Paths and Tariffs'!E:E,'Costing Detail'!E169,'Paths and Tariffs'!G:G,"GAS",'Paths and Tariffs'!N:N,1,'Paths and Tariffs'!M:M,1)</f>
        <v>3.9787999999999997E-2</v>
      </c>
    </row>
    <row r="170" spans="1:35" hidden="1" x14ac:dyDescent="0.55000000000000004">
      <c r="A170" s="35" t="s">
        <v>4210</v>
      </c>
      <c r="B170" t="s">
        <v>7379</v>
      </c>
      <c r="C170" t="s">
        <v>4344</v>
      </c>
      <c r="D170" t="s">
        <v>7329</v>
      </c>
      <c r="E170" s="35" t="s">
        <v>4520</v>
      </c>
      <c r="F170" t="s">
        <v>4521</v>
      </c>
      <c r="G170" s="36">
        <v>0</v>
      </c>
      <c r="H170" s="36">
        <v>0</v>
      </c>
      <c r="I170" s="36">
        <v>1.15E-2</v>
      </c>
      <c r="J170" s="37">
        <f t="shared" si="18"/>
        <v>1.15E-2</v>
      </c>
      <c r="K170" s="54">
        <v>0.21213299999999999</v>
      </c>
      <c r="L170" s="54">
        <v>2.506E-3</v>
      </c>
      <c r="M170" s="54">
        <v>-5.5E-2</v>
      </c>
      <c r="N170" s="54">
        <v>5.0000000000000001E-3</v>
      </c>
      <c r="O170" s="54">
        <v>1.2500000000000001E-2</v>
      </c>
      <c r="P170" s="54">
        <v>1.4999999999999999E-2</v>
      </c>
      <c r="Q170" s="54">
        <v>0.02</v>
      </c>
      <c r="R170" s="54">
        <v>0</v>
      </c>
      <c r="S170" s="59">
        <f t="shared" si="19"/>
        <v>0.21213899999999999</v>
      </c>
      <c r="T170" s="38">
        <f t="shared" si="20"/>
        <v>0.223639</v>
      </c>
      <c r="U170" s="39">
        <v>0</v>
      </c>
      <c r="V170" s="39">
        <v>0</v>
      </c>
      <c r="W170" s="39">
        <v>1.15E-2</v>
      </c>
      <c r="X170" s="40">
        <f t="shared" si="21"/>
        <v>1.15E-2</v>
      </c>
      <c r="Y170" s="41">
        <v>3.8075999999999999E-2</v>
      </c>
      <c r="Z170" s="41">
        <v>1.018E-3</v>
      </c>
      <c r="AA170" s="41">
        <v>3.0000000000000001E-3</v>
      </c>
      <c r="AB170" s="41">
        <v>0</v>
      </c>
      <c r="AC170" s="42">
        <f t="shared" si="22"/>
        <v>4.2093999999999999E-2</v>
      </c>
      <c r="AD170" s="38">
        <f t="shared" si="23"/>
        <v>5.3594000000000003E-2</v>
      </c>
      <c r="AE170" s="43">
        <f t="shared" si="24"/>
        <v>5.3594000000000003E-2</v>
      </c>
      <c r="AF170" s="43">
        <f t="shared" si="25"/>
        <v>7.0598500000000008E-2</v>
      </c>
      <c r="AG170" s="43">
        <f t="shared" si="26"/>
        <v>7.9100749999999997E-2</v>
      </c>
      <c r="AI170" s="64">
        <f>SUMIFS('Paths and Tariffs'!Q:Q,'Paths and Tariffs'!E:E,'Costing Detail'!E170,'Paths and Tariffs'!G:G,"GAS",'Paths and Tariffs'!N:N,1,'Paths and Tariffs'!M:M,1)</f>
        <v>3.8075999999999999E-2</v>
      </c>
    </row>
    <row r="171" spans="1:35" hidden="1" x14ac:dyDescent="0.55000000000000004">
      <c r="A171" s="35" t="s">
        <v>4210</v>
      </c>
      <c r="B171" t="s">
        <v>7384</v>
      </c>
      <c r="C171" t="s">
        <v>4225</v>
      </c>
      <c r="D171" t="s">
        <v>7329</v>
      </c>
      <c r="E171" s="35" t="s">
        <v>4226</v>
      </c>
      <c r="F171" t="s">
        <v>4227</v>
      </c>
      <c r="G171" s="36">
        <v>0</v>
      </c>
      <c r="H171" s="36">
        <v>0</v>
      </c>
      <c r="I171" s="36">
        <v>1.15E-2</v>
      </c>
      <c r="J171" s="37">
        <f t="shared" si="18"/>
        <v>1.15E-2</v>
      </c>
      <c r="K171" s="54">
        <v>0.19956699999999999</v>
      </c>
      <c r="L171" s="54">
        <v>2.3969999999999998E-3</v>
      </c>
      <c r="M171" s="54">
        <v>-5.5E-2</v>
      </c>
      <c r="N171" s="54">
        <v>5.0000000000000001E-3</v>
      </c>
      <c r="O171" s="54">
        <v>1.2500000000000001E-2</v>
      </c>
      <c r="P171" s="54">
        <v>1.4999999999999999E-2</v>
      </c>
      <c r="Q171" s="54">
        <v>0.02</v>
      </c>
      <c r="R171" s="54">
        <v>0</v>
      </c>
      <c r="S171" s="59">
        <f t="shared" si="19"/>
        <v>0.199464</v>
      </c>
      <c r="T171" s="38">
        <f t="shared" si="20"/>
        <v>0.21096400000000001</v>
      </c>
      <c r="U171" s="39">
        <v>0</v>
      </c>
      <c r="V171" s="39">
        <v>0</v>
      </c>
      <c r="W171" s="39">
        <v>1.15E-2</v>
      </c>
      <c r="X171" s="40">
        <f t="shared" si="21"/>
        <v>1.15E-2</v>
      </c>
      <c r="Y171" s="41">
        <v>3.124E-2</v>
      </c>
      <c r="Z171" s="41">
        <v>1.302E-3</v>
      </c>
      <c r="AA171" s="41">
        <v>3.0000000000000001E-3</v>
      </c>
      <c r="AB171" s="41">
        <v>0</v>
      </c>
      <c r="AC171" s="42">
        <f t="shared" si="22"/>
        <v>3.5542000000000004E-2</v>
      </c>
      <c r="AD171" s="38">
        <f t="shared" si="23"/>
        <v>4.7042E-2</v>
      </c>
      <c r="AE171" s="43">
        <f t="shared" si="24"/>
        <v>4.7042E-2</v>
      </c>
      <c r="AF171" s="43">
        <f t="shared" si="25"/>
        <v>6.3434199999999996E-2</v>
      </c>
      <c r="AG171" s="43">
        <f t="shared" si="26"/>
        <v>7.1630300000000008E-2</v>
      </c>
      <c r="AI171" s="64">
        <f>SUMIFS('Paths and Tariffs'!Q:Q,'Paths and Tariffs'!E:E,'Costing Detail'!E171,'Paths and Tariffs'!G:G,"GAS",'Paths and Tariffs'!N:N,1,'Paths and Tariffs'!M:M,1)</f>
        <v>3.124E-2</v>
      </c>
    </row>
    <row r="172" spans="1:35" hidden="1" x14ac:dyDescent="0.55000000000000004">
      <c r="A172" s="35" t="s">
        <v>4210</v>
      </c>
      <c r="B172" t="s">
        <v>4338</v>
      </c>
      <c r="C172" t="s">
        <v>4475</v>
      </c>
      <c r="D172" t="s">
        <v>7329</v>
      </c>
      <c r="E172" s="35" t="s">
        <v>4488</v>
      </c>
      <c r="F172" t="s">
        <v>4489</v>
      </c>
      <c r="G172" s="36">
        <v>0</v>
      </c>
      <c r="H172" s="36">
        <v>0</v>
      </c>
      <c r="I172" s="36">
        <v>1.15E-2</v>
      </c>
      <c r="J172" s="37">
        <f t="shared" si="18"/>
        <v>1.15E-2</v>
      </c>
      <c r="K172" s="54">
        <v>0.21213299999999999</v>
      </c>
      <c r="L172" s="54">
        <v>2.4979999999999998E-3</v>
      </c>
      <c r="M172" s="54">
        <v>-5.5E-2</v>
      </c>
      <c r="N172" s="54">
        <v>5.0000000000000001E-3</v>
      </c>
      <c r="O172" s="54">
        <v>1.2500000000000001E-2</v>
      </c>
      <c r="P172" s="54">
        <v>1.4999999999999999E-2</v>
      </c>
      <c r="Q172" s="54">
        <v>0.02</v>
      </c>
      <c r="R172" s="54">
        <v>0</v>
      </c>
      <c r="S172" s="59">
        <f t="shared" si="19"/>
        <v>0.21213099999999999</v>
      </c>
      <c r="T172" s="38">
        <f t="shared" si="20"/>
        <v>0.223631</v>
      </c>
      <c r="U172" s="39">
        <v>0</v>
      </c>
      <c r="V172" s="39">
        <v>0</v>
      </c>
      <c r="W172" s="39">
        <v>1.15E-2</v>
      </c>
      <c r="X172" s="40">
        <f t="shared" si="21"/>
        <v>1.15E-2</v>
      </c>
      <c r="Y172" s="41">
        <v>5.2513999999999998E-2</v>
      </c>
      <c r="Z172" s="41">
        <v>1.1509999999999999E-3</v>
      </c>
      <c r="AA172" s="41">
        <v>3.0000000000000001E-3</v>
      </c>
      <c r="AB172" s="41">
        <v>0</v>
      </c>
      <c r="AC172" s="42">
        <f t="shared" si="22"/>
        <v>5.6665E-2</v>
      </c>
      <c r="AD172" s="38">
        <f t="shared" si="23"/>
        <v>6.8165000000000003E-2</v>
      </c>
      <c r="AE172" s="43">
        <f t="shared" si="24"/>
        <v>6.8165000000000003E-2</v>
      </c>
      <c r="AF172" s="43">
        <f t="shared" si="25"/>
        <v>8.3711600000000011E-2</v>
      </c>
      <c r="AG172" s="43">
        <f t="shared" si="26"/>
        <v>9.1484899999999994E-2</v>
      </c>
      <c r="AI172" s="64">
        <f>SUMIFS('Paths and Tariffs'!Q:Q,'Paths and Tariffs'!E:E,'Costing Detail'!E172,'Paths and Tariffs'!G:G,"GAS",'Paths and Tariffs'!N:N,1,'Paths and Tariffs'!M:M,1)</f>
        <v>5.2513999999999998E-2</v>
      </c>
    </row>
    <row r="173" spans="1:35" hidden="1" x14ac:dyDescent="0.55000000000000004">
      <c r="A173" s="35" t="s">
        <v>4210</v>
      </c>
      <c r="B173" t="s">
        <v>7380</v>
      </c>
      <c r="C173" t="s">
        <v>4312</v>
      </c>
      <c r="D173" t="s">
        <v>7329</v>
      </c>
      <c r="E173" s="35" t="s">
        <v>4330</v>
      </c>
      <c r="F173" t="s">
        <v>4331</v>
      </c>
      <c r="G173" s="36">
        <v>0</v>
      </c>
      <c r="H173" s="36">
        <v>0</v>
      </c>
      <c r="I173" s="36">
        <v>1.15E-2</v>
      </c>
      <c r="J173" s="37">
        <f t="shared" si="18"/>
        <v>1.15E-2</v>
      </c>
      <c r="K173" s="54">
        <v>0.22120000000000001</v>
      </c>
      <c r="L173" s="54">
        <v>2.4580000000000001E-3</v>
      </c>
      <c r="M173" s="54">
        <v>-5.5E-2</v>
      </c>
      <c r="N173" s="54">
        <v>5.0000000000000001E-3</v>
      </c>
      <c r="O173" s="54">
        <v>1.2500000000000001E-2</v>
      </c>
      <c r="P173" s="54">
        <v>1.4999999999999999E-2</v>
      </c>
      <c r="Q173" s="54">
        <v>0.02</v>
      </c>
      <c r="R173" s="54">
        <v>0</v>
      </c>
      <c r="S173" s="59">
        <f t="shared" si="19"/>
        <v>0.22115799999999999</v>
      </c>
      <c r="T173" s="38">
        <f t="shared" si="20"/>
        <v>0.232658</v>
      </c>
      <c r="U173" s="39">
        <v>0</v>
      </c>
      <c r="V173" s="39">
        <v>0</v>
      </c>
      <c r="W173" s="39">
        <v>1.15E-2</v>
      </c>
      <c r="X173" s="40">
        <f t="shared" si="21"/>
        <v>1.15E-2</v>
      </c>
      <c r="Y173" s="41">
        <v>2.4648E-2</v>
      </c>
      <c r="Z173" s="41">
        <v>1.031E-3</v>
      </c>
      <c r="AA173" s="41">
        <v>3.0000000000000001E-3</v>
      </c>
      <c r="AB173" s="41">
        <v>0</v>
      </c>
      <c r="AC173" s="42">
        <f t="shared" si="22"/>
        <v>2.8679E-2</v>
      </c>
      <c r="AD173" s="38">
        <f t="shared" si="23"/>
        <v>4.0178999999999999E-2</v>
      </c>
      <c r="AE173" s="43">
        <f t="shared" si="24"/>
        <v>4.0178999999999999E-2</v>
      </c>
      <c r="AF173" s="43">
        <f t="shared" si="25"/>
        <v>5.9426900000000005E-2</v>
      </c>
      <c r="AG173" s="43">
        <f t="shared" si="26"/>
        <v>6.9050849999999997E-2</v>
      </c>
      <c r="AI173" s="64">
        <f>SUMIFS('Paths and Tariffs'!Q:Q,'Paths and Tariffs'!E:E,'Costing Detail'!E173,'Paths and Tariffs'!G:G,"GAS",'Paths and Tariffs'!N:N,1,'Paths and Tariffs'!M:M,1)</f>
        <v>2.4648E-2</v>
      </c>
    </row>
    <row r="174" spans="1:35" hidden="1" x14ac:dyDescent="0.55000000000000004">
      <c r="A174" s="35" t="s">
        <v>4210</v>
      </c>
      <c r="B174" t="s">
        <v>4377</v>
      </c>
      <c r="C174" t="s">
        <v>4312</v>
      </c>
      <c r="D174" t="s">
        <v>7329</v>
      </c>
      <c r="E174" s="35" t="s">
        <v>4378</v>
      </c>
      <c r="F174" t="s">
        <v>4379</v>
      </c>
      <c r="G174" s="36">
        <v>0</v>
      </c>
      <c r="H174" s="36">
        <v>0</v>
      </c>
      <c r="I174" s="36">
        <v>1.15E-2</v>
      </c>
      <c r="J174" s="37">
        <f t="shared" si="18"/>
        <v>1.15E-2</v>
      </c>
      <c r="K174" s="54">
        <v>0.22120000000000001</v>
      </c>
      <c r="L174" s="54">
        <v>2.4480000000000001E-3</v>
      </c>
      <c r="M174" s="54">
        <v>-5.5E-2</v>
      </c>
      <c r="N174" s="54">
        <v>5.0000000000000001E-3</v>
      </c>
      <c r="O174" s="54">
        <v>1.2500000000000001E-2</v>
      </c>
      <c r="P174" s="54">
        <v>1.4999999999999999E-2</v>
      </c>
      <c r="Q174" s="54">
        <v>0.02</v>
      </c>
      <c r="R174" s="54">
        <v>0</v>
      </c>
      <c r="S174" s="59">
        <f t="shared" si="19"/>
        <v>0.22114800000000004</v>
      </c>
      <c r="T174" s="38">
        <f t="shared" si="20"/>
        <v>0.23264800000000005</v>
      </c>
      <c r="U174" s="39">
        <v>0</v>
      </c>
      <c r="V174" s="39">
        <v>0</v>
      </c>
      <c r="W174" s="39">
        <v>1.15E-2</v>
      </c>
      <c r="X174" s="40">
        <f t="shared" si="21"/>
        <v>1.15E-2</v>
      </c>
      <c r="Y174" s="41">
        <v>2.5368999999999999E-2</v>
      </c>
      <c r="Z174" s="41">
        <v>1.059E-3</v>
      </c>
      <c r="AA174" s="41">
        <v>3.0000000000000001E-3</v>
      </c>
      <c r="AB174" s="41">
        <v>0</v>
      </c>
      <c r="AC174" s="42">
        <f t="shared" si="22"/>
        <v>2.9427999999999999E-2</v>
      </c>
      <c r="AD174" s="38">
        <f t="shared" si="23"/>
        <v>4.0927999999999999E-2</v>
      </c>
      <c r="AE174" s="43">
        <f t="shared" si="24"/>
        <v>4.0927999999999999E-2</v>
      </c>
      <c r="AF174" s="43">
        <f t="shared" si="25"/>
        <v>6.0100000000000001E-2</v>
      </c>
      <c r="AG174" s="43">
        <f t="shared" si="26"/>
        <v>6.9685999999999998E-2</v>
      </c>
      <c r="AI174" s="64">
        <f>SUMIFS('Paths and Tariffs'!Q:Q,'Paths and Tariffs'!E:E,'Costing Detail'!E174,'Paths and Tariffs'!G:G,"GAS",'Paths and Tariffs'!N:N,1,'Paths and Tariffs'!M:M,1)</f>
        <v>2.5368999999999999E-2</v>
      </c>
    </row>
    <row r="175" spans="1:35" hidden="1" x14ac:dyDescent="0.55000000000000004">
      <c r="A175" s="35" t="s">
        <v>4210</v>
      </c>
      <c r="B175" t="s">
        <v>4396</v>
      </c>
      <c r="C175" t="s">
        <v>4396</v>
      </c>
      <c r="D175" t="s">
        <v>7329</v>
      </c>
      <c r="E175" s="35" t="s">
        <v>4397</v>
      </c>
      <c r="F175" t="s">
        <v>4398</v>
      </c>
      <c r="G175" s="36">
        <v>0</v>
      </c>
      <c r="H175" s="36">
        <v>0</v>
      </c>
      <c r="I175" s="36">
        <v>1.15E-2</v>
      </c>
      <c r="J175" s="37">
        <f t="shared" si="18"/>
        <v>1.15E-2</v>
      </c>
      <c r="K175" s="54">
        <v>0.18337300000000001</v>
      </c>
      <c r="L175" s="54">
        <v>2.2669999999999999E-3</v>
      </c>
      <c r="M175" s="54">
        <v>-5.5E-2</v>
      </c>
      <c r="N175" s="54">
        <v>5.0000000000000001E-3</v>
      </c>
      <c r="O175" s="54">
        <v>1.2500000000000001E-2</v>
      </c>
      <c r="P175" s="54">
        <v>1.4999999999999999E-2</v>
      </c>
      <c r="Q175" s="54">
        <v>0.02</v>
      </c>
      <c r="R175" s="54">
        <v>0</v>
      </c>
      <c r="S175" s="59">
        <f t="shared" si="19"/>
        <v>0.18314</v>
      </c>
      <c r="T175" s="38">
        <f t="shared" si="20"/>
        <v>0.19464000000000001</v>
      </c>
      <c r="U175" s="39">
        <v>2.6464999999999999E-2</v>
      </c>
      <c r="V175" s="39">
        <v>0</v>
      </c>
      <c r="W175" s="39">
        <v>0</v>
      </c>
      <c r="X175" s="40">
        <f t="shared" si="21"/>
        <v>2.6464999999999999E-2</v>
      </c>
      <c r="Y175" s="41">
        <v>3.6750000000000005E-2</v>
      </c>
      <c r="Z175" s="41">
        <v>9.4899999999999997E-4</v>
      </c>
      <c r="AA175" s="41">
        <v>3.0000000000000001E-3</v>
      </c>
      <c r="AB175" s="41">
        <v>0</v>
      </c>
      <c r="AC175" s="42">
        <f t="shared" si="22"/>
        <v>4.0699000000000006E-2</v>
      </c>
      <c r="AD175" s="38">
        <f t="shared" si="23"/>
        <v>6.7164000000000001E-2</v>
      </c>
      <c r="AE175" s="43">
        <f t="shared" si="24"/>
        <v>6.7164000000000001E-2</v>
      </c>
      <c r="AF175" s="43">
        <f t="shared" si="25"/>
        <v>7.9911599999999999E-2</v>
      </c>
      <c r="AG175" s="43">
        <f t="shared" si="26"/>
        <v>8.6285399999999998E-2</v>
      </c>
      <c r="AI175" s="64">
        <f>SUMIFS('Paths and Tariffs'!Q:Q,'Paths and Tariffs'!E:E,'Costing Detail'!E175,'Paths and Tariffs'!G:G,"GAS",'Paths and Tariffs'!N:N,1,'Paths and Tariffs'!M:M,1)</f>
        <v>3.6750000000000005E-2</v>
      </c>
    </row>
    <row r="176" spans="1:35" hidden="1" x14ac:dyDescent="0.55000000000000004">
      <c r="A176" s="35" t="s">
        <v>4210</v>
      </c>
      <c r="B176" t="s">
        <v>7382</v>
      </c>
      <c r="C176" t="s">
        <v>3531</v>
      </c>
      <c r="D176" t="s">
        <v>7329</v>
      </c>
      <c r="E176" s="35" t="s">
        <v>4246</v>
      </c>
      <c r="F176" t="s">
        <v>4247</v>
      </c>
      <c r="G176" s="36">
        <v>0</v>
      </c>
      <c r="H176" s="36">
        <v>0</v>
      </c>
      <c r="I176" s="36">
        <v>1.15E-2</v>
      </c>
      <c r="J176" s="37">
        <f t="shared" si="18"/>
        <v>1.15E-2</v>
      </c>
      <c r="K176" s="54">
        <v>0.219079</v>
      </c>
      <c r="L176" s="54">
        <v>2.4580000000000001E-3</v>
      </c>
      <c r="M176" s="54">
        <v>-5.5E-2</v>
      </c>
      <c r="N176" s="54">
        <v>5.0000000000000001E-3</v>
      </c>
      <c r="O176" s="54">
        <v>1.2500000000000001E-2</v>
      </c>
      <c r="P176" s="54">
        <v>1.4999999999999999E-2</v>
      </c>
      <c r="Q176" s="54">
        <v>0.02</v>
      </c>
      <c r="R176" s="54">
        <v>0</v>
      </c>
      <c r="S176" s="59">
        <f t="shared" si="19"/>
        <v>0.21903700000000001</v>
      </c>
      <c r="T176" s="38">
        <f t="shared" si="20"/>
        <v>0.23053700000000002</v>
      </c>
      <c r="U176" s="39">
        <v>0</v>
      </c>
      <c r="V176" s="39">
        <v>0</v>
      </c>
      <c r="W176" s="39">
        <v>1.15E-2</v>
      </c>
      <c r="X176" s="40">
        <f t="shared" si="21"/>
        <v>1.15E-2</v>
      </c>
      <c r="Y176" s="41">
        <v>1.7340000000000001E-2</v>
      </c>
      <c r="Z176" s="41">
        <v>8.43E-4</v>
      </c>
      <c r="AA176" s="41">
        <v>3.0000000000000001E-3</v>
      </c>
      <c r="AB176" s="41">
        <v>0</v>
      </c>
      <c r="AC176" s="42">
        <f t="shared" si="22"/>
        <v>2.1183E-2</v>
      </c>
      <c r="AD176" s="38">
        <f t="shared" si="23"/>
        <v>3.2683000000000004E-2</v>
      </c>
      <c r="AE176" s="43">
        <f t="shared" si="24"/>
        <v>3.2683000000000004E-2</v>
      </c>
      <c r="AF176" s="43">
        <f t="shared" si="25"/>
        <v>5.2468400000000012E-2</v>
      </c>
      <c r="AG176" s="43">
        <f t="shared" si="26"/>
        <v>6.2361100000000003E-2</v>
      </c>
      <c r="AI176" s="64">
        <f>SUMIFS('Paths and Tariffs'!Q:Q,'Paths and Tariffs'!E:E,'Costing Detail'!E176,'Paths and Tariffs'!G:G,"GAS",'Paths and Tariffs'!N:N,1,'Paths and Tariffs'!M:M,1)</f>
        <v>1.7340000000000001E-2</v>
      </c>
    </row>
    <row r="177" spans="1:35" hidden="1" x14ac:dyDescent="0.55000000000000004">
      <c r="A177" s="35" t="s">
        <v>4210</v>
      </c>
      <c r="B177" t="s">
        <v>4362</v>
      </c>
      <c r="C177" t="s">
        <v>3531</v>
      </c>
      <c r="D177" t="s">
        <v>7329</v>
      </c>
      <c r="E177" s="35" t="s">
        <v>4370</v>
      </c>
      <c r="F177" t="s">
        <v>4371</v>
      </c>
      <c r="G177" s="36">
        <v>0</v>
      </c>
      <c r="H177" s="36">
        <v>0</v>
      </c>
      <c r="I177" s="36">
        <v>1.15E-2</v>
      </c>
      <c r="J177" s="37">
        <f t="shared" si="18"/>
        <v>1.15E-2</v>
      </c>
      <c r="K177" s="54">
        <v>0.183867</v>
      </c>
      <c r="L177" s="54">
        <v>2.5049999999999998E-3</v>
      </c>
      <c r="M177" s="54">
        <v>-5.5E-2</v>
      </c>
      <c r="N177" s="54">
        <v>5.0000000000000001E-3</v>
      </c>
      <c r="O177" s="54">
        <v>1.2500000000000001E-2</v>
      </c>
      <c r="P177" s="54">
        <v>1.4999999999999999E-2</v>
      </c>
      <c r="Q177" s="54">
        <v>0.02</v>
      </c>
      <c r="R177" s="54">
        <v>0</v>
      </c>
      <c r="S177" s="59">
        <f t="shared" si="19"/>
        <v>0.18387200000000001</v>
      </c>
      <c r="T177" s="38">
        <f t="shared" si="20"/>
        <v>0.19537200000000002</v>
      </c>
      <c r="U177" s="39">
        <v>0</v>
      </c>
      <c r="V177" s="39">
        <v>0</v>
      </c>
      <c r="W177" s="39">
        <v>1.15E-2</v>
      </c>
      <c r="X177" s="40">
        <f t="shared" si="21"/>
        <v>1.15E-2</v>
      </c>
      <c r="Y177" s="41">
        <v>7.8069999999999997E-3</v>
      </c>
      <c r="Z177" s="41">
        <v>8.43E-4</v>
      </c>
      <c r="AA177" s="41">
        <v>3.0000000000000001E-3</v>
      </c>
      <c r="AB177" s="41">
        <v>0</v>
      </c>
      <c r="AC177" s="42">
        <f t="shared" si="22"/>
        <v>1.1650000000000001E-2</v>
      </c>
      <c r="AD177" s="38">
        <f t="shared" si="23"/>
        <v>2.315E-2</v>
      </c>
      <c r="AE177" s="43">
        <f t="shared" si="24"/>
        <v>2.315E-2</v>
      </c>
      <c r="AF177" s="43">
        <f t="shared" si="25"/>
        <v>4.0372200000000004E-2</v>
      </c>
      <c r="AG177" s="43">
        <f t="shared" si="26"/>
        <v>4.89833E-2</v>
      </c>
      <c r="AI177" s="64">
        <f>SUMIFS('Paths and Tariffs'!Q:Q,'Paths and Tariffs'!E:E,'Costing Detail'!E177,'Paths and Tariffs'!G:G,"GAS",'Paths and Tariffs'!N:N,1,'Paths and Tariffs'!M:M,1)</f>
        <v>7.8069999999999997E-3</v>
      </c>
    </row>
    <row r="178" spans="1:35" hidden="1" x14ac:dyDescent="0.55000000000000004">
      <c r="A178" s="35" t="s">
        <v>4210</v>
      </c>
      <c r="B178" t="s">
        <v>3531</v>
      </c>
      <c r="C178" t="s">
        <v>3531</v>
      </c>
      <c r="D178" t="s">
        <v>7329</v>
      </c>
      <c r="E178" s="35" t="s">
        <v>4448</v>
      </c>
      <c r="F178" t="s">
        <v>4449</v>
      </c>
      <c r="G178" s="36">
        <v>0</v>
      </c>
      <c r="H178" s="36">
        <v>0</v>
      </c>
      <c r="I178" s="36">
        <v>1.15E-2</v>
      </c>
      <c r="J178" s="37">
        <f t="shared" si="18"/>
        <v>1.15E-2</v>
      </c>
      <c r="K178" s="54">
        <v>0.183867</v>
      </c>
      <c r="L178" s="54">
        <v>2.5179999999999998E-3</v>
      </c>
      <c r="M178" s="54">
        <v>-5.5E-2</v>
      </c>
      <c r="N178" s="54">
        <v>5.0000000000000001E-3</v>
      </c>
      <c r="O178" s="54">
        <v>1.2500000000000001E-2</v>
      </c>
      <c r="P178" s="54">
        <v>1.4999999999999999E-2</v>
      </c>
      <c r="Q178" s="54">
        <v>0.02</v>
      </c>
      <c r="R178" s="54">
        <v>0</v>
      </c>
      <c r="S178" s="59">
        <f t="shared" si="19"/>
        <v>0.18388499999999999</v>
      </c>
      <c r="T178" s="38">
        <f t="shared" si="20"/>
        <v>0.195385</v>
      </c>
      <c r="U178" s="39">
        <v>0</v>
      </c>
      <c r="V178" s="39">
        <v>0</v>
      </c>
      <c r="W178" s="39">
        <v>1.15E-2</v>
      </c>
      <c r="X178" s="40">
        <f t="shared" si="21"/>
        <v>1.15E-2</v>
      </c>
      <c r="Y178" s="41">
        <v>6.9766999999999996E-2</v>
      </c>
      <c r="Z178" s="41">
        <v>4.9670000000000001E-3</v>
      </c>
      <c r="AA178" s="41">
        <v>3.0000000000000001E-3</v>
      </c>
      <c r="AB178" s="41">
        <v>0</v>
      </c>
      <c r="AC178" s="42">
        <f t="shared" si="22"/>
        <v>7.7733999999999998E-2</v>
      </c>
      <c r="AD178" s="38">
        <f t="shared" si="23"/>
        <v>8.9233999999999994E-2</v>
      </c>
      <c r="AE178" s="43">
        <f t="shared" si="24"/>
        <v>8.9233999999999994E-2</v>
      </c>
      <c r="AF178" s="43">
        <f t="shared" si="25"/>
        <v>9.9849099999999996E-2</v>
      </c>
      <c r="AG178" s="43">
        <f t="shared" si="26"/>
        <v>0.10515664999999999</v>
      </c>
      <c r="AI178" s="64">
        <f>SUMIFS('Paths and Tariffs'!Q:Q,'Paths and Tariffs'!E:E,'Costing Detail'!E178,'Paths and Tariffs'!G:G,"GAS",'Paths and Tariffs'!N:N,1,'Paths and Tariffs'!M:M,1)</f>
        <v>6.9766999999999996E-2</v>
      </c>
    </row>
    <row r="179" spans="1:35" hidden="1" x14ac:dyDescent="0.55000000000000004">
      <c r="A179" s="35" t="s">
        <v>4210</v>
      </c>
      <c r="B179" t="s">
        <v>4273</v>
      </c>
      <c r="C179" t="s">
        <v>4260</v>
      </c>
      <c r="D179" t="s">
        <v>7329</v>
      </c>
      <c r="E179" s="35" t="s">
        <v>4293</v>
      </c>
      <c r="F179" t="s">
        <v>4294</v>
      </c>
      <c r="G179" s="36">
        <v>0</v>
      </c>
      <c r="H179" s="36">
        <v>0</v>
      </c>
      <c r="I179" s="36">
        <v>1.15E-2</v>
      </c>
      <c r="J179" s="37">
        <f t="shared" si="18"/>
        <v>1.15E-2</v>
      </c>
      <c r="K179" s="54">
        <v>0.15226700000000001</v>
      </c>
      <c r="L179" s="54">
        <v>2.3319999999999999E-3</v>
      </c>
      <c r="M179" s="54">
        <v>-5.5E-2</v>
      </c>
      <c r="N179" s="54">
        <v>5.0000000000000001E-3</v>
      </c>
      <c r="O179" s="54">
        <v>1.2500000000000001E-2</v>
      </c>
      <c r="P179" s="54">
        <v>1.4999999999999999E-2</v>
      </c>
      <c r="Q179" s="54">
        <v>0.02</v>
      </c>
      <c r="R179" s="54">
        <v>0</v>
      </c>
      <c r="S179" s="59">
        <f t="shared" si="19"/>
        <v>0.15209900000000001</v>
      </c>
      <c r="T179" s="38">
        <f t="shared" si="20"/>
        <v>0.16359900000000002</v>
      </c>
      <c r="U179" s="39">
        <v>0</v>
      </c>
      <c r="V179" s="39">
        <v>0</v>
      </c>
      <c r="W179" s="39">
        <v>1.15E-2</v>
      </c>
      <c r="X179" s="40">
        <f t="shared" si="21"/>
        <v>1.15E-2</v>
      </c>
      <c r="Y179" s="41">
        <v>3.8635999999999997E-2</v>
      </c>
      <c r="Z179" s="41">
        <v>1.567E-3</v>
      </c>
      <c r="AA179" s="41">
        <v>3.0000000000000001E-3</v>
      </c>
      <c r="AB179" s="41">
        <v>0</v>
      </c>
      <c r="AC179" s="42">
        <f t="shared" si="22"/>
        <v>4.3202999999999998E-2</v>
      </c>
      <c r="AD179" s="38">
        <f t="shared" si="23"/>
        <v>5.4703000000000002E-2</v>
      </c>
      <c r="AE179" s="43">
        <f t="shared" si="24"/>
        <v>5.4703000000000002E-2</v>
      </c>
      <c r="AF179" s="43">
        <f t="shared" si="25"/>
        <v>6.5592600000000001E-2</v>
      </c>
      <c r="AG179" s="43">
        <f t="shared" si="26"/>
        <v>7.1037400000000001E-2</v>
      </c>
      <c r="AI179" s="64">
        <f>SUMIFS('Paths and Tariffs'!Q:Q,'Paths and Tariffs'!E:E,'Costing Detail'!E179,'Paths and Tariffs'!G:G,"GAS",'Paths and Tariffs'!N:N,1,'Paths and Tariffs'!M:M,1)</f>
        <v>3.8635999999999997E-2</v>
      </c>
    </row>
    <row r="180" spans="1:35" hidden="1" x14ac:dyDescent="0.55000000000000004">
      <c r="A180" s="35" t="s">
        <v>4210</v>
      </c>
      <c r="B180" t="s">
        <v>4295</v>
      </c>
      <c r="C180" t="s">
        <v>4260</v>
      </c>
      <c r="D180" t="s">
        <v>7329</v>
      </c>
      <c r="E180" s="35" t="s">
        <v>4310</v>
      </c>
      <c r="F180" t="s">
        <v>4311</v>
      </c>
      <c r="G180" s="36">
        <v>0</v>
      </c>
      <c r="H180" s="36">
        <v>0</v>
      </c>
      <c r="I180" s="36">
        <v>1.15E-2</v>
      </c>
      <c r="J180" s="37">
        <f t="shared" si="18"/>
        <v>1.15E-2</v>
      </c>
      <c r="K180" s="54">
        <v>0.15226700000000001</v>
      </c>
      <c r="L180" s="54">
        <v>2.3530000000000001E-3</v>
      </c>
      <c r="M180" s="54">
        <v>-5.5E-2</v>
      </c>
      <c r="N180" s="54">
        <v>5.0000000000000001E-3</v>
      </c>
      <c r="O180" s="54">
        <v>1.2500000000000001E-2</v>
      </c>
      <c r="P180" s="54">
        <v>1.4999999999999999E-2</v>
      </c>
      <c r="Q180" s="54">
        <v>0.02</v>
      </c>
      <c r="R180" s="54">
        <v>0</v>
      </c>
      <c r="S180" s="59">
        <f t="shared" si="19"/>
        <v>0.15212000000000001</v>
      </c>
      <c r="T180" s="38">
        <f t="shared" si="20"/>
        <v>0.16362000000000002</v>
      </c>
      <c r="U180" s="39">
        <v>0</v>
      </c>
      <c r="V180" s="39">
        <v>0</v>
      </c>
      <c r="W180" s="39">
        <v>1.15E-2</v>
      </c>
      <c r="X180" s="40">
        <f t="shared" si="21"/>
        <v>1.15E-2</v>
      </c>
      <c r="Y180" s="41">
        <v>3.5730999999999999E-2</v>
      </c>
      <c r="Z180" s="41">
        <v>1.47E-3</v>
      </c>
      <c r="AA180" s="41">
        <v>3.0000000000000001E-3</v>
      </c>
      <c r="AB180" s="41">
        <v>0</v>
      </c>
      <c r="AC180" s="42">
        <f t="shared" si="22"/>
        <v>4.0201000000000001E-2</v>
      </c>
      <c r="AD180" s="38">
        <f t="shared" si="23"/>
        <v>5.1700999999999997E-2</v>
      </c>
      <c r="AE180" s="43">
        <f t="shared" si="24"/>
        <v>5.1700999999999997E-2</v>
      </c>
      <c r="AF180" s="43">
        <f t="shared" si="25"/>
        <v>6.2892900000000002E-2</v>
      </c>
      <c r="AG180" s="43">
        <f t="shared" si="26"/>
        <v>6.848884999999999E-2</v>
      </c>
      <c r="AI180" s="64">
        <f>SUMIFS('Paths and Tariffs'!Q:Q,'Paths and Tariffs'!E:E,'Costing Detail'!E180,'Paths and Tariffs'!G:G,"GAS",'Paths and Tariffs'!N:N,1,'Paths and Tariffs'!M:M,1)</f>
        <v>3.5730999999999999E-2</v>
      </c>
    </row>
    <row r="181" spans="1:35" hidden="1" x14ac:dyDescent="0.55000000000000004">
      <c r="A181" s="35" t="s">
        <v>4210</v>
      </c>
      <c r="B181" t="s">
        <v>4415</v>
      </c>
      <c r="C181" t="s">
        <v>4260</v>
      </c>
      <c r="D181" t="s">
        <v>7329</v>
      </c>
      <c r="E181" s="35" t="s">
        <v>4416</v>
      </c>
      <c r="F181" t="s">
        <v>4417</v>
      </c>
      <c r="G181" s="36">
        <v>0</v>
      </c>
      <c r="H181" s="36">
        <v>0</v>
      </c>
      <c r="I181" s="36">
        <v>1.15E-2</v>
      </c>
      <c r="J181" s="37">
        <f t="shared" si="18"/>
        <v>1.15E-2</v>
      </c>
      <c r="K181" s="54">
        <v>0.15226700000000001</v>
      </c>
      <c r="L181" s="54">
        <v>2.3349999999999998E-3</v>
      </c>
      <c r="M181" s="54">
        <v>-5.5E-2</v>
      </c>
      <c r="N181" s="54">
        <v>5.0000000000000001E-3</v>
      </c>
      <c r="O181" s="54">
        <v>1.2500000000000001E-2</v>
      </c>
      <c r="P181" s="54">
        <v>1.4999999999999999E-2</v>
      </c>
      <c r="Q181" s="54">
        <v>0.02</v>
      </c>
      <c r="R181" s="54">
        <v>0</v>
      </c>
      <c r="S181" s="59">
        <f t="shared" si="19"/>
        <v>0.15210200000000001</v>
      </c>
      <c r="T181" s="38">
        <f t="shared" si="20"/>
        <v>0.16360200000000003</v>
      </c>
      <c r="U181" s="39">
        <v>0</v>
      </c>
      <c r="V181" s="39">
        <v>0</v>
      </c>
      <c r="W181" s="39">
        <v>1.15E-2</v>
      </c>
      <c r="X181" s="40">
        <f t="shared" si="21"/>
        <v>1.15E-2</v>
      </c>
      <c r="Y181" s="41">
        <v>4.0883000000000003E-2</v>
      </c>
      <c r="Z181" s="41">
        <v>1.5809999999999999E-3</v>
      </c>
      <c r="AA181" s="41">
        <v>3.0000000000000001E-3</v>
      </c>
      <c r="AB181" s="41">
        <v>0</v>
      </c>
      <c r="AC181" s="42">
        <f t="shared" si="22"/>
        <v>4.5464000000000004E-2</v>
      </c>
      <c r="AD181" s="38">
        <f t="shared" si="23"/>
        <v>5.6964000000000001E-2</v>
      </c>
      <c r="AE181" s="43">
        <f t="shared" si="24"/>
        <v>5.6964000000000001E-2</v>
      </c>
      <c r="AF181" s="43">
        <f t="shared" si="25"/>
        <v>6.7627800000000002E-2</v>
      </c>
      <c r="AG181" s="43">
        <f t="shared" si="26"/>
        <v>7.2959700000000002E-2</v>
      </c>
      <c r="AI181" s="64">
        <f>SUMIFS('Paths and Tariffs'!Q:Q,'Paths and Tariffs'!E:E,'Costing Detail'!E181,'Paths and Tariffs'!G:G,"GAS",'Paths and Tariffs'!N:N,1,'Paths and Tariffs'!M:M,1)</f>
        <v>4.0883000000000003E-2</v>
      </c>
    </row>
    <row r="182" spans="1:35" hidden="1" x14ac:dyDescent="0.55000000000000004">
      <c r="A182" s="35" t="s">
        <v>4210</v>
      </c>
      <c r="B182" t="s">
        <v>7383</v>
      </c>
      <c r="C182" t="s">
        <v>4462</v>
      </c>
      <c r="D182" t="s">
        <v>7329</v>
      </c>
      <c r="E182" s="35" t="s">
        <v>4463</v>
      </c>
      <c r="F182" t="s">
        <v>4464</v>
      </c>
      <c r="G182" s="36">
        <v>0</v>
      </c>
      <c r="H182" s="36">
        <v>0</v>
      </c>
      <c r="I182" s="36">
        <v>1.15E-2</v>
      </c>
      <c r="J182" s="37">
        <f t="shared" si="18"/>
        <v>1.15E-2</v>
      </c>
      <c r="K182" s="54">
        <v>0.21213299999999999</v>
      </c>
      <c r="L182" s="54">
        <v>2.49E-3</v>
      </c>
      <c r="M182" s="54">
        <v>-5.5E-2</v>
      </c>
      <c r="N182" s="54">
        <v>5.0000000000000001E-3</v>
      </c>
      <c r="O182" s="54">
        <v>1.2500000000000001E-2</v>
      </c>
      <c r="P182" s="54">
        <v>1.4999999999999999E-2</v>
      </c>
      <c r="Q182" s="54">
        <v>0.02</v>
      </c>
      <c r="R182" s="54">
        <v>0</v>
      </c>
      <c r="S182" s="59">
        <f t="shared" si="19"/>
        <v>0.21212299999999998</v>
      </c>
      <c r="T182" s="38">
        <f t="shared" si="20"/>
        <v>0.22362299999999999</v>
      </c>
      <c r="U182" s="39">
        <v>0</v>
      </c>
      <c r="V182" s="39">
        <v>0</v>
      </c>
      <c r="W182" s="39">
        <v>1.15E-2</v>
      </c>
      <c r="X182" s="40">
        <f t="shared" si="21"/>
        <v>1.15E-2</v>
      </c>
      <c r="Y182" s="41">
        <v>3.9787999999999997E-2</v>
      </c>
      <c r="Z182" s="41">
        <v>9.6199999999999996E-4</v>
      </c>
      <c r="AA182" s="41">
        <v>3.0000000000000001E-3</v>
      </c>
      <c r="AB182" s="41">
        <v>0</v>
      </c>
      <c r="AC182" s="42">
        <f t="shared" si="22"/>
        <v>4.3749999999999997E-2</v>
      </c>
      <c r="AD182" s="38">
        <f t="shared" si="23"/>
        <v>5.5249999999999994E-2</v>
      </c>
      <c r="AE182" s="43">
        <f t="shared" si="24"/>
        <v>5.5249999999999994E-2</v>
      </c>
      <c r="AF182" s="43">
        <f t="shared" si="25"/>
        <v>7.2087299999999993E-2</v>
      </c>
      <c r="AG182" s="43">
        <f t="shared" si="26"/>
        <v>8.0505949999999993E-2</v>
      </c>
      <c r="AI182" s="64">
        <f>SUMIFS('Paths and Tariffs'!Q:Q,'Paths and Tariffs'!E:E,'Costing Detail'!E182,'Paths and Tariffs'!G:G,"GAS",'Paths and Tariffs'!N:N,1,'Paths and Tariffs'!M:M,1)</f>
        <v>3.9787999999999997E-2</v>
      </c>
    </row>
    <row r="183" spans="1:35" hidden="1" x14ac:dyDescent="0.55000000000000004">
      <c r="A183" s="35" t="s">
        <v>4210</v>
      </c>
      <c r="B183" t="s">
        <v>7381</v>
      </c>
      <c r="C183" t="s">
        <v>4462</v>
      </c>
      <c r="D183" t="s">
        <v>7329</v>
      </c>
      <c r="E183" s="35" t="s">
        <v>4491</v>
      </c>
      <c r="F183" t="s">
        <v>4492</v>
      </c>
      <c r="G183" s="36">
        <v>0</v>
      </c>
      <c r="H183" s="36">
        <v>0</v>
      </c>
      <c r="I183" s="36">
        <v>1.15E-2</v>
      </c>
      <c r="J183" s="37">
        <f t="shared" si="18"/>
        <v>1.15E-2</v>
      </c>
      <c r="K183" s="54">
        <v>0.21213299999999999</v>
      </c>
      <c r="L183" s="54">
        <v>2.4859999999999999E-3</v>
      </c>
      <c r="M183" s="54">
        <v>-5.5E-2</v>
      </c>
      <c r="N183" s="54">
        <v>5.0000000000000001E-3</v>
      </c>
      <c r="O183" s="54">
        <v>1.2500000000000001E-2</v>
      </c>
      <c r="P183" s="54">
        <v>1.4999999999999999E-2</v>
      </c>
      <c r="Q183" s="54">
        <v>0.02</v>
      </c>
      <c r="R183" s="54">
        <v>0</v>
      </c>
      <c r="S183" s="59">
        <f t="shared" si="19"/>
        <v>0.21211899999999997</v>
      </c>
      <c r="T183" s="38">
        <f t="shared" si="20"/>
        <v>0.22361899999999998</v>
      </c>
      <c r="U183" s="39">
        <v>0</v>
      </c>
      <c r="V183" s="39">
        <v>0</v>
      </c>
      <c r="W183" s="39">
        <v>1.15E-2</v>
      </c>
      <c r="X183" s="40">
        <f t="shared" si="21"/>
        <v>1.15E-2</v>
      </c>
      <c r="Y183" s="41">
        <v>2.1555000000000001E-2</v>
      </c>
      <c r="Z183" s="41">
        <v>9.1E-4</v>
      </c>
      <c r="AA183" s="41">
        <v>3.0000000000000001E-3</v>
      </c>
      <c r="AB183" s="41">
        <v>0</v>
      </c>
      <c r="AC183" s="42">
        <f t="shared" si="22"/>
        <v>2.5465000000000002E-2</v>
      </c>
      <c r="AD183" s="38">
        <f t="shared" si="23"/>
        <v>3.6964999999999998E-2</v>
      </c>
      <c r="AE183" s="43">
        <f t="shared" si="24"/>
        <v>3.6964999999999998E-2</v>
      </c>
      <c r="AF183" s="43">
        <f t="shared" si="25"/>
        <v>5.5630399999999997E-2</v>
      </c>
      <c r="AG183" s="43">
        <f t="shared" si="26"/>
        <v>6.4963099999999996E-2</v>
      </c>
      <c r="AI183" s="64">
        <f>SUMIFS('Paths and Tariffs'!Q:Q,'Paths and Tariffs'!E:E,'Costing Detail'!E183,'Paths and Tariffs'!G:G,"GAS",'Paths and Tariffs'!N:N,1,'Paths and Tariffs'!M:M,1)</f>
        <v>2.1555000000000001E-2</v>
      </c>
    </row>
    <row r="184" spans="1:35" hidden="1" x14ac:dyDescent="0.55000000000000004">
      <c r="A184" s="35" t="s">
        <v>4548</v>
      </c>
      <c r="B184" t="s">
        <v>4549</v>
      </c>
      <c r="C184" t="s">
        <v>4549</v>
      </c>
      <c r="D184" t="s">
        <v>7329</v>
      </c>
      <c r="E184" s="35" t="s">
        <v>4550</v>
      </c>
      <c r="F184" t="s">
        <v>4551</v>
      </c>
      <c r="G184" s="36">
        <v>0</v>
      </c>
      <c r="H184" s="36">
        <v>0</v>
      </c>
      <c r="I184" s="36">
        <v>1.15E-2</v>
      </c>
      <c r="J184" s="37">
        <f t="shared" si="18"/>
        <v>1.15E-2</v>
      </c>
      <c r="K184" s="54">
        <v>0.214033</v>
      </c>
      <c r="L184" s="54">
        <v>2.362E-3</v>
      </c>
      <c r="M184" s="54">
        <v>-5.5E-2</v>
      </c>
      <c r="N184" s="54">
        <v>5.0000000000000001E-3</v>
      </c>
      <c r="O184" s="54">
        <v>1.2500000000000001E-2</v>
      </c>
      <c r="P184" s="54">
        <v>1.4999999999999999E-2</v>
      </c>
      <c r="Q184" s="54">
        <v>0.02</v>
      </c>
      <c r="R184" s="54">
        <v>0</v>
      </c>
      <c r="S184" s="59">
        <f t="shared" si="19"/>
        <v>0.21389500000000003</v>
      </c>
      <c r="T184" s="38">
        <f t="shared" si="20"/>
        <v>0.22539500000000004</v>
      </c>
      <c r="U184" s="39">
        <v>0</v>
      </c>
      <c r="V184" s="39">
        <v>0</v>
      </c>
      <c r="W184" s="39">
        <v>1.15E-2</v>
      </c>
      <c r="X184" s="40">
        <f t="shared" si="21"/>
        <v>1.15E-2</v>
      </c>
      <c r="Y184" s="41">
        <v>4.1005E-2</v>
      </c>
      <c r="Z184" s="41">
        <v>3.2690000000000002E-3</v>
      </c>
      <c r="AA184" s="41">
        <v>3.0000000000000001E-3</v>
      </c>
      <c r="AB184" s="41">
        <v>0</v>
      </c>
      <c r="AC184" s="42">
        <f t="shared" si="22"/>
        <v>4.7274000000000004E-2</v>
      </c>
      <c r="AD184" s="38">
        <f t="shared" si="23"/>
        <v>5.8774000000000007E-2</v>
      </c>
      <c r="AE184" s="43">
        <f t="shared" si="24"/>
        <v>5.8774000000000007E-2</v>
      </c>
      <c r="AF184" s="43">
        <f t="shared" si="25"/>
        <v>7.5436100000000006E-2</v>
      </c>
      <c r="AG184" s="43">
        <f t="shared" si="26"/>
        <v>8.3767150000000012E-2</v>
      </c>
      <c r="AI184" s="64">
        <f>SUMIFS('Paths and Tariffs'!Q:Q,'Paths and Tariffs'!E:E,'Costing Detail'!E184,'Paths and Tariffs'!G:G,"GAS",'Paths and Tariffs'!N:N,1,'Paths and Tariffs'!M:M,1)</f>
        <v>4.1005E-2</v>
      </c>
    </row>
    <row r="185" spans="1:35" hidden="1" x14ac:dyDescent="0.55000000000000004">
      <c r="A185" s="35" t="s">
        <v>4548</v>
      </c>
      <c r="B185" t="s">
        <v>4578</v>
      </c>
      <c r="C185" t="s">
        <v>4578</v>
      </c>
      <c r="D185" t="s">
        <v>7329</v>
      </c>
      <c r="E185" s="35" t="s">
        <v>4591</v>
      </c>
      <c r="F185" t="s">
        <v>4592</v>
      </c>
      <c r="G185" s="36">
        <v>0</v>
      </c>
      <c r="H185" s="36">
        <v>0</v>
      </c>
      <c r="I185" s="36">
        <v>1.15E-2</v>
      </c>
      <c r="J185" s="37">
        <f t="shared" si="18"/>
        <v>1.15E-2</v>
      </c>
      <c r="K185" s="54">
        <v>0.20976700000000001</v>
      </c>
      <c r="L185" s="54">
        <v>2.4109999999999999E-3</v>
      </c>
      <c r="M185" s="54">
        <v>-5.5E-2</v>
      </c>
      <c r="N185" s="54">
        <v>5.0000000000000001E-3</v>
      </c>
      <c r="O185" s="54">
        <v>1.2500000000000001E-2</v>
      </c>
      <c r="P185" s="54">
        <v>1.4999999999999999E-2</v>
      </c>
      <c r="Q185" s="54">
        <v>0.02</v>
      </c>
      <c r="R185" s="54">
        <v>0</v>
      </c>
      <c r="S185" s="59">
        <f t="shared" si="19"/>
        <v>0.209678</v>
      </c>
      <c r="T185" s="38">
        <f t="shared" si="20"/>
        <v>0.22117800000000001</v>
      </c>
      <c r="U185" s="39">
        <v>0</v>
      </c>
      <c r="V185" s="39">
        <v>0</v>
      </c>
      <c r="W185" s="39">
        <v>1.15E-2</v>
      </c>
      <c r="X185" s="40">
        <f t="shared" si="21"/>
        <v>1.15E-2</v>
      </c>
      <c r="Y185" s="41">
        <v>4.2654999999999998E-2</v>
      </c>
      <c r="Z185" s="41">
        <v>3.4849999999999998E-3</v>
      </c>
      <c r="AA185" s="41">
        <v>3.0000000000000001E-3</v>
      </c>
      <c r="AB185" s="41">
        <v>0</v>
      </c>
      <c r="AC185" s="42">
        <f t="shared" si="22"/>
        <v>4.9140000000000003E-2</v>
      </c>
      <c r="AD185" s="38">
        <f t="shared" si="23"/>
        <v>6.0639999999999999E-2</v>
      </c>
      <c r="AE185" s="43">
        <f t="shared" si="24"/>
        <v>6.0639999999999999E-2</v>
      </c>
      <c r="AF185" s="43">
        <f t="shared" si="25"/>
        <v>7.6693800000000006E-2</v>
      </c>
      <c r="AG185" s="43">
        <f t="shared" si="26"/>
        <v>8.472070000000001E-2</v>
      </c>
      <c r="AI185" s="64">
        <f>SUMIFS('Paths and Tariffs'!Q:Q,'Paths and Tariffs'!E:E,'Costing Detail'!E185,'Paths and Tariffs'!G:G,"GAS",'Paths and Tariffs'!N:N,1,'Paths and Tariffs'!M:M,1)</f>
        <v>4.2654999999999998E-2</v>
      </c>
    </row>
    <row r="186" spans="1:35" hidden="1" x14ac:dyDescent="0.55000000000000004">
      <c r="A186" s="35" t="s">
        <v>4548</v>
      </c>
      <c r="B186" t="s">
        <v>4597</v>
      </c>
      <c r="C186" t="s">
        <v>4597</v>
      </c>
      <c r="D186" t="s">
        <v>7329</v>
      </c>
      <c r="E186" s="35" t="s">
        <v>4598</v>
      </c>
      <c r="F186" t="s">
        <v>4599</v>
      </c>
      <c r="G186" s="36">
        <v>0</v>
      </c>
      <c r="H186" s="36">
        <v>0</v>
      </c>
      <c r="I186" s="36">
        <v>1.15E-2</v>
      </c>
      <c r="J186" s="37">
        <f t="shared" si="18"/>
        <v>1.15E-2</v>
      </c>
      <c r="K186" s="54">
        <v>0.22686700000000001</v>
      </c>
      <c r="L186" s="54">
        <v>2.3670000000000002E-3</v>
      </c>
      <c r="M186" s="54">
        <v>-5.5E-2</v>
      </c>
      <c r="N186" s="54">
        <v>5.0000000000000001E-3</v>
      </c>
      <c r="O186" s="54">
        <v>1.2500000000000001E-2</v>
      </c>
      <c r="P186" s="54">
        <v>1.4999999999999999E-2</v>
      </c>
      <c r="Q186" s="54">
        <v>0.02</v>
      </c>
      <c r="R186" s="54">
        <v>0</v>
      </c>
      <c r="S186" s="59">
        <f t="shared" si="19"/>
        <v>0.22673400000000002</v>
      </c>
      <c r="T186" s="38">
        <f t="shared" si="20"/>
        <v>0.23823400000000003</v>
      </c>
      <c r="U186" s="39">
        <v>0</v>
      </c>
      <c r="V186" s="39">
        <v>0</v>
      </c>
      <c r="W186" s="39">
        <v>1.15E-2</v>
      </c>
      <c r="X186" s="40">
        <f t="shared" si="21"/>
        <v>1.15E-2</v>
      </c>
      <c r="Y186" s="41">
        <v>4.1943000000000001E-2</v>
      </c>
      <c r="Z186" s="41">
        <v>3.3960000000000001E-3</v>
      </c>
      <c r="AA186" s="41">
        <v>3.0000000000000001E-3</v>
      </c>
      <c r="AB186" s="41">
        <v>0</v>
      </c>
      <c r="AC186" s="42">
        <f t="shared" si="22"/>
        <v>4.8339000000000007E-2</v>
      </c>
      <c r="AD186" s="38">
        <f t="shared" si="23"/>
        <v>5.9839000000000003E-2</v>
      </c>
      <c r="AE186" s="43">
        <f t="shared" si="24"/>
        <v>5.9839000000000003E-2</v>
      </c>
      <c r="AF186" s="43">
        <f t="shared" si="25"/>
        <v>7.7678500000000011E-2</v>
      </c>
      <c r="AG186" s="43">
        <f t="shared" si="26"/>
        <v>8.6598250000000015E-2</v>
      </c>
      <c r="AI186" s="64">
        <f>SUMIFS('Paths and Tariffs'!Q:Q,'Paths and Tariffs'!E:E,'Costing Detail'!E186,'Paths and Tariffs'!G:G,"GAS",'Paths and Tariffs'!N:N,1,'Paths and Tariffs'!M:M,1)</f>
        <v>4.1943000000000001E-2</v>
      </c>
    </row>
    <row r="187" spans="1:35" hidden="1" x14ac:dyDescent="0.55000000000000004">
      <c r="A187" s="35" t="s">
        <v>4623</v>
      </c>
      <c r="B187" t="s">
        <v>4624</v>
      </c>
      <c r="C187" t="s">
        <v>4624</v>
      </c>
      <c r="D187" t="s">
        <v>7312</v>
      </c>
      <c r="E187" s="35" t="s">
        <v>4625</v>
      </c>
      <c r="F187" t="s">
        <v>4626</v>
      </c>
      <c r="G187" s="36">
        <v>0</v>
      </c>
      <c r="H187" s="36">
        <v>0</v>
      </c>
      <c r="I187" s="36">
        <v>1.15E-2</v>
      </c>
      <c r="J187" s="37">
        <f t="shared" si="18"/>
        <v>1.15E-2</v>
      </c>
      <c r="K187" s="54">
        <v>0</v>
      </c>
      <c r="L187" s="54">
        <v>0</v>
      </c>
      <c r="M187" s="54">
        <v>-0.125</v>
      </c>
      <c r="N187" s="54">
        <v>0</v>
      </c>
      <c r="O187" s="54">
        <v>0</v>
      </c>
      <c r="P187" s="54">
        <v>1.4999999999999999E-2</v>
      </c>
      <c r="Q187" s="54">
        <v>0.02</v>
      </c>
      <c r="R187" s="54">
        <v>0</v>
      </c>
      <c r="S187" s="59">
        <f t="shared" si="19"/>
        <v>-0.09</v>
      </c>
      <c r="T187" s="38">
        <f t="shared" si="20"/>
        <v>-7.85E-2</v>
      </c>
      <c r="U187" s="39">
        <v>0</v>
      </c>
      <c r="V187" s="39">
        <v>0</v>
      </c>
      <c r="W187" s="39">
        <v>1.15E-2</v>
      </c>
      <c r="X187" s="40">
        <f t="shared" si="21"/>
        <v>1.15E-2</v>
      </c>
      <c r="Y187" s="41">
        <v>9.6264000000000002E-2</v>
      </c>
      <c r="Z187" s="41">
        <v>2.712E-3</v>
      </c>
      <c r="AA187" s="41">
        <v>3.0000000000000001E-3</v>
      </c>
      <c r="AB187" s="41">
        <v>0</v>
      </c>
      <c r="AC187" s="42">
        <f t="shared" si="22"/>
        <v>0.10197600000000001</v>
      </c>
      <c r="AD187" s="38">
        <f t="shared" si="23"/>
        <v>0.11347600000000001</v>
      </c>
      <c r="AE187" s="43">
        <f t="shared" si="24"/>
        <v>0.11347600000000001</v>
      </c>
      <c r="AF187" s="43">
        <f t="shared" si="25"/>
        <v>9.4278400000000012E-2</v>
      </c>
      <c r="AG187" s="43">
        <f t="shared" si="26"/>
        <v>8.4679600000000008E-2</v>
      </c>
      <c r="AI187" s="64">
        <f>SUMIFS('Paths and Tariffs'!Q:Q,'Paths and Tariffs'!E:E,'Costing Detail'!E187,'Paths and Tariffs'!G:G,"GAS",'Paths and Tariffs'!N:N,1,'Paths and Tariffs'!M:M,1)</f>
        <v>9.6264000000000002E-2</v>
      </c>
    </row>
    <row r="188" spans="1:35" hidden="1" x14ac:dyDescent="0.55000000000000004">
      <c r="A188" s="35" t="s">
        <v>4623</v>
      </c>
      <c r="B188" t="s">
        <v>4635</v>
      </c>
      <c r="C188" t="s">
        <v>4635</v>
      </c>
      <c r="D188" t="s">
        <v>7312</v>
      </c>
      <c r="E188" s="35" t="s">
        <v>4636</v>
      </c>
      <c r="F188" t="s">
        <v>4637</v>
      </c>
      <c r="G188" s="36">
        <v>0</v>
      </c>
      <c r="H188" s="36">
        <v>0</v>
      </c>
      <c r="I188" s="36">
        <v>1.15E-2</v>
      </c>
      <c r="J188" s="37">
        <f t="shared" si="18"/>
        <v>1.15E-2</v>
      </c>
      <c r="K188" s="54">
        <v>0</v>
      </c>
      <c r="L188" s="54">
        <v>0</v>
      </c>
      <c r="M188" s="54">
        <v>-0.125</v>
      </c>
      <c r="N188" s="54">
        <v>0</v>
      </c>
      <c r="O188" s="54">
        <v>0</v>
      </c>
      <c r="P188" s="54">
        <v>1.4999999999999999E-2</v>
      </c>
      <c r="Q188" s="54">
        <v>0.02</v>
      </c>
      <c r="R188" s="54">
        <v>0</v>
      </c>
      <c r="S188" s="59">
        <f t="shared" si="19"/>
        <v>-0.09</v>
      </c>
      <c r="T188" s="38">
        <f t="shared" si="20"/>
        <v>-7.85E-2</v>
      </c>
      <c r="U188" s="39">
        <v>0</v>
      </c>
      <c r="V188" s="39">
        <v>0</v>
      </c>
      <c r="W188" s="39">
        <v>1.15E-2</v>
      </c>
      <c r="X188" s="40">
        <f t="shared" si="21"/>
        <v>1.15E-2</v>
      </c>
      <c r="Y188" s="41">
        <v>7.4968999999999994E-2</v>
      </c>
      <c r="Z188" s="41">
        <v>2.32E-3</v>
      </c>
      <c r="AA188" s="41">
        <v>3.0000000000000001E-3</v>
      </c>
      <c r="AB188" s="41">
        <v>0</v>
      </c>
      <c r="AC188" s="42">
        <f t="shared" si="22"/>
        <v>8.0288999999999999E-2</v>
      </c>
      <c r="AD188" s="38">
        <f t="shared" si="23"/>
        <v>9.1788999999999996E-2</v>
      </c>
      <c r="AE188" s="43">
        <f t="shared" si="24"/>
        <v>9.1788999999999996E-2</v>
      </c>
      <c r="AF188" s="43">
        <f t="shared" si="25"/>
        <v>7.4760099999999996E-2</v>
      </c>
      <c r="AG188" s="43">
        <f t="shared" si="26"/>
        <v>6.6245650000000003E-2</v>
      </c>
      <c r="AI188" s="64">
        <f>SUMIFS('Paths and Tariffs'!Q:Q,'Paths and Tariffs'!E:E,'Costing Detail'!E188,'Paths and Tariffs'!G:G,"GAS",'Paths and Tariffs'!N:N,1,'Paths and Tariffs'!M:M,1)</f>
        <v>7.4968999999999994E-2</v>
      </c>
    </row>
    <row r="189" spans="1:35" hidden="1" x14ac:dyDescent="0.55000000000000004">
      <c r="A189" s="35" t="s">
        <v>4623</v>
      </c>
      <c r="B189" t="s">
        <v>4646</v>
      </c>
      <c r="C189" t="s">
        <v>4646</v>
      </c>
      <c r="D189" t="s">
        <v>7312</v>
      </c>
      <c r="E189" s="35" t="s">
        <v>4647</v>
      </c>
      <c r="F189" t="s">
        <v>4648</v>
      </c>
      <c r="G189" s="36">
        <v>0</v>
      </c>
      <c r="H189" s="36">
        <v>0</v>
      </c>
      <c r="I189" s="36">
        <v>1.15E-2</v>
      </c>
      <c r="J189" s="37">
        <f t="shared" si="18"/>
        <v>1.15E-2</v>
      </c>
      <c r="K189" s="54">
        <v>0.18389800000000001</v>
      </c>
      <c r="L189" s="54">
        <v>2.2950000000000002E-3</v>
      </c>
      <c r="M189" s="54">
        <v>-0.125</v>
      </c>
      <c r="N189" s="54">
        <v>5.0000000000000001E-3</v>
      </c>
      <c r="O189" s="54">
        <v>1.2500000000000001E-2</v>
      </c>
      <c r="P189" s="54">
        <v>1.4999999999999999E-2</v>
      </c>
      <c r="Q189" s="54">
        <v>0.02</v>
      </c>
      <c r="R189" s="54">
        <v>0</v>
      </c>
      <c r="S189" s="59">
        <f t="shared" si="19"/>
        <v>0.113693</v>
      </c>
      <c r="T189" s="38">
        <f t="shared" si="20"/>
        <v>0.125193</v>
      </c>
      <c r="U189" s="39">
        <v>0</v>
      </c>
      <c r="V189" s="39">
        <v>0</v>
      </c>
      <c r="W189" s="39">
        <v>1.15E-2</v>
      </c>
      <c r="X189" s="40">
        <f t="shared" si="21"/>
        <v>1.15E-2</v>
      </c>
      <c r="Y189" s="41">
        <v>2.7175999999999999E-2</v>
      </c>
      <c r="Z189" s="41">
        <v>1.0280000000000001E-3</v>
      </c>
      <c r="AA189" s="41">
        <v>3.0000000000000001E-3</v>
      </c>
      <c r="AB189" s="41">
        <v>0</v>
      </c>
      <c r="AC189" s="42">
        <f t="shared" si="22"/>
        <v>3.1203999999999999E-2</v>
      </c>
      <c r="AD189" s="38">
        <f t="shared" si="23"/>
        <v>4.2703999999999999E-2</v>
      </c>
      <c r="AE189" s="43">
        <f t="shared" si="24"/>
        <v>4.2703999999999999E-2</v>
      </c>
      <c r="AF189" s="43">
        <f t="shared" si="25"/>
        <v>5.0952899999999995E-2</v>
      </c>
      <c r="AG189" s="43">
        <f t="shared" si="26"/>
        <v>5.5077349999999997E-2</v>
      </c>
      <c r="AI189" s="64">
        <f>SUMIFS('Paths and Tariffs'!Q:Q,'Paths and Tariffs'!E:E,'Costing Detail'!E189,'Paths and Tariffs'!G:G,"GAS",'Paths and Tariffs'!N:N,1,'Paths and Tariffs'!M:M,1)</f>
        <v>2.7175999999999999E-2</v>
      </c>
    </row>
    <row r="190" spans="1:35" hidden="1" x14ac:dyDescent="0.55000000000000004">
      <c r="A190" s="35" t="s">
        <v>4623</v>
      </c>
      <c r="B190" t="s">
        <v>4656</v>
      </c>
      <c r="C190" t="s">
        <v>4656</v>
      </c>
      <c r="D190" t="s">
        <v>7312</v>
      </c>
      <c r="E190" s="35" t="s">
        <v>4669</v>
      </c>
      <c r="F190" t="s">
        <v>4670</v>
      </c>
      <c r="G190" s="36">
        <v>0</v>
      </c>
      <c r="H190" s="36">
        <v>0</v>
      </c>
      <c r="I190" s="36">
        <v>1.15E-2</v>
      </c>
      <c r="J190" s="37">
        <f t="shared" si="18"/>
        <v>1.15E-2</v>
      </c>
      <c r="K190" s="54">
        <v>0</v>
      </c>
      <c r="L190" s="54">
        <v>0</v>
      </c>
      <c r="M190" s="54">
        <v>-0.125</v>
      </c>
      <c r="N190" s="54">
        <v>0</v>
      </c>
      <c r="O190" s="54">
        <v>0</v>
      </c>
      <c r="P190" s="54">
        <v>1.4999999999999999E-2</v>
      </c>
      <c r="Q190" s="54">
        <v>0.02</v>
      </c>
      <c r="R190" s="54">
        <v>0</v>
      </c>
      <c r="S190" s="59">
        <f t="shared" si="19"/>
        <v>-0.09</v>
      </c>
      <c r="T190" s="38">
        <f t="shared" si="20"/>
        <v>-7.85E-2</v>
      </c>
      <c r="U190" s="39">
        <v>0</v>
      </c>
      <c r="V190" s="39">
        <v>0</v>
      </c>
      <c r="W190" s="39">
        <v>0</v>
      </c>
      <c r="X190" s="40">
        <f t="shared" si="21"/>
        <v>0</v>
      </c>
      <c r="Y190" s="41">
        <v>7.8899999999999998E-2</v>
      </c>
      <c r="Z190" s="41">
        <v>2.4689999999999998E-3</v>
      </c>
      <c r="AA190" s="41">
        <v>3.0000000000000001E-3</v>
      </c>
      <c r="AB190" s="41">
        <v>0</v>
      </c>
      <c r="AC190" s="42">
        <f t="shared" si="22"/>
        <v>8.4369E-2</v>
      </c>
      <c r="AD190" s="38">
        <f t="shared" si="23"/>
        <v>8.4369E-2</v>
      </c>
      <c r="AE190" s="43">
        <f t="shared" si="24"/>
        <v>8.4369E-2</v>
      </c>
      <c r="AF190" s="43">
        <f t="shared" si="25"/>
        <v>6.8082100000000007E-2</v>
      </c>
      <c r="AG190" s="43">
        <f t="shared" si="26"/>
        <v>5.9938650000000003E-2</v>
      </c>
      <c r="AI190" s="64">
        <f>SUMIFS('Paths and Tariffs'!Q:Q,'Paths and Tariffs'!E:E,'Costing Detail'!E190,'Paths and Tariffs'!G:G,"GAS",'Paths and Tariffs'!N:N,1,'Paths and Tariffs'!M:M,1)</f>
        <v>7.8899999999999998E-2</v>
      </c>
    </row>
    <row r="191" spans="1:35" hidden="1" x14ac:dyDescent="0.55000000000000004">
      <c r="A191" s="35" t="s">
        <v>4623</v>
      </c>
      <c r="B191" t="s">
        <v>4682</v>
      </c>
      <c r="C191" t="s">
        <v>4682</v>
      </c>
      <c r="D191" t="s">
        <v>7312</v>
      </c>
      <c r="E191" s="35" t="s">
        <v>4683</v>
      </c>
      <c r="F191" t="s">
        <v>4684</v>
      </c>
      <c r="G191" s="36">
        <v>0</v>
      </c>
      <c r="H191" s="36">
        <v>0</v>
      </c>
      <c r="I191" s="36">
        <v>1.15E-2</v>
      </c>
      <c r="J191" s="37">
        <f t="shared" si="18"/>
        <v>1.15E-2</v>
      </c>
      <c r="K191" s="54">
        <v>0</v>
      </c>
      <c r="L191" s="54">
        <v>0</v>
      </c>
      <c r="M191" s="54">
        <v>-0.125</v>
      </c>
      <c r="N191" s="54">
        <v>0</v>
      </c>
      <c r="O191" s="54">
        <v>0</v>
      </c>
      <c r="P191" s="54">
        <v>1.4999999999999999E-2</v>
      </c>
      <c r="Q191" s="54">
        <v>0.02</v>
      </c>
      <c r="R191" s="54">
        <v>0</v>
      </c>
      <c r="S191" s="59">
        <f t="shared" si="19"/>
        <v>-0.09</v>
      </c>
      <c r="T191" s="38">
        <f t="shared" si="20"/>
        <v>-7.85E-2</v>
      </c>
      <c r="U191" s="39">
        <v>0</v>
      </c>
      <c r="V191" s="39">
        <v>0</v>
      </c>
      <c r="W191" s="39">
        <v>0</v>
      </c>
      <c r="X191" s="40">
        <f t="shared" si="21"/>
        <v>0</v>
      </c>
      <c r="Y191" s="41">
        <v>0.11074000000000001</v>
      </c>
      <c r="Z191" s="41">
        <v>2.9099999999999998E-3</v>
      </c>
      <c r="AA191" s="41">
        <v>3.0000000000000001E-3</v>
      </c>
      <c r="AB191" s="41">
        <v>0</v>
      </c>
      <c r="AC191" s="42">
        <f t="shared" si="22"/>
        <v>0.11665</v>
      </c>
      <c r="AD191" s="38">
        <f t="shared" si="23"/>
        <v>0.11665</v>
      </c>
      <c r="AE191" s="43">
        <f t="shared" si="24"/>
        <v>0.11665</v>
      </c>
      <c r="AF191" s="43">
        <f t="shared" si="25"/>
        <v>9.7135000000000013E-2</v>
      </c>
      <c r="AG191" s="43">
        <f t="shared" si="26"/>
        <v>8.7377500000000011E-2</v>
      </c>
      <c r="AI191" s="64">
        <f>SUMIFS('Paths and Tariffs'!Q:Q,'Paths and Tariffs'!E:E,'Costing Detail'!E191,'Paths and Tariffs'!G:G,"GAS",'Paths and Tariffs'!N:N,1,'Paths and Tariffs'!M:M,1)</f>
        <v>0.11074000000000001</v>
      </c>
    </row>
    <row r="192" spans="1:35" hidden="1" x14ac:dyDescent="0.55000000000000004">
      <c r="A192" s="35" t="s">
        <v>4623</v>
      </c>
      <c r="B192" t="s">
        <v>4699</v>
      </c>
      <c r="C192" t="s">
        <v>4699</v>
      </c>
      <c r="D192" t="s">
        <v>7312</v>
      </c>
      <c r="E192" s="35" t="s">
        <v>4700</v>
      </c>
      <c r="F192" t="s">
        <v>4701</v>
      </c>
      <c r="G192" s="36">
        <v>0</v>
      </c>
      <c r="H192" s="36">
        <v>0</v>
      </c>
      <c r="I192" s="36">
        <v>1.15E-2</v>
      </c>
      <c r="J192" s="37">
        <f t="shared" si="18"/>
        <v>1.15E-2</v>
      </c>
      <c r="K192" s="54">
        <v>0</v>
      </c>
      <c r="L192" s="54">
        <v>0</v>
      </c>
      <c r="M192" s="54">
        <v>-0.125</v>
      </c>
      <c r="N192" s="54">
        <v>0</v>
      </c>
      <c r="O192" s="54">
        <v>0</v>
      </c>
      <c r="P192" s="54">
        <v>1.4999999999999999E-2</v>
      </c>
      <c r="Q192" s="54">
        <v>0.02</v>
      </c>
      <c r="R192" s="54">
        <v>0</v>
      </c>
      <c r="S192" s="59">
        <f t="shared" si="19"/>
        <v>-0.09</v>
      </c>
      <c r="T192" s="38">
        <f t="shared" si="20"/>
        <v>-7.85E-2</v>
      </c>
      <c r="U192" s="39">
        <v>0</v>
      </c>
      <c r="V192" s="39">
        <v>0</v>
      </c>
      <c r="W192" s="39">
        <v>1.15E-2</v>
      </c>
      <c r="X192" s="40">
        <f t="shared" si="21"/>
        <v>1.15E-2</v>
      </c>
      <c r="Y192" s="41">
        <v>8.6938000000000001E-2</v>
      </c>
      <c r="Z192" s="41">
        <v>2.48E-3</v>
      </c>
      <c r="AA192" s="41">
        <v>3.0000000000000001E-3</v>
      </c>
      <c r="AB192" s="41">
        <v>0</v>
      </c>
      <c r="AC192" s="42">
        <f t="shared" si="22"/>
        <v>9.2418E-2</v>
      </c>
      <c r="AD192" s="38">
        <f t="shared" si="23"/>
        <v>0.103918</v>
      </c>
      <c r="AE192" s="43">
        <f t="shared" si="24"/>
        <v>0.103918</v>
      </c>
      <c r="AF192" s="43">
        <f t="shared" si="25"/>
        <v>8.5676200000000008E-2</v>
      </c>
      <c r="AG192" s="43">
        <f t="shared" si="26"/>
        <v>7.6555300000000007E-2</v>
      </c>
      <c r="AI192" s="64">
        <f>SUMIFS('Paths and Tariffs'!Q:Q,'Paths and Tariffs'!E:E,'Costing Detail'!E192,'Paths and Tariffs'!G:G,"GAS",'Paths and Tariffs'!N:N,1,'Paths and Tariffs'!M:M,1)</f>
        <v>8.6938000000000001E-2</v>
      </c>
    </row>
    <row r="193" spans="1:35" hidden="1" x14ac:dyDescent="0.55000000000000004">
      <c r="A193" s="35" t="s">
        <v>4623</v>
      </c>
      <c r="B193" t="s">
        <v>4710</v>
      </c>
      <c r="C193" t="s">
        <v>4710</v>
      </c>
      <c r="D193" t="s">
        <v>7312</v>
      </c>
      <c r="E193" s="35" t="s">
        <v>4711</v>
      </c>
      <c r="F193" t="s">
        <v>4712</v>
      </c>
      <c r="G193" s="36">
        <v>0</v>
      </c>
      <c r="H193" s="36">
        <v>0</v>
      </c>
      <c r="I193" s="36">
        <v>1.15E-2</v>
      </c>
      <c r="J193" s="37">
        <f t="shared" si="18"/>
        <v>1.15E-2</v>
      </c>
      <c r="K193" s="54">
        <v>0</v>
      </c>
      <c r="L193" s="54">
        <v>0</v>
      </c>
      <c r="M193" s="54">
        <v>-0.125</v>
      </c>
      <c r="N193" s="54">
        <v>0</v>
      </c>
      <c r="O193" s="54">
        <v>0</v>
      </c>
      <c r="P193" s="54">
        <v>1.4999999999999999E-2</v>
      </c>
      <c r="Q193" s="54">
        <v>0.02</v>
      </c>
      <c r="R193" s="54">
        <v>0</v>
      </c>
      <c r="S193" s="59">
        <f t="shared" si="19"/>
        <v>-0.09</v>
      </c>
      <c r="T193" s="38">
        <f t="shared" si="20"/>
        <v>-7.85E-2</v>
      </c>
      <c r="U193" s="39">
        <v>0</v>
      </c>
      <c r="V193" s="39">
        <v>0</v>
      </c>
      <c r="W193" s="39">
        <v>1.15E-2</v>
      </c>
      <c r="X193" s="40">
        <f t="shared" si="21"/>
        <v>1.15E-2</v>
      </c>
      <c r="Y193" s="41">
        <v>6.2716999999999995E-2</v>
      </c>
      <c r="Z193" s="41">
        <v>2.1299999999999999E-3</v>
      </c>
      <c r="AA193" s="41">
        <v>3.0000000000000001E-3</v>
      </c>
      <c r="AB193" s="41">
        <v>0</v>
      </c>
      <c r="AC193" s="42">
        <f t="shared" si="22"/>
        <v>6.7846999999999991E-2</v>
      </c>
      <c r="AD193" s="38">
        <f t="shared" si="23"/>
        <v>7.9346999999999987E-2</v>
      </c>
      <c r="AE193" s="43">
        <f t="shared" si="24"/>
        <v>7.9346999999999987E-2</v>
      </c>
      <c r="AF193" s="43">
        <f t="shared" si="25"/>
        <v>6.3562299999999988E-2</v>
      </c>
      <c r="AG193" s="43">
        <f t="shared" si="26"/>
        <v>5.5669949999999989E-2</v>
      </c>
      <c r="AI193" s="64">
        <f>SUMIFS('Paths and Tariffs'!Q:Q,'Paths and Tariffs'!E:E,'Costing Detail'!E193,'Paths and Tariffs'!G:G,"GAS",'Paths and Tariffs'!N:N,1,'Paths and Tariffs'!M:M,1)</f>
        <v>6.2716999999999995E-2</v>
      </c>
    </row>
    <row r="194" spans="1:35" hidden="1" x14ac:dyDescent="0.55000000000000004">
      <c r="A194" s="35" t="s">
        <v>4723</v>
      </c>
      <c r="B194" t="s">
        <v>1137</v>
      </c>
      <c r="C194" t="s">
        <v>1137</v>
      </c>
      <c r="D194" t="s">
        <v>7312</v>
      </c>
      <c r="E194" s="35" t="s">
        <v>4743</v>
      </c>
      <c r="F194" t="s">
        <v>4744</v>
      </c>
      <c r="G194" s="36">
        <v>0</v>
      </c>
      <c r="H194" s="36">
        <v>0</v>
      </c>
      <c r="I194" s="36">
        <v>1.15E-2</v>
      </c>
      <c r="J194" s="37">
        <f t="shared" si="18"/>
        <v>1.15E-2</v>
      </c>
      <c r="K194" s="54">
        <v>0.20116700000000001</v>
      </c>
      <c r="L194" s="54">
        <v>2.2750000000000001E-3</v>
      </c>
      <c r="M194" s="54">
        <v>-5.5E-2</v>
      </c>
      <c r="N194" s="54">
        <v>5.0000000000000001E-3</v>
      </c>
      <c r="O194" s="54">
        <v>1.2500000000000001E-2</v>
      </c>
      <c r="P194" s="54">
        <v>1.4999999999999999E-2</v>
      </c>
      <c r="Q194" s="54">
        <v>0.02</v>
      </c>
      <c r="R194" s="54">
        <v>0</v>
      </c>
      <c r="S194" s="59">
        <f t="shared" si="19"/>
        <v>0.20094200000000004</v>
      </c>
      <c r="T194" s="38">
        <f t="shared" si="20"/>
        <v>0.21244200000000005</v>
      </c>
      <c r="U194" s="39">
        <v>0</v>
      </c>
      <c r="V194" s="39">
        <v>0</v>
      </c>
      <c r="W194" s="39">
        <v>1.15E-2</v>
      </c>
      <c r="X194" s="40">
        <f t="shared" si="21"/>
        <v>1.15E-2</v>
      </c>
      <c r="Y194" s="41">
        <v>4.0399999999999998E-2</v>
      </c>
      <c r="Z194" s="41">
        <v>3.1449999999999998E-3</v>
      </c>
      <c r="AA194" s="41">
        <v>3.0000000000000001E-3</v>
      </c>
      <c r="AB194" s="41">
        <v>0</v>
      </c>
      <c r="AC194" s="42">
        <f t="shared" si="22"/>
        <v>4.6545000000000003E-2</v>
      </c>
      <c r="AD194" s="38">
        <f t="shared" si="23"/>
        <v>5.8044999999999999E-2</v>
      </c>
      <c r="AE194" s="43">
        <f t="shared" si="24"/>
        <v>5.8044999999999999E-2</v>
      </c>
      <c r="AF194" s="43">
        <f t="shared" si="25"/>
        <v>7.3484700000000014E-2</v>
      </c>
      <c r="AG194" s="43">
        <f t="shared" si="26"/>
        <v>8.1204550000000014E-2</v>
      </c>
      <c r="AI194" s="64">
        <f>SUMIFS('Paths and Tariffs'!Q:Q,'Paths and Tariffs'!E:E,'Costing Detail'!E194,'Paths and Tariffs'!G:G,"GAS",'Paths and Tariffs'!N:N,1,'Paths and Tariffs'!M:M,1)</f>
        <v>4.0399999999999998E-2</v>
      </c>
    </row>
    <row r="195" spans="1:35" hidden="1" x14ac:dyDescent="0.55000000000000004">
      <c r="A195" s="35" t="s">
        <v>4723</v>
      </c>
      <c r="B195" t="s">
        <v>4745</v>
      </c>
      <c r="C195" t="s">
        <v>4745</v>
      </c>
      <c r="D195" t="s">
        <v>7312</v>
      </c>
      <c r="E195" s="35" t="s">
        <v>4746</v>
      </c>
      <c r="F195" t="s">
        <v>4747</v>
      </c>
      <c r="G195" s="36">
        <v>0</v>
      </c>
      <c r="H195" s="36">
        <v>0</v>
      </c>
      <c r="I195" s="36">
        <v>1.15E-2</v>
      </c>
      <c r="J195" s="37">
        <f t="shared" si="18"/>
        <v>1.15E-2</v>
      </c>
      <c r="K195" s="54">
        <v>0.19789999999999999</v>
      </c>
      <c r="L195" s="54">
        <v>2.2699999999999999E-3</v>
      </c>
      <c r="M195" s="54">
        <v>-5.5E-2</v>
      </c>
      <c r="N195" s="54">
        <v>5.0000000000000001E-3</v>
      </c>
      <c r="O195" s="54">
        <v>1.2500000000000001E-2</v>
      </c>
      <c r="P195" s="54">
        <v>1.4999999999999999E-2</v>
      </c>
      <c r="Q195" s="54">
        <v>0.02</v>
      </c>
      <c r="R195" s="54">
        <v>0</v>
      </c>
      <c r="S195" s="59">
        <f t="shared" si="19"/>
        <v>0.19766999999999998</v>
      </c>
      <c r="T195" s="38">
        <f t="shared" si="20"/>
        <v>0.20916999999999999</v>
      </c>
      <c r="U195" s="39">
        <v>0</v>
      </c>
      <c r="V195" s="39">
        <v>0</v>
      </c>
      <c r="W195" s="39">
        <v>1.15E-2</v>
      </c>
      <c r="X195" s="40">
        <f t="shared" si="21"/>
        <v>1.15E-2</v>
      </c>
      <c r="Y195" s="41">
        <v>4.2035999999999997E-2</v>
      </c>
      <c r="Z195" s="41">
        <v>3.4169999999999999E-3</v>
      </c>
      <c r="AA195" s="41">
        <v>3.0000000000000001E-3</v>
      </c>
      <c r="AB195" s="41">
        <v>0</v>
      </c>
      <c r="AC195" s="42">
        <f t="shared" si="22"/>
        <v>4.8452999999999996E-2</v>
      </c>
      <c r="AD195" s="38">
        <f t="shared" si="23"/>
        <v>5.9952999999999992E-2</v>
      </c>
      <c r="AE195" s="43">
        <f t="shared" si="24"/>
        <v>5.9952999999999992E-2</v>
      </c>
      <c r="AF195" s="43">
        <f t="shared" si="25"/>
        <v>7.4874700000000002E-2</v>
      </c>
      <c r="AG195" s="43">
        <f t="shared" si="26"/>
        <v>8.2335549999999993E-2</v>
      </c>
      <c r="AI195" s="64">
        <f>SUMIFS('Paths and Tariffs'!Q:Q,'Paths and Tariffs'!E:E,'Costing Detail'!E195,'Paths and Tariffs'!G:G,"GAS",'Paths and Tariffs'!N:N,1,'Paths and Tariffs'!M:M,1)</f>
        <v>4.2035999999999997E-2</v>
      </c>
    </row>
    <row r="196" spans="1:35" hidden="1" x14ac:dyDescent="0.55000000000000004">
      <c r="A196" s="35" t="s">
        <v>4723</v>
      </c>
      <c r="B196" t="s">
        <v>264</v>
      </c>
      <c r="C196" t="s">
        <v>264</v>
      </c>
      <c r="D196" t="s">
        <v>7312</v>
      </c>
      <c r="E196" s="35" t="s">
        <v>4777</v>
      </c>
      <c r="F196" t="s">
        <v>4778</v>
      </c>
      <c r="G196" s="36">
        <v>0</v>
      </c>
      <c r="H196" s="36">
        <v>0</v>
      </c>
      <c r="I196" s="36">
        <v>1.15E-2</v>
      </c>
      <c r="J196" s="37">
        <f t="shared" ref="J196:J230" si="27">SUM(G196:I196)</f>
        <v>1.15E-2</v>
      </c>
      <c r="K196" s="54">
        <v>0.21742</v>
      </c>
      <c r="L196" s="54">
        <v>2.2629999999999998E-3</v>
      </c>
      <c r="M196" s="54">
        <v>-0.125</v>
      </c>
      <c r="N196" s="54">
        <v>5.0000000000000001E-3</v>
      </c>
      <c r="O196" s="54">
        <v>1.2500000000000001E-2</v>
      </c>
      <c r="P196" s="54">
        <v>1.4999999999999999E-2</v>
      </c>
      <c r="Q196" s="54">
        <v>0.02</v>
      </c>
      <c r="R196" s="54">
        <v>0</v>
      </c>
      <c r="S196" s="59">
        <f t="shared" ref="S196:S230" si="28">SUM(K196:R196)</f>
        <v>0.14718299999999998</v>
      </c>
      <c r="T196" s="38">
        <f t="shared" ref="T196:T230" si="29">J196+S196</f>
        <v>0.15868299999999999</v>
      </c>
      <c r="U196" s="39">
        <v>0</v>
      </c>
      <c r="V196" s="39">
        <v>0</v>
      </c>
      <c r="W196" s="39">
        <v>1.15E-2</v>
      </c>
      <c r="X196" s="40">
        <f t="shared" ref="X196:X230" si="30">SUM(U196:W196)</f>
        <v>1.15E-2</v>
      </c>
      <c r="Y196" s="41">
        <v>8.0463999999999994E-2</v>
      </c>
      <c r="Z196" s="41">
        <v>2.493E-3</v>
      </c>
      <c r="AA196" s="41">
        <v>3.0000000000000001E-3</v>
      </c>
      <c r="AB196" s="41">
        <v>0</v>
      </c>
      <c r="AC196" s="42">
        <f t="shared" ref="AC196:AC230" si="31">SUM(Y196:AB196)</f>
        <v>8.5956999999999992E-2</v>
      </c>
      <c r="AD196" s="38">
        <f t="shared" ref="AD196:AD230" si="32">AC196+X196</f>
        <v>9.7456999999999988E-2</v>
      </c>
      <c r="AE196" s="43">
        <f t="shared" ref="AE196:AE230" si="33">0*T196+1*AD196</f>
        <v>9.7456999999999988E-2</v>
      </c>
      <c r="AF196" s="43">
        <f t="shared" ref="AF196:AF230" si="34">0.1*T196+0.9*AD196</f>
        <v>0.10357959999999999</v>
      </c>
      <c r="AG196" s="43">
        <f t="shared" ref="AG196:AG230" si="35">0.15*T196+0.85*AD196</f>
        <v>0.1066409</v>
      </c>
      <c r="AI196" s="64">
        <f>SUMIFS('Paths and Tariffs'!Q:Q,'Paths and Tariffs'!E:E,'Costing Detail'!E196,'Paths and Tariffs'!G:G,"GAS",'Paths and Tariffs'!N:N,1,'Paths and Tariffs'!M:M,1)</f>
        <v>8.0463999999999994E-2</v>
      </c>
    </row>
    <row r="197" spans="1:35" hidden="1" x14ac:dyDescent="0.55000000000000004">
      <c r="A197" s="35" t="s">
        <v>4723</v>
      </c>
      <c r="B197" t="s">
        <v>4783</v>
      </c>
      <c r="C197" t="s">
        <v>4783</v>
      </c>
      <c r="D197" t="s">
        <v>7312</v>
      </c>
      <c r="E197" s="35" t="s">
        <v>4811</v>
      </c>
      <c r="F197" t="s">
        <v>4812</v>
      </c>
      <c r="G197" s="36">
        <v>0</v>
      </c>
      <c r="H197" s="36">
        <v>0</v>
      </c>
      <c r="I197" s="36">
        <v>1.15E-2</v>
      </c>
      <c r="J197" s="37">
        <f t="shared" si="27"/>
        <v>1.15E-2</v>
      </c>
      <c r="K197" s="54">
        <v>0.18357599999999999</v>
      </c>
      <c r="L197" s="54">
        <v>2.2780000000000001E-3</v>
      </c>
      <c r="M197" s="54">
        <v>-5.5E-2</v>
      </c>
      <c r="N197" s="54">
        <v>5.0000000000000001E-3</v>
      </c>
      <c r="O197" s="54">
        <v>1.2500000000000001E-2</v>
      </c>
      <c r="P197" s="54">
        <v>1.4999999999999999E-2</v>
      </c>
      <c r="Q197" s="54">
        <v>0.02</v>
      </c>
      <c r="R197" s="54">
        <v>0</v>
      </c>
      <c r="S197" s="59">
        <f t="shared" si="28"/>
        <v>0.18335399999999999</v>
      </c>
      <c r="T197" s="38">
        <f t="shared" si="29"/>
        <v>0.194854</v>
      </c>
      <c r="U197" s="39">
        <v>0</v>
      </c>
      <c r="V197" s="39">
        <v>0</v>
      </c>
      <c r="W197" s="39">
        <v>1.15E-2</v>
      </c>
      <c r="X197" s="40">
        <f t="shared" si="30"/>
        <v>1.15E-2</v>
      </c>
      <c r="Y197" s="41">
        <v>4.2654999999999998E-2</v>
      </c>
      <c r="Z197" s="41">
        <v>3.5100000000000001E-3</v>
      </c>
      <c r="AA197" s="41">
        <v>3.0000000000000001E-3</v>
      </c>
      <c r="AB197" s="41">
        <v>0</v>
      </c>
      <c r="AC197" s="42">
        <f t="shared" si="31"/>
        <v>4.9165E-2</v>
      </c>
      <c r="AD197" s="38">
        <f t="shared" si="32"/>
        <v>6.0664999999999997E-2</v>
      </c>
      <c r="AE197" s="43">
        <f t="shared" si="33"/>
        <v>6.0664999999999997E-2</v>
      </c>
      <c r="AF197" s="43">
        <f t="shared" si="34"/>
        <v>7.4083900000000008E-2</v>
      </c>
      <c r="AG197" s="43">
        <f t="shared" si="35"/>
        <v>8.0793349999999986E-2</v>
      </c>
      <c r="AI197" s="64">
        <f>SUMIFS('Paths and Tariffs'!Q:Q,'Paths and Tariffs'!E:E,'Costing Detail'!E197,'Paths and Tariffs'!G:G,"GAS",'Paths and Tariffs'!N:N,1,'Paths and Tariffs'!M:M,1)</f>
        <v>4.2654999999999998E-2</v>
      </c>
    </row>
    <row r="198" spans="1:35" hidden="1" x14ac:dyDescent="0.55000000000000004">
      <c r="A198" s="35" t="s">
        <v>4815</v>
      </c>
      <c r="B198" t="s">
        <v>7388</v>
      </c>
      <c r="C198" t="s">
        <v>4828</v>
      </c>
      <c r="D198" t="s">
        <v>7314</v>
      </c>
      <c r="E198" s="35" t="s">
        <v>4829</v>
      </c>
      <c r="F198" t="s">
        <v>4830</v>
      </c>
      <c r="G198" s="36">
        <v>0</v>
      </c>
      <c r="H198" s="36">
        <v>0</v>
      </c>
      <c r="I198" s="36">
        <v>1.15E-2</v>
      </c>
      <c r="J198" s="37">
        <f t="shared" si="27"/>
        <v>1.15E-2</v>
      </c>
      <c r="K198" s="54">
        <v>0.21898300000000001</v>
      </c>
      <c r="L198" s="54">
        <v>2.4529999999999999E-3</v>
      </c>
      <c r="M198" s="54">
        <v>-0.125</v>
      </c>
      <c r="N198" s="54">
        <v>5.0000000000000001E-3</v>
      </c>
      <c r="O198" s="54">
        <v>1.2500000000000001E-2</v>
      </c>
      <c r="P198" s="54">
        <v>1.4999999999999999E-2</v>
      </c>
      <c r="Q198" s="54">
        <v>0.02</v>
      </c>
      <c r="R198" s="54">
        <v>0</v>
      </c>
      <c r="S198" s="59">
        <f t="shared" si="28"/>
        <v>0.14893600000000001</v>
      </c>
      <c r="T198" s="38">
        <f t="shared" si="29"/>
        <v>0.16043600000000002</v>
      </c>
      <c r="U198" s="39">
        <v>0</v>
      </c>
      <c r="V198" s="39">
        <v>0</v>
      </c>
      <c r="W198" s="39">
        <v>1.15E-2</v>
      </c>
      <c r="X198" s="40">
        <f t="shared" si="30"/>
        <v>1.15E-2</v>
      </c>
      <c r="Y198" s="41">
        <v>0.10306899999999999</v>
      </c>
      <c r="Z198" s="41">
        <v>2.006E-3</v>
      </c>
      <c r="AA198" s="41">
        <v>3.0000000000000001E-3</v>
      </c>
      <c r="AB198" s="41">
        <v>0</v>
      </c>
      <c r="AC198" s="42">
        <f t="shared" si="31"/>
        <v>0.10807499999999999</v>
      </c>
      <c r="AD198" s="38">
        <f t="shared" si="32"/>
        <v>0.11957499999999999</v>
      </c>
      <c r="AE198" s="43">
        <f t="shared" si="33"/>
        <v>0.11957499999999999</v>
      </c>
      <c r="AF198" s="43">
        <f t="shared" si="34"/>
        <v>0.1236611</v>
      </c>
      <c r="AG198" s="43">
        <f t="shared" si="35"/>
        <v>0.12570414999999999</v>
      </c>
      <c r="AI198" s="64">
        <f>SUMIFS('Paths and Tariffs'!Q:Q,'Paths and Tariffs'!E:E,'Costing Detail'!E198,'Paths and Tariffs'!G:G,"GAS",'Paths and Tariffs'!N:N,1,'Paths and Tariffs'!M:M,1)</f>
        <v>0.10306899999999999</v>
      </c>
    </row>
    <row r="199" spans="1:35" hidden="1" x14ac:dyDescent="0.55000000000000004">
      <c r="A199" s="35" t="s">
        <v>4815</v>
      </c>
      <c r="B199" t="s">
        <v>4870</v>
      </c>
      <c r="C199" t="s">
        <v>4870</v>
      </c>
      <c r="D199" t="s">
        <v>7314</v>
      </c>
      <c r="E199" s="35" t="s">
        <v>4881</v>
      </c>
      <c r="F199" t="s">
        <v>4882</v>
      </c>
      <c r="G199" s="36">
        <v>0</v>
      </c>
      <c r="H199" s="36">
        <v>0</v>
      </c>
      <c r="I199" s="36">
        <v>1.15E-2</v>
      </c>
      <c r="J199" s="37">
        <f t="shared" si="27"/>
        <v>1.15E-2</v>
      </c>
      <c r="K199" s="54">
        <v>0.23799999999999999</v>
      </c>
      <c r="L199" s="54">
        <v>2.3739999999999998E-3</v>
      </c>
      <c r="M199" s="54">
        <v>-0.125</v>
      </c>
      <c r="N199" s="54">
        <v>5.0000000000000001E-3</v>
      </c>
      <c r="O199" s="54">
        <v>1.2500000000000001E-2</v>
      </c>
      <c r="P199" s="54">
        <v>1.4999999999999999E-2</v>
      </c>
      <c r="Q199" s="54">
        <v>0.02</v>
      </c>
      <c r="R199" s="54">
        <v>0</v>
      </c>
      <c r="S199" s="59">
        <f t="shared" si="28"/>
        <v>0.167874</v>
      </c>
      <c r="T199" s="38">
        <f t="shared" si="29"/>
        <v>0.17937400000000001</v>
      </c>
      <c r="U199" s="39">
        <v>0</v>
      </c>
      <c r="V199" s="39">
        <v>0</v>
      </c>
      <c r="W199" s="39">
        <v>1.15E-2</v>
      </c>
      <c r="X199" s="40">
        <f t="shared" si="30"/>
        <v>1.15E-2</v>
      </c>
      <c r="Y199" s="41">
        <v>8.4239999999999992E-3</v>
      </c>
      <c r="Z199" s="41">
        <v>9.1299999999999997E-4</v>
      </c>
      <c r="AA199" s="41">
        <v>3.0000000000000001E-3</v>
      </c>
      <c r="AB199" s="41">
        <v>0</v>
      </c>
      <c r="AC199" s="42">
        <f t="shared" si="31"/>
        <v>1.2337000000000001E-2</v>
      </c>
      <c r="AD199" s="38">
        <f t="shared" si="32"/>
        <v>2.3837000000000001E-2</v>
      </c>
      <c r="AE199" s="43">
        <f t="shared" si="33"/>
        <v>2.3837000000000001E-2</v>
      </c>
      <c r="AF199" s="43">
        <f t="shared" si="34"/>
        <v>3.9390700000000001E-2</v>
      </c>
      <c r="AG199" s="43">
        <f t="shared" si="35"/>
        <v>4.7167550000000003E-2</v>
      </c>
      <c r="AI199" s="64">
        <f>SUMIFS('Paths and Tariffs'!Q:Q,'Paths and Tariffs'!E:E,'Costing Detail'!E199,'Paths and Tariffs'!G:G,"GAS",'Paths and Tariffs'!N:N,1,'Paths and Tariffs'!M:M,1)</f>
        <v>8.4239999999999992E-3</v>
      </c>
    </row>
    <row r="200" spans="1:35" hidden="1" x14ac:dyDescent="0.55000000000000004">
      <c r="A200" s="35" t="s">
        <v>4815</v>
      </c>
      <c r="B200" t="s">
        <v>7392</v>
      </c>
      <c r="C200" t="s">
        <v>4893</v>
      </c>
      <c r="D200" t="s">
        <v>7314</v>
      </c>
      <c r="E200" s="35" t="s">
        <v>4902</v>
      </c>
      <c r="F200" t="s">
        <v>4903</v>
      </c>
      <c r="G200" s="36">
        <v>0</v>
      </c>
      <c r="H200" s="36">
        <v>0</v>
      </c>
      <c r="I200" s="36">
        <v>1.15E-2</v>
      </c>
      <c r="J200" s="37">
        <f t="shared" si="27"/>
        <v>1.15E-2</v>
      </c>
      <c r="K200" s="54">
        <v>0.25811200000000001</v>
      </c>
      <c r="L200" s="54">
        <v>2.5479999999999999E-3</v>
      </c>
      <c r="M200" s="54">
        <v>-0.125</v>
      </c>
      <c r="N200" s="54">
        <v>5.0000000000000001E-3</v>
      </c>
      <c r="O200" s="54">
        <v>1.2500000000000001E-2</v>
      </c>
      <c r="P200" s="54">
        <v>1.4999999999999999E-2</v>
      </c>
      <c r="Q200" s="54">
        <v>0.02</v>
      </c>
      <c r="R200" s="54">
        <v>0</v>
      </c>
      <c r="S200" s="59">
        <f t="shared" si="28"/>
        <v>0.18816000000000002</v>
      </c>
      <c r="T200" s="38">
        <f t="shared" si="29"/>
        <v>0.19966000000000003</v>
      </c>
      <c r="U200" s="39">
        <v>0</v>
      </c>
      <c r="V200" s="39">
        <v>0</v>
      </c>
      <c r="W200" s="39">
        <v>1.15E-2</v>
      </c>
      <c r="X200" s="40">
        <f t="shared" si="30"/>
        <v>1.15E-2</v>
      </c>
      <c r="Y200" s="41">
        <v>2.7098000000000001E-2</v>
      </c>
      <c r="Z200" s="41">
        <v>1.07E-3</v>
      </c>
      <c r="AA200" s="41">
        <v>3.0000000000000001E-3</v>
      </c>
      <c r="AB200" s="41">
        <v>0</v>
      </c>
      <c r="AC200" s="42">
        <f t="shared" si="31"/>
        <v>3.1168000000000001E-2</v>
      </c>
      <c r="AD200" s="38">
        <f t="shared" si="32"/>
        <v>4.2667999999999998E-2</v>
      </c>
      <c r="AE200" s="43">
        <f t="shared" si="33"/>
        <v>4.2667999999999998E-2</v>
      </c>
      <c r="AF200" s="43">
        <f t="shared" si="34"/>
        <v>5.8367200000000001E-2</v>
      </c>
      <c r="AG200" s="43">
        <f t="shared" si="35"/>
        <v>6.6216799999999992E-2</v>
      </c>
      <c r="AI200" s="64">
        <f>SUMIFS('Paths and Tariffs'!Q:Q,'Paths and Tariffs'!E:E,'Costing Detail'!E200,'Paths and Tariffs'!G:G,"GAS",'Paths and Tariffs'!N:N,1,'Paths and Tariffs'!M:M,1)</f>
        <v>2.7098000000000001E-2</v>
      </c>
    </row>
    <row r="201" spans="1:35" hidden="1" x14ac:dyDescent="0.55000000000000004">
      <c r="A201" s="35" t="s">
        <v>4815</v>
      </c>
      <c r="B201" t="s">
        <v>4940</v>
      </c>
      <c r="C201" t="s">
        <v>4940</v>
      </c>
      <c r="D201" t="s">
        <v>7314</v>
      </c>
      <c r="E201" s="35" t="s">
        <v>4941</v>
      </c>
      <c r="F201" t="s">
        <v>4942</v>
      </c>
      <c r="G201" s="36">
        <v>0</v>
      </c>
      <c r="H201" s="36">
        <v>0</v>
      </c>
      <c r="I201" s="36">
        <v>1.15E-2</v>
      </c>
      <c r="J201" s="37">
        <f t="shared" si="27"/>
        <v>1.15E-2</v>
      </c>
      <c r="K201" s="54">
        <v>0.23283300000000001</v>
      </c>
      <c r="L201" s="54">
        <v>2.4680000000000001E-3</v>
      </c>
      <c r="M201" s="54">
        <v>-0.125</v>
      </c>
      <c r="N201" s="54">
        <v>5.0000000000000001E-3</v>
      </c>
      <c r="O201" s="54">
        <v>1.2500000000000001E-2</v>
      </c>
      <c r="P201" s="54">
        <v>1.4999999999999999E-2</v>
      </c>
      <c r="Q201" s="54">
        <v>0.02</v>
      </c>
      <c r="R201" s="54">
        <v>0</v>
      </c>
      <c r="S201" s="59">
        <f t="shared" si="28"/>
        <v>0.162801</v>
      </c>
      <c r="T201" s="38">
        <f t="shared" si="29"/>
        <v>0.17430100000000001</v>
      </c>
      <c r="U201" s="39">
        <v>0</v>
      </c>
      <c r="V201" s="39">
        <v>0</v>
      </c>
      <c r="W201" s="39">
        <v>1.15E-2</v>
      </c>
      <c r="X201" s="40">
        <f t="shared" si="30"/>
        <v>1.15E-2</v>
      </c>
      <c r="Y201" s="41">
        <v>5.0048000000000002E-2</v>
      </c>
      <c r="Z201" s="41">
        <v>1.49E-3</v>
      </c>
      <c r="AA201" s="41">
        <v>3.0000000000000001E-3</v>
      </c>
      <c r="AB201" s="41">
        <v>0</v>
      </c>
      <c r="AC201" s="42">
        <f t="shared" si="31"/>
        <v>5.4538000000000003E-2</v>
      </c>
      <c r="AD201" s="38">
        <f t="shared" si="32"/>
        <v>6.6037999999999999E-2</v>
      </c>
      <c r="AE201" s="43">
        <f t="shared" si="33"/>
        <v>6.6037999999999999E-2</v>
      </c>
      <c r="AF201" s="43">
        <f t="shared" si="34"/>
        <v>7.6864299999999997E-2</v>
      </c>
      <c r="AG201" s="43">
        <f t="shared" si="35"/>
        <v>8.2277450000000002E-2</v>
      </c>
      <c r="AI201" s="64">
        <f>SUMIFS('Paths and Tariffs'!Q:Q,'Paths and Tariffs'!E:E,'Costing Detail'!E201,'Paths and Tariffs'!G:G,"GAS",'Paths and Tariffs'!N:N,1,'Paths and Tariffs'!M:M,1)</f>
        <v>5.0048000000000002E-2</v>
      </c>
    </row>
    <row r="202" spans="1:35" hidden="1" x14ac:dyDescent="0.55000000000000004">
      <c r="A202" s="35" t="s">
        <v>4815</v>
      </c>
      <c r="B202" t="s">
        <v>4842</v>
      </c>
      <c r="C202" t="s">
        <v>4971</v>
      </c>
      <c r="D202" t="s">
        <v>7314</v>
      </c>
      <c r="E202" s="35" t="s">
        <v>4843</v>
      </c>
      <c r="F202" t="s">
        <v>4844</v>
      </c>
      <c r="G202" s="36">
        <v>0</v>
      </c>
      <c r="H202" s="36">
        <v>0</v>
      </c>
      <c r="I202" s="36">
        <v>1.15E-2</v>
      </c>
      <c r="J202" s="37">
        <f t="shared" si="27"/>
        <v>1.15E-2</v>
      </c>
      <c r="K202" s="54">
        <v>0.192167</v>
      </c>
      <c r="L202" s="54">
        <v>2.3739999999999998E-3</v>
      </c>
      <c r="M202" s="54">
        <v>-0.125</v>
      </c>
      <c r="N202" s="54">
        <v>5.0000000000000001E-3</v>
      </c>
      <c r="O202" s="54">
        <v>1.2500000000000001E-2</v>
      </c>
      <c r="P202" s="54">
        <v>1.4999999999999999E-2</v>
      </c>
      <c r="Q202" s="54">
        <v>0.02</v>
      </c>
      <c r="R202" s="54">
        <v>0</v>
      </c>
      <c r="S202" s="59">
        <f t="shared" si="28"/>
        <v>0.122041</v>
      </c>
      <c r="T202" s="38">
        <f t="shared" si="29"/>
        <v>0.13354099999999999</v>
      </c>
      <c r="U202" s="39">
        <v>0</v>
      </c>
      <c r="V202" s="39">
        <v>0</v>
      </c>
      <c r="W202" s="39">
        <v>1.15E-2</v>
      </c>
      <c r="X202" s="40">
        <f t="shared" si="30"/>
        <v>1.15E-2</v>
      </c>
      <c r="Y202" s="41">
        <v>5.5633000000000002E-2</v>
      </c>
      <c r="Z202" s="41">
        <v>1.552E-3</v>
      </c>
      <c r="AA202" s="41">
        <v>3.0000000000000001E-3</v>
      </c>
      <c r="AB202" s="41">
        <v>0</v>
      </c>
      <c r="AC202" s="42">
        <f t="shared" si="31"/>
        <v>6.0185000000000002E-2</v>
      </c>
      <c r="AD202" s="38">
        <f t="shared" si="32"/>
        <v>7.1684999999999999E-2</v>
      </c>
      <c r="AE202" s="43">
        <f t="shared" si="33"/>
        <v>7.1684999999999999E-2</v>
      </c>
      <c r="AF202" s="43">
        <f t="shared" si="34"/>
        <v>7.7870600000000012E-2</v>
      </c>
      <c r="AG202" s="43">
        <f t="shared" si="35"/>
        <v>8.0963399999999991E-2</v>
      </c>
      <c r="AI202" s="64">
        <f>SUMIFS('Paths and Tariffs'!Q:Q,'Paths and Tariffs'!E:E,'Costing Detail'!E202,'Paths and Tariffs'!G:G,"GAS",'Paths and Tariffs'!N:N,1,'Paths and Tariffs'!M:M,1)</f>
        <v>5.5633000000000002E-2</v>
      </c>
    </row>
    <row r="203" spans="1:35" hidden="1" x14ac:dyDescent="0.55000000000000004">
      <c r="A203" s="35" t="s">
        <v>4815</v>
      </c>
      <c r="B203" t="s">
        <v>5041</v>
      </c>
      <c r="C203" t="s">
        <v>4971</v>
      </c>
      <c r="D203" t="s">
        <v>7314</v>
      </c>
      <c r="E203" s="35" t="s">
        <v>5042</v>
      </c>
      <c r="F203" t="s">
        <v>5043</v>
      </c>
      <c r="G203" s="36">
        <v>0</v>
      </c>
      <c r="H203" s="36">
        <v>0</v>
      </c>
      <c r="I203" s="36">
        <v>1.15E-2</v>
      </c>
      <c r="J203" s="37">
        <f t="shared" si="27"/>
        <v>1.15E-2</v>
      </c>
      <c r="K203" s="54">
        <v>0.192167</v>
      </c>
      <c r="L203" s="54">
        <v>2.4099999999999998E-3</v>
      </c>
      <c r="M203" s="54">
        <v>-0.125</v>
      </c>
      <c r="N203" s="54">
        <v>5.0000000000000001E-3</v>
      </c>
      <c r="O203" s="54">
        <v>1.2500000000000001E-2</v>
      </c>
      <c r="P203" s="54">
        <v>1.4999999999999999E-2</v>
      </c>
      <c r="Q203" s="54">
        <v>0.02</v>
      </c>
      <c r="R203" s="54">
        <v>0</v>
      </c>
      <c r="S203" s="59">
        <f t="shared" si="28"/>
        <v>0.122077</v>
      </c>
      <c r="T203" s="38">
        <f t="shared" si="29"/>
        <v>0.133577</v>
      </c>
      <c r="U203" s="39">
        <v>0</v>
      </c>
      <c r="V203" s="39">
        <v>0</v>
      </c>
      <c r="W203" s="39">
        <v>1.15E-2</v>
      </c>
      <c r="X203" s="40">
        <f t="shared" si="30"/>
        <v>1.15E-2</v>
      </c>
      <c r="Y203" s="41">
        <v>5.5856999999999997E-2</v>
      </c>
      <c r="Z203" s="41">
        <v>1.5579999999999999E-3</v>
      </c>
      <c r="AA203" s="41">
        <v>3.0000000000000001E-3</v>
      </c>
      <c r="AB203" s="41">
        <v>0</v>
      </c>
      <c r="AC203" s="42">
        <f t="shared" si="31"/>
        <v>6.0414999999999996E-2</v>
      </c>
      <c r="AD203" s="38">
        <f t="shared" si="32"/>
        <v>7.1914999999999993E-2</v>
      </c>
      <c r="AE203" s="43">
        <f t="shared" si="33"/>
        <v>7.1914999999999993E-2</v>
      </c>
      <c r="AF203" s="43">
        <f t="shared" si="34"/>
        <v>7.808119999999999E-2</v>
      </c>
      <c r="AG203" s="43">
        <f t="shared" si="35"/>
        <v>8.1164299999999995E-2</v>
      </c>
      <c r="AI203" s="64">
        <f>SUMIFS('Paths and Tariffs'!Q:Q,'Paths and Tariffs'!E:E,'Costing Detail'!E203,'Paths and Tariffs'!G:G,"GAS",'Paths and Tariffs'!N:N,1,'Paths and Tariffs'!M:M,1)</f>
        <v>5.5856999999999997E-2</v>
      </c>
    </row>
    <row r="204" spans="1:35" hidden="1" x14ac:dyDescent="0.55000000000000004">
      <c r="A204" s="35" t="s">
        <v>4815</v>
      </c>
      <c r="B204" t="s">
        <v>5054</v>
      </c>
      <c r="C204" t="s">
        <v>4971</v>
      </c>
      <c r="D204" t="s">
        <v>7314</v>
      </c>
      <c r="E204" s="35" t="s">
        <v>5070</v>
      </c>
      <c r="F204" t="s">
        <v>5071</v>
      </c>
      <c r="G204" s="36">
        <v>0</v>
      </c>
      <c r="H204" s="36">
        <v>0</v>
      </c>
      <c r="I204" s="36">
        <v>1.15E-2</v>
      </c>
      <c r="J204" s="37">
        <f t="shared" si="27"/>
        <v>1.15E-2</v>
      </c>
      <c r="K204" s="54">
        <v>0.192167</v>
      </c>
      <c r="L204" s="54">
        <v>2.3649999999999999E-3</v>
      </c>
      <c r="M204" s="54">
        <v>-0.125</v>
      </c>
      <c r="N204" s="54">
        <v>5.0000000000000001E-3</v>
      </c>
      <c r="O204" s="54">
        <v>1.2500000000000001E-2</v>
      </c>
      <c r="P204" s="54">
        <v>1.4999999999999999E-2</v>
      </c>
      <c r="Q204" s="54">
        <v>0.02</v>
      </c>
      <c r="R204" s="54">
        <v>0</v>
      </c>
      <c r="S204" s="59">
        <f t="shared" si="28"/>
        <v>0.12203200000000002</v>
      </c>
      <c r="T204" s="38">
        <f t="shared" si="29"/>
        <v>0.13353200000000001</v>
      </c>
      <c r="U204" s="39">
        <v>0</v>
      </c>
      <c r="V204" s="39">
        <v>0</v>
      </c>
      <c r="W204" s="39">
        <v>1.15E-2</v>
      </c>
      <c r="X204" s="40">
        <f t="shared" si="30"/>
        <v>1.15E-2</v>
      </c>
      <c r="Y204" s="41">
        <v>5.6356999999999997E-2</v>
      </c>
      <c r="Z204" s="41">
        <v>1.629E-3</v>
      </c>
      <c r="AA204" s="41">
        <v>3.0000000000000001E-3</v>
      </c>
      <c r="AB204" s="41">
        <v>0</v>
      </c>
      <c r="AC204" s="42">
        <f t="shared" si="31"/>
        <v>6.0985999999999999E-2</v>
      </c>
      <c r="AD204" s="38">
        <f t="shared" si="32"/>
        <v>7.2485999999999995E-2</v>
      </c>
      <c r="AE204" s="43">
        <f t="shared" si="33"/>
        <v>7.2485999999999995E-2</v>
      </c>
      <c r="AF204" s="43">
        <f t="shared" si="34"/>
        <v>7.859060000000001E-2</v>
      </c>
      <c r="AG204" s="43">
        <f t="shared" si="35"/>
        <v>8.164289999999999E-2</v>
      </c>
      <c r="AI204" s="64">
        <f>SUMIFS('Paths and Tariffs'!Q:Q,'Paths and Tariffs'!E:E,'Costing Detail'!E204,'Paths and Tariffs'!G:G,"GAS",'Paths and Tariffs'!N:N,1,'Paths and Tariffs'!M:M,1)</f>
        <v>5.6356999999999997E-2</v>
      </c>
    </row>
    <row r="205" spans="1:35" hidden="1" x14ac:dyDescent="0.55000000000000004">
      <c r="A205" s="35" t="s">
        <v>4815</v>
      </c>
      <c r="B205" t="s">
        <v>5098</v>
      </c>
      <c r="C205" t="s">
        <v>4971</v>
      </c>
      <c r="D205" t="s">
        <v>7314</v>
      </c>
      <c r="E205" s="35" t="s">
        <v>5099</v>
      </c>
      <c r="F205" t="s">
        <v>5100</v>
      </c>
      <c r="G205" s="36">
        <v>0</v>
      </c>
      <c r="H205" s="36">
        <v>0</v>
      </c>
      <c r="I205" s="36">
        <v>1.15E-2</v>
      </c>
      <c r="J205" s="37">
        <f t="shared" si="27"/>
        <v>1.15E-2</v>
      </c>
      <c r="K205" s="54">
        <v>0.192167</v>
      </c>
      <c r="L205" s="54">
        <v>2.405E-3</v>
      </c>
      <c r="M205" s="54">
        <v>-0.125</v>
      </c>
      <c r="N205" s="54">
        <v>5.0000000000000001E-3</v>
      </c>
      <c r="O205" s="54">
        <v>1.2500000000000001E-2</v>
      </c>
      <c r="P205" s="54">
        <v>1.4999999999999999E-2</v>
      </c>
      <c r="Q205" s="54">
        <v>0.02</v>
      </c>
      <c r="R205" s="54">
        <v>0</v>
      </c>
      <c r="S205" s="59">
        <f t="shared" si="28"/>
        <v>0.122072</v>
      </c>
      <c r="T205" s="38">
        <f t="shared" si="29"/>
        <v>0.133572</v>
      </c>
      <c r="U205" s="39">
        <v>0</v>
      </c>
      <c r="V205" s="39">
        <v>0</v>
      </c>
      <c r="W205" s="39">
        <v>1.15E-2</v>
      </c>
      <c r="X205" s="40">
        <f t="shared" si="30"/>
        <v>1.15E-2</v>
      </c>
      <c r="Y205" s="41">
        <v>5.5856999999999997E-2</v>
      </c>
      <c r="Z205" s="41">
        <v>1.588E-3</v>
      </c>
      <c r="AA205" s="41">
        <v>3.0000000000000001E-3</v>
      </c>
      <c r="AB205" s="41">
        <v>0</v>
      </c>
      <c r="AC205" s="42">
        <f t="shared" si="31"/>
        <v>6.0444999999999999E-2</v>
      </c>
      <c r="AD205" s="38">
        <f t="shared" si="32"/>
        <v>7.1944999999999995E-2</v>
      </c>
      <c r="AE205" s="43">
        <f t="shared" si="33"/>
        <v>7.1944999999999995E-2</v>
      </c>
      <c r="AF205" s="43">
        <f t="shared" si="34"/>
        <v>7.8107700000000002E-2</v>
      </c>
      <c r="AG205" s="43">
        <f t="shared" si="35"/>
        <v>8.1189049999999985E-2</v>
      </c>
      <c r="AI205" s="64">
        <f>SUMIFS('Paths and Tariffs'!Q:Q,'Paths and Tariffs'!E:E,'Costing Detail'!E205,'Paths and Tariffs'!G:G,"GAS",'Paths and Tariffs'!N:N,1,'Paths and Tariffs'!M:M,1)</f>
        <v>5.5856999999999997E-2</v>
      </c>
    </row>
    <row r="206" spans="1:35" hidden="1" x14ac:dyDescent="0.55000000000000004">
      <c r="A206" s="35" t="s">
        <v>4815</v>
      </c>
      <c r="B206" t="s">
        <v>5144</v>
      </c>
      <c r="C206" t="s">
        <v>4971</v>
      </c>
      <c r="D206" t="s">
        <v>7314</v>
      </c>
      <c r="E206" s="35" t="s">
        <v>5145</v>
      </c>
      <c r="F206" t="s">
        <v>5146</v>
      </c>
      <c r="G206" s="36">
        <v>0</v>
      </c>
      <c r="H206" s="36">
        <v>0</v>
      </c>
      <c r="I206" s="36">
        <v>1.15E-2</v>
      </c>
      <c r="J206" s="37">
        <f t="shared" si="27"/>
        <v>1.15E-2</v>
      </c>
      <c r="K206" s="54">
        <v>0.23283300000000001</v>
      </c>
      <c r="L206" s="54">
        <v>2.4889999999999999E-3</v>
      </c>
      <c r="M206" s="54">
        <v>-0.125</v>
      </c>
      <c r="N206" s="54">
        <v>5.0000000000000001E-3</v>
      </c>
      <c r="O206" s="54">
        <v>1.2500000000000001E-2</v>
      </c>
      <c r="P206" s="54">
        <v>1.4999999999999999E-2</v>
      </c>
      <c r="Q206" s="54">
        <v>0.02</v>
      </c>
      <c r="R206" s="54">
        <v>0</v>
      </c>
      <c r="S206" s="59">
        <f t="shared" si="28"/>
        <v>0.16282199999999999</v>
      </c>
      <c r="T206" s="38">
        <f t="shared" si="29"/>
        <v>0.174322</v>
      </c>
      <c r="U206" s="39">
        <v>0</v>
      </c>
      <c r="V206" s="39">
        <v>0</v>
      </c>
      <c r="W206" s="39">
        <v>1.15E-2</v>
      </c>
      <c r="X206" s="40">
        <f t="shared" si="30"/>
        <v>1.15E-2</v>
      </c>
      <c r="Y206" s="41">
        <v>5.5856999999999997E-2</v>
      </c>
      <c r="Z206" s="41">
        <v>1.588E-3</v>
      </c>
      <c r="AA206" s="41">
        <v>3.0000000000000001E-3</v>
      </c>
      <c r="AB206" s="41">
        <v>0</v>
      </c>
      <c r="AC206" s="42">
        <f t="shared" si="31"/>
        <v>6.0444999999999999E-2</v>
      </c>
      <c r="AD206" s="38">
        <f t="shared" si="32"/>
        <v>7.1944999999999995E-2</v>
      </c>
      <c r="AE206" s="43">
        <f t="shared" si="33"/>
        <v>7.1944999999999995E-2</v>
      </c>
      <c r="AF206" s="43">
        <f t="shared" si="34"/>
        <v>8.2182699999999997E-2</v>
      </c>
      <c r="AG206" s="43">
        <f t="shared" si="35"/>
        <v>8.7301549999999992E-2</v>
      </c>
      <c r="AI206" s="64">
        <f>SUMIFS('Paths and Tariffs'!Q:Q,'Paths and Tariffs'!E:E,'Costing Detail'!E206,'Paths and Tariffs'!G:G,"GAS",'Paths and Tariffs'!N:N,1,'Paths and Tariffs'!M:M,1)</f>
        <v>5.5856999999999997E-2</v>
      </c>
    </row>
    <row r="207" spans="1:35" hidden="1" x14ac:dyDescent="0.55000000000000004">
      <c r="A207" s="35" t="s">
        <v>4815</v>
      </c>
      <c r="B207" t="s">
        <v>5019</v>
      </c>
      <c r="C207" t="s">
        <v>5019</v>
      </c>
      <c r="D207" t="s">
        <v>7314</v>
      </c>
      <c r="E207" s="35" t="s">
        <v>5031</v>
      </c>
      <c r="F207" t="s">
        <v>5032</v>
      </c>
      <c r="G207" s="36">
        <v>0</v>
      </c>
      <c r="H207" s="36">
        <v>0</v>
      </c>
      <c r="I207" s="36">
        <v>1.15E-2</v>
      </c>
      <c r="J207" s="37">
        <f t="shared" si="27"/>
        <v>1.15E-2</v>
      </c>
      <c r="K207" s="54">
        <v>0.2555</v>
      </c>
      <c r="L207" s="54">
        <v>2.5869999999999999E-3</v>
      </c>
      <c r="M207" s="54">
        <v>-0.125</v>
      </c>
      <c r="N207" s="54">
        <v>5.0000000000000001E-3</v>
      </c>
      <c r="O207" s="54">
        <v>1.2500000000000001E-2</v>
      </c>
      <c r="P207" s="54">
        <v>1.4999999999999999E-2</v>
      </c>
      <c r="Q207" s="54">
        <v>0.02</v>
      </c>
      <c r="R207" s="54">
        <v>0</v>
      </c>
      <c r="S207" s="59">
        <f t="shared" si="28"/>
        <v>0.18558700000000003</v>
      </c>
      <c r="T207" s="38">
        <f t="shared" si="29"/>
        <v>0.19708700000000004</v>
      </c>
      <c r="U207" s="39">
        <v>0</v>
      </c>
      <c r="V207" s="39">
        <v>0</v>
      </c>
      <c r="W207" s="39">
        <v>1.15E-2</v>
      </c>
      <c r="X207" s="40">
        <f t="shared" si="30"/>
        <v>1.15E-2</v>
      </c>
      <c r="Y207" s="41">
        <v>0.12095499999999999</v>
      </c>
      <c r="Z207" s="41">
        <v>2.908E-3</v>
      </c>
      <c r="AA207" s="41">
        <v>3.0000000000000001E-3</v>
      </c>
      <c r="AB207" s="41">
        <v>0</v>
      </c>
      <c r="AC207" s="42">
        <f t="shared" si="31"/>
        <v>0.12686299999999998</v>
      </c>
      <c r="AD207" s="38">
        <f t="shared" si="32"/>
        <v>0.13836299999999999</v>
      </c>
      <c r="AE207" s="43">
        <f t="shared" si="33"/>
        <v>0.13836299999999999</v>
      </c>
      <c r="AF207" s="43">
        <f t="shared" si="34"/>
        <v>0.14423539999999999</v>
      </c>
      <c r="AG207" s="43">
        <f t="shared" si="35"/>
        <v>0.14717159999999999</v>
      </c>
      <c r="AI207" s="64">
        <f>SUMIFS('Paths and Tariffs'!Q:Q,'Paths and Tariffs'!E:E,'Costing Detail'!E207,'Paths and Tariffs'!G:G,"GAS",'Paths and Tariffs'!N:N,1,'Paths and Tariffs'!M:M,1)</f>
        <v>0.12095499999999999</v>
      </c>
    </row>
    <row r="208" spans="1:35" hidden="1" x14ac:dyDescent="0.55000000000000004">
      <c r="A208" s="35" t="s">
        <v>4815</v>
      </c>
      <c r="B208" t="s">
        <v>5075</v>
      </c>
      <c r="C208" t="s">
        <v>5075</v>
      </c>
      <c r="D208" t="s">
        <v>7314</v>
      </c>
      <c r="E208" s="35" t="s">
        <v>5076</v>
      </c>
      <c r="F208" t="s">
        <v>5077</v>
      </c>
      <c r="G208" s="36">
        <v>0</v>
      </c>
      <c r="H208" s="36">
        <v>0</v>
      </c>
      <c r="I208" s="36">
        <v>1.15E-2</v>
      </c>
      <c r="J208" s="37">
        <f t="shared" si="27"/>
        <v>1.15E-2</v>
      </c>
      <c r="K208" s="54">
        <v>0.21887100000000001</v>
      </c>
      <c r="L208" s="54">
        <v>2.447E-3</v>
      </c>
      <c r="M208" s="54">
        <v>-0.125</v>
      </c>
      <c r="N208" s="54">
        <v>5.0000000000000001E-3</v>
      </c>
      <c r="O208" s="54">
        <v>1.2500000000000001E-2</v>
      </c>
      <c r="P208" s="54">
        <v>1.4999999999999999E-2</v>
      </c>
      <c r="Q208" s="54">
        <v>0.02</v>
      </c>
      <c r="R208" s="54">
        <v>0</v>
      </c>
      <c r="S208" s="59">
        <f t="shared" si="28"/>
        <v>0.14881800000000001</v>
      </c>
      <c r="T208" s="38">
        <f t="shared" si="29"/>
        <v>0.16031800000000002</v>
      </c>
      <c r="U208" s="39">
        <v>0</v>
      </c>
      <c r="V208" s="39">
        <v>0</v>
      </c>
      <c r="W208" s="39">
        <v>1.15E-2</v>
      </c>
      <c r="X208" s="40">
        <f t="shared" si="30"/>
        <v>1.15E-2</v>
      </c>
      <c r="Y208" s="41">
        <v>6.5659999999999996E-2</v>
      </c>
      <c r="Z208" s="41">
        <v>1.469E-3</v>
      </c>
      <c r="AA208" s="41">
        <v>3.0000000000000001E-3</v>
      </c>
      <c r="AB208" s="41">
        <v>0</v>
      </c>
      <c r="AC208" s="42">
        <f t="shared" si="31"/>
        <v>7.0128999999999997E-2</v>
      </c>
      <c r="AD208" s="38">
        <f t="shared" si="32"/>
        <v>8.1628999999999993E-2</v>
      </c>
      <c r="AE208" s="43">
        <f t="shared" si="33"/>
        <v>8.1628999999999993E-2</v>
      </c>
      <c r="AF208" s="43">
        <f t="shared" si="34"/>
        <v>8.9497899999999991E-2</v>
      </c>
      <c r="AG208" s="43">
        <f t="shared" si="35"/>
        <v>9.3432349999999997E-2</v>
      </c>
      <c r="AI208" s="64">
        <f>SUMIFS('Paths and Tariffs'!Q:Q,'Paths and Tariffs'!E:E,'Costing Detail'!E208,'Paths and Tariffs'!G:G,"GAS",'Paths and Tariffs'!N:N,1,'Paths and Tariffs'!M:M,1)</f>
        <v>6.5659999999999996E-2</v>
      </c>
    </row>
    <row r="209" spans="1:35" hidden="1" x14ac:dyDescent="0.55000000000000004">
      <c r="A209" s="35" t="s">
        <v>4815</v>
      </c>
      <c r="B209" t="s">
        <v>5120</v>
      </c>
      <c r="C209" t="s">
        <v>5120</v>
      </c>
      <c r="D209" t="s">
        <v>7314</v>
      </c>
      <c r="E209" s="35" t="s">
        <v>5126</v>
      </c>
      <c r="F209" t="s">
        <v>5127</v>
      </c>
      <c r="G209" s="36">
        <v>0</v>
      </c>
      <c r="H209" s="36">
        <v>0</v>
      </c>
      <c r="I209" s="36">
        <v>1.15E-2</v>
      </c>
      <c r="J209" s="37">
        <f t="shared" si="27"/>
        <v>1.15E-2</v>
      </c>
      <c r="K209" s="54">
        <v>0.25716299999999997</v>
      </c>
      <c r="L209" s="54">
        <v>2.3640000000000002E-3</v>
      </c>
      <c r="M209" s="54">
        <v>-0.125</v>
      </c>
      <c r="N209" s="54">
        <v>5.0000000000000001E-3</v>
      </c>
      <c r="O209" s="54">
        <v>1.2500000000000001E-2</v>
      </c>
      <c r="P209" s="54">
        <v>1.4999999999999999E-2</v>
      </c>
      <c r="Q209" s="54">
        <v>0.02</v>
      </c>
      <c r="R209" s="54">
        <v>0</v>
      </c>
      <c r="S209" s="59">
        <f t="shared" si="28"/>
        <v>0.18702699999999997</v>
      </c>
      <c r="T209" s="38">
        <f t="shared" si="29"/>
        <v>0.19852699999999998</v>
      </c>
      <c r="U209" s="39">
        <v>0</v>
      </c>
      <c r="V209" s="39">
        <v>0</v>
      </c>
      <c r="W209" s="39">
        <v>1.15E-2</v>
      </c>
      <c r="X209" s="40">
        <f t="shared" si="30"/>
        <v>1.15E-2</v>
      </c>
      <c r="Y209" s="41">
        <v>3.2910000000000002E-2</v>
      </c>
      <c r="Z209" s="41">
        <v>1.328E-3</v>
      </c>
      <c r="AA209" s="41">
        <v>3.0000000000000001E-3</v>
      </c>
      <c r="AB209" s="41">
        <v>0</v>
      </c>
      <c r="AC209" s="42">
        <f t="shared" si="31"/>
        <v>3.7238000000000007E-2</v>
      </c>
      <c r="AD209" s="38">
        <f t="shared" si="32"/>
        <v>4.8738000000000004E-2</v>
      </c>
      <c r="AE209" s="43">
        <f t="shared" si="33"/>
        <v>4.8738000000000004E-2</v>
      </c>
      <c r="AF209" s="43">
        <f t="shared" si="34"/>
        <v>6.3716900000000007E-2</v>
      </c>
      <c r="AG209" s="43">
        <f t="shared" si="35"/>
        <v>7.1206350000000002E-2</v>
      </c>
      <c r="AI209" s="64">
        <f>SUMIFS('Paths and Tariffs'!Q:Q,'Paths and Tariffs'!E:E,'Costing Detail'!E209,'Paths and Tariffs'!G:G,"GAS",'Paths and Tariffs'!N:N,1,'Paths and Tariffs'!M:M,1)</f>
        <v>3.2910000000000002E-2</v>
      </c>
    </row>
    <row r="210" spans="1:35" hidden="1" x14ac:dyDescent="0.55000000000000004">
      <c r="A210" s="35" t="s">
        <v>4815</v>
      </c>
      <c r="B210" t="s">
        <v>5190</v>
      </c>
      <c r="C210" t="s">
        <v>4988</v>
      </c>
      <c r="D210" t="s">
        <v>7314</v>
      </c>
      <c r="E210" s="35" t="s">
        <v>5197</v>
      </c>
      <c r="F210" t="s">
        <v>5198</v>
      </c>
      <c r="G210" s="36">
        <v>0</v>
      </c>
      <c r="H210" s="36">
        <v>0</v>
      </c>
      <c r="I210" s="36">
        <v>1.15E-2</v>
      </c>
      <c r="J210" s="37">
        <f t="shared" si="27"/>
        <v>1.15E-2</v>
      </c>
      <c r="K210" s="54">
        <v>0.25116699999999997</v>
      </c>
      <c r="L210" s="54">
        <v>2.5040000000000001E-3</v>
      </c>
      <c r="M210" s="54">
        <v>-0.125</v>
      </c>
      <c r="N210" s="54">
        <v>5.0000000000000001E-3</v>
      </c>
      <c r="O210" s="54">
        <v>1.2500000000000001E-2</v>
      </c>
      <c r="P210" s="54">
        <v>1.4999999999999999E-2</v>
      </c>
      <c r="Q210" s="54">
        <v>0.02</v>
      </c>
      <c r="R210" s="54">
        <v>0</v>
      </c>
      <c r="S210" s="59">
        <f t="shared" si="28"/>
        <v>0.181171</v>
      </c>
      <c r="T210" s="38">
        <f t="shared" si="29"/>
        <v>0.19267100000000001</v>
      </c>
      <c r="U210" s="39">
        <v>0</v>
      </c>
      <c r="V210" s="39">
        <v>0</v>
      </c>
      <c r="W210" s="39">
        <v>1.15E-2</v>
      </c>
      <c r="X210" s="40">
        <f t="shared" si="30"/>
        <v>1.15E-2</v>
      </c>
      <c r="Y210" s="41">
        <v>2.2214000000000001E-2</v>
      </c>
      <c r="Z210" s="41">
        <v>8.4999999999999995E-4</v>
      </c>
      <c r="AA210" s="41">
        <v>3.0000000000000001E-3</v>
      </c>
      <c r="AB210" s="41">
        <v>0</v>
      </c>
      <c r="AC210" s="42">
        <f t="shared" si="31"/>
        <v>2.6064E-2</v>
      </c>
      <c r="AD210" s="38">
        <f t="shared" si="32"/>
        <v>3.7564E-2</v>
      </c>
      <c r="AE210" s="43">
        <f t="shared" si="33"/>
        <v>3.7564E-2</v>
      </c>
      <c r="AF210" s="43">
        <f t="shared" si="34"/>
        <v>5.3074700000000002E-2</v>
      </c>
      <c r="AG210" s="43">
        <f t="shared" si="35"/>
        <v>6.0830049999999997E-2</v>
      </c>
      <c r="AI210" s="64">
        <f>SUMIFS('Paths and Tariffs'!Q:Q,'Paths and Tariffs'!E:E,'Costing Detail'!E210,'Paths and Tariffs'!G:G,"GAS",'Paths and Tariffs'!N:N,1,'Paths and Tariffs'!M:M,1)</f>
        <v>2.2214000000000001E-2</v>
      </c>
    </row>
    <row r="211" spans="1:35" hidden="1" x14ac:dyDescent="0.55000000000000004">
      <c r="A211" s="35" t="s">
        <v>4815</v>
      </c>
      <c r="B211" t="s">
        <v>4816</v>
      </c>
      <c r="C211" t="s">
        <v>4817</v>
      </c>
      <c r="D211" t="s">
        <v>7314</v>
      </c>
      <c r="E211" s="35" t="s">
        <v>4818</v>
      </c>
      <c r="F211" t="s">
        <v>4819</v>
      </c>
      <c r="G211" s="36">
        <v>0</v>
      </c>
      <c r="H211" s="36">
        <v>0</v>
      </c>
      <c r="I211" s="36">
        <v>1.15E-2</v>
      </c>
      <c r="J211" s="37">
        <f t="shared" si="27"/>
        <v>1.15E-2</v>
      </c>
      <c r="K211" s="54">
        <v>0.218504</v>
      </c>
      <c r="L211" s="54">
        <v>2.428E-3</v>
      </c>
      <c r="M211" s="54">
        <v>-0.125</v>
      </c>
      <c r="N211" s="54">
        <v>5.0000000000000001E-3</v>
      </c>
      <c r="O211" s="54">
        <v>1.2500000000000001E-2</v>
      </c>
      <c r="P211" s="54">
        <v>1.4999999999999999E-2</v>
      </c>
      <c r="Q211" s="54">
        <v>0.02</v>
      </c>
      <c r="R211" s="54">
        <v>0</v>
      </c>
      <c r="S211" s="59">
        <f t="shared" si="28"/>
        <v>0.14843200000000001</v>
      </c>
      <c r="T211" s="38">
        <f t="shared" si="29"/>
        <v>0.15993200000000002</v>
      </c>
      <c r="U211" s="39">
        <v>0</v>
      </c>
      <c r="V211" s="39">
        <v>0</v>
      </c>
      <c r="W211" s="39">
        <v>1.15E-2</v>
      </c>
      <c r="X211" s="40">
        <f t="shared" si="30"/>
        <v>1.15E-2</v>
      </c>
      <c r="Y211" s="41">
        <v>2.8223999999999999E-2</v>
      </c>
      <c r="Z211" s="41">
        <v>1.209E-3</v>
      </c>
      <c r="AA211" s="41">
        <v>3.0000000000000001E-3</v>
      </c>
      <c r="AB211" s="41">
        <v>0</v>
      </c>
      <c r="AC211" s="42">
        <f t="shared" si="31"/>
        <v>3.2433000000000003E-2</v>
      </c>
      <c r="AD211" s="38">
        <f t="shared" si="32"/>
        <v>4.3933E-2</v>
      </c>
      <c r="AE211" s="43">
        <f t="shared" si="33"/>
        <v>4.3933E-2</v>
      </c>
      <c r="AF211" s="43">
        <f t="shared" si="34"/>
        <v>5.553290000000001E-2</v>
      </c>
      <c r="AG211" s="43">
        <f t="shared" si="35"/>
        <v>6.1332849999999994E-2</v>
      </c>
      <c r="AI211" s="64">
        <f>SUMIFS('Paths and Tariffs'!Q:Q,'Paths and Tariffs'!E:E,'Costing Detail'!E211,'Paths and Tariffs'!G:G,"GAS",'Paths and Tariffs'!N:N,1,'Paths and Tariffs'!M:M,1)</f>
        <v>2.8223999999999999E-2</v>
      </c>
    </row>
    <row r="212" spans="1:35" hidden="1" x14ac:dyDescent="0.55000000000000004">
      <c r="A212" s="35" t="s">
        <v>4815</v>
      </c>
      <c r="B212" t="s">
        <v>4817</v>
      </c>
      <c r="C212" t="s">
        <v>4817</v>
      </c>
      <c r="D212" t="s">
        <v>7314</v>
      </c>
      <c r="E212" s="35" t="s">
        <v>5161</v>
      </c>
      <c r="F212" t="s">
        <v>5162</v>
      </c>
      <c r="G212" s="36">
        <v>0</v>
      </c>
      <c r="H212" s="36">
        <v>0</v>
      </c>
      <c r="I212" s="36">
        <v>1.15E-2</v>
      </c>
      <c r="J212" s="37">
        <f t="shared" si="27"/>
        <v>1.15E-2</v>
      </c>
      <c r="K212" s="54">
        <v>0.23799999999999999</v>
      </c>
      <c r="L212" s="54">
        <v>2.4399999999999999E-3</v>
      </c>
      <c r="M212" s="54">
        <v>-0.125</v>
      </c>
      <c r="N212" s="54">
        <v>5.0000000000000001E-3</v>
      </c>
      <c r="O212" s="54">
        <v>1.2500000000000001E-2</v>
      </c>
      <c r="P212" s="54">
        <v>1.4999999999999999E-2</v>
      </c>
      <c r="Q212" s="54">
        <v>0.02</v>
      </c>
      <c r="R212" s="54">
        <v>0</v>
      </c>
      <c r="S212" s="59">
        <f t="shared" si="28"/>
        <v>0.16794000000000001</v>
      </c>
      <c r="T212" s="38">
        <f t="shared" si="29"/>
        <v>0.17944000000000002</v>
      </c>
      <c r="U212" s="39">
        <v>0</v>
      </c>
      <c r="V212" s="39">
        <v>0</v>
      </c>
      <c r="W212" s="39">
        <v>1.15E-2</v>
      </c>
      <c r="X212" s="40">
        <f t="shared" si="30"/>
        <v>1.15E-2</v>
      </c>
      <c r="Y212" s="41">
        <v>3.4113999999999998E-2</v>
      </c>
      <c r="Z212" s="41">
        <v>1.263E-3</v>
      </c>
      <c r="AA212" s="41">
        <v>3.0000000000000001E-3</v>
      </c>
      <c r="AB212" s="41">
        <v>0</v>
      </c>
      <c r="AC212" s="42">
        <f t="shared" si="31"/>
        <v>3.8377000000000001E-2</v>
      </c>
      <c r="AD212" s="38">
        <f t="shared" si="32"/>
        <v>4.9877000000000005E-2</v>
      </c>
      <c r="AE212" s="43">
        <f t="shared" si="33"/>
        <v>4.9877000000000005E-2</v>
      </c>
      <c r="AF212" s="43">
        <f t="shared" si="34"/>
        <v>6.2833300000000009E-2</v>
      </c>
      <c r="AG212" s="43">
        <f t="shared" si="35"/>
        <v>6.9311449999999997E-2</v>
      </c>
      <c r="AI212" s="64">
        <f>SUMIFS('Paths and Tariffs'!Q:Q,'Paths and Tariffs'!E:E,'Costing Detail'!E212,'Paths and Tariffs'!G:G,"GAS",'Paths and Tariffs'!N:N,1,'Paths and Tariffs'!M:M,1)</f>
        <v>3.4113999999999998E-2</v>
      </c>
    </row>
    <row r="213" spans="1:35" hidden="1" x14ac:dyDescent="0.55000000000000004">
      <c r="A213" s="35" t="s">
        <v>4815</v>
      </c>
      <c r="B213" t="s">
        <v>5173</v>
      </c>
      <c r="C213" t="s">
        <v>4971</v>
      </c>
      <c r="D213" t="s">
        <v>7314</v>
      </c>
      <c r="E213" s="35" t="s">
        <v>5174</v>
      </c>
      <c r="F213" t="s">
        <v>5175</v>
      </c>
      <c r="G213" s="36">
        <v>0</v>
      </c>
      <c r="H213" s="36">
        <v>0</v>
      </c>
      <c r="I213" s="36">
        <v>1.15E-2</v>
      </c>
      <c r="J213" s="37">
        <f t="shared" si="27"/>
        <v>1.15E-2</v>
      </c>
      <c r="K213" s="54">
        <v>0.23283300000000001</v>
      </c>
      <c r="L213" s="54">
        <v>2.4610000000000001E-3</v>
      </c>
      <c r="M213" s="54">
        <v>-0.125</v>
      </c>
      <c r="N213" s="54">
        <v>5.0000000000000001E-3</v>
      </c>
      <c r="O213" s="54">
        <v>1.2500000000000001E-2</v>
      </c>
      <c r="P213" s="54">
        <v>1.4999999999999999E-2</v>
      </c>
      <c r="Q213" s="54">
        <v>0.02</v>
      </c>
      <c r="R213" s="54">
        <v>0</v>
      </c>
      <c r="S213" s="59">
        <f t="shared" si="28"/>
        <v>0.16279400000000002</v>
      </c>
      <c r="T213" s="38">
        <f t="shared" si="29"/>
        <v>0.17429400000000003</v>
      </c>
      <c r="U213" s="39">
        <v>0</v>
      </c>
      <c r="V213" s="39">
        <v>0</v>
      </c>
      <c r="W213" s="39">
        <v>1.15E-2</v>
      </c>
      <c r="X213" s="40">
        <f t="shared" si="30"/>
        <v>1.15E-2</v>
      </c>
      <c r="Y213" s="41">
        <v>6.4333000000000001E-2</v>
      </c>
      <c r="Z213" s="41">
        <v>1.5900000000000001E-3</v>
      </c>
      <c r="AA213" s="41">
        <v>3.0000000000000001E-3</v>
      </c>
      <c r="AB213" s="41">
        <v>0</v>
      </c>
      <c r="AC213" s="42">
        <f t="shared" si="31"/>
        <v>6.8922999999999998E-2</v>
      </c>
      <c r="AD213" s="38">
        <f t="shared" si="32"/>
        <v>8.0422999999999994E-2</v>
      </c>
      <c r="AE213" s="43">
        <f t="shared" si="33"/>
        <v>8.0422999999999994E-2</v>
      </c>
      <c r="AF213" s="43">
        <f t="shared" si="34"/>
        <v>8.9810100000000004E-2</v>
      </c>
      <c r="AG213" s="43">
        <f t="shared" si="35"/>
        <v>9.4503649999999995E-2</v>
      </c>
      <c r="AI213" s="64">
        <f>SUMIFS('Paths and Tariffs'!Q:Q,'Paths and Tariffs'!E:E,'Costing Detail'!E213,'Paths and Tariffs'!G:G,"GAS",'Paths and Tariffs'!N:N,1,'Paths and Tariffs'!M:M,1)</f>
        <v>6.4333000000000001E-2</v>
      </c>
    </row>
    <row r="214" spans="1:35" hidden="1" x14ac:dyDescent="0.55000000000000004">
      <c r="A214" s="35" t="s">
        <v>4815</v>
      </c>
      <c r="B214" t="s">
        <v>5209</v>
      </c>
      <c r="C214" t="s">
        <v>7391</v>
      </c>
      <c r="D214" t="s">
        <v>7314</v>
      </c>
      <c r="E214" s="35" t="s">
        <v>5210</v>
      </c>
      <c r="F214" t="s">
        <v>5211</v>
      </c>
      <c r="G214" s="36">
        <v>0</v>
      </c>
      <c r="H214" s="36">
        <v>0</v>
      </c>
      <c r="I214" s="36">
        <v>1.15E-2</v>
      </c>
      <c r="J214" s="37">
        <f t="shared" si="27"/>
        <v>1.15E-2</v>
      </c>
      <c r="K214" s="54">
        <v>0.2455</v>
      </c>
      <c r="L214" s="54">
        <v>2.5379999999999999E-3</v>
      </c>
      <c r="M214" s="54">
        <v>-0.125</v>
      </c>
      <c r="N214" s="54">
        <v>5.0000000000000001E-3</v>
      </c>
      <c r="O214" s="54">
        <v>1.2500000000000001E-2</v>
      </c>
      <c r="P214" s="54">
        <v>1.4999999999999999E-2</v>
      </c>
      <c r="Q214" s="54">
        <v>0.02</v>
      </c>
      <c r="R214" s="54">
        <v>0</v>
      </c>
      <c r="S214" s="59">
        <f t="shared" si="28"/>
        <v>0.175538</v>
      </c>
      <c r="T214" s="38">
        <f t="shared" si="29"/>
        <v>0.18703800000000001</v>
      </c>
      <c r="U214" s="39">
        <v>0</v>
      </c>
      <c r="V214" s="39">
        <v>0</v>
      </c>
      <c r="W214" s="39">
        <v>1.15E-2</v>
      </c>
      <c r="X214" s="40">
        <f t="shared" si="30"/>
        <v>1.15E-2</v>
      </c>
      <c r="Y214" s="41">
        <v>0.119648</v>
      </c>
      <c r="Z214" s="41">
        <v>2.4510000000000001E-3</v>
      </c>
      <c r="AA214" s="41">
        <v>3.0000000000000001E-3</v>
      </c>
      <c r="AB214" s="41">
        <v>0</v>
      </c>
      <c r="AC214" s="42">
        <f t="shared" si="31"/>
        <v>0.12509899999999999</v>
      </c>
      <c r="AD214" s="38">
        <f t="shared" si="32"/>
        <v>0.136599</v>
      </c>
      <c r="AE214" s="43">
        <f t="shared" si="33"/>
        <v>0.136599</v>
      </c>
      <c r="AF214" s="43">
        <f t="shared" si="34"/>
        <v>0.14164289999999999</v>
      </c>
      <c r="AG214" s="43">
        <f t="shared" si="35"/>
        <v>0.14416484999999998</v>
      </c>
      <c r="AI214" s="64">
        <f>SUMIFS('Paths and Tariffs'!Q:Q,'Paths and Tariffs'!E:E,'Costing Detail'!E214,'Paths and Tariffs'!G:G,"GAS",'Paths and Tariffs'!N:N,1,'Paths and Tariffs'!M:M,1)</f>
        <v>0.119648</v>
      </c>
    </row>
    <row r="215" spans="1:35" hidden="1" x14ac:dyDescent="0.55000000000000004">
      <c r="A215" s="35" t="s">
        <v>4815</v>
      </c>
      <c r="B215" t="s">
        <v>5276</v>
      </c>
      <c r="C215" t="s">
        <v>5276</v>
      </c>
      <c r="D215" t="s">
        <v>7314</v>
      </c>
      <c r="E215" s="35" t="s">
        <v>5318</v>
      </c>
      <c r="F215" t="s">
        <v>5319</v>
      </c>
      <c r="G215" s="36">
        <v>0</v>
      </c>
      <c r="H215" s="36">
        <v>0</v>
      </c>
      <c r="I215" s="36">
        <v>1.15E-2</v>
      </c>
      <c r="J215" s="37">
        <f t="shared" si="27"/>
        <v>1.15E-2</v>
      </c>
      <c r="K215" s="54">
        <v>0.192167</v>
      </c>
      <c r="L215" s="54">
        <v>2.4710000000000001E-3</v>
      </c>
      <c r="M215" s="54">
        <v>-0.125</v>
      </c>
      <c r="N215" s="54">
        <v>5.0000000000000001E-3</v>
      </c>
      <c r="O215" s="54">
        <v>1.2500000000000001E-2</v>
      </c>
      <c r="P215" s="54">
        <v>1.4999999999999999E-2</v>
      </c>
      <c r="Q215" s="54">
        <v>0.02</v>
      </c>
      <c r="R215" s="54">
        <v>0</v>
      </c>
      <c r="S215" s="59">
        <f t="shared" si="28"/>
        <v>0.12213800000000001</v>
      </c>
      <c r="T215" s="38">
        <f t="shared" si="29"/>
        <v>0.13363800000000001</v>
      </c>
      <c r="U215" s="39">
        <v>0</v>
      </c>
      <c r="V215" s="39">
        <v>0</v>
      </c>
      <c r="W215" s="39">
        <v>1.15E-2</v>
      </c>
      <c r="X215" s="40">
        <f t="shared" si="30"/>
        <v>1.15E-2</v>
      </c>
      <c r="Y215" s="41">
        <v>5.0048000000000002E-2</v>
      </c>
      <c r="Z215" s="41">
        <v>1.3010000000000001E-3</v>
      </c>
      <c r="AA215" s="41">
        <v>3.0000000000000001E-3</v>
      </c>
      <c r="AB215" s="41">
        <v>0</v>
      </c>
      <c r="AC215" s="42">
        <f t="shared" si="31"/>
        <v>5.4349000000000008E-2</v>
      </c>
      <c r="AD215" s="38">
        <f t="shared" si="32"/>
        <v>6.5849000000000005E-2</v>
      </c>
      <c r="AE215" s="43">
        <f t="shared" si="33"/>
        <v>6.5849000000000005E-2</v>
      </c>
      <c r="AF215" s="43">
        <f t="shared" si="34"/>
        <v>7.2627900000000009E-2</v>
      </c>
      <c r="AG215" s="43">
        <f t="shared" si="35"/>
        <v>7.6017350000000011E-2</v>
      </c>
      <c r="AI215" s="64">
        <f>SUMIFS('Paths and Tariffs'!Q:Q,'Paths and Tariffs'!E:E,'Costing Detail'!E215,'Paths and Tariffs'!G:G,"GAS",'Paths and Tariffs'!N:N,1,'Paths and Tariffs'!M:M,1)</f>
        <v>5.0048000000000002E-2</v>
      </c>
    </row>
    <row r="216" spans="1:35" hidden="1" x14ac:dyDescent="0.55000000000000004">
      <c r="A216" s="35" t="s">
        <v>5334</v>
      </c>
      <c r="B216" t="s">
        <v>5349</v>
      </c>
      <c r="C216" t="s">
        <v>5349</v>
      </c>
      <c r="D216" t="s">
        <v>7326</v>
      </c>
      <c r="E216" s="35" t="s">
        <v>5361</v>
      </c>
      <c r="F216" t="s">
        <v>5362</v>
      </c>
      <c r="G216" s="36">
        <v>0</v>
      </c>
      <c r="H216" s="36">
        <v>0</v>
      </c>
      <c r="I216" s="36">
        <v>1.15E-2</v>
      </c>
      <c r="J216" s="37">
        <f t="shared" si="27"/>
        <v>1.15E-2</v>
      </c>
      <c r="K216" s="54">
        <v>0.26083299999999998</v>
      </c>
      <c r="L216" s="54">
        <v>2.5279999999999999E-3</v>
      </c>
      <c r="M216" s="54">
        <v>-0.125</v>
      </c>
      <c r="N216" s="54">
        <v>5.0000000000000001E-3</v>
      </c>
      <c r="O216" s="54">
        <v>1.2500000000000001E-2</v>
      </c>
      <c r="P216" s="54">
        <v>1.4999999999999999E-2</v>
      </c>
      <c r="Q216" s="54">
        <v>0.02</v>
      </c>
      <c r="R216" s="54">
        <v>0</v>
      </c>
      <c r="S216" s="59">
        <f t="shared" si="28"/>
        <v>0.19086099999999998</v>
      </c>
      <c r="T216" s="38">
        <f t="shared" si="29"/>
        <v>0.20236099999999999</v>
      </c>
      <c r="U216" s="39">
        <v>0</v>
      </c>
      <c r="V216" s="39">
        <v>0</v>
      </c>
      <c r="W216" s="39">
        <v>1.15E-2</v>
      </c>
      <c r="X216" s="40">
        <f t="shared" si="30"/>
        <v>1.15E-2</v>
      </c>
      <c r="Y216" s="41">
        <v>6.8030999999999994E-2</v>
      </c>
      <c r="Z216" s="41">
        <v>1.603E-3</v>
      </c>
      <c r="AA216" s="41">
        <v>3.0000000000000001E-3</v>
      </c>
      <c r="AB216" s="41">
        <v>0</v>
      </c>
      <c r="AC216" s="42">
        <f t="shared" si="31"/>
        <v>7.263399999999999E-2</v>
      </c>
      <c r="AD216" s="38">
        <f t="shared" si="32"/>
        <v>8.4133999999999987E-2</v>
      </c>
      <c r="AE216" s="43">
        <f t="shared" si="33"/>
        <v>8.4133999999999987E-2</v>
      </c>
      <c r="AF216" s="43">
        <f t="shared" si="34"/>
        <v>9.5956699999999978E-2</v>
      </c>
      <c r="AG216" s="43">
        <f t="shared" si="35"/>
        <v>0.10186804999999999</v>
      </c>
      <c r="AI216" s="64">
        <f>SUMIFS('Paths and Tariffs'!Q:Q,'Paths and Tariffs'!E:E,'Costing Detail'!E216,'Paths and Tariffs'!G:G,"GAS",'Paths and Tariffs'!N:N,1,'Paths and Tariffs'!M:M,1)</f>
        <v>6.8030999999999994E-2</v>
      </c>
    </row>
    <row r="217" spans="1:35" hidden="1" x14ac:dyDescent="0.55000000000000004">
      <c r="A217" s="35" t="s">
        <v>5371</v>
      </c>
      <c r="B217" t="s">
        <v>5372</v>
      </c>
      <c r="C217" t="s">
        <v>5372</v>
      </c>
      <c r="D217" t="s">
        <v>7329</v>
      </c>
      <c r="E217" s="35" t="s">
        <v>5373</v>
      </c>
      <c r="F217" t="s">
        <v>5374</v>
      </c>
      <c r="G217" s="36">
        <v>0</v>
      </c>
      <c r="H217" s="36">
        <v>0</v>
      </c>
      <c r="I217" s="36">
        <v>1.15E-2</v>
      </c>
      <c r="J217" s="37">
        <f t="shared" si="27"/>
        <v>1.15E-2</v>
      </c>
      <c r="K217" s="54">
        <v>0.25573299999999999</v>
      </c>
      <c r="L217" s="54">
        <v>2.447E-3</v>
      </c>
      <c r="M217" s="54">
        <v>-5.5E-2</v>
      </c>
      <c r="N217" s="54">
        <v>5.0000000000000001E-3</v>
      </c>
      <c r="O217" s="54">
        <v>1.2500000000000001E-2</v>
      </c>
      <c r="P217" s="54">
        <v>1.4999999999999999E-2</v>
      </c>
      <c r="Q217" s="54">
        <v>0.02</v>
      </c>
      <c r="R217" s="54">
        <v>0</v>
      </c>
      <c r="S217" s="59">
        <f t="shared" si="28"/>
        <v>0.25568000000000002</v>
      </c>
      <c r="T217" s="38">
        <f t="shared" si="29"/>
        <v>0.26718000000000003</v>
      </c>
      <c r="U217" s="39">
        <v>0</v>
      </c>
      <c r="V217" s="39">
        <v>0</v>
      </c>
      <c r="W217" s="39">
        <v>1.15E-2</v>
      </c>
      <c r="X217" s="40">
        <f t="shared" si="30"/>
        <v>1.15E-2</v>
      </c>
      <c r="Y217" s="41">
        <v>4.8980999999999997E-2</v>
      </c>
      <c r="Z217" s="41">
        <v>4.5360000000000001E-3</v>
      </c>
      <c r="AA217" s="41">
        <v>3.0000000000000001E-3</v>
      </c>
      <c r="AB217" s="41">
        <v>0</v>
      </c>
      <c r="AC217" s="42">
        <f t="shared" si="31"/>
        <v>5.6516999999999998E-2</v>
      </c>
      <c r="AD217" s="38">
        <f t="shared" si="32"/>
        <v>6.8016999999999994E-2</v>
      </c>
      <c r="AE217" s="43">
        <f t="shared" si="33"/>
        <v>6.8016999999999994E-2</v>
      </c>
      <c r="AF217" s="43">
        <f t="shared" si="34"/>
        <v>8.7933299999999992E-2</v>
      </c>
      <c r="AG217" s="43">
        <f t="shared" si="35"/>
        <v>9.7891449999999991E-2</v>
      </c>
      <c r="AI217" s="64">
        <f>SUMIFS('Paths and Tariffs'!Q:Q,'Paths and Tariffs'!E:E,'Costing Detail'!E217,'Paths and Tariffs'!G:G,"GAS",'Paths and Tariffs'!N:N,1,'Paths and Tariffs'!M:M,1)</f>
        <v>4.8980999999999997E-2</v>
      </c>
    </row>
    <row r="218" spans="1:35" hidden="1" x14ac:dyDescent="0.55000000000000004">
      <c r="A218" s="35" t="s">
        <v>5371</v>
      </c>
      <c r="B218" t="s">
        <v>5394</v>
      </c>
      <c r="C218" t="s">
        <v>5372</v>
      </c>
      <c r="D218" t="s">
        <v>7329</v>
      </c>
      <c r="E218" s="35" t="s">
        <v>5395</v>
      </c>
      <c r="F218" t="s">
        <v>5396</v>
      </c>
      <c r="G218" s="36">
        <v>0</v>
      </c>
      <c r="H218" s="36">
        <v>0</v>
      </c>
      <c r="I218" s="36">
        <v>1.15E-2</v>
      </c>
      <c r="J218" s="37">
        <f t="shared" si="27"/>
        <v>1.15E-2</v>
      </c>
      <c r="K218" s="54">
        <v>0.25573299999999999</v>
      </c>
      <c r="L218" s="54">
        <v>2.4380000000000001E-3</v>
      </c>
      <c r="M218" s="54">
        <v>-5.5E-2</v>
      </c>
      <c r="N218" s="54">
        <v>5.0000000000000001E-3</v>
      </c>
      <c r="O218" s="54">
        <v>1.2500000000000001E-2</v>
      </c>
      <c r="P218" s="54">
        <v>1.4999999999999999E-2</v>
      </c>
      <c r="Q218" s="54">
        <v>0.02</v>
      </c>
      <c r="R218" s="54">
        <v>0</v>
      </c>
      <c r="S218" s="59">
        <f t="shared" si="28"/>
        <v>0.25567100000000004</v>
      </c>
      <c r="T218" s="38">
        <f t="shared" si="29"/>
        <v>0.26717100000000005</v>
      </c>
      <c r="U218" s="39">
        <v>0</v>
      </c>
      <c r="V218" s="39">
        <v>0</v>
      </c>
      <c r="W218" s="39">
        <v>1.15E-2</v>
      </c>
      <c r="X218" s="40">
        <f t="shared" si="30"/>
        <v>1.15E-2</v>
      </c>
      <c r="Y218" s="41">
        <v>4.8980999999999997E-2</v>
      </c>
      <c r="Z218" s="41">
        <v>4.4980000000000003E-3</v>
      </c>
      <c r="AA218" s="41">
        <v>3.0000000000000001E-3</v>
      </c>
      <c r="AB218" s="41">
        <v>0</v>
      </c>
      <c r="AC218" s="42">
        <f t="shared" si="31"/>
        <v>5.6479000000000001E-2</v>
      </c>
      <c r="AD218" s="38">
        <f t="shared" si="32"/>
        <v>6.7978999999999998E-2</v>
      </c>
      <c r="AE218" s="43">
        <f t="shared" si="33"/>
        <v>6.7978999999999998E-2</v>
      </c>
      <c r="AF218" s="43">
        <f t="shared" si="34"/>
        <v>8.789820000000001E-2</v>
      </c>
      <c r="AG218" s="43">
        <f t="shared" si="35"/>
        <v>9.7857799999999995E-2</v>
      </c>
      <c r="AI218" s="64">
        <f>SUMIFS('Paths and Tariffs'!Q:Q,'Paths and Tariffs'!E:E,'Costing Detail'!E218,'Paths and Tariffs'!G:G,"GAS",'Paths and Tariffs'!N:N,1,'Paths and Tariffs'!M:M,1)</f>
        <v>4.8980999999999997E-2</v>
      </c>
    </row>
    <row r="219" spans="1:35" hidden="1" x14ac:dyDescent="0.55000000000000004">
      <c r="A219" s="35" t="s">
        <v>5371</v>
      </c>
      <c r="B219" t="s">
        <v>7394</v>
      </c>
      <c r="C219" t="s">
        <v>5372</v>
      </c>
      <c r="D219" t="s">
        <v>7329</v>
      </c>
      <c r="E219" s="35" t="s">
        <v>5427</v>
      </c>
      <c r="F219" t="s">
        <v>5428</v>
      </c>
      <c r="G219" s="36">
        <v>0</v>
      </c>
      <c r="H219" s="36">
        <v>0</v>
      </c>
      <c r="I219" s="36">
        <v>1.15E-2</v>
      </c>
      <c r="J219" s="37">
        <f t="shared" si="27"/>
        <v>1.15E-2</v>
      </c>
      <c r="K219" s="54">
        <v>0.218274</v>
      </c>
      <c r="L219" s="54">
        <v>2.415E-3</v>
      </c>
      <c r="M219" s="54">
        <v>-5.5E-2</v>
      </c>
      <c r="N219" s="54">
        <v>5.0000000000000001E-3</v>
      </c>
      <c r="O219" s="54">
        <v>1.2500000000000001E-2</v>
      </c>
      <c r="P219" s="54">
        <v>1.4999999999999999E-2</v>
      </c>
      <c r="Q219" s="54">
        <v>0.02</v>
      </c>
      <c r="R219" s="54">
        <v>0</v>
      </c>
      <c r="S219" s="59">
        <f t="shared" si="28"/>
        <v>0.21818899999999999</v>
      </c>
      <c r="T219" s="38">
        <f t="shared" si="29"/>
        <v>0.229689</v>
      </c>
      <c r="U219" s="39">
        <v>0</v>
      </c>
      <c r="V219" s="39">
        <v>0</v>
      </c>
      <c r="W219" s="39">
        <v>1.15E-2</v>
      </c>
      <c r="X219" s="40">
        <f t="shared" si="30"/>
        <v>1.15E-2</v>
      </c>
      <c r="Y219" s="41">
        <v>4.5818999999999999E-2</v>
      </c>
      <c r="Z219" s="41">
        <v>3.8270000000000001E-3</v>
      </c>
      <c r="AA219" s="41">
        <v>3.0000000000000001E-3</v>
      </c>
      <c r="AB219" s="41">
        <v>0</v>
      </c>
      <c r="AC219" s="42">
        <f t="shared" si="31"/>
        <v>5.2645999999999998E-2</v>
      </c>
      <c r="AD219" s="38">
        <f t="shared" si="32"/>
        <v>6.4145999999999995E-2</v>
      </c>
      <c r="AE219" s="43">
        <f t="shared" si="33"/>
        <v>6.4145999999999995E-2</v>
      </c>
      <c r="AF219" s="43">
        <f t="shared" si="34"/>
        <v>8.0700300000000003E-2</v>
      </c>
      <c r="AG219" s="43">
        <f t="shared" si="35"/>
        <v>8.8977449999999986E-2</v>
      </c>
      <c r="AI219" s="64">
        <f>SUMIFS('Paths and Tariffs'!Q:Q,'Paths and Tariffs'!E:E,'Costing Detail'!E219,'Paths and Tariffs'!G:G,"GAS",'Paths and Tariffs'!N:N,1,'Paths and Tariffs'!M:M,1)</f>
        <v>4.5818999999999999E-2</v>
      </c>
    </row>
    <row r="220" spans="1:35" hidden="1" x14ac:dyDescent="0.55000000000000004">
      <c r="A220" s="35" t="s">
        <v>5371</v>
      </c>
      <c r="B220" t="s">
        <v>5430</v>
      </c>
      <c r="C220" t="s">
        <v>5429</v>
      </c>
      <c r="D220" t="s">
        <v>7329</v>
      </c>
      <c r="E220" s="35" t="s">
        <v>5431</v>
      </c>
      <c r="F220" t="s">
        <v>5432</v>
      </c>
      <c r="G220" s="36">
        <v>0</v>
      </c>
      <c r="H220" s="36">
        <v>0</v>
      </c>
      <c r="I220" s="36">
        <v>1.15E-2</v>
      </c>
      <c r="J220" s="37">
        <f t="shared" si="27"/>
        <v>1.15E-2</v>
      </c>
      <c r="K220" s="54">
        <v>0.21546699999999999</v>
      </c>
      <c r="L220" s="54">
        <v>2.5100000000000001E-3</v>
      </c>
      <c r="M220" s="54">
        <v>-5.5E-2</v>
      </c>
      <c r="N220" s="54">
        <v>5.0000000000000001E-3</v>
      </c>
      <c r="O220" s="54">
        <v>1.2500000000000001E-2</v>
      </c>
      <c r="P220" s="54">
        <v>1.4999999999999999E-2</v>
      </c>
      <c r="Q220" s="54">
        <v>0.02</v>
      </c>
      <c r="R220" s="54">
        <v>0</v>
      </c>
      <c r="S220" s="59">
        <f t="shared" si="28"/>
        <v>0.215477</v>
      </c>
      <c r="T220" s="38">
        <f t="shared" si="29"/>
        <v>0.22697700000000001</v>
      </c>
      <c r="U220" s="39">
        <v>0</v>
      </c>
      <c r="V220" s="39">
        <v>0</v>
      </c>
      <c r="W220" s="39">
        <v>1.15E-2</v>
      </c>
      <c r="X220" s="40">
        <f t="shared" si="30"/>
        <v>1.15E-2</v>
      </c>
      <c r="Y220" s="41">
        <v>4.8395000000000001E-2</v>
      </c>
      <c r="Z220" s="41">
        <v>4.6600000000000001E-3</v>
      </c>
      <c r="AA220" s="41">
        <v>3.0000000000000001E-3</v>
      </c>
      <c r="AB220" s="41">
        <v>0</v>
      </c>
      <c r="AC220" s="42">
        <f t="shared" si="31"/>
        <v>5.6055000000000001E-2</v>
      </c>
      <c r="AD220" s="38">
        <f t="shared" si="32"/>
        <v>6.7555000000000004E-2</v>
      </c>
      <c r="AE220" s="43">
        <f t="shared" si="33"/>
        <v>6.7555000000000004E-2</v>
      </c>
      <c r="AF220" s="43">
        <f t="shared" si="34"/>
        <v>8.3497200000000008E-2</v>
      </c>
      <c r="AG220" s="43">
        <f t="shared" si="35"/>
        <v>9.1468300000000002E-2</v>
      </c>
      <c r="AI220" s="64">
        <f>SUMIFS('Paths and Tariffs'!Q:Q,'Paths and Tariffs'!E:E,'Costing Detail'!E220,'Paths and Tariffs'!G:G,"GAS",'Paths and Tariffs'!N:N,1,'Paths and Tariffs'!M:M,1)</f>
        <v>4.8395000000000001E-2</v>
      </c>
    </row>
    <row r="221" spans="1:35" hidden="1" x14ac:dyDescent="0.55000000000000004">
      <c r="A221" s="35" t="s">
        <v>5371</v>
      </c>
      <c r="B221" t="s">
        <v>5456</v>
      </c>
      <c r="C221" t="s">
        <v>5456</v>
      </c>
      <c r="D221" t="s">
        <v>7329</v>
      </c>
      <c r="E221" s="35" t="s">
        <v>5470</v>
      </c>
      <c r="F221" t="s">
        <v>5471</v>
      </c>
      <c r="G221" s="36">
        <v>0</v>
      </c>
      <c r="H221" s="36">
        <v>0</v>
      </c>
      <c r="I221" s="36">
        <v>1.15E-2</v>
      </c>
      <c r="J221" s="37">
        <f t="shared" si="27"/>
        <v>1.15E-2</v>
      </c>
      <c r="K221" s="54">
        <v>0.22523299999999999</v>
      </c>
      <c r="L221" s="54">
        <v>2.457E-3</v>
      </c>
      <c r="M221" s="54">
        <v>-5.5E-2</v>
      </c>
      <c r="N221" s="54">
        <v>5.0000000000000001E-3</v>
      </c>
      <c r="O221" s="54">
        <v>1.2500000000000001E-2</v>
      </c>
      <c r="P221" s="54">
        <v>1.4999999999999999E-2</v>
      </c>
      <c r="Q221" s="54">
        <v>0.02</v>
      </c>
      <c r="R221" s="54">
        <v>0</v>
      </c>
      <c r="S221" s="59">
        <f t="shared" si="28"/>
        <v>0.22518999999999997</v>
      </c>
      <c r="T221" s="38">
        <f t="shared" si="29"/>
        <v>0.23668999999999998</v>
      </c>
      <c r="U221" s="39">
        <v>0</v>
      </c>
      <c r="V221" s="39">
        <v>0</v>
      </c>
      <c r="W221" s="39">
        <v>1.15E-2</v>
      </c>
      <c r="X221" s="40">
        <f t="shared" si="30"/>
        <v>1.15E-2</v>
      </c>
      <c r="Y221" s="41">
        <v>4.6775999999999998E-2</v>
      </c>
      <c r="Z221" s="41">
        <v>4.3839999999999999E-3</v>
      </c>
      <c r="AA221" s="41">
        <v>3.0000000000000001E-3</v>
      </c>
      <c r="AB221" s="41">
        <v>0</v>
      </c>
      <c r="AC221" s="42">
        <f t="shared" si="31"/>
        <v>5.416E-2</v>
      </c>
      <c r="AD221" s="38">
        <f t="shared" si="32"/>
        <v>6.5659999999999996E-2</v>
      </c>
      <c r="AE221" s="43">
        <f t="shared" si="33"/>
        <v>6.5659999999999996E-2</v>
      </c>
      <c r="AF221" s="43">
        <f t="shared" si="34"/>
        <v>8.2763000000000003E-2</v>
      </c>
      <c r="AG221" s="43">
        <f t="shared" si="35"/>
        <v>9.1314499999999993E-2</v>
      </c>
      <c r="AI221" s="64">
        <f>SUMIFS('Paths and Tariffs'!Q:Q,'Paths and Tariffs'!E:E,'Costing Detail'!E221,'Paths and Tariffs'!G:G,"GAS",'Paths and Tariffs'!N:N,1,'Paths and Tariffs'!M:M,1)</f>
        <v>4.6775999999999998E-2</v>
      </c>
    </row>
    <row r="222" spans="1:35" hidden="1" x14ac:dyDescent="0.55000000000000004">
      <c r="A222" s="35" t="s">
        <v>5371</v>
      </c>
      <c r="B222" t="s">
        <v>5406</v>
      </c>
      <c r="C222" t="s">
        <v>5406</v>
      </c>
      <c r="D222" t="s">
        <v>7329</v>
      </c>
      <c r="E222" s="35" t="s">
        <v>5509</v>
      </c>
      <c r="F222" t="s">
        <v>5510</v>
      </c>
      <c r="G222" s="36">
        <v>0</v>
      </c>
      <c r="H222" s="36">
        <v>0</v>
      </c>
      <c r="I222" s="36">
        <v>1.15E-2</v>
      </c>
      <c r="J222" s="37">
        <f t="shared" si="27"/>
        <v>1.15E-2</v>
      </c>
      <c r="K222" s="54">
        <v>0.22120000000000001</v>
      </c>
      <c r="L222" s="54">
        <v>2.3679999999999999E-3</v>
      </c>
      <c r="M222" s="54">
        <v>-5.5E-2</v>
      </c>
      <c r="N222" s="54">
        <v>5.0000000000000001E-3</v>
      </c>
      <c r="O222" s="54">
        <v>1.2500000000000001E-2</v>
      </c>
      <c r="P222" s="54">
        <v>1.4999999999999999E-2</v>
      </c>
      <c r="Q222" s="54">
        <v>0.02</v>
      </c>
      <c r="R222" s="54">
        <v>0</v>
      </c>
      <c r="S222" s="59">
        <f t="shared" si="28"/>
        <v>0.22106800000000001</v>
      </c>
      <c r="T222" s="38">
        <f t="shared" si="29"/>
        <v>0.23256800000000002</v>
      </c>
      <c r="U222" s="39">
        <v>0</v>
      </c>
      <c r="V222" s="39">
        <v>0</v>
      </c>
      <c r="W222" s="39">
        <v>1.15E-2</v>
      </c>
      <c r="X222" s="40">
        <f t="shared" si="30"/>
        <v>1.15E-2</v>
      </c>
      <c r="Y222" s="41">
        <v>4.5088000000000003E-2</v>
      </c>
      <c r="Z222" s="41">
        <v>3.3159999999999999E-3</v>
      </c>
      <c r="AA222" s="41">
        <v>3.0000000000000001E-3</v>
      </c>
      <c r="AB222" s="41">
        <v>0</v>
      </c>
      <c r="AC222" s="42">
        <f t="shared" si="31"/>
        <v>5.1404000000000005E-2</v>
      </c>
      <c r="AD222" s="38">
        <f t="shared" si="32"/>
        <v>6.2904000000000002E-2</v>
      </c>
      <c r="AE222" s="43">
        <f t="shared" si="33"/>
        <v>6.2904000000000002E-2</v>
      </c>
      <c r="AF222" s="43">
        <f t="shared" si="34"/>
        <v>7.9870400000000008E-2</v>
      </c>
      <c r="AG222" s="43">
        <f t="shared" si="35"/>
        <v>8.8353600000000004E-2</v>
      </c>
      <c r="AI222" s="64">
        <f>SUMIFS('Paths and Tariffs'!Q:Q,'Paths and Tariffs'!E:E,'Costing Detail'!E222,'Paths and Tariffs'!G:G,"GAS",'Paths and Tariffs'!N:N,1,'Paths and Tariffs'!M:M,1)</f>
        <v>4.5088000000000003E-2</v>
      </c>
    </row>
    <row r="223" spans="1:35" hidden="1" x14ac:dyDescent="0.55000000000000004">
      <c r="A223" s="35" t="s">
        <v>5519</v>
      </c>
      <c r="B223" t="s">
        <v>5648</v>
      </c>
      <c r="C223" t="s">
        <v>4181</v>
      </c>
      <c r="D223" t="s">
        <v>7319</v>
      </c>
      <c r="E223" s="35" t="s">
        <v>5656</v>
      </c>
      <c r="F223" t="s">
        <v>5657</v>
      </c>
      <c r="G223" s="36">
        <v>0</v>
      </c>
      <c r="H223" s="36">
        <v>0</v>
      </c>
      <c r="I223" s="36">
        <v>1.15E-2</v>
      </c>
      <c r="J223" s="37">
        <f t="shared" si="27"/>
        <v>1.15E-2</v>
      </c>
      <c r="K223" s="54">
        <v>0.29083300000000001</v>
      </c>
      <c r="L223" s="54">
        <v>2.9290000000000002E-3</v>
      </c>
      <c r="M223" s="54">
        <v>-0.125</v>
      </c>
      <c r="N223" s="54">
        <v>5.0000000000000001E-3</v>
      </c>
      <c r="O223" s="54">
        <v>1.2500000000000001E-2</v>
      </c>
      <c r="P223" s="54">
        <v>1.4999999999999999E-2</v>
      </c>
      <c r="Q223" s="54">
        <v>0.02</v>
      </c>
      <c r="R223" s="54">
        <v>0</v>
      </c>
      <c r="S223" s="59">
        <f t="shared" si="28"/>
        <v>0.22126200000000004</v>
      </c>
      <c r="T223" s="38">
        <f t="shared" si="29"/>
        <v>0.23276200000000005</v>
      </c>
      <c r="U223" s="39">
        <v>0</v>
      </c>
      <c r="V223" s="39">
        <v>0</v>
      </c>
      <c r="W223" s="39">
        <v>1.15E-2</v>
      </c>
      <c r="X223" s="40">
        <f t="shared" si="30"/>
        <v>1.15E-2</v>
      </c>
      <c r="Y223" s="41">
        <v>2.1426000000000001E-2</v>
      </c>
      <c r="Z223" s="41">
        <v>1.4040000000000001E-3</v>
      </c>
      <c r="AA223" s="41">
        <v>3.0000000000000001E-3</v>
      </c>
      <c r="AB223" s="41">
        <v>0</v>
      </c>
      <c r="AC223" s="42">
        <f t="shared" si="31"/>
        <v>2.5829999999999999E-2</v>
      </c>
      <c r="AD223" s="38">
        <f t="shared" si="32"/>
        <v>3.7330000000000002E-2</v>
      </c>
      <c r="AE223" s="43">
        <f t="shared" si="33"/>
        <v>3.7330000000000002E-2</v>
      </c>
      <c r="AF223" s="43">
        <f t="shared" si="34"/>
        <v>5.6873200000000013E-2</v>
      </c>
      <c r="AG223" s="43">
        <f t="shared" si="35"/>
        <v>6.6644800000000004E-2</v>
      </c>
      <c r="AI223" s="64">
        <f>SUMIFS('Paths and Tariffs'!Q:Q,'Paths and Tariffs'!E:E,'Costing Detail'!E223,'Paths and Tariffs'!G:G,"GAS",'Paths and Tariffs'!N:N,1,'Paths and Tariffs'!M:M,1)</f>
        <v>2.1426000000000001E-2</v>
      </c>
    </row>
    <row r="224" spans="1:35" hidden="1" x14ac:dyDescent="0.55000000000000004">
      <c r="A224" s="35" t="s">
        <v>5519</v>
      </c>
      <c r="B224" t="s">
        <v>5570</v>
      </c>
      <c r="C224" t="s">
        <v>5571</v>
      </c>
      <c r="D224" t="s">
        <v>7319</v>
      </c>
      <c r="E224" s="35" t="s">
        <v>5572</v>
      </c>
      <c r="F224" t="s">
        <v>5573</v>
      </c>
      <c r="G224" s="36">
        <v>0</v>
      </c>
      <c r="H224" s="36">
        <v>0</v>
      </c>
      <c r="I224" s="36">
        <v>1.15E-2</v>
      </c>
      <c r="J224" s="37">
        <f t="shared" si="27"/>
        <v>1.15E-2</v>
      </c>
      <c r="K224" s="54">
        <v>0.29416700000000001</v>
      </c>
      <c r="L224" s="54">
        <v>2.9650000000000002E-3</v>
      </c>
      <c r="M224" s="54">
        <v>-0.125</v>
      </c>
      <c r="N224" s="54">
        <v>5.0000000000000001E-3</v>
      </c>
      <c r="O224" s="54">
        <v>1.2500000000000001E-2</v>
      </c>
      <c r="P224" s="54">
        <v>1.4999999999999999E-2</v>
      </c>
      <c r="Q224" s="54">
        <v>0.02</v>
      </c>
      <c r="R224" s="54">
        <v>0</v>
      </c>
      <c r="S224" s="59">
        <f t="shared" si="28"/>
        <v>0.22463200000000003</v>
      </c>
      <c r="T224" s="38">
        <f t="shared" si="29"/>
        <v>0.23613200000000004</v>
      </c>
      <c r="U224" s="39">
        <v>0</v>
      </c>
      <c r="V224" s="39">
        <v>0</v>
      </c>
      <c r="W224" s="39">
        <v>1.15E-2</v>
      </c>
      <c r="X224" s="40">
        <f t="shared" si="30"/>
        <v>1.15E-2</v>
      </c>
      <c r="Y224" s="41">
        <v>6.679E-3</v>
      </c>
      <c r="Z224" s="41">
        <v>1.0039999999999999E-3</v>
      </c>
      <c r="AA224" s="41">
        <v>3.0000000000000001E-3</v>
      </c>
      <c r="AB224" s="41">
        <v>0</v>
      </c>
      <c r="AC224" s="42">
        <f t="shared" si="31"/>
        <v>1.0683E-2</v>
      </c>
      <c r="AD224" s="38">
        <f t="shared" si="32"/>
        <v>2.2183000000000001E-2</v>
      </c>
      <c r="AE224" s="43">
        <f t="shared" si="33"/>
        <v>2.2183000000000001E-2</v>
      </c>
      <c r="AF224" s="43">
        <f t="shared" si="34"/>
        <v>4.3577900000000003E-2</v>
      </c>
      <c r="AG224" s="43">
        <f t="shared" si="35"/>
        <v>5.427535E-2</v>
      </c>
      <c r="AI224" s="64">
        <f>SUMIFS('Paths and Tariffs'!Q:Q,'Paths and Tariffs'!E:E,'Costing Detail'!E224,'Paths and Tariffs'!G:G,"GAS",'Paths and Tariffs'!N:N,1,'Paths and Tariffs'!M:M,1)</f>
        <v>6.679E-3</v>
      </c>
    </row>
    <row r="225" spans="1:35" hidden="1" x14ac:dyDescent="0.55000000000000004">
      <c r="A225" s="35" t="s">
        <v>5519</v>
      </c>
      <c r="B225" t="s">
        <v>7395</v>
      </c>
      <c r="C225" t="s">
        <v>5571</v>
      </c>
      <c r="D225" t="s">
        <v>7319</v>
      </c>
      <c r="E225" s="35" t="s">
        <v>5591</v>
      </c>
      <c r="F225" t="s">
        <v>5592</v>
      </c>
      <c r="G225" s="36">
        <v>0</v>
      </c>
      <c r="H225" s="36">
        <v>0</v>
      </c>
      <c r="I225" s="36">
        <v>1.15E-2</v>
      </c>
      <c r="J225" s="37">
        <f t="shared" si="27"/>
        <v>1.15E-2</v>
      </c>
      <c r="K225" s="54">
        <v>0.29416700000000001</v>
      </c>
      <c r="L225" s="54">
        <v>3.0230000000000001E-3</v>
      </c>
      <c r="M225" s="54">
        <v>-0.125</v>
      </c>
      <c r="N225" s="54">
        <v>5.0000000000000001E-3</v>
      </c>
      <c r="O225" s="54">
        <v>1.2500000000000001E-2</v>
      </c>
      <c r="P225" s="54">
        <v>1.4999999999999999E-2</v>
      </c>
      <c r="Q225" s="54">
        <v>0.02</v>
      </c>
      <c r="R225" s="54">
        <v>0</v>
      </c>
      <c r="S225" s="59">
        <f t="shared" si="28"/>
        <v>0.22469000000000003</v>
      </c>
      <c r="T225" s="38">
        <f t="shared" si="29"/>
        <v>0.23619000000000004</v>
      </c>
      <c r="U225" s="39">
        <v>0</v>
      </c>
      <c r="V225" s="39">
        <v>0</v>
      </c>
      <c r="W225" s="39">
        <v>1.15E-2</v>
      </c>
      <c r="X225" s="40">
        <f t="shared" si="30"/>
        <v>1.15E-2</v>
      </c>
      <c r="Y225" s="41">
        <v>7.6360000000000004E-3</v>
      </c>
      <c r="Z225" s="41">
        <v>1.0349999999999999E-3</v>
      </c>
      <c r="AA225" s="41">
        <v>3.0000000000000001E-3</v>
      </c>
      <c r="AB225" s="41">
        <v>0</v>
      </c>
      <c r="AC225" s="42">
        <f t="shared" si="31"/>
        <v>1.1671000000000001E-2</v>
      </c>
      <c r="AD225" s="38">
        <f t="shared" si="32"/>
        <v>2.3171000000000001E-2</v>
      </c>
      <c r="AE225" s="43">
        <f t="shared" si="33"/>
        <v>2.3171000000000001E-2</v>
      </c>
      <c r="AF225" s="43">
        <f t="shared" si="34"/>
        <v>4.447290000000001E-2</v>
      </c>
      <c r="AG225" s="43">
        <f t="shared" si="35"/>
        <v>5.5123850000000002E-2</v>
      </c>
      <c r="AI225" s="64">
        <f>SUMIFS('Paths and Tariffs'!Q:Q,'Paths and Tariffs'!E:E,'Costing Detail'!E225,'Paths and Tariffs'!G:G,"GAS",'Paths and Tariffs'!N:N,1,'Paths and Tariffs'!M:M,1)</f>
        <v>7.6360000000000004E-3</v>
      </c>
    </row>
    <row r="226" spans="1:35" hidden="1" x14ac:dyDescent="0.55000000000000004">
      <c r="A226" s="35" t="s">
        <v>5519</v>
      </c>
      <c r="B226" t="s">
        <v>5605</v>
      </c>
      <c r="C226" t="s">
        <v>5605</v>
      </c>
      <c r="D226" t="s">
        <v>7319</v>
      </c>
      <c r="E226" s="35" t="s">
        <v>5618</v>
      </c>
      <c r="F226" t="s">
        <v>5619</v>
      </c>
      <c r="G226" s="36">
        <v>0</v>
      </c>
      <c r="H226" s="36">
        <v>0</v>
      </c>
      <c r="I226" s="36">
        <v>1.15E-2</v>
      </c>
      <c r="J226" s="37">
        <f t="shared" si="27"/>
        <v>1.15E-2</v>
      </c>
      <c r="K226" s="54">
        <v>0.29343799999999998</v>
      </c>
      <c r="L226" s="54">
        <v>2.8089999999999999E-3</v>
      </c>
      <c r="M226" s="54">
        <v>-0.125</v>
      </c>
      <c r="N226" s="54">
        <v>5.0000000000000001E-3</v>
      </c>
      <c r="O226" s="54">
        <v>1.2500000000000001E-2</v>
      </c>
      <c r="P226" s="54">
        <v>1.4999999999999999E-2</v>
      </c>
      <c r="Q226" s="54">
        <v>0.02</v>
      </c>
      <c r="R226" s="54">
        <v>0</v>
      </c>
      <c r="S226" s="59">
        <f t="shared" si="28"/>
        <v>0.223747</v>
      </c>
      <c r="T226" s="38">
        <f t="shared" si="29"/>
        <v>0.23524700000000001</v>
      </c>
      <c r="U226" s="39">
        <v>0</v>
      </c>
      <c r="V226" s="39">
        <v>0</v>
      </c>
      <c r="W226" s="39">
        <v>1.15E-2</v>
      </c>
      <c r="X226" s="40">
        <f t="shared" si="30"/>
        <v>1.15E-2</v>
      </c>
      <c r="Y226" s="41">
        <v>8.3395999999999998E-2</v>
      </c>
      <c r="Z226" s="41">
        <v>2.7780000000000001E-3</v>
      </c>
      <c r="AA226" s="41">
        <v>3.0000000000000001E-3</v>
      </c>
      <c r="AB226" s="41">
        <v>0</v>
      </c>
      <c r="AC226" s="42">
        <f t="shared" si="31"/>
        <v>8.9174000000000003E-2</v>
      </c>
      <c r="AD226" s="38">
        <f t="shared" si="32"/>
        <v>0.100674</v>
      </c>
      <c r="AE226" s="43">
        <f t="shared" si="33"/>
        <v>0.100674</v>
      </c>
      <c r="AF226" s="43">
        <f t="shared" si="34"/>
        <v>0.11413129999999999</v>
      </c>
      <c r="AG226" s="43">
        <f t="shared" si="35"/>
        <v>0.12085994999999999</v>
      </c>
      <c r="AI226" s="64">
        <f>SUMIFS('Paths and Tariffs'!Q:Q,'Paths and Tariffs'!E:E,'Costing Detail'!E226,'Paths and Tariffs'!G:G,"GAS",'Paths and Tariffs'!N:N,1,'Paths and Tariffs'!M:M,1)</f>
        <v>8.3395999999999998E-2</v>
      </c>
    </row>
    <row r="227" spans="1:35" hidden="1" x14ac:dyDescent="0.55000000000000004">
      <c r="A227" s="35" t="s">
        <v>5519</v>
      </c>
      <c r="B227" t="s">
        <v>5631</v>
      </c>
      <c r="C227" t="s">
        <v>5631</v>
      </c>
      <c r="D227" t="s">
        <v>7319</v>
      </c>
      <c r="E227" s="35" t="s">
        <v>5632</v>
      </c>
      <c r="F227" t="s">
        <v>5633</v>
      </c>
      <c r="G227" s="36">
        <v>0</v>
      </c>
      <c r="H227" s="36">
        <v>0</v>
      </c>
      <c r="I227" s="36">
        <v>1.15E-2</v>
      </c>
      <c r="J227" s="37">
        <f t="shared" si="27"/>
        <v>1.15E-2</v>
      </c>
      <c r="K227" s="54">
        <v>0.29416700000000001</v>
      </c>
      <c r="L227" s="54">
        <v>3.003E-3</v>
      </c>
      <c r="M227" s="54">
        <v>-0.125</v>
      </c>
      <c r="N227" s="54">
        <v>5.0000000000000001E-3</v>
      </c>
      <c r="O227" s="54">
        <v>1.2500000000000001E-2</v>
      </c>
      <c r="P227" s="54">
        <v>1.4999999999999999E-2</v>
      </c>
      <c r="Q227" s="54">
        <v>0.02</v>
      </c>
      <c r="R227" s="54">
        <v>0</v>
      </c>
      <c r="S227" s="59">
        <f t="shared" si="28"/>
        <v>0.22467000000000001</v>
      </c>
      <c r="T227" s="38">
        <f t="shared" si="29"/>
        <v>0.23617000000000002</v>
      </c>
      <c r="U227" s="39">
        <v>0</v>
      </c>
      <c r="V227" s="39">
        <v>0</v>
      </c>
      <c r="W227" s="39">
        <v>1.15E-2</v>
      </c>
      <c r="X227" s="40">
        <f t="shared" si="30"/>
        <v>1.15E-2</v>
      </c>
      <c r="Y227" s="41">
        <v>9.1070000000000005E-3</v>
      </c>
      <c r="Z227" s="41">
        <v>1.0679999999999999E-3</v>
      </c>
      <c r="AA227" s="41">
        <v>3.0000000000000001E-3</v>
      </c>
      <c r="AB227" s="41">
        <v>0</v>
      </c>
      <c r="AC227" s="42">
        <f t="shared" si="31"/>
        <v>1.3174999999999999E-2</v>
      </c>
      <c r="AD227" s="38">
        <f t="shared" si="32"/>
        <v>2.4674999999999999E-2</v>
      </c>
      <c r="AE227" s="43">
        <f t="shared" si="33"/>
        <v>2.4674999999999999E-2</v>
      </c>
      <c r="AF227" s="43">
        <f t="shared" si="34"/>
        <v>4.5824500000000004E-2</v>
      </c>
      <c r="AG227" s="43">
        <f t="shared" si="35"/>
        <v>5.6399249999999998E-2</v>
      </c>
      <c r="AI227" s="64">
        <f>SUMIFS('Paths and Tariffs'!Q:Q,'Paths and Tariffs'!E:E,'Costing Detail'!E227,'Paths and Tariffs'!G:G,"GAS",'Paths and Tariffs'!N:N,1,'Paths and Tariffs'!M:M,1)</f>
        <v>9.1070000000000005E-3</v>
      </c>
    </row>
    <row r="228" spans="1:35" hidden="1" x14ac:dyDescent="0.55000000000000004">
      <c r="A228" s="35" t="s">
        <v>5661</v>
      </c>
      <c r="B228" t="s">
        <v>7396</v>
      </c>
      <c r="C228" t="s">
        <v>5686</v>
      </c>
      <c r="D228" t="s">
        <v>7312</v>
      </c>
      <c r="E228" s="35" t="s">
        <v>5707</v>
      </c>
      <c r="F228" t="s">
        <v>5708</v>
      </c>
      <c r="G228" s="36">
        <v>0</v>
      </c>
      <c r="H228" s="36">
        <v>0</v>
      </c>
      <c r="I228" s="36">
        <v>1.15E-2</v>
      </c>
      <c r="J228" s="37">
        <f t="shared" si="27"/>
        <v>1.15E-2</v>
      </c>
      <c r="K228" s="54">
        <v>0</v>
      </c>
      <c r="L228" s="54">
        <v>0</v>
      </c>
      <c r="M228" s="54">
        <v>-5.5E-2</v>
      </c>
      <c r="N228" s="54">
        <v>0</v>
      </c>
      <c r="O228" s="54">
        <v>0</v>
      </c>
      <c r="P228" s="54">
        <v>1.4999999999999999E-2</v>
      </c>
      <c r="Q228" s="54">
        <v>0.02</v>
      </c>
      <c r="R228" s="54">
        <v>0</v>
      </c>
      <c r="S228" s="59">
        <f t="shared" si="28"/>
        <v>-0.02</v>
      </c>
      <c r="T228" s="38">
        <f t="shared" si="29"/>
        <v>-8.5000000000000006E-3</v>
      </c>
      <c r="U228" s="39">
        <v>0</v>
      </c>
      <c r="V228" s="39">
        <v>0</v>
      </c>
      <c r="W228" s="39">
        <v>1.15E-2</v>
      </c>
      <c r="X228" s="40">
        <f t="shared" si="30"/>
        <v>1.15E-2</v>
      </c>
      <c r="Y228" s="41">
        <v>3.1764000000000001E-2</v>
      </c>
      <c r="Z228" s="41">
        <v>1.23E-3</v>
      </c>
      <c r="AA228" s="41">
        <v>3.0000000000000001E-3</v>
      </c>
      <c r="AB228" s="41">
        <v>0</v>
      </c>
      <c r="AC228" s="42">
        <f t="shared" si="31"/>
        <v>3.5994000000000005E-2</v>
      </c>
      <c r="AD228" s="38">
        <f t="shared" si="32"/>
        <v>4.7494000000000008E-2</v>
      </c>
      <c r="AE228" s="43">
        <f t="shared" si="33"/>
        <v>4.7494000000000008E-2</v>
      </c>
      <c r="AF228" s="43">
        <f t="shared" si="34"/>
        <v>4.1894600000000004E-2</v>
      </c>
      <c r="AG228" s="43">
        <f t="shared" si="35"/>
        <v>3.9094900000000009E-2</v>
      </c>
      <c r="AI228" s="64">
        <f>SUMIFS('Paths and Tariffs'!Q:Q,'Paths and Tariffs'!E:E,'Costing Detail'!E228,'Paths and Tariffs'!G:G,"GAS",'Paths and Tariffs'!N:N,1,'Paths and Tariffs'!M:M,1)</f>
        <v>3.1764000000000001E-2</v>
      </c>
    </row>
    <row r="229" spans="1:35" hidden="1" x14ac:dyDescent="0.55000000000000004">
      <c r="A229" s="35" t="s">
        <v>5661</v>
      </c>
      <c r="B229" t="s">
        <v>5709</v>
      </c>
      <c r="C229" t="s">
        <v>5709</v>
      </c>
      <c r="D229" t="s">
        <v>7312</v>
      </c>
      <c r="E229" s="35" t="s">
        <v>5710</v>
      </c>
      <c r="F229" t="s">
        <v>5711</v>
      </c>
      <c r="G229" s="36">
        <v>0</v>
      </c>
      <c r="H229" s="36">
        <v>0</v>
      </c>
      <c r="I229" s="36">
        <v>1.15E-2</v>
      </c>
      <c r="J229" s="37">
        <f t="shared" si="27"/>
        <v>1.15E-2</v>
      </c>
      <c r="K229" s="54">
        <v>0.1865</v>
      </c>
      <c r="L229" s="54">
        <v>2.2759999999999998E-3</v>
      </c>
      <c r="M229" s="54">
        <v>-0.125</v>
      </c>
      <c r="N229" s="54">
        <v>5.0000000000000001E-3</v>
      </c>
      <c r="O229" s="54">
        <v>1.2500000000000001E-2</v>
      </c>
      <c r="P229" s="54">
        <v>1.4999999999999999E-2</v>
      </c>
      <c r="Q229" s="54">
        <v>0.02</v>
      </c>
      <c r="R229" s="54">
        <v>0</v>
      </c>
      <c r="S229" s="59">
        <f t="shared" si="28"/>
        <v>0.116276</v>
      </c>
      <c r="T229" s="38">
        <f t="shared" si="29"/>
        <v>0.127776</v>
      </c>
      <c r="U229" s="39">
        <v>0</v>
      </c>
      <c r="V229" s="39">
        <v>0</v>
      </c>
      <c r="W229" s="39">
        <v>1.15E-2</v>
      </c>
      <c r="X229" s="40">
        <f t="shared" si="30"/>
        <v>1.15E-2</v>
      </c>
      <c r="Y229" s="41">
        <v>1.7033E-2</v>
      </c>
      <c r="Z229" s="41">
        <v>1.109E-3</v>
      </c>
      <c r="AA229" s="41">
        <v>3.0000000000000001E-3</v>
      </c>
      <c r="AB229" s="41">
        <v>0</v>
      </c>
      <c r="AC229" s="42">
        <f t="shared" si="31"/>
        <v>2.1141999999999998E-2</v>
      </c>
      <c r="AD229" s="38">
        <f t="shared" si="32"/>
        <v>3.2641999999999997E-2</v>
      </c>
      <c r="AE229" s="43">
        <f t="shared" si="33"/>
        <v>3.2641999999999997E-2</v>
      </c>
      <c r="AF229" s="43">
        <f t="shared" si="34"/>
        <v>4.2155399999999996E-2</v>
      </c>
      <c r="AG229" s="43">
        <f t="shared" si="35"/>
        <v>4.6912099999999998E-2</v>
      </c>
      <c r="AI229" s="64">
        <f>SUMIFS('Paths and Tariffs'!Q:Q,'Paths and Tariffs'!E:E,'Costing Detail'!E229,'Paths and Tariffs'!G:G,"GAS",'Paths and Tariffs'!N:N,1,'Paths and Tariffs'!M:M,1)</f>
        <v>1.7033E-2</v>
      </c>
    </row>
    <row r="230" spans="1:35" hidden="1" x14ac:dyDescent="0.55000000000000004">
      <c r="A230" s="35" t="s">
        <v>5765</v>
      </c>
      <c r="B230" t="s">
        <v>5776</v>
      </c>
      <c r="C230" t="s">
        <v>5776</v>
      </c>
      <c r="D230" t="s">
        <v>7326</v>
      </c>
      <c r="E230" s="35" t="s">
        <v>5777</v>
      </c>
      <c r="F230" t="s">
        <v>5778</v>
      </c>
      <c r="G230" s="36">
        <v>0</v>
      </c>
      <c r="H230" s="36">
        <v>0</v>
      </c>
      <c r="I230" s="36">
        <v>1.15E-2</v>
      </c>
      <c r="J230" s="37">
        <f t="shared" si="27"/>
        <v>1.15E-2</v>
      </c>
      <c r="K230" s="54">
        <v>0.184477</v>
      </c>
      <c r="L230" s="54">
        <v>2.3259999999999999E-3</v>
      </c>
      <c r="M230" s="54">
        <v>-0.125</v>
      </c>
      <c r="N230" s="54">
        <v>5.0000000000000001E-3</v>
      </c>
      <c r="O230" s="54">
        <v>1.2500000000000001E-2</v>
      </c>
      <c r="P230" s="54">
        <v>1.4999999999999999E-2</v>
      </c>
      <c r="Q230" s="54">
        <v>0.02</v>
      </c>
      <c r="R230" s="54">
        <v>0</v>
      </c>
      <c r="S230" s="59">
        <f t="shared" si="28"/>
        <v>0.114303</v>
      </c>
      <c r="T230" s="38">
        <f t="shared" si="29"/>
        <v>0.125803</v>
      </c>
      <c r="U230" s="39">
        <v>0</v>
      </c>
      <c r="V230" s="39">
        <v>0</v>
      </c>
      <c r="W230" s="39">
        <v>1.15E-2</v>
      </c>
      <c r="X230" s="40">
        <f t="shared" si="30"/>
        <v>1.15E-2</v>
      </c>
      <c r="Y230" s="41">
        <v>3.3730999999999997E-2</v>
      </c>
      <c r="Z230" s="41">
        <v>1.2470000000000001E-3</v>
      </c>
      <c r="AA230" s="41">
        <v>3.0000000000000001E-3</v>
      </c>
      <c r="AB230" s="41">
        <v>0</v>
      </c>
      <c r="AC230" s="42">
        <f t="shared" si="31"/>
        <v>3.7977999999999998E-2</v>
      </c>
      <c r="AD230" s="38">
        <f t="shared" si="32"/>
        <v>4.9477999999999994E-2</v>
      </c>
      <c r="AE230" s="43">
        <f t="shared" si="33"/>
        <v>4.9477999999999994E-2</v>
      </c>
      <c r="AF230" s="43">
        <f t="shared" si="34"/>
        <v>5.7110500000000002E-2</v>
      </c>
      <c r="AG230" s="43">
        <f t="shared" si="35"/>
        <v>6.0926749999999988E-2</v>
      </c>
      <c r="AI230" s="64">
        <f>SUMIFS('Paths and Tariffs'!Q:Q,'Paths and Tariffs'!E:E,'Costing Detail'!E230,'Paths and Tariffs'!G:G,"GAS",'Paths and Tariffs'!N:N,1,'Paths and Tariffs'!M:M,1)</f>
        <v>3.3730999999999997E-2</v>
      </c>
    </row>
  </sheetData>
  <autoFilter ref="A3:AI230" xr:uid="{7E891DBD-07AF-4012-B358-9414C5BB3003}">
    <filterColumn colId="34">
      <colorFilter dxfId="1"/>
    </filterColumn>
  </autoFilter>
  <mergeCells count="1">
    <mergeCell ref="AE1:AG2"/>
  </mergeCells>
  <conditionalFormatting sqref="AI4:AI230">
    <cfRule type="expression" dxfId="0" priority="1">
      <formula>ROUND(Y4,4)&lt;&gt;ROUND(AI4,4)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85863-76FB-42AC-83E1-F8F76217692F}">
  <sheetPr filterMode="1"/>
  <dimension ref="A1:Q3607"/>
  <sheetViews>
    <sheetView topLeftCell="D1" zoomScale="115" zoomScaleNormal="115" workbookViewId="0">
      <selection activeCell="D2276" sqref="A2276:XFD2276"/>
    </sheetView>
  </sheetViews>
  <sheetFormatPr defaultRowHeight="14.4" x14ac:dyDescent="0.55000000000000004"/>
  <cols>
    <col min="1" max="1" width="16.41796875" bestFit="1" customWidth="1"/>
    <col min="2" max="2" width="20.83984375" bestFit="1" customWidth="1"/>
    <col min="3" max="3" width="23.68359375" bestFit="1" customWidth="1"/>
    <col min="4" max="4" width="9" bestFit="1" customWidth="1"/>
    <col min="5" max="5" width="9.578125" customWidth="1"/>
    <col min="6" max="6" width="28.83984375" customWidth="1"/>
    <col min="7" max="7" width="8.26171875" customWidth="1"/>
    <col min="8" max="8" width="18.41796875" customWidth="1"/>
    <col min="9" max="9" width="22.83984375" customWidth="1"/>
    <col min="10" max="10" width="22.15625" customWidth="1"/>
    <col min="11" max="11" width="10.15625" customWidth="1"/>
    <col min="12" max="12" width="12.26171875" bestFit="1" customWidth="1"/>
    <col min="13" max="13" width="11.26171875" customWidth="1"/>
    <col min="14" max="14" width="10.578125" customWidth="1"/>
    <col min="15" max="15" width="11.578125" customWidth="1"/>
    <col min="16" max="16" width="35.15625" customWidth="1"/>
    <col min="17" max="17" width="13.41796875" bestFit="1" customWidth="1"/>
  </cols>
  <sheetData>
    <row r="1" spans="1:17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1" t="s">
        <v>16</v>
      </c>
    </row>
    <row r="2" spans="1:17" hidden="1" x14ac:dyDescent="0.55000000000000004">
      <c r="A2" s="3" t="s">
        <v>17</v>
      </c>
      <c r="B2" s="3"/>
      <c r="D2" s="3"/>
      <c r="E2" t="s">
        <v>17</v>
      </c>
      <c r="F2" s="3" t="s">
        <v>18</v>
      </c>
      <c r="G2" t="s">
        <v>19</v>
      </c>
      <c r="H2" s="3" t="s">
        <v>20</v>
      </c>
      <c r="I2" t="s">
        <v>21</v>
      </c>
      <c r="J2" s="3" t="s">
        <v>22</v>
      </c>
      <c r="K2" s="4">
        <v>177</v>
      </c>
      <c r="L2" s="5">
        <v>38.409999999999997</v>
      </c>
      <c r="M2" s="6">
        <v>1</v>
      </c>
      <c r="N2" s="7">
        <v>0</v>
      </c>
      <c r="O2" t="s">
        <v>23</v>
      </c>
      <c r="P2" s="3" t="s">
        <v>23</v>
      </c>
      <c r="Q2" s="8" t="s">
        <v>23</v>
      </c>
    </row>
    <row r="3" spans="1:17" hidden="1" x14ac:dyDescent="0.55000000000000004">
      <c r="A3" s="3"/>
      <c r="B3" s="3"/>
      <c r="D3" s="3"/>
      <c r="F3" s="3" t="s">
        <v>18</v>
      </c>
      <c r="G3" t="s">
        <v>24</v>
      </c>
      <c r="H3" s="3" t="s">
        <v>25</v>
      </c>
      <c r="I3" t="s">
        <v>26</v>
      </c>
      <c r="J3" s="3" t="s">
        <v>27</v>
      </c>
      <c r="K3" s="4">
        <v>338</v>
      </c>
      <c r="L3" s="5">
        <v>15.37</v>
      </c>
      <c r="M3" s="6">
        <v>0</v>
      </c>
      <c r="N3" s="7">
        <v>0</v>
      </c>
      <c r="O3" t="s">
        <v>28</v>
      </c>
      <c r="P3" s="3" t="s">
        <v>29</v>
      </c>
      <c r="Q3" s="8">
        <v>0.18279000000000001</v>
      </c>
    </row>
    <row r="4" spans="1:17" hidden="1" x14ac:dyDescent="0.55000000000000004">
      <c r="A4" s="3"/>
      <c r="B4" s="3"/>
      <c r="D4" s="3"/>
      <c r="F4" s="3" t="s">
        <v>30</v>
      </c>
      <c r="G4" t="s">
        <v>19</v>
      </c>
      <c r="H4" s="3" t="s">
        <v>31</v>
      </c>
      <c r="I4" t="s">
        <v>32</v>
      </c>
      <c r="J4" s="3" t="s">
        <v>33</v>
      </c>
      <c r="K4" s="4">
        <v>409</v>
      </c>
      <c r="L4" s="5">
        <v>88.98</v>
      </c>
      <c r="M4" s="6">
        <v>1</v>
      </c>
      <c r="N4" s="7">
        <v>0</v>
      </c>
      <c r="O4" t="s">
        <v>34</v>
      </c>
      <c r="P4" s="3" t="s">
        <v>35</v>
      </c>
      <c r="Q4" s="8">
        <v>7.1499999999999994E-2</v>
      </c>
    </row>
    <row r="5" spans="1:17" hidden="1" x14ac:dyDescent="0.55000000000000004">
      <c r="A5" s="3"/>
      <c r="B5" s="3"/>
      <c r="D5" s="3"/>
      <c r="F5" s="3" t="s">
        <v>30</v>
      </c>
      <c r="G5" t="s">
        <v>24</v>
      </c>
      <c r="H5" s="3" t="s">
        <v>36</v>
      </c>
      <c r="I5" t="s">
        <v>37</v>
      </c>
      <c r="J5" s="3" t="s">
        <v>38</v>
      </c>
      <c r="K5" s="4">
        <v>560</v>
      </c>
      <c r="L5" s="5">
        <v>25.44</v>
      </c>
      <c r="M5" s="6">
        <v>1</v>
      </c>
      <c r="N5" s="7">
        <v>0</v>
      </c>
      <c r="O5" t="s">
        <v>39</v>
      </c>
      <c r="P5" s="3" t="s">
        <v>40</v>
      </c>
      <c r="Q5" s="8">
        <v>0.18362800000000001</v>
      </c>
    </row>
    <row r="6" spans="1:17" hidden="1" x14ac:dyDescent="0.55000000000000004">
      <c r="A6" s="3"/>
      <c r="B6" s="3"/>
      <c r="D6" s="3"/>
      <c r="F6" s="3" t="s">
        <v>41</v>
      </c>
      <c r="G6" t="s">
        <v>24</v>
      </c>
      <c r="H6" s="3" t="s">
        <v>42</v>
      </c>
      <c r="I6" t="s">
        <v>43</v>
      </c>
      <c r="J6" s="3" t="s">
        <v>44</v>
      </c>
      <c r="K6" s="4">
        <v>540</v>
      </c>
      <c r="L6" s="5">
        <v>24.56</v>
      </c>
      <c r="M6" s="6">
        <v>1</v>
      </c>
      <c r="N6" s="7">
        <v>0</v>
      </c>
      <c r="O6" t="s">
        <v>45</v>
      </c>
      <c r="P6" s="3" t="s">
        <v>46</v>
      </c>
      <c r="Q6" s="8">
        <v>0.19789999999999999</v>
      </c>
    </row>
    <row r="7" spans="1:17" hidden="1" x14ac:dyDescent="0.55000000000000004">
      <c r="A7" s="3"/>
      <c r="B7" s="3"/>
      <c r="D7" s="3"/>
      <c r="F7" s="3" t="s">
        <v>41</v>
      </c>
      <c r="G7" t="s">
        <v>24</v>
      </c>
      <c r="H7" s="3" t="s">
        <v>47</v>
      </c>
      <c r="I7" t="s">
        <v>48</v>
      </c>
      <c r="J7" s="3" t="s">
        <v>44</v>
      </c>
      <c r="K7" s="4">
        <v>612</v>
      </c>
      <c r="L7" s="5">
        <v>27.82</v>
      </c>
      <c r="M7" s="6">
        <v>0</v>
      </c>
      <c r="N7" s="7">
        <v>0</v>
      </c>
      <c r="O7" t="s">
        <v>49</v>
      </c>
      <c r="P7" s="3" t="s">
        <v>23</v>
      </c>
      <c r="Q7" s="8" t="s">
        <v>23</v>
      </c>
    </row>
    <row r="8" spans="1:17" hidden="1" x14ac:dyDescent="0.55000000000000004">
      <c r="A8" s="3"/>
      <c r="B8" s="3"/>
      <c r="D8" s="3"/>
      <c r="F8" s="3" t="s">
        <v>50</v>
      </c>
      <c r="G8" t="s">
        <v>24</v>
      </c>
      <c r="H8" s="3" t="s">
        <v>51</v>
      </c>
      <c r="I8" t="s">
        <v>52</v>
      </c>
      <c r="J8" s="3" t="s">
        <v>53</v>
      </c>
      <c r="K8" s="4">
        <v>1438</v>
      </c>
      <c r="L8" s="5">
        <v>65.349999999999994</v>
      </c>
      <c r="M8" s="6">
        <v>1</v>
      </c>
      <c r="N8" s="7">
        <v>0</v>
      </c>
      <c r="O8" t="s">
        <v>54</v>
      </c>
      <c r="P8" s="3" t="s">
        <v>55</v>
      </c>
      <c r="Q8" s="8">
        <v>0.29234300000000002</v>
      </c>
    </row>
    <row r="9" spans="1:17" hidden="1" x14ac:dyDescent="0.55000000000000004">
      <c r="A9" s="3"/>
      <c r="B9" s="3"/>
      <c r="D9" s="3"/>
      <c r="F9" s="3" t="s">
        <v>50</v>
      </c>
      <c r="G9" t="s">
        <v>24</v>
      </c>
      <c r="H9" s="3" t="s">
        <v>56</v>
      </c>
      <c r="I9" t="s">
        <v>26</v>
      </c>
      <c r="J9" s="3" t="s">
        <v>57</v>
      </c>
      <c r="K9" s="4">
        <v>1267</v>
      </c>
      <c r="L9" s="5">
        <v>57.59</v>
      </c>
      <c r="M9" s="6">
        <v>0</v>
      </c>
      <c r="N9" s="7">
        <v>0</v>
      </c>
      <c r="O9" t="s">
        <v>58</v>
      </c>
      <c r="P9" s="3" t="s">
        <v>29</v>
      </c>
      <c r="Q9" s="8">
        <v>0.26050000000000001</v>
      </c>
    </row>
    <row r="10" spans="1:17" hidden="1" x14ac:dyDescent="0.55000000000000004">
      <c r="A10" s="3"/>
      <c r="B10" s="3"/>
      <c r="D10" s="3"/>
      <c r="F10" s="3" t="s">
        <v>59</v>
      </c>
      <c r="G10" t="s">
        <v>19</v>
      </c>
      <c r="H10" s="3" t="s">
        <v>60</v>
      </c>
      <c r="I10" t="s">
        <v>61</v>
      </c>
      <c r="J10" s="3" t="s">
        <v>62</v>
      </c>
      <c r="K10" s="4">
        <v>726</v>
      </c>
      <c r="L10" s="5">
        <v>157.87</v>
      </c>
      <c r="M10" s="6">
        <v>0</v>
      </c>
      <c r="N10" s="7">
        <v>0</v>
      </c>
      <c r="O10" t="s">
        <v>63</v>
      </c>
      <c r="P10" s="3" t="s">
        <v>64</v>
      </c>
      <c r="Q10" s="8">
        <v>0.175729</v>
      </c>
    </row>
    <row r="11" spans="1:17" hidden="1" x14ac:dyDescent="0.55000000000000004">
      <c r="A11" s="3"/>
      <c r="B11" s="3"/>
      <c r="D11" s="3"/>
      <c r="F11" s="3" t="s">
        <v>59</v>
      </c>
      <c r="G11" t="s">
        <v>19</v>
      </c>
      <c r="H11" s="3" t="s">
        <v>65</v>
      </c>
      <c r="I11" t="s">
        <v>66</v>
      </c>
      <c r="J11" s="3" t="s">
        <v>62</v>
      </c>
      <c r="K11" s="4">
        <v>565</v>
      </c>
      <c r="L11" s="5">
        <v>122.85</v>
      </c>
      <c r="M11" s="6">
        <v>0</v>
      </c>
      <c r="N11" s="7">
        <v>0</v>
      </c>
      <c r="O11" t="s">
        <v>23</v>
      </c>
      <c r="P11" s="3" t="s">
        <v>23</v>
      </c>
      <c r="Q11" s="8" t="s">
        <v>23</v>
      </c>
    </row>
    <row r="12" spans="1:17" hidden="1" x14ac:dyDescent="0.55000000000000004">
      <c r="A12" s="3"/>
      <c r="B12" s="3"/>
      <c r="D12" s="3"/>
      <c r="F12" s="3" t="s">
        <v>59</v>
      </c>
      <c r="G12" t="s">
        <v>19</v>
      </c>
      <c r="H12" s="3" t="s">
        <v>23</v>
      </c>
      <c r="I12" t="s">
        <v>67</v>
      </c>
      <c r="J12" s="3" t="s">
        <v>68</v>
      </c>
      <c r="K12" s="4" t="s">
        <v>23</v>
      </c>
      <c r="L12" s="5" t="s">
        <v>23</v>
      </c>
      <c r="M12" s="6">
        <v>0</v>
      </c>
      <c r="N12" s="7">
        <v>0</v>
      </c>
      <c r="O12" t="s">
        <v>23</v>
      </c>
      <c r="P12" s="3" t="s">
        <v>23</v>
      </c>
      <c r="Q12" s="8" t="s">
        <v>23</v>
      </c>
    </row>
    <row r="13" spans="1:17" hidden="1" x14ac:dyDescent="0.55000000000000004">
      <c r="A13" s="3"/>
      <c r="B13" s="3"/>
      <c r="D13" s="3"/>
      <c r="F13" s="3" t="s">
        <v>59</v>
      </c>
      <c r="G13" t="s">
        <v>24</v>
      </c>
      <c r="H13" s="3" t="s">
        <v>69</v>
      </c>
      <c r="I13" t="s">
        <v>26</v>
      </c>
      <c r="J13" s="3" t="s">
        <v>70</v>
      </c>
      <c r="K13" s="4">
        <v>1023</v>
      </c>
      <c r="L13" s="5">
        <v>46.5</v>
      </c>
      <c r="M13" s="6">
        <v>1</v>
      </c>
      <c r="N13" s="7">
        <v>0</v>
      </c>
      <c r="O13" t="s">
        <v>71</v>
      </c>
      <c r="P13" s="3" t="s">
        <v>29</v>
      </c>
      <c r="Q13" s="8">
        <v>0.2455</v>
      </c>
    </row>
    <row r="14" spans="1:17" hidden="1" x14ac:dyDescent="0.55000000000000004">
      <c r="A14" s="9"/>
      <c r="B14" s="3"/>
      <c r="D14" s="3"/>
      <c r="F14" s="3" t="s">
        <v>72</v>
      </c>
      <c r="G14" t="s">
        <v>24</v>
      </c>
      <c r="H14" s="3" t="s">
        <v>73</v>
      </c>
      <c r="I14" t="s">
        <v>26</v>
      </c>
      <c r="J14" s="3" t="s">
        <v>74</v>
      </c>
      <c r="K14" s="4">
        <v>801</v>
      </c>
      <c r="L14" s="5">
        <v>36.409999999999997</v>
      </c>
      <c r="M14" s="6">
        <v>1</v>
      </c>
      <c r="N14" s="7">
        <v>0</v>
      </c>
      <c r="O14" t="s">
        <v>75</v>
      </c>
      <c r="P14" s="3" t="s">
        <v>76</v>
      </c>
      <c r="Q14" s="8">
        <v>0.2455</v>
      </c>
    </row>
    <row r="15" spans="1:17" hidden="1" x14ac:dyDescent="0.55000000000000004">
      <c r="A15" s="3" t="s">
        <v>77</v>
      </c>
      <c r="B15" s="3" t="s">
        <v>7315</v>
      </c>
      <c r="C15" t="s">
        <v>7316</v>
      </c>
      <c r="D15" s="3" t="s">
        <v>7314</v>
      </c>
      <c r="E15" t="s">
        <v>78</v>
      </c>
      <c r="F15" s="3" t="s">
        <v>79</v>
      </c>
      <c r="G15" t="s">
        <v>19</v>
      </c>
      <c r="H15" s="3" t="s">
        <v>80</v>
      </c>
      <c r="I15" t="s">
        <v>81</v>
      </c>
      <c r="J15" s="3" t="s">
        <v>82</v>
      </c>
      <c r="K15" s="4">
        <v>664</v>
      </c>
      <c r="L15" s="5">
        <v>144.35</v>
      </c>
      <c r="M15" s="6">
        <v>1</v>
      </c>
      <c r="N15" s="7">
        <v>0</v>
      </c>
      <c r="O15" t="s">
        <v>83</v>
      </c>
      <c r="P15" s="3" t="s">
        <v>84</v>
      </c>
      <c r="Q15" s="8">
        <v>3.5795E-2</v>
      </c>
    </row>
    <row r="16" spans="1:17" hidden="1" x14ac:dyDescent="0.55000000000000004">
      <c r="A16" s="3" t="s">
        <v>77</v>
      </c>
      <c r="B16" s="3" t="s">
        <v>7315</v>
      </c>
      <c r="C16" t="s">
        <v>7316</v>
      </c>
      <c r="D16" s="3" t="s">
        <v>7314</v>
      </c>
      <c r="E16" t="s">
        <v>78</v>
      </c>
      <c r="F16" s="3" t="s">
        <v>79</v>
      </c>
      <c r="G16" t="s">
        <v>19</v>
      </c>
      <c r="H16" s="3" t="s">
        <v>85</v>
      </c>
      <c r="I16" t="s">
        <v>86</v>
      </c>
      <c r="J16" s="3" t="s">
        <v>87</v>
      </c>
      <c r="K16" s="4">
        <v>405</v>
      </c>
      <c r="L16" s="5">
        <v>88.04</v>
      </c>
      <c r="M16" s="6">
        <v>0</v>
      </c>
      <c r="N16" s="7">
        <v>0</v>
      </c>
      <c r="O16" t="s">
        <v>88</v>
      </c>
      <c r="P16" s="3" t="s">
        <v>89</v>
      </c>
      <c r="Q16" s="8">
        <v>3.1502000000000002E-2</v>
      </c>
    </row>
    <row r="17" spans="1:17" hidden="1" x14ac:dyDescent="0.55000000000000004">
      <c r="A17" s="3" t="s">
        <v>77</v>
      </c>
      <c r="B17" s="3" t="s">
        <v>7315</v>
      </c>
      <c r="C17" t="s">
        <v>7316</v>
      </c>
      <c r="D17" s="3" t="s">
        <v>7314</v>
      </c>
      <c r="E17" t="s">
        <v>78</v>
      </c>
      <c r="F17" s="3" t="s">
        <v>79</v>
      </c>
      <c r="G17" t="s">
        <v>24</v>
      </c>
      <c r="H17" s="3" t="s">
        <v>90</v>
      </c>
      <c r="I17" t="s">
        <v>48</v>
      </c>
      <c r="J17" s="3" t="s">
        <v>91</v>
      </c>
      <c r="K17" s="4">
        <v>779</v>
      </c>
      <c r="L17" s="5">
        <v>35.42</v>
      </c>
      <c r="M17" s="6">
        <v>0</v>
      </c>
      <c r="N17" s="7">
        <v>0</v>
      </c>
      <c r="O17" t="s">
        <v>92</v>
      </c>
      <c r="P17" s="3" t="s">
        <v>23</v>
      </c>
      <c r="Q17" s="8" t="s">
        <v>23</v>
      </c>
    </row>
    <row r="18" spans="1:17" hidden="1" x14ac:dyDescent="0.55000000000000004">
      <c r="A18" s="3" t="s">
        <v>77</v>
      </c>
      <c r="B18" s="3" t="s">
        <v>7315</v>
      </c>
      <c r="C18" t="s">
        <v>7316</v>
      </c>
      <c r="D18" s="3" t="s">
        <v>7314</v>
      </c>
      <c r="E18" t="s">
        <v>78</v>
      </c>
      <c r="F18" s="3" t="s">
        <v>79</v>
      </c>
      <c r="G18" t="s">
        <v>24</v>
      </c>
      <c r="H18" s="3" t="s">
        <v>93</v>
      </c>
      <c r="I18" t="s">
        <v>43</v>
      </c>
      <c r="J18" s="3" t="s">
        <v>91</v>
      </c>
      <c r="K18" s="4">
        <v>648</v>
      </c>
      <c r="L18" s="5">
        <v>29.47</v>
      </c>
      <c r="M18" s="6">
        <v>1</v>
      </c>
      <c r="N18" s="7">
        <v>0</v>
      </c>
      <c r="O18" t="s">
        <v>94</v>
      </c>
      <c r="P18" s="3" t="s">
        <v>46</v>
      </c>
      <c r="Q18" s="8">
        <v>0.183867</v>
      </c>
    </row>
    <row r="19" spans="1:17" hidden="1" x14ac:dyDescent="0.55000000000000004">
      <c r="A19" s="3" t="s">
        <v>77</v>
      </c>
      <c r="B19" s="3" t="s">
        <v>95</v>
      </c>
      <c r="C19" t="s">
        <v>95</v>
      </c>
      <c r="D19" s="3" t="s">
        <v>7314</v>
      </c>
      <c r="E19" t="s">
        <v>96</v>
      </c>
      <c r="F19" s="3" t="s">
        <v>97</v>
      </c>
      <c r="G19" t="s">
        <v>19</v>
      </c>
      <c r="H19" s="3" t="s">
        <v>98</v>
      </c>
      <c r="I19" t="s">
        <v>81</v>
      </c>
      <c r="J19" s="3" t="s">
        <v>99</v>
      </c>
      <c r="K19" s="4">
        <v>603</v>
      </c>
      <c r="L19" s="5">
        <v>131</v>
      </c>
      <c r="M19" s="6">
        <v>1</v>
      </c>
      <c r="N19" s="7">
        <v>0</v>
      </c>
      <c r="O19" t="s">
        <v>100</v>
      </c>
      <c r="P19" s="3" t="s">
        <v>84</v>
      </c>
      <c r="Q19" s="8">
        <v>3.2954999999999998E-2</v>
      </c>
    </row>
    <row r="20" spans="1:17" hidden="1" x14ac:dyDescent="0.55000000000000004">
      <c r="A20" s="3" t="s">
        <v>77</v>
      </c>
      <c r="B20" s="3" t="s">
        <v>95</v>
      </c>
      <c r="C20" t="s">
        <v>95</v>
      </c>
      <c r="D20" s="3" t="s">
        <v>7314</v>
      </c>
      <c r="E20" t="s">
        <v>96</v>
      </c>
      <c r="F20" s="3" t="s">
        <v>97</v>
      </c>
      <c r="G20" t="s">
        <v>19</v>
      </c>
      <c r="H20" s="3" t="s">
        <v>101</v>
      </c>
      <c r="I20" t="s">
        <v>86</v>
      </c>
      <c r="J20" s="3" t="s">
        <v>102</v>
      </c>
      <c r="K20" s="4">
        <v>349</v>
      </c>
      <c r="L20" s="5">
        <v>75.930000000000007</v>
      </c>
      <c r="M20" s="6">
        <v>0</v>
      </c>
      <c r="N20" s="7">
        <v>0</v>
      </c>
      <c r="O20" t="s">
        <v>103</v>
      </c>
      <c r="P20" s="3" t="s">
        <v>89</v>
      </c>
      <c r="Q20" s="8">
        <v>2.8101999999999999E-2</v>
      </c>
    </row>
    <row r="21" spans="1:17" hidden="1" x14ac:dyDescent="0.55000000000000004">
      <c r="A21" s="3" t="s">
        <v>77</v>
      </c>
      <c r="B21" s="3" t="s">
        <v>95</v>
      </c>
      <c r="C21" t="s">
        <v>95</v>
      </c>
      <c r="D21" s="3" t="s">
        <v>7314</v>
      </c>
      <c r="E21" t="s">
        <v>96</v>
      </c>
      <c r="F21" s="3" t="s">
        <v>97</v>
      </c>
      <c r="G21" t="s">
        <v>24</v>
      </c>
      <c r="H21" s="3" t="s">
        <v>104</v>
      </c>
      <c r="I21" t="s">
        <v>105</v>
      </c>
      <c r="J21" s="3" t="s">
        <v>106</v>
      </c>
      <c r="K21" s="4">
        <v>450</v>
      </c>
      <c r="L21" s="5">
        <v>0</v>
      </c>
      <c r="M21" s="6">
        <v>0</v>
      </c>
      <c r="N21" s="7">
        <v>0</v>
      </c>
      <c r="O21" t="s">
        <v>23</v>
      </c>
      <c r="P21" s="3" t="s">
        <v>23</v>
      </c>
      <c r="Q21" s="8" t="s">
        <v>23</v>
      </c>
    </row>
    <row r="22" spans="1:17" hidden="1" x14ac:dyDescent="0.55000000000000004">
      <c r="A22" s="3" t="s">
        <v>77</v>
      </c>
      <c r="B22" s="3" t="s">
        <v>95</v>
      </c>
      <c r="C22" t="s">
        <v>95</v>
      </c>
      <c r="D22" s="3" t="s">
        <v>7314</v>
      </c>
      <c r="E22" t="s">
        <v>96</v>
      </c>
      <c r="F22" s="3" t="s">
        <v>97</v>
      </c>
      <c r="G22" t="s">
        <v>24</v>
      </c>
      <c r="H22" s="3" t="s">
        <v>107</v>
      </c>
      <c r="I22" t="s">
        <v>37</v>
      </c>
      <c r="J22" s="3" t="s">
        <v>106</v>
      </c>
      <c r="K22" s="4">
        <v>598</v>
      </c>
      <c r="L22" s="5">
        <v>0</v>
      </c>
      <c r="M22" s="6">
        <v>0</v>
      </c>
      <c r="N22" s="7">
        <v>0</v>
      </c>
      <c r="O22" t="s">
        <v>23</v>
      </c>
      <c r="P22" s="3" t="s">
        <v>23</v>
      </c>
      <c r="Q22" s="8" t="s">
        <v>23</v>
      </c>
    </row>
    <row r="23" spans="1:17" hidden="1" x14ac:dyDescent="0.55000000000000004">
      <c r="A23" s="3" t="s">
        <v>77</v>
      </c>
      <c r="B23" s="3" t="s">
        <v>95</v>
      </c>
      <c r="C23" t="s">
        <v>95</v>
      </c>
      <c r="D23" s="3" t="s">
        <v>7314</v>
      </c>
      <c r="E23" t="s">
        <v>96</v>
      </c>
      <c r="F23" s="3" t="s">
        <v>97</v>
      </c>
      <c r="G23" t="s">
        <v>24</v>
      </c>
      <c r="H23" s="3" t="s">
        <v>108</v>
      </c>
      <c r="I23" t="s">
        <v>43</v>
      </c>
      <c r="J23" s="3" t="s">
        <v>109</v>
      </c>
      <c r="K23" s="4">
        <v>631</v>
      </c>
      <c r="L23" s="5">
        <v>28.7</v>
      </c>
      <c r="M23" s="6">
        <v>1</v>
      </c>
      <c r="N23" s="7">
        <v>0</v>
      </c>
      <c r="O23" t="s">
        <v>110</v>
      </c>
      <c r="P23" s="3" t="s">
        <v>46</v>
      </c>
      <c r="Q23" s="8">
        <v>0.183867</v>
      </c>
    </row>
    <row r="24" spans="1:17" hidden="1" x14ac:dyDescent="0.55000000000000004">
      <c r="A24" s="3" t="s">
        <v>77</v>
      </c>
      <c r="B24" s="3" t="s">
        <v>95</v>
      </c>
      <c r="C24" t="s">
        <v>95</v>
      </c>
      <c r="D24" s="3" t="s">
        <v>7314</v>
      </c>
      <c r="E24" t="s">
        <v>96</v>
      </c>
      <c r="F24" s="3" t="s">
        <v>97</v>
      </c>
      <c r="G24" t="s">
        <v>24</v>
      </c>
      <c r="H24" s="3" t="s">
        <v>111</v>
      </c>
      <c r="I24" t="s">
        <v>48</v>
      </c>
      <c r="J24" s="3" t="s">
        <v>109</v>
      </c>
      <c r="K24" s="4">
        <v>594</v>
      </c>
      <c r="L24" s="5">
        <v>0</v>
      </c>
      <c r="M24" s="6">
        <v>0</v>
      </c>
      <c r="N24" s="7">
        <v>0</v>
      </c>
      <c r="O24" t="s">
        <v>112</v>
      </c>
      <c r="P24" s="3" t="s">
        <v>23</v>
      </c>
      <c r="Q24" s="8" t="s">
        <v>23</v>
      </c>
    </row>
    <row r="25" spans="1:17" hidden="1" x14ac:dyDescent="0.55000000000000004">
      <c r="A25" s="3" t="s">
        <v>77</v>
      </c>
      <c r="B25" s="3" t="s">
        <v>95</v>
      </c>
      <c r="C25" t="s">
        <v>95</v>
      </c>
      <c r="D25" s="3" t="s">
        <v>7314</v>
      </c>
      <c r="E25" t="s">
        <v>96</v>
      </c>
      <c r="F25" s="3" t="s">
        <v>97</v>
      </c>
      <c r="G25" t="s">
        <v>24</v>
      </c>
      <c r="H25" s="3" t="s">
        <v>113</v>
      </c>
      <c r="I25" t="s">
        <v>114</v>
      </c>
      <c r="J25" s="3" t="s">
        <v>109</v>
      </c>
      <c r="K25" s="4">
        <v>521</v>
      </c>
      <c r="L25" s="5">
        <v>0</v>
      </c>
      <c r="M25" s="6">
        <v>0</v>
      </c>
      <c r="N25" s="7">
        <v>0</v>
      </c>
      <c r="O25" t="s">
        <v>23</v>
      </c>
      <c r="P25" s="3" t="s">
        <v>23</v>
      </c>
      <c r="Q25" s="8" t="s">
        <v>23</v>
      </c>
    </row>
    <row r="26" spans="1:17" hidden="1" x14ac:dyDescent="0.55000000000000004">
      <c r="A26" s="3" t="s">
        <v>77</v>
      </c>
      <c r="B26" s="3" t="s">
        <v>95</v>
      </c>
      <c r="C26" t="s">
        <v>95</v>
      </c>
      <c r="D26" s="3" t="s">
        <v>7314</v>
      </c>
      <c r="E26" t="s">
        <v>115</v>
      </c>
      <c r="F26" s="3" t="s">
        <v>116</v>
      </c>
      <c r="G26" t="s">
        <v>19</v>
      </c>
      <c r="H26" s="3" t="s">
        <v>98</v>
      </c>
      <c r="I26" t="s">
        <v>81</v>
      </c>
      <c r="J26" s="3" t="s">
        <v>99</v>
      </c>
      <c r="K26" s="4">
        <v>603</v>
      </c>
      <c r="L26" s="5">
        <v>131</v>
      </c>
      <c r="M26" s="6">
        <v>1</v>
      </c>
      <c r="N26" s="7">
        <v>0</v>
      </c>
      <c r="O26" t="s">
        <v>100</v>
      </c>
      <c r="P26" s="3" t="s">
        <v>84</v>
      </c>
      <c r="Q26" s="8">
        <v>3.2954999999999998E-2</v>
      </c>
    </row>
    <row r="27" spans="1:17" hidden="1" x14ac:dyDescent="0.55000000000000004">
      <c r="A27" s="3" t="s">
        <v>77</v>
      </c>
      <c r="B27" s="3" t="s">
        <v>95</v>
      </c>
      <c r="C27" t="s">
        <v>95</v>
      </c>
      <c r="D27" s="3" t="s">
        <v>7314</v>
      </c>
      <c r="E27" t="s">
        <v>115</v>
      </c>
      <c r="F27" s="3" t="s">
        <v>116</v>
      </c>
      <c r="G27" t="s">
        <v>19</v>
      </c>
      <c r="H27" s="3" t="s">
        <v>101</v>
      </c>
      <c r="I27" t="s">
        <v>86</v>
      </c>
      <c r="J27" s="3" t="s">
        <v>102</v>
      </c>
      <c r="K27" s="4">
        <v>349</v>
      </c>
      <c r="L27" s="5">
        <v>75.930000000000007</v>
      </c>
      <c r="M27" s="6">
        <v>0</v>
      </c>
      <c r="N27" s="7">
        <v>0</v>
      </c>
      <c r="O27" t="s">
        <v>103</v>
      </c>
      <c r="P27" s="3" t="s">
        <v>89</v>
      </c>
      <c r="Q27" s="8">
        <v>2.8101999999999999E-2</v>
      </c>
    </row>
    <row r="28" spans="1:17" hidden="1" x14ac:dyDescent="0.55000000000000004">
      <c r="A28" s="3" t="s">
        <v>77</v>
      </c>
      <c r="B28" s="3" t="s">
        <v>95</v>
      </c>
      <c r="C28" t="s">
        <v>95</v>
      </c>
      <c r="D28" s="3" t="s">
        <v>7314</v>
      </c>
      <c r="E28" t="s">
        <v>115</v>
      </c>
      <c r="F28" s="3" t="s">
        <v>116</v>
      </c>
      <c r="G28" t="s">
        <v>24</v>
      </c>
      <c r="H28" s="3" t="s">
        <v>104</v>
      </c>
      <c r="I28" t="s">
        <v>105</v>
      </c>
      <c r="J28" s="3" t="s">
        <v>106</v>
      </c>
      <c r="K28" s="4">
        <v>450</v>
      </c>
      <c r="L28" s="5">
        <v>0</v>
      </c>
      <c r="M28" s="6">
        <v>0</v>
      </c>
      <c r="N28" s="7">
        <v>0</v>
      </c>
      <c r="O28" t="s">
        <v>23</v>
      </c>
      <c r="P28" s="3" t="s">
        <v>23</v>
      </c>
      <c r="Q28" s="8" t="s">
        <v>23</v>
      </c>
    </row>
    <row r="29" spans="1:17" hidden="1" x14ac:dyDescent="0.55000000000000004">
      <c r="A29" s="3" t="s">
        <v>77</v>
      </c>
      <c r="B29" s="3" t="s">
        <v>95</v>
      </c>
      <c r="C29" t="s">
        <v>95</v>
      </c>
      <c r="D29" s="3" t="s">
        <v>7314</v>
      </c>
      <c r="E29" t="s">
        <v>115</v>
      </c>
      <c r="F29" s="3" t="s">
        <v>116</v>
      </c>
      <c r="G29" t="s">
        <v>24</v>
      </c>
      <c r="H29" s="3" t="s">
        <v>107</v>
      </c>
      <c r="I29" t="s">
        <v>37</v>
      </c>
      <c r="J29" s="3" t="s">
        <v>106</v>
      </c>
      <c r="K29" s="4">
        <v>598</v>
      </c>
      <c r="L29" s="5">
        <v>0</v>
      </c>
      <c r="M29" s="6">
        <v>0</v>
      </c>
      <c r="N29" s="7">
        <v>0</v>
      </c>
      <c r="O29" t="s">
        <v>23</v>
      </c>
      <c r="P29" s="3" t="s">
        <v>23</v>
      </c>
      <c r="Q29" s="8" t="s">
        <v>23</v>
      </c>
    </row>
    <row r="30" spans="1:17" hidden="1" x14ac:dyDescent="0.55000000000000004">
      <c r="A30" s="3" t="s">
        <v>77</v>
      </c>
      <c r="B30" s="3" t="s">
        <v>95</v>
      </c>
      <c r="C30" t="s">
        <v>95</v>
      </c>
      <c r="D30" s="3" t="s">
        <v>7314</v>
      </c>
      <c r="E30" t="s">
        <v>115</v>
      </c>
      <c r="F30" s="3" t="s">
        <v>116</v>
      </c>
      <c r="G30" t="s">
        <v>24</v>
      </c>
      <c r="H30" s="3" t="s">
        <v>108</v>
      </c>
      <c r="I30" t="s">
        <v>43</v>
      </c>
      <c r="J30" s="3" t="s">
        <v>109</v>
      </c>
      <c r="K30" s="4">
        <v>631</v>
      </c>
      <c r="L30" s="5">
        <v>28.7</v>
      </c>
      <c r="M30" s="6">
        <v>1</v>
      </c>
      <c r="N30" s="7">
        <v>0</v>
      </c>
      <c r="O30" t="s">
        <v>110</v>
      </c>
      <c r="P30" s="3" t="s">
        <v>46</v>
      </c>
      <c r="Q30" s="8">
        <v>0.183867</v>
      </c>
    </row>
    <row r="31" spans="1:17" hidden="1" x14ac:dyDescent="0.55000000000000004">
      <c r="A31" s="3" t="s">
        <v>77</v>
      </c>
      <c r="B31" s="3" t="s">
        <v>95</v>
      </c>
      <c r="C31" t="s">
        <v>95</v>
      </c>
      <c r="D31" s="3" t="s">
        <v>7314</v>
      </c>
      <c r="E31" t="s">
        <v>115</v>
      </c>
      <c r="F31" s="3" t="s">
        <v>116</v>
      </c>
      <c r="G31" t="s">
        <v>24</v>
      </c>
      <c r="H31" s="3" t="s">
        <v>111</v>
      </c>
      <c r="I31" t="s">
        <v>48</v>
      </c>
      <c r="J31" s="3" t="s">
        <v>109</v>
      </c>
      <c r="K31" s="4">
        <v>594</v>
      </c>
      <c r="L31" s="5">
        <v>0</v>
      </c>
      <c r="M31" s="6">
        <v>0</v>
      </c>
      <c r="N31" s="7">
        <v>0</v>
      </c>
      <c r="O31" t="s">
        <v>112</v>
      </c>
      <c r="P31" s="3" t="s">
        <v>23</v>
      </c>
      <c r="Q31" s="8" t="s">
        <v>23</v>
      </c>
    </row>
    <row r="32" spans="1:17" hidden="1" x14ac:dyDescent="0.55000000000000004">
      <c r="A32" s="3" t="s">
        <v>77</v>
      </c>
      <c r="B32" s="3" t="s">
        <v>95</v>
      </c>
      <c r="C32" t="s">
        <v>95</v>
      </c>
      <c r="D32" s="3" t="s">
        <v>7314</v>
      </c>
      <c r="E32" t="s">
        <v>115</v>
      </c>
      <c r="F32" s="3" t="s">
        <v>116</v>
      </c>
      <c r="G32" t="s">
        <v>24</v>
      </c>
      <c r="H32" s="3" t="s">
        <v>113</v>
      </c>
      <c r="I32" t="s">
        <v>114</v>
      </c>
      <c r="J32" s="3" t="s">
        <v>109</v>
      </c>
      <c r="K32" s="4">
        <v>521</v>
      </c>
      <c r="L32" s="5">
        <v>0</v>
      </c>
      <c r="M32" s="6">
        <v>0</v>
      </c>
      <c r="N32" s="7">
        <v>0</v>
      </c>
      <c r="O32" t="s">
        <v>23</v>
      </c>
      <c r="P32" s="3" t="s">
        <v>23</v>
      </c>
      <c r="Q32" s="8" t="s">
        <v>23</v>
      </c>
    </row>
    <row r="33" spans="1:17" hidden="1" x14ac:dyDescent="0.55000000000000004">
      <c r="A33" s="3" t="s">
        <v>77</v>
      </c>
      <c r="B33" s="3" t="s">
        <v>95</v>
      </c>
      <c r="C33" t="s">
        <v>95</v>
      </c>
      <c r="D33" s="3" t="s">
        <v>7314</v>
      </c>
      <c r="E33" t="s">
        <v>117</v>
      </c>
      <c r="F33" s="3" t="s">
        <v>118</v>
      </c>
      <c r="G33" t="s">
        <v>19</v>
      </c>
      <c r="H33" s="3" t="s">
        <v>98</v>
      </c>
      <c r="I33" t="s">
        <v>81</v>
      </c>
      <c r="J33" s="3" t="s">
        <v>99</v>
      </c>
      <c r="K33" s="4">
        <v>603</v>
      </c>
      <c r="L33" s="5">
        <v>131</v>
      </c>
      <c r="M33" s="6">
        <v>1</v>
      </c>
      <c r="N33" s="7">
        <v>0</v>
      </c>
      <c r="O33" t="s">
        <v>100</v>
      </c>
      <c r="P33" s="3" t="s">
        <v>84</v>
      </c>
      <c r="Q33" s="8">
        <v>3.2954999999999998E-2</v>
      </c>
    </row>
    <row r="34" spans="1:17" hidden="1" x14ac:dyDescent="0.55000000000000004">
      <c r="A34" s="3" t="s">
        <v>77</v>
      </c>
      <c r="B34" s="3" t="s">
        <v>95</v>
      </c>
      <c r="C34" t="s">
        <v>95</v>
      </c>
      <c r="D34" s="3" t="s">
        <v>7314</v>
      </c>
      <c r="E34" t="s">
        <v>117</v>
      </c>
      <c r="F34" s="3" t="s">
        <v>118</v>
      </c>
      <c r="G34" t="s">
        <v>19</v>
      </c>
      <c r="H34" s="3" t="s">
        <v>101</v>
      </c>
      <c r="I34" t="s">
        <v>86</v>
      </c>
      <c r="J34" s="3" t="s">
        <v>102</v>
      </c>
      <c r="K34" s="4">
        <v>349</v>
      </c>
      <c r="L34" s="5">
        <v>75.930000000000007</v>
      </c>
      <c r="M34" s="6">
        <v>0</v>
      </c>
      <c r="N34" s="7">
        <v>0</v>
      </c>
      <c r="O34" t="s">
        <v>103</v>
      </c>
      <c r="P34" s="3" t="s">
        <v>89</v>
      </c>
      <c r="Q34" s="8">
        <v>2.8101999999999999E-2</v>
      </c>
    </row>
    <row r="35" spans="1:17" hidden="1" x14ac:dyDescent="0.55000000000000004">
      <c r="A35" s="3" t="s">
        <v>77</v>
      </c>
      <c r="B35" s="3" t="s">
        <v>95</v>
      </c>
      <c r="C35" t="s">
        <v>95</v>
      </c>
      <c r="D35" s="3" t="s">
        <v>7314</v>
      </c>
      <c r="E35" t="s">
        <v>117</v>
      </c>
      <c r="F35" s="3" t="s">
        <v>118</v>
      </c>
      <c r="G35" t="s">
        <v>24</v>
      </c>
      <c r="H35" s="3" t="s">
        <v>104</v>
      </c>
      <c r="I35" t="s">
        <v>105</v>
      </c>
      <c r="J35" s="3" t="s">
        <v>106</v>
      </c>
      <c r="K35" s="4">
        <v>450</v>
      </c>
      <c r="L35" s="5">
        <v>0</v>
      </c>
      <c r="M35" s="6">
        <v>0</v>
      </c>
      <c r="N35" s="7">
        <v>0</v>
      </c>
      <c r="O35" t="s">
        <v>23</v>
      </c>
      <c r="P35" s="3" t="s">
        <v>23</v>
      </c>
      <c r="Q35" s="8" t="s">
        <v>23</v>
      </c>
    </row>
    <row r="36" spans="1:17" hidden="1" x14ac:dyDescent="0.55000000000000004">
      <c r="A36" s="3" t="s">
        <v>77</v>
      </c>
      <c r="B36" s="3" t="s">
        <v>95</v>
      </c>
      <c r="C36" t="s">
        <v>95</v>
      </c>
      <c r="D36" s="3" t="s">
        <v>7314</v>
      </c>
      <c r="E36" t="s">
        <v>117</v>
      </c>
      <c r="F36" s="3" t="s">
        <v>118</v>
      </c>
      <c r="G36" t="s">
        <v>24</v>
      </c>
      <c r="H36" s="3" t="s">
        <v>107</v>
      </c>
      <c r="I36" t="s">
        <v>37</v>
      </c>
      <c r="J36" s="3" t="s">
        <v>106</v>
      </c>
      <c r="K36" s="4">
        <v>598</v>
      </c>
      <c r="L36" s="5">
        <v>0</v>
      </c>
      <c r="M36" s="6">
        <v>0</v>
      </c>
      <c r="N36" s="7">
        <v>0</v>
      </c>
      <c r="O36" t="s">
        <v>23</v>
      </c>
      <c r="P36" s="3" t="s">
        <v>23</v>
      </c>
      <c r="Q36" s="8" t="s">
        <v>23</v>
      </c>
    </row>
    <row r="37" spans="1:17" hidden="1" x14ac:dyDescent="0.55000000000000004">
      <c r="A37" s="3" t="s">
        <v>77</v>
      </c>
      <c r="B37" s="3" t="s">
        <v>95</v>
      </c>
      <c r="C37" t="s">
        <v>95</v>
      </c>
      <c r="D37" s="3" t="s">
        <v>7314</v>
      </c>
      <c r="E37" t="s">
        <v>117</v>
      </c>
      <c r="F37" s="3" t="s">
        <v>118</v>
      </c>
      <c r="G37" t="s">
        <v>24</v>
      </c>
      <c r="H37" s="3" t="s">
        <v>108</v>
      </c>
      <c r="I37" t="s">
        <v>43</v>
      </c>
      <c r="J37" s="3" t="s">
        <v>109</v>
      </c>
      <c r="K37" s="4">
        <v>631</v>
      </c>
      <c r="L37" s="5">
        <v>28.7</v>
      </c>
      <c r="M37" s="6">
        <v>1</v>
      </c>
      <c r="N37" s="7">
        <v>0</v>
      </c>
      <c r="O37" t="s">
        <v>110</v>
      </c>
      <c r="P37" s="3" t="s">
        <v>46</v>
      </c>
      <c r="Q37" s="8">
        <v>0.183867</v>
      </c>
    </row>
    <row r="38" spans="1:17" hidden="1" x14ac:dyDescent="0.55000000000000004">
      <c r="A38" s="3" t="s">
        <v>77</v>
      </c>
      <c r="B38" s="3" t="s">
        <v>95</v>
      </c>
      <c r="C38" t="s">
        <v>95</v>
      </c>
      <c r="D38" s="3" t="s">
        <v>7314</v>
      </c>
      <c r="E38" t="s">
        <v>117</v>
      </c>
      <c r="F38" s="3" t="s">
        <v>118</v>
      </c>
      <c r="G38" t="s">
        <v>24</v>
      </c>
      <c r="H38" s="3" t="s">
        <v>111</v>
      </c>
      <c r="I38" t="s">
        <v>48</v>
      </c>
      <c r="J38" s="3" t="s">
        <v>109</v>
      </c>
      <c r="K38" s="4">
        <v>594</v>
      </c>
      <c r="L38" s="5">
        <v>0</v>
      </c>
      <c r="M38" s="6">
        <v>0</v>
      </c>
      <c r="N38" s="7">
        <v>0</v>
      </c>
      <c r="O38" t="s">
        <v>112</v>
      </c>
      <c r="P38" s="3" t="s">
        <v>23</v>
      </c>
      <c r="Q38" s="8" t="s">
        <v>23</v>
      </c>
    </row>
    <row r="39" spans="1:17" hidden="1" x14ac:dyDescent="0.55000000000000004">
      <c r="A39" s="3" t="s">
        <v>77</v>
      </c>
      <c r="B39" s="3" t="s">
        <v>95</v>
      </c>
      <c r="C39" t="s">
        <v>95</v>
      </c>
      <c r="D39" s="3" t="s">
        <v>7314</v>
      </c>
      <c r="E39" t="s">
        <v>117</v>
      </c>
      <c r="F39" s="3" t="s">
        <v>118</v>
      </c>
      <c r="G39" t="s">
        <v>24</v>
      </c>
      <c r="H39" s="3" t="s">
        <v>113</v>
      </c>
      <c r="I39" t="s">
        <v>114</v>
      </c>
      <c r="J39" s="3" t="s">
        <v>109</v>
      </c>
      <c r="K39" s="4">
        <v>521</v>
      </c>
      <c r="L39" s="5">
        <v>0</v>
      </c>
      <c r="M39" s="6">
        <v>0</v>
      </c>
      <c r="N39" s="7">
        <v>0</v>
      </c>
      <c r="O39" t="s">
        <v>23</v>
      </c>
      <c r="P39" s="3" t="s">
        <v>23</v>
      </c>
      <c r="Q39" s="8" t="s">
        <v>23</v>
      </c>
    </row>
    <row r="40" spans="1:17" hidden="1" x14ac:dyDescent="0.55000000000000004">
      <c r="A40" s="3" t="s">
        <v>77</v>
      </c>
      <c r="B40" s="3" t="s">
        <v>95</v>
      </c>
      <c r="C40" t="s">
        <v>95</v>
      </c>
      <c r="D40" s="3" t="s">
        <v>7314</v>
      </c>
      <c r="E40" t="s">
        <v>119</v>
      </c>
      <c r="F40" s="3" t="s">
        <v>120</v>
      </c>
      <c r="G40" t="s">
        <v>19</v>
      </c>
      <c r="H40" s="3" t="s">
        <v>98</v>
      </c>
      <c r="I40" t="s">
        <v>81</v>
      </c>
      <c r="J40" s="3" t="s">
        <v>99</v>
      </c>
      <c r="K40" s="4">
        <v>603</v>
      </c>
      <c r="L40" s="5">
        <v>131</v>
      </c>
      <c r="M40" s="6">
        <v>1</v>
      </c>
      <c r="N40" s="7">
        <v>0</v>
      </c>
      <c r="O40" t="s">
        <v>100</v>
      </c>
      <c r="P40" s="3" t="s">
        <v>84</v>
      </c>
      <c r="Q40" s="8">
        <v>3.2954999999999998E-2</v>
      </c>
    </row>
    <row r="41" spans="1:17" hidden="1" x14ac:dyDescent="0.55000000000000004">
      <c r="A41" s="3" t="s">
        <v>77</v>
      </c>
      <c r="B41" s="3" t="s">
        <v>95</v>
      </c>
      <c r="C41" t="s">
        <v>95</v>
      </c>
      <c r="D41" s="3" t="s">
        <v>7314</v>
      </c>
      <c r="E41" t="s">
        <v>119</v>
      </c>
      <c r="F41" s="3" t="s">
        <v>120</v>
      </c>
      <c r="G41" t="s">
        <v>19</v>
      </c>
      <c r="H41" s="3" t="s">
        <v>101</v>
      </c>
      <c r="I41" t="s">
        <v>86</v>
      </c>
      <c r="J41" s="3" t="s">
        <v>102</v>
      </c>
      <c r="K41" s="4">
        <v>349</v>
      </c>
      <c r="L41" s="5">
        <v>75.930000000000007</v>
      </c>
      <c r="M41" s="6">
        <v>0</v>
      </c>
      <c r="N41" s="7">
        <v>0</v>
      </c>
      <c r="O41" t="s">
        <v>103</v>
      </c>
      <c r="P41" s="3" t="s">
        <v>89</v>
      </c>
      <c r="Q41" s="8">
        <v>2.8101999999999999E-2</v>
      </c>
    </row>
    <row r="42" spans="1:17" hidden="1" x14ac:dyDescent="0.55000000000000004">
      <c r="A42" s="3" t="s">
        <v>77</v>
      </c>
      <c r="B42" s="3" t="s">
        <v>95</v>
      </c>
      <c r="C42" t="s">
        <v>95</v>
      </c>
      <c r="D42" s="3" t="s">
        <v>7314</v>
      </c>
      <c r="E42" t="s">
        <v>119</v>
      </c>
      <c r="F42" s="3" t="s">
        <v>120</v>
      </c>
      <c r="G42" t="s">
        <v>24</v>
      </c>
      <c r="H42" s="3" t="s">
        <v>104</v>
      </c>
      <c r="I42" t="s">
        <v>105</v>
      </c>
      <c r="J42" s="3" t="s">
        <v>106</v>
      </c>
      <c r="K42" s="4">
        <v>450</v>
      </c>
      <c r="L42" s="5">
        <v>0</v>
      </c>
      <c r="M42" s="6">
        <v>0</v>
      </c>
      <c r="N42" s="7">
        <v>0</v>
      </c>
      <c r="O42" t="s">
        <v>23</v>
      </c>
      <c r="P42" s="3" t="s">
        <v>23</v>
      </c>
      <c r="Q42" s="8" t="s">
        <v>23</v>
      </c>
    </row>
    <row r="43" spans="1:17" hidden="1" x14ac:dyDescent="0.55000000000000004">
      <c r="A43" s="3" t="s">
        <v>77</v>
      </c>
      <c r="B43" s="3" t="s">
        <v>95</v>
      </c>
      <c r="C43" t="s">
        <v>95</v>
      </c>
      <c r="D43" s="3" t="s">
        <v>7314</v>
      </c>
      <c r="E43" t="s">
        <v>119</v>
      </c>
      <c r="F43" s="3" t="s">
        <v>120</v>
      </c>
      <c r="G43" t="s">
        <v>24</v>
      </c>
      <c r="H43" s="3" t="s">
        <v>107</v>
      </c>
      <c r="I43" t="s">
        <v>37</v>
      </c>
      <c r="J43" s="3" t="s">
        <v>106</v>
      </c>
      <c r="K43" s="4">
        <v>598</v>
      </c>
      <c r="L43" s="5">
        <v>0</v>
      </c>
      <c r="M43" s="6">
        <v>0</v>
      </c>
      <c r="N43" s="7">
        <v>0</v>
      </c>
      <c r="O43" t="s">
        <v>23</v>
      </c>
      <c r="P43" s="3" t="s">
        <v>23</v>
      </c>
      <c r="Q43" s="8" t="s">
        <v>23</v>
      </c>
    </row>
    <row r="44" spans="1:17" hidden="1" x14ac:dyDescent="0.55000000000000004">
      <c r="A44" s="3" t="s">
        <v>77</v>
      </c>
      <c r="B44" s="3" t="s">
        <v>95</v>
      </c>
      <c r="C44" t="s">
        <v>95</v>
      </c>
      <c r="D44" s="3" t="s">
        <v>7314</v>
      </c>
      <c r="E44" t="s">
        <v>119</v>
      </c>
      <c r="F44" s="3" t="s">
        <v>120</v>
      </c>
      <c r="G44" t="s">
        <v>24</v>
      </c>
      <c r="H44" s="3" t="s">
        <v>108</v>
      </c>
      <c r="I44" t="s">
        <v>43</v>
      </c>
      <c r="J44" s="3" t="s">
        <v>109</v>
      </c>
      <c r="K44" s="4">
        <v>631</v>
      </c>
      <c r="L44" s="5">
        <v>28.7</v>
      </c>
      <c r="M44" s="6">
        <v>1</v>
      </c>
      <c r="N44" s="7">
        <v>0</v>
      </c>
      <c r="O44" t="s">
        <v>110</v>
      </c>
      <c r="P44" s="3" t="s">
        <v>46</v>
      </c>
      <c r="Q44" s="8">
        <v>0.183867</v>
      </c>
    </row>
    <row r="45" spans="1:17" hidden="1" x14ac:dyDescent="0.55000000000000004">
      <c r="A45" s="3" t="s">
        <v>77</v>
      </c>
      <c r="B45" s="3" t="s">
        <v>95</v>
      </c>
      <c r="C45" t="s">
        <v>95</v>
      </c>
      <c r="D45" s="3" t="s">
        <v>7314</v>
      </c>
      <c r="E45" t="s">
        <v>119</v>
      </c>
      <c r="F45" s="3" t="s">
        <v>120</v>
      </c>
      <c r="G45" t="s">
        <v>24</v>
      </c>
      <c r="H45" s="3" t="s">
        <v>111</v>
      </c>
      <c r="I45" t="s">
        <v>48</v>
      </c>
      <c r="J45" s="3" t="s">
        <v>109</v>
      </c>
      <c r="K45" s="4">
        <v>594</v>
      </c>
      <c r="L45" s="5">
        <v>0</v>
      </c>
      <c r="M45" s="6">
        <v>0</v>
      </c>
      <c r="N45" s="7">
        <v>0</v>
      </c>
      <c r="O45" t="s">
        <v>112</v>
      </c>
      <c r="P45" s="3" t="s">
        <v>23</v>
      </c>
      <c r="Q45" s="8" t="s">
        <v>23</v>
      </c>
    </row>
    <row r="46" spans="1:17" hidden="1" x14ac:dyDescent="0.55000000000000004">
      <c r="A46" s="3" t="s">
        <v>77</v>
      </c>
      <c r="B46" s="3" t="s">
        <v>95</v>
      </c>
      <c r="C46" t="s">
        <v>95</v>
      </c>
      <c r="D46" s="3" t="s">
        <v>7314</v>
      </c>
      <c r="E46" t="s">
        <v>119</v>
      </c>
      <c r="F46" s="3" t="s">
        <v>120</v>
      </c>
      <c r="G46" t="s">
        <v>24</v>
      </c>
      <c r="H46" s="3" t="s">
        <v>113</v>
      </c>
      <c r="I46" t="s">
        <v>114</v>
      </c>
      <c r="J46" s="3" t="s">
        <v>109</v>
      </c>
      <c r="K46" s="4">
        <v>521</v>
      </c>
      <c r="L46" s="5">
        <v>0</v>
      </c>
      <c r="M46" s="6">
        <v>0</v>
      </c>
      <c r="N46" s="7">
        <v>0</v>
      </c>
      <c r="O46" t="s">
        <v>23</v>
      </c>
      <c r="P46" s="3" t="s">
        <v>23</v>
      </c>
      <c r="Q46" s="8" t="s">
        <v>23</v>
      </c>
    </row>
    <row r="47" spans="1:17" hidden="1" x14ac:dyDescent="0.55000000000000004">
      <c r="A47" s="3" t="s">
        <v>77</v>
      </c>
      <c r="B47" s="3" t="s">
        <v>95</v>
      </c>
      <c r="C47" t="s">
        <v>95</v>
      </c>
      <c r="D47" s="3" t="s">
        <v>7314</v>
      </c>
      <c r="E47" t="s">
        <v>121</v>
      </c>
      <c r="F47" s="3" t="s">
        <v>122</v>
      </c>
      <c r="G47" t="s">
        <v>19</v>
      </c>
      <c r="H47" s="3" t="s">
        <v>98</v>
      </c>
      <c r="I47" t="s">
        <v>81</v>
      </c>
      <c r="J47" s="3" t="s">
        <v>99</v>
      </c>
      <c r="K47" s="4">
        <v>603</v>
      </c>
      <c r="L47" s="5">
        <v>131</v>
      </c>
      <c r="M47" s="6">
        <v>1</v>
      </c>
      <c r="N47" s="7">
        <v>1</v>
      </c>
      <c r="O47" t="s">
        <v>100</v>
      </c>
      <c r="P47" s="3" t="s">
        <v>84</v>
      </c>
      <c r="Q47" s="8">
        <v>3.2954999999999998E-2</v>
      </c>
    </row>
    <row r="48" spans="1:17" hidden="1" x14ac:dyDescent="0.55000000000000004">
      <c r="A48" s="3" t="s">
        <v>77</v>
      </c>
      <c r="B48" s="3" t="s">
        <v>95</v>
      </c>
      <c r="C48" t="s">
        <v>95</v>
      </c>
      <c r="D48" s="3" t="s">
        <v>7314</v>
      </c>
      <c r="E48" t="s">
        <v>121</v>
      </c>
      <c r="F48" s="3" t="s">
        <v>122</v>
      </c>
      <c r="G48" t="s">
        <v>19</v>
      </c>
      <c r="H48" s="3" t="s">
        <v>101</v>
      </c>
      <c r="I48" t="s">
        <v>86</v>
      </c>
      <c r="J48" s="3" t="s">
        <v>102</v>
      </c>
      <c r="K48" s="4">
        <v>349</v>
      </c>
      <c r="L48" s="5">
        <v>75.930000000000007</v>
      </c>
      <c r="M48" s="6">
        <v>0</v>
      </c>
      <c r="N48" s="7">
        <v>1</v>
      </c>
      <c r="O48" t="s">
        <v>103</v>
      </c>
      <c r="P48" s="3" t="s">
        <v>89</v>
      </c>
      <c r="Q48" s="8">
        <v>2.8101999999999999E-2</v>
      </c>
    </row>
    <row r="49" spans="1:17" hidden="1" x14ac:dyDescent="0.55000000000000004">
      <c r="A49" s="3" t="s">
        <v>77</v>
      </c>
      <c r="B49" s="3" t="s">
        <v>95</v>
      </c>
      <c r="C49" t="s">
        <v>95</v>
      </c>
      <c r="D49" s="3" t="s">
        <v>7314</v>
      </c>
      <c r="E49" t="s">
        <v>121</v>
      </c>
      <c r="F49" s="3" t="s">
        <v>122</v>
      </c>
      <c r="G49" t="s">
        <v>24</v>
      </c>
      <c r="H49" s="3" t="s">
        <v>104</v>
      </c>
      <c r="I49" t="s">
        <v>105</v>
      </c>
      <c r="J49" s="3" t="s">
        <v>106</v>
      </c>
      <c r="K49" s="4">
        <v>450</v>
      </c>
      <c r="L49" s="5">
        <v>0</v>
      </c>
      <c r="M49" s="6">
        <v>0</v>
      </c>
      <c r="N49" s="7">
        <v>1</v>
      </c>
      <c r="O49" t="s">
        <v>23</v>
      </c>
      <c r="P49" s="3" t="s">
        <v>23</v>
      </c>
      <c r="Q49" s="8" t="s">
        <v>23</v>
      </c>
    </row>
    <row r="50" spans="1:17" hidden="1" x14ac:dyDescent="0.55000000000000004">
      <c r="A50" s="3" t="s">
        <v>77</v>
      </c>
      <c r="B50" s="3" t="s">
        <v>95</v>
      </c>
      <c r="C50" t="s">
        <v>95</v>
      </c>
      <c r="D50" s="3" t="s">
        <v>7314</v>
      </c>
      <c r="E50" t="s">
        <v>121</v>
      </c>
      <c r="F50" s="3" t="s">
        <v>122</v>
      </c>
      <c r="G50" t="s">
        <v>24</v>
      </c>
      <c r="H50" s="3" t="s">
        <v>107</v>
      </c>
      <c r="I50" t="s">
        <v>37</v>
      </c>
      <c r="J50" s="3" t="s">
        <v>106</v>
      </c>
      <c r="K50" s="4">
        <v>598</v>
      </c>
      <c r="L50" s="5">
        <v>0</v>
      </c>
      <c r="M50" s="6">
        <v>0</v>
      </c>
      <c r="N50" s="7">
        <v>1</v>
      </c>
      <c r="O50" t="s">
        <v>23</v>
      </c>
      <c r="P50" s="3" t="s">
        <v>23</v>
      </c>
      <c r="Q50" s="8" t="s">
        <v>23</v>
      </c>
    </row>
    <row r="51" spans="1:17" hidden="1" x14ac:dyDescent="0.55000000000000004">
      <c r="A51" s="3" t="s">
        <v>77</v>
      </c>
      <c r="B51" s="3" t="s">
        <v>95</v>
      </c>
      <c r="C51" t="s">
        <v>95</v>
      </c>
      <c r="D51" s="3" t="s">
        <v>7314</v>
      </c>
      <c r="E51" t="s">
        <v>121</v>
      </c>
      <c r="F51" s="3" t="s">
        <v>122</v>
      </c>
      <c r="G51" t="s">
        <v>24</v>
      </c>
      <c r="H51" s="3" t="s">
        <v>108</v>
      </c>
      <c r="I51" t="s">
        <v>43</v>
      </c>
      <c r="J51" s="3" t="s">
        <v>109</v>
      </c>
      <c r="K51" s="4">
        <v>631</v>
      </c>
      <c r="L51" s="5">
        <v>28.7</v>
      </c>
      <c r="M51" s="6">
        <v>1</v>
      </c>
      <c r="N51" s="7">
        <v>1</v>
      </c>
      <c r="O51" t="s">
        <v>110</v>
      </c>
      <c r="P51" s="3" t="s">
        <v>46</v>
      </c>
      <c r="Q51" s="8">
        <v>0.183867</v>
      </c>
    </row>
    <row r="52" spans="1:17" hidden="1" x14ac:dyDescent="0.55000000000000004">
      <c r="A52" s="3" t="s">
        <v>77</v>
      </c>
      <c r="B52" s="3" t="s">
        <v>95</v>
      </c>
      <c r="C52" t="s">
        <v>95</v>
      </c>
      <c r="D52" s="3" t="s">
        <v>7314</v>
      </c>
      <c r="E52" t="s">
        <v>121</v>
      </c>
      <c r="F52" s="3" t="s">
        <v>122</v>
      </c>
      <c r="G52" t="s">
        <v>24</v>
      </c>
      <c r="H52" s="3" t="s">
        <v>111</v>
      </c>
      <c r="I52" t="s">
        <v>48</v>
      </c>
      <c r="J52" s="3" t="s">
        <v>109</v>
      </c>
      <c r="K52" s="4">
        <v>594</v>
      </c>
      <c r="L52" s="5">
        <v>0</v>
      </c>
      <c r="M52" s="6">
        <v>0</v>
      </c>
      <c r="N52" s="7">
        <v>1</v>
      </c>
      <c r="O52" t="s">
        <v>112</v>
      </c>
      <c r="P52" s="3" t="s">
        <v>23</v>
      </c>
      <c r="Q52" s="8" t="s">
        <v>23</v>
      </c>
    </row>
    <row r="53" spans="1:17" hidden="1" x14ac:dyDescent="0.55000000000000004">
      <c r="A53" s="3" t="s">
        <v>77</v>
      </c>
      <c r="B53" s="3" t="s">
        <v>95</v>
      </c>
      <c r="C53" t="s">
        <v>95</v>
      </c>
      <c r="D53" s="3" t="s">
        <v>7314</v>
      </c>
      <c r="E53" t="s">
        <v>121</v>
      </c>
      <c r="F53" s="3" t="s">
        <v>122</v>
      </c>
      <c r="G53" t="s">
        <v>24</v>
      </c>
      <c r="H53" s="3" t="s">
        <v>113</v>
      </c>
      <c r="I53" t="s">
        <v>114</v>
      </c>
      <c r="J53" s="3" t="s">
        <v>109</v>
      </c>
      <c r="K53" s="4">
        <v>521</v>
      </c>
      <c r="L53" s="5">
        <v>0</v>
      </c>
      <c r="M53" s="6">
        <v>0</v>
      </c>
      <c r="N53" s="7">
        <v>1</v>
      </c>
      <c r="O53" t="s">
        <v>23</v>
      </c>
      <c r="P53" s="3" t="s">
        <v>23</v>
      </c>
      <c r="Q53" s="8" t="s">
        <v>23</v>
      </c>
    </row>
    <row r="54" spans="1:17" hidden="1" x14ac:dyDescent="0.55000000000000004">
      <c r="A54" s="3" t="s">
        <v>77</v>
      </c>
      <c r="B54" s="3" t="s">
        <v>95</v>
      </c>
      <c r="C54" t="s">
        <v>95</v>
      </c>
      <c r="D54" s="3" t="s">
        <v>7314</v>
      </c>
      <c r="E54" t="s">
        <v>123</v>
      </c>
      <c r="F54" s="3" t="s">
        <v>124</v>
      </c>
      <c r="G54" t="s">
        <v>19</v>
      </c>
      <c r="H54" s="3" t="s">
        <v>98</v>
      </c>
      <c r="I54" t="s">
        <v>81</v>
      </c>
      <c r="J54" s="3" t="s">
        <v>99</v>
      </c>
      <c r="K54" s="4">
        <v>603</v>
      </c>
      <c r="L54" s="5">
        <v>131</v>
      </c>
      <c r="M54" s="6">
        <v>1</v>
      </c>
      <c r="N54" s="7">
        <v>0</v>
      </c>
      <c r="O54" t="s">
        <v>100</v>
      </c>
      <c r="P54" s="3" t="s">
        <v>84</v>
      </c>
      <c r="Q54" s="8">
        <v>3.2954999999999998E-2</v>
      </c>
    </row>
    <row r="55" spans="1:17" hidden="1" x14ac:dyDescent="0.55000000000000004">
      <c r="A55" s="3" t="s">
        <v>77</v>
      </c>
      <c r="B55" s="3" t="s">
        <v>95</v>
      </c>
      <c r="C55" t="s">
        <v>95</v>
      </c>
      <c r="D55" s="3" t="s">
        <v>7314</v>
      </c>
      <c r="E55" t="s">
        <v>123</v>
      </c>
      <c r="F55" s="3" t="s">
        <v>124</v>
      </c>
      <c r="G55" t="s">
        <v>19</v>
      </c>
      <c r="H55" s="3" t="s">
        <v>101</v>
      </c>
      <c r="I55" t="s">
        <v>86</v>
      </c>
      <c r="J55" s="3" t="s">
        <v>102</v>
      </c>
      <c r="K55" s="4">
        <v>349</v>
      </c>
      <c r="L55" s="5">
        <v>75.930000000000007</v>
      </c>
      <c r="M55" s="6">
        <v>0</v>
      </c>
      <c r="N55" s="7">
        <v>0</v>
      </c>
      <c r="O55" t="s">
        <v>103</v>
      </c>
      <c r="P55" s="3" t="s">
        <v>89</v>
      </c>
      <c r="Q55" s="8">
        <v>2.8101999999999999E-2</v>
      </c>
    </row>
    <row r="56" spans="1:17" hidden="1" x14ac:dyDescent="0.55000000000000004">
      <c r="A56" s="3" t="s">
        <v>77</v>
      </c>
      <c r="B56" s="3" t="s">
        <v>95</v>
      </c>
      <c r="C56" t="s">
        <v>95</v>
      </c>
      <c r="D56" s="3" t="s">
        <v>7314</v>
      </c>
      <c r="E56" t="s">
        <v>123</v>
      </c>
      <c r="F56" s="3" t="s">
        <v>124</v>
      </c>
      <c r="G56" t="s">
        <v>24</v>
      </c>
      <c r="H56" s="3" t="s">
        <v>104</v>
      </c>
      <c r="I56" t="s">
        <v>105</v>
      </c>
      <c r="J56" s="3" t="s">
        <v>106</v>
      </c>
      <c r="K56" s="4">
        <v>450</v>
      </c>
      <c r="L56" s="5">
        <v>0</v>
      </c>
      <c r="M56" s="6">
        <v>0</v>
      </c>
      <c r="N56" s="7">
        <v>0</v>
      </c>
      <c r="O56" t="s">
        <v>23</v>
      </c>
      <c r="P56" s="3" t="s">
        <v>23</v>
      </c>
      <c r="Q56" s="8" t="s">
        <v>23</v>
      </c>
    </row>
    <row r="57" spans="1:17" hidden="1" x14ac:dyDescent="0.55000000000000004">
      <c r="A57" s="3" t="s">
        <v>77</v>
      </c>
      <c r="B57" s="3" t="s">
        <v>95</v>
      </c>
      <c r="C57" t="s">
        <v>95</v>
      </c>
      <c r="D57" s="3" t="s">
        <v>7314</v>
      </c>
      <c r="E57" t="s">
        <v>123</v>
      </c>
      <c r="F57" s="3" t="s">
        <v>124</v>
      </c>
      <c r="G57" t="s">
        <v>24</v>
      </c>
      <c r="H57" s="3" t="s">
        <v>107</v>
      </c>
      <c r="I57" t="s">
        <v>37</v>
      </c>
      <c r="J57" s="3" t="s">
        <v>106</v>
      </c>
      <c r="K57" s="4">
        <v>598</v>
      </c>
      <c r="L57" s="5">
        <v>0</v>
      </c>
      <c r="M57" s="6">
        <v>0</v>
      </c>
      <c r="N57" s="7">
        <v>0</v>
      </c>
      <c r="O57" t="s">
        <v>23</v>
      </c>
      <c r="P57" s="3" t="s">
        <v>23</v>
      </c>
      <c r="Q57" s="8" t="s">
        <v>23</v>
      </c>
    </row>
    <row r="58" spans="1:17" hidden="1" x14ac:dyDescent="0.55000000000000004">
      <c r="A58" s="3" t="s">
        <v>77</v>
      </c>
      <c r="B58" s="3" t="s">
        <v>95</v>
      </c>
      <c r="C58" t="s">
        <v>95</v>
      </c>
      <c r="D58" s="3" t="s">
        <v>7314</v>
      </c>
      <c r="E58" t="s">
        <v>123</v>
      </c>
      <c r="F58" s="3" t="s">
        <v>124</v>
      </c>
      <c r="G58" t="s">
        <v>24</v>
      </c>
      <c r="H58" s="3" t="s">
        <v>108</v>
      </c>
      <c r="I58" t="s">
        <v>43</v>
      </c>
      <c r="J58" s="3" t="s">
        <v>109</v>
      </c>
      <c r="K58" s="4">
        <v>631</v>
      </c>
      <c r="L58" s="5">
        <v>28.7</v>
      </c>
      <c r="M58" s="6">
        <v>1</v>
      </c>
      <c r="N58" s="7">
        <v>0</v>
      </c>
      <c r="O58" t="s">
        <v>110</v>
      </c>
      <c r="P58" s="3" t="s">
        <v>46</v>
      </c>
      <c r="Q58" s="8">
        <v>0.183867</v>
      </c>
    </row>
    <row r="59" spans="1:17" hidden="1" x14ac:dyDescent="0.55000000000000004">
      <c r="A59" s="3" t="s">
        <v>77</v>
      </c>
      <c r="B59" s="3" t="s">
        <v>95</v>
      </c>
      <c r="C59" t="s">
        <v>95</v>
      </c>
      <c r="D59" s="3" t="s">
        <v>7314</v>
      </c>
      <c r="E59" t="s">
        <v>123</v>
      </c>
      <c r="F59" s="3" t="s">
        <v>124</v>
      </c>
      <c r="G59" t="s">
        <v>24</v>
      </c>
      <c r="H59" s="3" t="s">
        <v>111</v>
      </c>
      <c r="I59" t="s">
        <v>48</v>
      </c>
      <c r="J59" s="3" t="s">
        <v>109</v>
      </c>
      <c r="K59" s="4">
        <v>594</v>
      </c>
      <c r="L59" s="5">
        <v>0</v>
      </c>
      <c r="M59" s="6">
        <v>0</v>
      </c>
      <c r="N59" s="7">
        <v>0</v>
      </c>
      <c r="O59" t="s">
        <v>112</v>
      </c>
      <c r="P59" s="3" t="s">
        <v>23</v>
      </c>
      <c r="Q59" s="8" t="s">
        <v>23</v>
      </c>
    </row>
    <row r="60" spans="1:17" hidden="1" x14ac:dyDescent="0.55000000000000004">
      <c r="A60" s="3" t="s">
        <v>77</v>
      </c>
      <c r="B60" s="3" t="s">
        <v>95</v>
      </c>
      <c r="C60" t="s">
        <v>95</v>
      </c>
      <c r="D60" s="3" t="s">
        <v>7314</v>
      </c>
      <c r="E60" t="s">
        <v>123</v>
      </c>
      <c r="F60" s="3" t="s">
        <v>124</v>
      </c>
      <c r="G60" t="s">
        <v>24</v>
      </c>
      <c r="H60" s="3" t="s">
        <v>113</v>
      </c>
      <c r="I60" t="s">
        <v>114</v>
      </c>
      <c r="J60" s="3" t="s">
        <v>109</v>
      </c>
      <c r="K60" s="4">
        <v>521</v>
      </c>
      <c r="L60" s="5">
        <v>0</v>
      </c>
      <c r="M60" s="6">
        <v>0</v>
      </c>
      <c r="N60" s="7">
        <v>0</v>
      </c>
      <c r="O60" t="s">
        <v>23</v>
      </c>
      <c r="P60" s="3" t="s">
        <v>23</v>
      </c>
      <c r="Q60" s="8" t="s">
        <v>23</v>
      </c>
    </row>
    <row r="61" spans="1:17" hidden="1" x14ac:dyDescent="0.55000000000000004">
      <c r="A61" s="3" t="s">
        <v>77</v>
      </c>
      <c r="B61" s="3" t="s">
        <v>95</v>
      </c>
      <c r="C61" t="s">
        <v>95</v>
      </c>
      <c r="D61" s="3" t="s">
        <v>7314</v>
      </c>
      <c r="E61" t="s">
        <v>125</v>
      </c>
      <c r="F61" s="3" t="s">
        <v>126</v>
      </c>
      <c r="G61" t="s">
        <v>19</v>
      </c>
      <c r="H61" s="3" t="s">
        <v>98</v>
      </c>
      <c r="I61" t="s">
        <v>81</v>
      </c>
      <c r="J61" s="3" t="s">
        <v>99</v>
      </c>
      <c r="K61" s="4">
        <v>603</v>
      </c>
      <c r="L61" s="5">
        <v>131</v>
      </c>
      <c r="M61" s="6">
        <v>1</v>
      </c>
      <c r="N61" s="7">
        <v>0</v>
      </c>
      <c r="O61" t="s">
        <v>100</v>
      </c>
      <c r="P61" s="3" t="s">
        <v>84</v>
      </c>
      <c r="Q61" s="8">
        <v>3.2954999999999998E-2</v>
      </c>
    </row>
    <row r="62" spans="1:17" hidden="1" x14ac:dyDescent="0.55000000000000004">
      <c r="A62" s="3" t="s">
        <v>77</v>
      </c>
      <c r="B62" s="3" t="s">
        <v>95</v>
      </c>
      <c r="C62" t="s">
        <v>95</v>
      </c>
      <c r="D62" s="3" t="s">
        <v>7314</v>
      </c>
      <c r="E62" t="s">
        <v>125</v>
      </c>
      <c r="F62" s="3" t="s">
        <v>126</v>
      </c>
      <c r="G62" t="s">
        <v>19</v>
      </c>
      <c r="H62" s="3" t="s">
        <v>101</v>
      </c>
      <c r="I62" t="s">
        <v>86</v>
      </c>
      <c r="J62" s="3" t="s">
        <v>102</v>
      </c>
      <c r="K62" s="4">
        <v>349</v>
      </c>
      <c r="L62" s="5">
        <v>75.930000000000007</v>
      </c>
      <c r="M62" s="6">
        <v>0</v>
      </c>
      <c r="N62" s="7">
        <v>0</v>
      </c>
      <c r="O62" t="s">
        <v>103</v>
      </c>
      <c r="P62" s="3" t="s">
        <v>89</v>
      </c>
      <c r="Q62" s="8">
        <v>2.8101999999999999E-2</v>
      </c>
    </row>
    <row r="63" spans="1:17" hidden="1" x14ac:dyDescent="0.55000000000000004">
      <c r="A63" s="3" t="s">
        <v>77</v>
      </c>
      <c r="B63" s="3" t="s">
        <v>95</v>
      </c>
      <c r="C63" t="s">
        <v>95</v>
      </c>
      <c r="D63" s="3" t="s">
        <v>7314</v>
      </c>
      <c r="E63" t="s">
        <v>125</v>
      </c>
      <c r="F63" s="3" t="s">
        <v>126</v>
      </c>
      <c r="G63" t="s">
        <v>24</v>
      </c>
      <c r="H63" s="3" t="s">
        <v>104</v>
      </c>
      <c r="I63" t="s">
        <v>105</v>
      </c>
      <c r="J63" s="3" t="s">
        <v>106</v>
      </c>
      <c r="K63" s="4">
        <v>450</v>
      </c>
      <c r="L63" s="5">
        <v>0</v>
      </c>
      <c r="M63" s="6">
        <v>0</v>
      </c>
      <c r="N63" s="7">
        <v>0</v>
      </c>
      <c r="O63" t="s">
        <v>23</v>
      </c>
      <c r="P63" s="3" t="s">
        <v>23</v>
      </c>
      <c r="Q63" s="8" t="s">
        <v>23</v>
      </c>
    </row>
    <row r="64" spans="1:17" hidden="1" x14ac:dyDescent="0.55000000000000004">
      <c r="A64" s="3" t="s">
        <v>77</v>
      </c>
      <c r="B64" s="3" t="s">
        <v>95</v>
      </c>
      <c r="C64" t="s">
        <v>95</v>
      </c>
      <c r="D64" s="3" t="s">
        <v>7314</v>
      </c>
      <c r="E64" t="s">
        <v>125</v>
      </c>
      <c r="F64" s="3" t="s">
        <v>126</v>
      </c>
      <c r="G64" t="s">
        <v>24</v>
      </c>
      <c r="H64" s="3" t="s">
        <v>107</v>
      </c>
      <c r="I64" t="s">
        <v>37</v>
      </c>
      <c r="J64" s="3" t="s">
        <v>106</v>
      </c>
      <c r="K64" s="4">
        <v>598</v>
      </c>
      <c r="L64" s="5">
        <v>0</v>
      </c>
      <c r="M64" s="6">
        <v>0</v>
      </c>
      <c r="N64" s="7">
        <v>0</v>
      </c>
      <c r="O64" t="s">
        <v>23</v>
      </c>
      <c r="P64" s="3" t="s">
        <v>23</v>
      </c>
      <c r="Q64" s="8" t="s">
        <v>23</v>
      </c>
    </row>
    <row r="65" spans="1:17" hidden="1" x14ac:dyDescent="0.55000000000000004">
      <c r="A65" s="3" t="s">
        <v>77</v>
      </c>
      <c r="B65" s="3" t="s">
        <v>95</v>
      </c>
      <c r="C65" t="s">
        <v>95</v>
      </c>
      <c r="D65" s="3" t="s">
        <v>7314</v>
      </c>
      <c r="E65" t="s">
        <v>125</v>
      </c>
      <c r="F65" s="3" t="s">
        <v>126</v>
      </c>
      <c r="G65" t="s">
        <v>24</v>
      </c>
      <c r="H65" s="3" t="s">
        <v>108</v>
      </c>
      <c r="I65" t="s">
        <v>43</v>
      </c>
      <c r="J65" s="3" t="s">
        <v>109</v>
      </c>
      <c r="K65" s="4">
        <v>631</v>
      </c>
      <c r="L65" s="5">
        <v>28.7</v>
      </c>
      <c r="M65" s="6">
        <v>1</v>
      </c>
      <c r="N65" s="7">
        <v>0</v>
      </c>
      <c r="O65" t="s">
        <v>110</v>
      </c>
      <c r="P65" s="3" t="s">
        <v>46</v>
      </c>
      <c r="Q65" s="8">
        <v>0.183867</v>
      </c>
    </row>
    <row r="66" spans="1:17" hidden="1" x14ac:dyDescent="0.55000000000000004">
      <c r="A66" s="3" t="s">
        <v>77</v>
      </c>
      <c r="B66" s="3" t="s">
        <v>95</v>
      </c>
      <c r="C66" t="s">
        <v>95</v>
      </c>
      <c r="D66" s="3" t="s">
        <v>7314</v>
      </c>
      <c r="E66" t="s">
        <v>125</v>
      </c>
      <c r="F66" s="3" t="s">
        <v>126</v>
      </c>
      <c r="G66" t="s">
        <v>24</v>
      </c>
      <c r="H66" s="3" t="s">
        <v>111</v>
      </c>
      <c r="I66" t="s">
        <v>48</v>
      </c>
      <c r="J66" s="3" t="s">
        <v>109</v>
      </c>
      <c r="K66" s="4">
        <v>594</v>
      </c>
      <c r="L66" s="5">
        <v>0</v>
      </c>
      <c r="M66" s="6">
        <v>0</v>
      </c>
      <c r="N66" s="7">
        <v>0</v>
      </c>
      <c r="O66" t="s">
        <v>112</v>
      </c>
      <c r="P66" s="3" t="s">
        <v>23</v>
      </c>
      <c r="Q66" s="8" t="s">
        <v>23</v>
      </c>
    </row>
    <row r="67" spans="1:17" hidden="1" x14ac:dyDescent="0.55000000000000004">
      <c r="A67" s="3" t="s">
        <v>77</v>
      </c>
      <c r="B67" s="3" t="s">
        <v>95</v>
      </c>
      <c r="C67" t="s">
        <v>95</v>
      </c>
      <c r="D67" s="3" t="s">
        <v>7314</v>
      </c>
      <c r="E67" t="s">
        <v>125</v>
      </c>
      <c r="F67" s="3" t="s">
        <v>126</v>
      </c>
      <c r="G67" t="s">
        <v>24</v>
      </c>
      <c r="H67" s="3" t="s">
        <v>113</v>
      </c>
      <c r="I67" t="s">
        <v>114</v>
      </c>
      <c r="J67" s="3" t="s">
        <v>109</v>
      </c>
      <c r="K67" s="4">
        <v>521</v>
      </c>
      <c r="L67" s="5">
        <v>0</v>
      </c>
      <c r="M67" s="6">
        <v>0</v>
      </c>
      <c r="N67" s="7">
        <v>0</v>
      </c>
      <c r="O67" t="s">
        <v>23</v>
      </c>
      <c r="P67" s="3" t="s">
        <v>23</v>
      </c>
      <c r="Q67" s="8" t="s">
        <v>23</v>
      </c>
    </row>
    <row r="68" spans="1:17" hidden="1" x14ac:dyDescent="0.55000000000000004">
      <c r="A68" s="3" t="s">
        <v>77</v>
      </c>
      <c r="B68" s="3" t="s">
        <v>95</v>
      </c>
      <c r="C68" t="s">
        <v>95</v>
      </c>
      <c r="D68" s="3" t="s">
        <v>7314</v>
      </c>
      <c r="E68" t="s">
        <v>127</v>
      </c>
      <c r="F68" s="3" t="s">
        <v>128</v>
      </c>
      <c r="G68" t="s">
        <v>19</v>
      </c>
      <c r="H68" s="3" t="s">
        <v>98</v>
      </c>
      <c r="I68" t="s">
        <v>81</v>
      </c>
      <c r="J68" s="3" t="s">
        <v>99</v>
      </c>
      <c r="K68" s="4">
        <v>603</v>
      </c>
      <c r="L68" s="5">
        <v>131</v>
      </c>
      <c r="M68" s="6">
        <v>1</v>
      </c>
      <c r="N68" s="7">
        <v>0</v>
      </c>
      <c r="O68" t="s">
        <v>100</v>
      </c>
      <c r="P68" s="3" t="s">
        <v>84</v>
      </c>
      <c r="Q68" s="8">
        <v>3.2954999999999998E-2</v>
      </c>
    </row>
    <row r="69" spans="1:17" hidden="1" x14ac:dyDescent="0.55000000000000004">
      <c r="A69" s="3" t="s">
        <v>77</v>
      </c>
      <c r="B69" s="3" t="s">
        <v>95</v>
      </c>
      <c r="C69" t="s">
        <v>95</v>
      </c>
      <c r="D69" s="3" t="s">
        <v>7314</v>
      </c>
      <c r="E69" t="s">
        <v>127</v>
      </c>
      <c r="F69" s="3" t="s">
        <v>128</v>
      </c>
      <c r="G69" t="s">
        <v>19</v>
      </c>
      <c r="H69" s="3" t="s">
        <v>101</v>
      </c>
      <c r="I69" t="s">
        <v>86</v>
      </c>
      <c r="J69" s="3" t="s">
        <v>102</v>
      </c>
      <c r="K69" s="4">
        <v>349</v>
      </c>
      <c r="L69" s="5">
        <v>75.930000000000007</v>
      </c>
      <c r="M69" s="6">
        <v>0</v>
      </c>
      <c r="N69" s="7">
        <v>0</v>
      </c>
      <c r="O69" t="s">
        <v>103</v>
      </c>
      <c r="P69" s="3" t="s">
        <v>89</v>
      </c>
      <c r="Q69" s="8">
        <v>2.8101999999999999E-2</v>
      </c>
    </row>
    <row r="70" spans="1:17" hidden="1" x14ac:dyDescent="0.55000000000000004">
      <c r="A70" s="3" t="s">
        <v>77</v>
      </c>
      <c r="B70" s="3" t="s">
        <v>95</v>
      </c>
      <c r="C70" t="s">
        <v>95</v>
      </c>
      <c r="D70" s="3" t="s">
        <v>7314</v>
      </c>
      <c r="E70" t="s">
        <v>127</v>
      </c>
      <c r="F70" s="3" t="s">
        <v>128</v>
      </c>
      <c r="G70" t="s">
        <v>24</v>
      </c>
      <c r="H70" s="3" t="s">
        <v>104</v>
      </c>
      <c r="I70" t="s">
        <v>105</v>
      </c>
      <c r="J70" s="3" t="s">
        <v>106</v>
      </c>
      <c r="K70" s="4">
        <v>450</v>
      </c>
      <c r="L70" s="5">
        <v>0</v>
      </c>
      <c r="M70" s="6">
        <v>0</v>
      </c>
      <c r="N70" s="7">
        <v>0</v>
      </c>
      <c r="O70" t="s">
        <v>23</v>
      </c>
      <c r="P70" s="3" t="s">
        <v>23</v>
      </c>
      <c r="Q70" s="8" t="s">
        <v>23</v>
      </c>
    </row>
    <row r="71" spans="1:17" hidden="1" x14ac:dyDescent="0.55000000000000004">
      <c r="A71" s="3" t="s">
        <v>77</v>
      </c>
      <c r="B71" s="3" t="s">
        <v>95</v>
      </c>
      <c r="C71" t="s">
        <v>95</v>
      </c>
      <c r="D71" s="3" t="s">
        <v>7314</v>
      </c>
      <c r="E71" t="s">
        <v>127</v>
      </c>
      <c r="F71" s="3" t="s">
        <v>128</v>
      </c>
      <c r="G71" t="s">
        <v>24</v>
      </c>
      <c r="H71" s="3" t="s">
        <v>107</v>
      </c>
      <c r="I71" t="s">
        <v>37</v>
      </c>
      <c r="J71" s="3" t="s">
        <v>106</v>
      </c>
      <c r="K71" s="4">
        <v>598</v>
      </c>
      <c r="L71" s="5">
        <v>0</v>
      </c>
      <c r="M71" s="6">
        <v>0</v>
      </c>
      <c r="N71" s="7">
        <v>0</v>
      </c>
      <c r="O71" t="s">
        <v>23</v>
      </c>
      <c r="P71" s="3" t="s">
        <v>23</v>
      </c>
      <c r="Q71" s="8" t="s">
        <v>23</v>
      </c>
    </row>
    <row r="72" spans="1:17" hidden="1" x14ac:dyDescent="0.55000000000000004">
      <c r="A72" s="3" t="s">
        <v>77</v>
      </c>
      <c r="B72" s="3" t="s">
        <v>95</v>
      </c>
      <c r="C72" t="s">
        <v>95</v>
      </c>
      <c r="D72" s="3" t="s">
        <v>7314</v>
      </c>
      <c r="E72" t="s">
        <v>127</v>
      </c>
      <c r="F72" s="3" t="s">
        <v>128</v>
      </c>
      <c r="G72" t="s">
        <v>24</v>
      </c>
      <c r="H72" s="3" t="s">
        <v>108</v>
      </c>
      <c r="I72" t="s">
        <v>43</v>
      </c>
      <c r="J72" s="3" t="s">
        <v>109</v>
      </c>
      <c r="K72" s="4">
        <v>631</v>
      </c>
      <c r="L72" s="5">
        <v>28.7</v>
      </c>
      <c r="M72" s="6">
        <v>1</v>
      </c>
      <c r="N72" s="7">
        <v>0</v>
      </c>
      <c r="O72" t="s">
        <v>110</v>
      </c>
      <c r="P72" s="3" t="s">
        <v>46</v>
      </c>
      <c r="Q72" s="8">
        <v>0.183867</v>
      </c>
    </row>
    <row r="73" spans="1:17" hidden="1" x14ac:dyDescent="0.55000000000000004">
      <c r="A73" s="3" t="s">
        <v>77</v>
      </c>
      <c r="B73" s="3" t="s">
        <v>95</v>
      </c>
      <c r="C73" t="s">
        <v>95</v>
      </c>
      <c r="D73" s="3" t="s">
        <v>7314</v>
      </c>
      <c r="E73" t="s">
        <v>127</v>
      </c>
      <c r="F73" s="3" t="s">
        <v>128</v>
      </c>
      <c r="G73" t="s">
        <v>24</v>
      </c>
      <c r="H73" s="3" t="s">
        <v>111</v>
      </c>
      <c r="I73" t="s">
        <v>48</v>
      </c>
      <c r="J73" s="3" t="s">
        <v>109</v>
      </c>
      <c r="K73" s="4">
        <v>594</v>
      </c>
      <c r="L73" s="5">
        <v>0</v>
      </c>
      <c r="M73" s="6">
        <v>0</v>
      </c>
      <c r="N73" s="7">
        <v>0</v>
      </c>
      <c r="O73" t="s">
        <v>112</v>
      </c>
      <c r="P73" s="3" t="s">
        <v>23</v>
      </c>
      <c r="Q73" s="8" t="s">
        <v>23</v>
      </c>
    </row>
    <row r="74" spans="1:17" hidden="1" x14ac:dyDescent="0.55000000000000004">
      <c r="A74" s="3" t="s">
        <v>77</v>
      </c>
      <c r="B74" s="3" t="s">
        <v>95</v>
      </c>
      <c r="C74" t="s">
        <v>95</v>
      </c>
      <c r="D74" s="3" t="s">
        <v>7314</v>
      </c>
      <c r="E74" t="s">
        <v>127</v>
      </c>
      <c r="F74" s="3" t="s">
        <v>128</v>
      </c>
      <c r="G74" t="s">
        <v>24</v>
      </c>
      <c r="H74" s="3" t="s">
        <v>113</v>
      </c>
      <c r="I74" t="s">
        <v>114</v>
      </c>
      <c r="J74" s="3" t="s">
        <v>109</v>
      </c>
      <c r="K74" s="4">
        <v>521</v>
      </c>
      <c r="L74" s="5">
        <v>0</v>
      </c>
      <c r="M74" s="6">
        <v>0</v>
      </c>
      <c r="N74" s="7">
        <v>0</v>
      </c>
      <c r="O74" t="s">
        <v>23</v>
      </c>
      <c r="P74" s="3" t="s">
        <v>23</v>
      </c>
      <c r="Q74" s="8" t="s">
        <v>23</v>
      </c>
    </row>
    <row r="75" spans="1:17" hidden="1" x14ac:dyDescent="0.55000000000000004">
      <c r="A75" s="3" t="s">
        <v>77</v>
      </c>
      <c r="B75" s="3" t="s">
        <v>129</v>
      </c>
      <c r="C75" t="s">
        <v>129</v>
      </c>
      <c r="D75" s="3" t="s">
        <v>7314</v>
      </c>
      <c r="E75" t="s">
        <v>130</v>
      </c>
      <c r="F75" s="3" t="s">
        <v>131</v>
      </c>
      <c r="G75" t="s">
        <v>19</v>
      </c>
      <c r="H75" s="3" t="s">
        <v>132</v>
      </c>
      <c r="I75" t="s">
        <v>81</v>
      </c>
      <c r="J75" s="3" t="s">
        <v>133</v>
      </c>
      <c r="K75" s="4">
        <v>512</v>
      </c>
      <c r="L75" s="5">
        <v>111.26</v>
      </c>
      <c r="M75" s="6">
        <v>1</v>
      </c>
      <c r="N75" s="7">
        <v>1</v>
      </c>
      <c r="O75" t="s">
        <v>134</v>
      </c>
      <c r="P75" s="3" t="s">
        <v>84</v>
      </c>
      <c r="Q75" s="8">
        <v>3.2954999999999998E-2</v>
      </c>
    </row>
    <row r="76" spans="1:17" hidden="1" x14ac:dyDescent="0.55000000000000004">
      <c r="A76" s="3" t="s">
        <v>77</v>
      </c>
      <c r="B76" s="3" t="s">
        <v>129</v>
      </c>
      <c r="C76" t="s">
        <v>129</v>
      </c>
      <c r="D76" s="3" t="s">
        <v>7314</v>
      </c>
      <c r="E76" t="s">
        <v>130</v>
      </c>
      <c r="F76" s="3" t="s">
        <v>131</v>
      </c>
      <c r="G76" t="s">
        <v>24</v>
      </c>
      <c r="H76" s="3" t="s">
        <v>135</v>
      </c>
      <c r="I76" t="s">
        <v>43</v>
      </c>
      <c r="J76" s="3" t="s">
        <v>136</v>
      </c>
      <c r="K76" s="4">
        <v>494</v>
      </c>
      <c r="L76" s="5">
        <v>22.45</v>
      </c>
      <c r="M76" s="6">
        <v>1</v>
      </c>
      <c r="N76" s="7">
        <v>1</v>
      </c>
      <c r="O76" t="s">
        <v>137</v>
      </c>
      <c r="P76" s="3" t="s">
        <v>138</v>
      </c>
      <c r="Q76" s="8">
        <v>0.18484500000000001</v>
      </c>
    </row>
    <row r="77" spans="1:17" hidden="1" x14ac:dyDescent="0.55000000000000004">
      <c r="A77" s="3" t="s">
        <v>77</v>
      </c>
      <c r="B77" s="3" t="s">
        <v>139</v>
      </c>
      <c r="C77" t="s">
        <v>139</v>
      </c>
      <c r="D77" s="3" t="s">
        <v>7314</v>
      </c>
      <c r="E77" t="s">
        <v>140</v>
      </c>
      <c r="F77" s="3" t="s">
        <v>141</v>
      </c>
      <c r="G77" t="s">
        <v>24</v>
      </c>
      <c r="H77" s="3" t="s">
        <v>142</v>
      </c>
      <c r="I77" t="s">
        <v>37</v>
      </c>
      <c r="J77" s="3" t="s">
        <v>143</v>
      </c>
      <c r="K77" s="4">
        <v>1052</v>
      </c>
      <c r="L77" s="5">
        <v>47.83</v>
      </c>
      <c r="M77" s="6">
        <v>1</v>
      </c>
      <c r="N77" s="7">
        <v>0</v>
      </c>
      <c r="O77" t="s">
        <v>144</v>
      </c>
      <c r="P77" s="3" t="s">
        <v>40</v>
      </c>
      <c r="Q77" s="8">
        <v>0.258046</v>
      </c>
    </row>
    <row r="78" spans="1:17" hidden="1" x14ac:dyDescent="0.55000000000000004">
      <c r="A78" s="3" t="s">
        <v>77</v>
      </c>
      <c r="B78" s="3" t="s">
        <v>139</v>
      </c>
      <c r="C78" t="s">
        <v>139</v>
      </c>
      <c r="D78" s="3" t="s">
        <v>7314</v>
      </c>
      <c r="E78" t="s">
        <v>145</v>
      </c>
      <c r="F78" s="3" t="s">
        <v>146</v>
      </c>
      <c r="G78" t="s">
        <v>24</v>
      </c>
      <c r="H78" s="3" t="s">
        <v>142</v>
      </c>
      <c r="I78" t="s">
        <v>37</v>
      </c>
      <c r="J78" s="3" t="s">
        <v>143</v>
      </c>
      <c r="K78" s="4">
        <v>1052</v>
      </c>
      <c r="L78" s="5">
        <v>47.83</v>
      </c>
      <c r="M78" s="6">
        <v>1</v>
      </c>
      <c r="N78" s="7">
        <v>0</v>
      </c>
      <c r="O78" t="s">
        <v>144</v>
      </c>
      <c r="P78" s="3" t="s">
        <v>40</v>
      </c>
      <c r="Q78" s="8">
        <v>0.258046</v>
      </c>
    </row>
    <row r="79" spans="1:17" hidden="1" x14ac:dyDescent="0.55000000000000004">
      <c r="A79" s="3" t="s">
        <v>77</v>
      </c>
      <c r="B79" s="3" t="s">
        <v>7317</v>
      </c>
      <c r="C79" t="s">
        <v>139</v>
      </c>
      <c r="D79" s="3" t="s">
        <v>7314</v>
      </c>
      <c r="E79" t="s">
        <v>147</v>
      </c>
      <c r="F79" s="3" t="s">
        <v>148</v>
      </c>
      <c r="G79" t="s">
        <v>24</v>
      </c>
      <c r="H79" s="3" t="s">
        <v>142</v>
      </c>
      <c r="I79" t="s">
        <v>37</v>
      </c>
      <c r="J79" s="3" t="s">
        <v>143</v>
      </c>
      <c r="K79" s="4">
        <v>1052</v>
      </c>
      <c r="L79" s="5">
        <v>47.83</v>
      </c>
      <c r="M79" s="6">
        <v>1</v>
      </c>
      <c r="N79" s="7">
        <v>0</v>
      </c>
      <c r="O79" t="s">
        <v>144</v>
      </c>
      <c r="P79" s="3" t="s">
        <v>40</v>
      </c>
      <c r="Q79" s="8">
        <v>0.258046</v>
      </c>
    </row>
    <row r="80" spans="1:17" hidden="1" x14ac:dyDescent="0.55000000000000004">
      <c r="A80" s="3" t="s">
        <v>77</v>
      </c>
      <c r="B80" s="3" t="s">
        <v>139</v>
      </c>
      <c r="C80" t="s">
        <v>139</v>
      </c>
      <c r="D80" s="3" t="s">
        <v>7314</v>
      </c>
      <c r="E80" t="s">
        <v>149</v>
      </c>
      <c r="F80" s="3" t="s">
        <v>150</v>
      </c>
      <c r="G80" t="s">
        <v>24</v>
      </c>
      <c r="H80" s="3" t="s">
        <v>142</v>
      </c>
      <c r="I80" t="s">
        <v>37</v>
      </c>
      <c r="J80" s="3" t="s">
        <v>143</v>
      </c>
      <c r="K80" s="4">
        <v>1052</v>
      </c>
      <c r="L80" s="5">
        <v>47.83</v>
      </c>
      <c r="M80" s="6">
        <v>1</v>
      </c>
      <c r="N80" s="7">
        <v>0</v>
      </c>
      <c r="O80" t="s">
        <v>144</v>
      </c>
      <c r="P80" s="3" t="s">
        <v>40</v>
      </c>
      <c r="Q80" s="8">
        <v>0.258046</v>
      </c>
    </row>
    <row r="81" spans="1:17" hidden="1" x14ac:dyDescent="0.55000000000000004">
      <c r="A81" s="3" t="s">
        <v>77</v>
      </c>
      <c r="B81" s="3" t="s">
        <v>139</v>
      </c>
      <c r="C81" t="s">
        <v>139</v>
      </c>
      <c r="D81" s="3" t="s">
        <v>7314</v>
      </c>
      <c r="E81" t="s">
        <v>151</v>
      </c>
      <c r="F81" s="3" t="s">
        <v>152</v>
      </c>
      <c r="G81" t="s">
        <v>24</v>
      </c>
      <c r="H81" s="3" t="s">
        <v>142</v>
      </c>
      <c r="I81" t="s">
        <v>37</v>
      </c>
      <c r="J81" s="3" t="s">
        <v>143</v>
      </c>
      <c r="K81" s="4">
        <v>1052</v>
      </c>
      <c r="L81" s="5">
        <v>47.83</v>
      </c>
      <c r="M81" s="6">
        <v>1</v>
      </c>
      <c r="N81" s="7">
        <v>0</v>
      </c>
      <c r="O81" t="s">
        <v>144</v>
      </c>
      <c r="P81" s="3" t="s">
        <v>40</v>
      </c>
      <c r="Q81" s="8">
        <v>0.258046</v>
      </c>
    </row>
    <row r="82" spans="1:17" hidden="1" x14ac:dyDescent="0.55000000000000004">
      <c r="A82" s="3" t="s">
        <v>77</v>
      </c>
      <c r="B82" s="3" t="s">
        <v>139</v>
      </c>
      <c r="C82" t="s">
        <v>139</v>
      </c>
      <c r="D82" s="3" t="s">
        <v>7314</v>
      </c>
      <c r="E82" t="s">
        <v>153</v>
      </c>
      <c r="F82" s="3" t="s">
        <v>154</v>
      </c>
      <c r="G82" t="s">
        <v>24</v>
      </c>
      <c r="H82" s="3" t="s">
        <v>142</v>
      </c>
      <c r="I82" t="s">
        <v>37</v>
      </c>
      <c r="J82" s="3" t="s">
        <v>143</v>
      </c>
      <c r="K82" s="4">
        <v>1052</v>
      </c>
      <c r="L82" s="5">
        <v>47.83</v>
      </c>
      <c r="M82" s="6">
        <v>1</v>
      </c>
      <c r="N82" s="7">
        <v>0</v>
      </c>
      <c r="O82" t="s">
        <v>144</v>
      </c>
      <c r="P82" s="3" t="s">
        <v>40</v>
      </c>
      <c r="Q82" s="8">
        <v>0.258046</v>
      </c>
    </row>
    <row r="83" spans="1:17" hidden="1" x14ac:dyDescent="0.55000000000000004">
      <c r="A83" s="3" t="s">
        <v>77</v>
      </c>
      <c r="B83" s="3" t="s">
        <v>155</v>
      </c>
      <c r="C83" t="s">
        <v>155</v>
      </c>
      <c r="D83" s="3" t="s">
        <v>7314</v>
      </c>
      <c r="E83" t="s">
        <v>156</v>
      </c>
      <c r="F83" s="3" t="s">
        <v>157</v>
      </c>
      <c r="G83" t="s">
        <v>19</v>
      </c>
      <c r="H83" s="3" t="s">
        <v>158</v>
      </c>
      <c r="I83" t="s">
        <v>86</v>
      </c>
      <c r="J83" s="3" t="s">
        <v>159</v>
      </c>
      <c r="K83" s="4">
        <v>410</v>
      </c>
      <c r="L83" s="5">
        <v>89.24</v>
      </c>
      <c r="M83" s="6">
        <v>1</v>
      </c>
      <c r="N83" s="7">
        <v>1</v>
      </c>
      <c r="O83" t="s">
        <v>160</v>
      </c>
      <c r="P83" s="3" t="s">
        <v>89</v>
      </c>
      <c r="Q83" s="8">
        <v>3.5152000000000003E-2</v>
      </c>
    </row>
    <row r="84" spans="1:17" hidden="1" x14ac:dyDescent="0.55000000000000004">
      <c r="A84" s="3" t="s">
        <v>77</v>
      </c>
      <c r="B84" s="3" t="s">
        <v>155</v>
      </c>
      <c r="C84" t="s">
        <v>155</v>
      </c>
      <c r="D84" s="3" t="s">
        <v>7314</v>
      </c>
      <c r="E84" t="s">
        <v>156</v>
      </c>
      <c r="F84" s="3" t="s">
        <v>157</v>
      </c>
      <c r="G84" t="s">
        <v>24</v>
      </c>
      <c r="H84" s="3" t="s">
        <v>161</v>
      </c>
      <c r="I84" t="s">
        <v>162</v>
      </c>
      <c r="J84" s="3" t="s">
        <v>163</v>
      </c>
      <c r="K84" s="4">
        <v>821</v>
      </c>
      <c r="L84" s="5">
        <v>37.299999999999997</v>
      </c>
      <c r="M84" s="6">
        <v>1</v>
      </c>
      <c r="N84" s="7">
        <v>1</v>
      </c>
      <c r="O84" t="s">
        <v>164</v>
      </c>
      <c r="P84" s="3" t="s">
        <v>46</v>
      </c>
      <c r="Q84" s="8">
        <v>0.1913</v>
      </c>
    </row>
    <row r="85" spans="1:17" hidden="1" x14ac:dyDescent="0.55000000000000004">
      <c r="A85" s="3" t="s">
        <v>77</v>
      </c>
      <c r="B85" s="3" t="s">
        <v>155</v>
      </c>
      <c r="C85" t="s">
        <v>155</v>
      </c>
      <c r="D85" s="3" t="s">
        <v>7314</v>
      </c>
      <c r="E85" t="s">
        <v>156</v>
      </c>
      <c r="F85" s="3" t="s">
        <v>157</v>
      </c>
      <c r="G85" t="s">
        <v>24</v>
      </c>
      <c r="H85" s="3" t="s">
        <v>165</v>
      </c>
      <c r="I85" t="s">
        <v>48</v>
      </c>
      <c r="J85" s="3" t="s">
        <v>163</v>
      </c>
      <c r="K85" s="4">
        <v>883</v>
      </c>
      <c r="L85" s="5">
        <v>40.15</v>
      </c>
      <c r="M85" s="6">
        <v>0</v>
      </c>
      <c r="N85" s="7">
        <v>1</v>
      </c>
      <c r="O85" t="s">
        <v>166</v>
      </c>
      <c r="P85" s="3" t="s">
        <v>23</v>
      </c>
      <c r="Q85" s="8" t="s">
        <v>23</v>
      </c>
    </row>
    <row r="86" spans="1:17" hidden="1" x14ac:dyDescent="0.55000000000000004">
      <c r="A86" s="3" t="s">
        <v>77</v>
      </c>
      <c r="B86" s="3" t="s">
        <v>155</v>
      </c>
      <c r="C86" t="s">
        <v>155</v>
      </c>
      <c r="D86" s="3" t="s">
        <v>7314</v>
      </c>
      <c r="E86" t="s">
        <v>167</v>
      </c>
      <c r="F86" s="3" t="s">
        <v>168</v>
      </c>
      <c r="G86" t="s">
        <v>19</v>
      </c>
      <c r="H86" s="3" t="s">
        <v>158</v>
      </c>
      <c r="I86" t="s">
        <v>86</v>
      </c>
      <c r="J86" s="3" t="s">
        <v>159</v>
      </c>
      <c r="K86" s="4">
        <v>410</v>
      </c>
      <c r="L86" s="5">
        <v>89.24</v>
      </c>
      <c r="M86" s="6">
        <v>1</v>
      </c>
      <c r="N86" s="7">
        <v>0</v>
      </c>
      <c r="O86" t="s">
        <v>160</v>
      </c>
      <c r="P86" s="3" t="s">
        <v>89</v>
      </c>
      <c r="Q86" s="8">
        <v>3.5152000000000003E-2</v>
      </c>
    </row>
    <row r="87" spans="1:17" hidden="1" x14ac:dyDescent="0.55000000000000004">
      <c r="A87" s="3" t="s">
        <v>77</v>
      </c>
      <c r="B87" s="3" t="s">
        <v>155</v>
      </c>
      <c r="C87" t="s">
        <v>155</v>
      </c>
      <c r="D87" s="3" t="s">
        <v>7314</v>
      </c>
      <c r="E87" t="s">
        <v>167</v>
      </c>
      <c r="F87" s="3" t="s">
        <v>168</v>
      </c>
      <c r="G87" t="s">
        <v>24</v>
      </c>
      <c r="H87" s="3" t="s">
        <v>161</v>
      </c>
      <c r="I87" t="s">
        <v>162</v>
      </c>
      <c r="J87" s="3" t="s">
        <v>163</v>
      </c>
      <c r="K87" s="4">
        <v>821</v>
      </c>
      <c r="L87" s="5">
        <v>37.299999999999997</v>
      </c>
      <c r="M87" s="6">
        <v>1</v>
      </c>
      <c r="N87" s="7">
        <v>0</v>
      </c>
      <c r="O87" t="s">
        <v>164</v>
      </c>
      <c r="P87" s="3" t="s">
        <v>46</v>
      </c>
      <c r="Q87" s="8">
        <v>0.1913</v>
      </c>
    </row>
    <row r="88" spans="1:17" hidden="1" x14ac:dyDescent="0.55000000000000004">
      <c r="A88" s="3" t="s">
        <v>77</v>
      </c>
      <c r="B88" s="3" t="s">
        <v>155</v>
      </c>
      <c r="C88" t="s">
        <v>155</v>
      </c>
      <c r="D88" s="3" t="s">
        <v>7314</v>
      </c>
      <c r="E88" t="s">
        <v>167</v>
      </c>
      <c r="F88" s="3" t="s">
        <v>168</v>
      </c>
      <c r="G88" t="s">
        <v>24</v>
      </c>
      <c r="H88" s="3" t="s">
        <v>165</v>
      </c>
      <c r="I88" t="s">
        <v>48</v>
      </c>
      <c r="J88" s="3" t="s">
        <v>163</v>
      </c>
      <c r="K88" s="4">
        <v>883</v>
      </c>
      <c r="L88" s="5">
        <v>40.15</v>
      </c>
      <c r="M88" s="6">
        <v>0</v>
      </c>
      <c r="N88" s="7">
        <v>0</v>
      </c>
      <c r="O88" t="s">
        <v>166</v>
      </c>
      <c r="P88" s="3" t="s">
        <v>23</v>
      </c>
      <c r="Q88" s="8" t="s">
        <v>23</v>
      </c>
    </row>
    <row r="89" spans="1:17" hidden="1" x14ac:dyDescent="0.55000000000000004">
      <c r="A89" s="3" t="s">
        <v>77</v>
      </c>
      <c r="B89" s="3" t="s">
        <v>155</v>
      </c>
      <c r="C89" t="s">
        <v>155</v>
      </c>
      <c r="D89" s="3" t="s">
        <v>7314</v>
      </c>
      <c r="E89" t="s">
        <v>169</v>
      </c>
      <c r="F89" s="3" t="s">
        <v>170</v>
      </c>
      <c r="G89" t="s">
        <v>19</v>
      </c>
      <c r="H89" s="3" t="s">
        <v>158</v>
      </c>
      <c r="I89" t="s">
        <v>86</v>
      </c>
      <c r="J89" s="3" t="s">
        <v>159</v>
      </c>
      <c r="K89" s="4">
        <v>410</v>
      </c>
      <c r="L89" s="5">
        <v>89.24</v>
      </c>
      <c r="M89" s="6">
        <v>1</v>
      </c>
      <c r="N89" s="7">
        <v>0</v>
      </c>
      <c r="O89" t="s">
        <v>160</v>
      </c>
      <c r="P89" s="3" t="s">
        <v>89</v>
      </c>
      <c r="Q89" s="8">
        <v>3.5152000000000003E-2</v>
      </c>
    </row>
    <row r="90" spans="1:17" hidden="1" x14ac:dyDescent="0.55000000000000004">
      <c r="A90" s="3" t="s">
        <v>77</v>
      </c>
      <c r="B90" s="3" t="s">
        <v>155</v>
      </c>
      <c r="C90" t="s">
        <v>155</v>
      </c>
      <c r="D90" s="3" t="s">
        <v>7314</v>
      </c>
      <c r="E90" t="s">
        <v>169</v>
      </c>
      <c r="F90" s="3" t="s">
        <v>170</v>
      </c>
      <c r="G90" t="s">
        <v>24</v>
      </c>
      <c r="H90" s="3" t="s">
        <v>161</v>
      </c>
      <c r="I90" t="s">
        <v>162</v>
      </c>
      <c r="J90" s="3" t="s">
        <v>163</v>
      </c>
      <c r="K90" s="4">
        <v>821</v>
      </c>
      <c r="L90" s="5">
        <v>37.299999999999997</v>
      </c>
      <c r="M90" s="6">
        <v>1</v>
      </c>
      <c r="N90" s="7">
        <v>0</v>
      </c>
      <c r="O90" t="s">
        <v>164</v>
      </c>
      <c r="P90" s="3" t="s">
        <v>46</v>
      </c>
      <c r="Q90" s="8">
        <v>0.1913</v>
      </c>
    </row>
    <row r="91" spans="1:17" hidden="1" x14ac:dyDescent="0.55000000000000004">
      <c r="A91" s="3" t="s">
        <v>77</v>
      </c>
      <c r="B91" s="3" t="s">
        <v>155</v>
      </c>
      <c r="C91" t="s">
        <v>155</v>
      </c>
      <c r="D91" s="3" t="s">
        <v>7314</v>
      </c>
      <c r="E91" t="s">
        <v>169</v>
      </c>
      <c r="F91" s="3" t="s">
        <v>170</v>
      </c>
      <c r="G91" t="s">
        <v>24</v>
      </c>
      <c r="H91" s="3" t="s">
        <v>165</v>
      </c>
      <c r="I91" t="s">
        <v>48</v>
      </c>
      <c r="J91" s="3" t="s">
        <v>163</v>
      </c>
      <c r="K91" s="4">
        <v>883</v>
      </c>
      <c r="L91" s="5">
        <v>40.15</v>
      </c>
      <c r="M91" s="6">
        <v>0</v>
      </c>
      <c r="N91" s="7">
        <v>0</v>
      </c>
      <c r="O91" t="s">
        <v>166</v>
      </c>
      <c r="P91" s="3" t="s">
        <v>23</v>
      </c>
      <c r="Q91" s="8" t="s">
        <v>23</v>
      </c>
    </row>
    <row r="92" spans="1:17" hidden="1" x14ac:dyDescent="0.55000000000000004">
      <c r="A92" s="3" t="s">
        <v>77</v>
      </c>
      <c r="B92" s="3" t="s">
        <v>155</v>
      </c>
      <c r="C92" t="s">
        <v>155</v>
      </c>
      <c r="D92" s="3" t="s">
        <v>7314</v>
      </c>
      <c r="E92" t="s">
        <v>171</v>
      </c>
      <c r="F92" s="3" t="s">
        <v>172</v>
      </c>
      <c r="G92" t="s">
        <v>19</v>
      </c>
      <c r="H92" s="3" t="s">
        <v>158</v>
      </c>
      <c r="I92" t="s">
        <v>86</v>
      </c>
      <c r="J92" s="3" t="s">
        <v>159</v>
      </c>
      <c r="K92" s="4">
        <v>410</v>
      </c>
      <c r="L92" s="5">
        <v>89.24</v>
      </c>
      <c r="M92" s="6">
        <v>1</v>
      </c>
      <c r="N92" s="7">
        <v>0</v>
      </c>
      <c r="O92" t="s">
        <v>160</v>
      </c>
      <c r="P92" s="3" t="s">
        <v>89</v>
      </c>
      <c r="Q92" s="8">
        <v>3.5152000000000003E-2</v>
      </c>
    </row>
    <row r="93" spans="1:17" hidden="1" x14ac:dyDescent="0.55000000000000004">
      <c r="A93" s="3" t="s">
        <v>77</v>
      </c>
      <c r="B93" s="3" t="s">
        <v>155</v>
      </c>
      <c r="C93" t="s">
        <v>155</v>
      </c>
      <c r="D93" s="3" t="s">
        <v>7314</v>
      </c>
      <c r="E93" t="s">
        <v>171</v>
      </c>
      <c r="F93" s="3" t="s">
        <v>172</v>
      </c>
      <c r="G93" t="s">
        <v>24</v>
      </c>
      <c r="H93" s="3" t="s">
        <v>161</v>
      </c>
      <c r="I93" t="s">
        <v>162</v>
      </c>
      <c r="J93" s="3" t="s">
        <v>163</v>
      </c>
      <c r="K93" s="4">
        <v>821</v>
      </c>
      <c r="L93" s="5">
        <v>37.299999999999997</v>
      </c>
      <c r="M93" s="6">
        <v>1</v>
      </c>
      <c r="N93" s="7">
        <v>0</v>
      </c>
      <c r="O93" t="s">
        <v>164</v>
      </c>
      <c r="P93" s="3" t="s">
        <v>46</v>
      </c>
      <c r="Q93" s="8">
        <v>0.1913</v>
      </c>
    </row>
    <row r="94" spans="1:17" hidden="1" x14ac:dyDescent="0.55000000000000004">
      <c r="A94" s="3" t="s">
        <v>77</v>
      </c>
      <c r="B94" s="3" t="s">
        <v>155</v>
      </c>
      <c r="C94" t="s">
        <v>155</v>
      </c>
      <c r="D94" s="3" t="s">
        <v>7314</v>
      </c>
      <c r="E94" t="s">
        <v>171</v>
      </c>
      <c r="F94" s="3" t="s">
        <v>172</v>
      </c>
      <c r="G94" t="s">
        <v>24</v>
      </c>
      <c r="H94" s="3" t="s">
        <v>165</v>
      </c>
      <c r="I94" t="s">
        <v>48</v>
      </c>
      <c r="J94" s="3" t="s">
        <v>163</v>
      </c>
      <c r="K94" s="4">
        <v>883</v>
      </c>
      <c r="L94" s="5">
        <v>40.15</v>
      </c>
      <c r="M94" s="6">
        <v>0</v>
      </c>
      <c r="N94" s="7">
        <v>0</v>
      </c>
      <c r="O94" t="s">
        <v>166</v>
      </c>
      <c r="P94" s="3" t="s">
        <v>23</v>
      </c>
      <c r="Q94" s="8" t="s">
        <v>23</v>
      </c>
    </row>
    <row r="95" spans="1:17" hidden="1" x14ac:dyDescent="0.55000000000000004">
      <c r="A95" s="3" t="s">
        <v>77</v>
      </c>
      <c r="B95" s="3" t="s">
        <v>155</v>
      </c>
      <c r="C95" t="s">
        <v>155</v>
      </c>
      <c r="D95" s="3" t="s">
        <v>7314</v>
      </c>
      <c r="E95" t="s">
        <v>173</v>
      </c>
      <c r="F95" s="3" t="s">
        <v>174</v>
      </c>
      <c r="G95" t="s">
        <v>19</v>
      </c>
      <c r="H95" s="3" t="s">
        <v>158</v>
      </c>
      <c r="I95" t="s">
        <v>86</v>
      </c>
      <c r="J95" s="3" t="s">
        <v>159</v>
      </c>
      <c r="K95" s="4">
        <v>410</v>
      </c>
      <c r="L95" s="5">
        <v>89.24</v>
      </c>
      <c r="M95" s="6">
        <v>1</v>
      </c>
      <c r="N95" s="7">
        <v>0</v>
      </c>
      <c r="O95" t="s">
        <v>160</v>
      </c>
      <c r="P95" s="3" t="s">
        <v>89</v>
      </c>
      <c r="Q95" s="8">
        <v>3.5152000000000003E-2</v>
      </c>
    </row>
    <row r="96" spans="1:17" hidden="1" x14ac:dyDescent="0.55000000000000004">
      <c r="A96" s="3" t="s">
        <v>77</v>
      </c>
      <c r="B96" s="3" t="s">
        <v>155</v>
      </c>
      <c r="C96" t="s">
        <v>155</v>
      </c>
      <c r="D96" s="3" t="s">
        <v>7314</v>
      </c>
      <c r="E96" t="s">
        <v>173</v>
      </c>
      <c r="F96" s="3" t="s">
        <v>174</v>
      </c>
      <c r="G96" t="s">
        <v>24</v>
      </c>
      <c r="H96" s="3" t="s">
        <v>161</v>
      </c>
      <c r="I96" t="s">
        <v>162</v>
      </c>
      <c r="J96" s="3" t="s">
        <v>163</v>
      </c>
      <c r="K96" s="4">
        <v>821</v>
      </c>
      <c r="L96" s="5">
        <v>37.299999999999997</v>
      </c>
      <c r="M96" s="6">
        <v>1</v>
      </c>
      <c r="N96" s="7">
        <v>0</v>
      </c>
      <c r="O96" t="s">
        <v>164</v>
      </c>
      <c r="P96" s="3" t="s">
        <v>46</v>
      </c>
      <c r="Q96" s="8">
        <v>0.1913</v>
      </c>
    </row>
    <row r="97" spans="1:17" hidden="1" x14ac:dyDescent="0.55000000000000004">
      <c r="A97" s="3" t="s">
        <v>77</v>
      </c>
      <c r="B97" s="3" t="s">
        <v>155</v>
      </c>
      <c r="C97" t="s">
        <v>155</v>
      </c>
      <c r="D97" s="3" t="s">
        <v>7314</v>
      </c>
      <c r="E97" t="s">
        <v>173</v>
      </c>
      <c r="F97" s="3" t="s">
        <v>174</v>
      </c>
      <c r="G97" t="s">
        <v>24</v>
      </c>
      <c r="H97" s="3" t="s">
        <v>165</v>
      </c>
      <c r="I97" t="s">
        <v>48</v>
      </c>
      <c r="J97" s="3" t="s">
        <v>163</v>
      </c>
      <c r="K97" s="4">
        <v>883</v>
      </c>
      <c r="L97" s="5">
        <v>40.15</v>
      </c>
      <c r="M97" s="6">
        <v>0</v>
      </c>
      <c r="N97" s="7">
        <v>0</v>
      </c>
      <c r="O97" t="s">
        <v>166</v>
      </c>
      <c r="P97" s="3" t="s">
        <v>23</v>
      </c>
      <c r="Q97" s="8" t="s">
        <v>23</v>
      </c>
    </row>
    <row r="98" spans="1:17" hidden="1" x14ac:dyDescent="0.55000000000000004">
      <c r="A98" s="3" t="s">
        <v>77</v>
      </c>
      <c r="B98" s="3" t="s">
        <v>155</v>
      </c>
      <c r="C98" t="s">
        <v>155</v>
      </c>
      <c r="D98" s="3" t="s">
        <v>7314</v>
      </c>
      <c r="E98" t="s">
        <v>175</v>
      </c>
      <c r="F98" s="3" t="s">
        <v>176</v>
      </c>
      <c r="G98" t="s">
        <v>19</v>
      </c>
      <c r="H98" s="3" t="s">
        <v>158</v>
      </c>
      <c r="I98" t="s">
        <v>86</v>
      </c>
      <c r="J98" s="3" t="s">
        <v>159</v>
      </c>
      <c r="K98" s="4">
        <v>410</v>
      </c>
      <c r="L98" s="5">
        <v>89.24</v>
      </c>
      <c r="M98" s="6">
        <v>1</v>
      </c>
      <c r="N98" s="7">
        <v>0</v>
      </c>
      <c r="O98" t="s">
        <v>160</v>
      </c>
      <c r="P98" s="3" t="s">
        <v>89</v>
      </c>
      <c r="Q98" s="8">
        <v>3.5152000000000003E-2</v>
      </c>
    </row>
    <row r="99" spans="1:17" hidden="1" x14ac:dyDescent="0.55000000000000004">
      <c r="A99" s="3" t="s">
        <v>77</v>
      </c>
      <c r="B99" s="3" t="s">
        <v>155</v>
      </c>
      <c r="C99" t="s">
        <v>155</v>
      </c>
      <c r="D99" s="3" t="s">
        <v>7314</v>
      </c>
      <c r="E99" t="s">
        <v>175</v>
      </c>
      <c r="F99" s="3" t="s">
        <v>176</v>
      </c>
      <c r="G99" t="s">
        <v>24</v>
      </c>
      <c r="H99" s="3" t="s">
        <v>161</v>
      </c>
      <c r="I99" t="s">
        <v>162</v>
      </c>
      <c r="J99" s="3" t="s">
        <v>163</v>
      </c>
      <c r="K99" s="4">
        <v>821</v>
      </c>
      <c r="L99" s="5">
        <v>37.299999999999997</v>
      </c>
      <c r="M99" s="6">
        <v>1</v>
      </c>
      <c r="N99" s="7">
        <v>0</v>
      </c>
      <c r="O99" t="s">
        <v>164</v>
      </c>
      <c r="P99" s="3" t="s">
        <v>46</v>
      </c>
      <c r="Q99" s="8">
        <v>0.1913</v>
      </c>
    </row>
    <row r="100" spans="1:17" hidden="1" x14ac:dyDescent="0.55000000000000004">
      <c r="A100" s="3" t="s">
        <v>77</v>
      </c>
      <c r="B100" s="3" t="s">
        <v>155</v>
      </c>
      <c r="C100" t="s">
        <v>155</v>
      </c>
      <c r="D100" s="3" t="s">
        <v>7314</v>
      </c>
      <c r="E100" t="s">
        <v>175</v>
      </c>
      <c r="F100" s="3" t="s">
        <v>176</v>
      </c>
      <c r="G100" t="s">
        <v>24</v>
      </c>
      <c r="H100" s="3" t="s">
        <v>165</v>
      </c>
      <c r="I100" t="s">
        <v>48</v>
      </c>
      <c r="J100" s="3" t="s">
        <v>163</v>
      </c>
      <c r="K100" s="4">
        <v>883</v>
      </c>
      <c r="L100" s="5">
        <v>40.15</v>
      </c>
      <c r="M100" s="6">
        <v>0</v>
      </c>
      <c r="N100" s="7">
        <v>0</v>
      </c>
      <c r="O100" t="s">
        <v>166</v>
      </c>
      <c r="P100" s="3" t="s">
        <v>23</v>
      </c>
      <c r="Q100" s="8" t="s">
        <v>23</v>
      </c>
    </row>
    <row r="101" spans="1:17" hidden="1" x14ac:dyDescent="0.55000000000000004">
      <c r="A101" s="3" t="s">
        <v>77</v>
      </c>
      <c r="B101" s="3" t="s">
        <v>177</v>
      </c>
      <c r="C101" t="s">
        <v>95</v>
      </c>
      <c r="D101" s="3" t="s">
        <v>7314</v>
      </c>
      <c r="E101" t="s">
        <v>178</v>
      </c>
      <c r="F101" s="3" t="s">
        <v>179</v>
      </c>
      <c r="G101" t="s">
        <v>19</v>
      </c>
      <c r="H101" s="3" t="s">
        <v>180</v>
      </c>
      <c r="I101" t="s">
        <v>86</v>
      </c>
      <c r="J101" s="3" t="s">
        <v>181</v>
      </c>
      <c r="K101" s="4">
        <v>283</v>
      </c>
      <c r="L101" s="5">
        <v>61.57</v>
      </c>
      <c r="M101" s="6">
        <v>1</v>
      </c>
      <c r="N101" s="7">
        <v>0</v>
      </c>
      <c r="O101" t="s">
        <v>182</v>
      </c>
      <c r="P101" s="3" t="s">
        <v>89</v>
      </c>
      <c r="Q101" s="8">
        <v>2.6832999999999999E-2</v>
      </c>
    </row>
    <row r="102" spans="1:17" hidden="1" x14ac:dyDescent="0.55000000000000004">
      <c r="A102" s="3" t="s">
        <v>77</v>
      </c>
      <c r="B102" s="3" t="s">
        <v>177</v>
      </c>
      <c r="C102" t="s">
        <v>95</v>
      </c>
      <c r="D102" s="3" t="s">
        <v>7314</v>
      </c>
      <c r="E102" t="s">
        <v>178</v>
      </c>
      <c r="F102" s="3" t="s">
        <v>179</v>
      </c>
      <c r="G102" t="s">
        <v>24</v>
      </c>
      <c r="H102" s="3" t="s">
        <v>104</v>
      </c>
      <c r="I102" t="s">
        <v>105</v>
      </c>
      <c r="J102" s="3" t="s">
        <v>106</v>
      </c>
      <c r="K102" s="4">
        <v>450</v>
      </c>
      <c r="L102" s="5">
        <v>0</v>
      </c>
      <c r="M102" s="6">
        <v>0</v>
      </c>
      <c r="N102" s="7">
        <v>0</v>
      </c>
      <c r="O102" t="s">
        <v>23</v>
      </c>
      <c r="P102" s="3" t="s">
        <v>23</v>
      </c>
      <c r="Q102" s="8" t="s">
        <v>23</v>
      </c>
    </row>
    <row r="103" spans="1:17" hidden="1" x14ac:dyDescent="0.55000000000000004">
      <c r="A103" s="3" t="s">
        <v>77</v>
      </c>
      <c r="B103" s="3" t="s">
        <v>177</v>
      </c>
      <c r="C103" t="s">
        <v>95</v>
      </c>
      <c r="D103" s="3" t="s">
        <v>7314</v>
      </c>
      <c r="E103" t="s">
        <v>178</v>
      </c>
      <c r="F103" s="3" t="s">
        <v>179</v>
      </c>
      <c r="G103" t="s">
        <v>24</v>
      </c>
      <c r="H103" s="3" t="s">
        <v>107</v>
      </c>
      <c r="I103" t="s">
        <v>37</v>
      </c>
      <c r="J103" s="3" t="s">
        <v>106</v>
      </c>
      <c r="K103" s="4">
        <v>598</v>
      </c>
      <c r="L103" s="5">
        <v>0</v>
      </c>
      <c r="M103" s="6">
        <v>0</v>
      </c>
      <c r="N103" s="7">
        <v>0</v>
      </c>
      <c r="O103" t="s">
        <v>23</v>
      </c>
      <c r="P103" s="3" t="s">
        <v>23</v>
      </c>
      <c r="Q103" s="8" t="s">
        <v>23</v>
      </c>
    </row>
    <row r="104" spans="1:17" hidden="1" x14ac:dyDescent="0.55000000000000004">
      <c r="A104" s="3" t="s">
        <v>77</v>
      </c>
      <c r="B104" s="3" t="s">
        <v>177</v>
      </c>
      <c r="C104" t="s">
        <v>95</v>
      </c>
      <c r="D104" s="3" t="s">
        <v>7314</v>
      </c>
      <c r="E104" t="s">
        <v>178</v>
      </c>
      <c r="F104" s="3" t="s">
        <v>179</v>
      </c>
      <c r="G104" t="s">
        <v>24</v>
      </c>
      <c r="H104" s="3" t="s">
        <v>183</v>
      </c>
      <c r="I104" t="s">
        <v>43</v>
      </c>
      <c r="J104" s="3" t="s">
        <v>184</v>
      </c>
      <c r="K104" s="4">
        <v>481</v>
      </c>
      <c r="L104" s="5">
        <v>21.86</v>
      </c>
      <c r="M104" s="6">
        <v>1</v>
      </c>
      <c r="N104" s="7">
        <v>0</v>
      </c>
      <c r="O104" t="s">
        <v>185</v>
      </c>
      <c r="P104" s="3" t="s">
        <v>138</v>
      </c>
      <c r="Q104" s="8">
        <v>0.184673</v>
      </c>
    </row>
    <row r="105" spans="1:17" hidden="1" x14ac:dyDescent="0.55000000000000004">
      <c r="A105" s="3" t="s">
        <v>77</v>
      </c>
      <c r="B105" s="3" t="s">
        <v>186</v>
      </c>
      <c r="C105" t="s">
        <v>186</v>
      </c>
      <c r="D105" s="3" t="s">
        <v>7314</v>
      </c>
      <c r="E105" t="s">
        <v>187</v>
      </c>
      <c r="F105" s="3" t="s">
        <v>188</v>
      </c>
      <c r="G105" t="s">
        <v>24</v>
      </c>
      <c r="H105" s="3" t="s">
        <v>189</v>
      </c>
      <c r="I105" t="s">
        <v>43</v>
      </c>
      <c r="J105" s="3" t="s">
        <v>190</v>
      </c>
      <c r="K105" s="4">
        <v>360</v>
      </c>
      <c r="L105" s="5">
        <v>16.38</v>
      </c>
      <c r="M105" s="6">
        <v>1</v>
      </c>
      <c r="N105" s="7">
        <v>0</v>
      </c>
      <c r="O105" t="s">
        <v>191</v>
      </c>
      <c r="P105" s="3" t="s">
        <v>138</v>
      </c>
      <c r="Q105" s="8">
        <v>0.18308199999999999</v>
      </c>
    </row>
    <row r="106" spans="1:17" hidden="1" x14ac:dyDescent="0.55000000000000004">
      <c r="A106" s="3" t="s">
        <v>77</v>
      </c>
      <c r="B106" s="3" t="s">
        <v>192</v>
      </c>
      <c r="C106" t="s">
        <v>95</v>
      </c>
      <c r="D106" s="3" t="s">
        <v>7314</v>
      </c>
      <c r="E106" t="s">
        <v>193</v>
      </c>
      <c r="F106" s="3" t="s">
        <v>194</v>
      </c>
      <c r="G106" t="s">
        <v>24</v>
      </c>
      <c r="H106" s="3" t="s">
        <v>104</v>
      </c>
      <c r="I106" t="s">
        <v>105</v>
      </c>
      <c r="J106" s="3" t="s">
        <v>106</v>
      </c>
      <c r="K106" s="4">
        <v>450</v>
      </c>
      <c r="L106" s="5">
        <v>0</v>
      </c>
      <c r="M106" s="6">
        <v>0</v>
      </c>
      <c r="N106" s="7">
        <v>0</v>
      </c>
      <c r="O106" t="s">
        <v>23</v>
      </c>
      <c r="P106" s="3" t="s">
        <v>23</v>
      </c>
      <c r="Q106" s="8" t="s">
        <v>23</v>
      </c>
    </row>
    <row r="107" spans="1:17" hidden="1" x14ac:dyDescent="0.55000000000000004">
      <c r="A107" s="3" t="s">
        <v>77</v>
      </c>
      <c r="B107" s="3" t="s">
        <v>192</v>
      </c>
      <c r="C107" t="s">
        <v>95</v>
      </c>
      <c r="D107" s="3" t="s">
        <v>7314</v>
      </c>
      <c r="E107" t="s">
        <v>193</v>
      </c>
      <c r="F107" s="3" t="s">
        <v>194</v>
      </c>
      <c r="G107" t="s">
        <v>24</v>
      </c>
      <c r="H107" s="3" t="s">
        <v>107</v>
      </c>
      <c r="I107" t="s">
        <v>37</v>
      </c>
      <c r="J107" s="3" t="s">
        <v>106</v>
      </c>
      <c r="K107" s="4">
        <v>598</v>
      </c>
      <c r="L107" s="5">
        <v>0</v>
      </c>
      <c r="M107" s="6">
        <v>0</v>
      </c>
      <c r="N107" s="7">
        <v>0</v>
      </c>
      <c r="O107" t="s">
        <v>23</v>
      </c>
      <c r="P107" s="3" t="s">
        <v>23</v>
      </c>
      <c r="Q107" s="8" t="s">
        <v>23</v>
      </c>
    </row>
    <row r="108" spans="1:17" hidden="1" x14ac:dyDescent="0.55000000000000004">
      <c r="A108" s="9" t="s">
        <v>77</v>
      </c>
      <c r="B108" s="3" t="s">
        <v>192</v>
      </c>
      <c r="C108" t="s">
        <v>95</v>
      </c>
      <c r="D108" s="3" t="s">
        <v>7314</v>
      </c>
      <c r="E108" t="s">
        <v>193</v>
      </c>
      <c r="F108" s="3" t="s">
        <v>194</v>
      </c>
      <c r="G108" t="s">
        <v>24</v>
      </c>
      <c r="H108" s="3" t="s">
        <v>195</v>
      </c>
      <c r="I108" t="s">
        <v>43</v>
      </c>
      <c r="J108" s="3" t="s">
        <v>196</v>
      </c>
      <c r="K108" s="4">
        <v>467</v>
      </c>
      <c r="L108" s="5">
        <v>21.22</v>
      </c>
      <c r="M108" s="6">
        <v>1</v>
      </c>
      <c r="N108" s="7">
        <v>0</v>
      </c>
      <c r="O108" t="s">
        <v>197</v>
      </c>
      <c r="P108" s="3" t="s">
        <v>138</v>
      </c>
      <c r="Q108" s="8">
        <v>0.18448800000000001</v>
      </c>
    </row>
    <row r="109" spans="1:17" hidden="1" x14ac:dyDescent="0.55000000000000004">
      <c r="A109" s="3" t="s">
        <v>198</v>
      </c>
      <c r="B109" s="3" t="s">
        <v>199</v>
      </c>
      <c r="C109" t="s">
        <v>199</v>
      </c>
      <c r="D109" s="3" t="s">
        <v>7314</v>
      </c>
      <c r="E109" t="s">
        <v>200</v>
      </c>
      <c r="F109" s="3" t="s">
        <v>201</v>
      </c>
      <c r="G109" t="s">
        <v>24</v>
      </c>
      <c r="H109" s="3" t="s">
        <v>202</v>
      </c>
      <c r="I109" t="s">
        <v>26</v>
      </c>
      <c r="J109" s="3" t="s">
        <v>203</v>
      </c>
      <c r="K109" s="4">
        <v>580</v>
      </c>
      <c r="L109" s="5">
        <v>26.35</v>
      </c>
      <c r="M109" s="6">
        <v>1</v>
      </c>
      <c r="N109" s="7">
        <v>0</v>
      </c>
      <c r="O109" t="s">
        <v>204</v>
      </c>
      <c r="P109" s="3" t="s">
        <v>29</v>
      </c>
      <c r="Q109" s="8">
        <v>0.21812000000000001</v>
      </c>
    </row>
    <row r="110" spans="1:17" hidden="1" x14ac:dyDescent="0.55000000000000004">
      <c r="A110" s="3" t="s">
        <v>198</v>
      </c>
      <c r="B110" s="3" t="s">
        <v>205</v>
      </c>
      <c r="C110" t="s">
        <v>205</v>
      </c>
      <c r="D110" s="3" t="s">
        <v>7314</v>
      </c>
      <c r="E110" t="s">
        <v>206</v>
      </c>
      <c r="F110" s="3" t="s">
        <v>207</v>
      </c>
      <c r="G110" t="s">
        <v>19</v>
      </c>
      <c r="H110" s="3" t="s">
        <v>208</v>
      </c>
      <c r="I110" t="s">
        <v>209</v>
      </c>
      <c r="J110" s="3" t="s">
        <v>210</v>
      </c>
      <c r="K110" s="4">
        <v>631</v>
      </c>
      <c r="L110" s="5">
        <v>137.19</v>
      </c>
      <c r="M110" s="6">
        <v>1</v>
      </c>
      <c r="N110" s="7">
        <v>1</v>
      </c>
      <c r="O110" t="s">
        <v>211</v>
      </c>
      <c r="P110" s="3" t="s">
        <v>212</v>
      </c>
      <c r="Q110" s="8">
        <v>4.2854999999999997E-2</v>
      </c>
    </row>
    <row r="111" spans="1:17" hidden="1" x14ac:dyDescent="0.55000000000000004">
      <c r="A111" s="3" t="s">
        <v>198</v>
      </c>
      <c r="B111" s="3" t="s">
        <v>205</v>
      </c>
      <c r="C111" t="s">
        <v>205</v>
      </c>
      <c r="D111" s="3" t="s">
        <v>7314</v>
      </c>
      <c r="E111" t="s">
        <v>206</v>
      </c>
      <c r="F111" s="3" t="s">
        <v>207</v>
      </c>
      <c r="G111" t="s">
        <v>19</v>
      </c>
      <c r="H111" s="3" t="s">
        <v>208</v>
      </c>
      <c r="I111" t="s">
        <v>209</v>
      </c>
      <c r="J111" s="3" t="s">
        <v>210</v>
      </c>
      <c r="K111" s="4">
        <v>631</v>
      </c>
      <c r="L111" s="5">
        <v>137.19</v>
      </c>
      <c r="M111" s="6">
        <v>1</v>
      </c>
      <c r="N111" s="7">
        <v>1</v>
      </c>
      <c r="O111" t="s">
        <v>213</v>
      </c>
      <c r="P111" s="3" t="s">
        <v>64</v>
      </c>
      <c r="Q111" s="8">
        <v>6.7199999999999996E-2</v>
      </c>
    </row>
    <row r="112" spans="1:17" hidden="1" x14ac:dyDescent="0.55000000000000004">
      <c r="A112" s="3" t="s">
        <v>198</v>
      </c>
      <c r="B112" s="3" t="s">
        <v>205</v>
      </c>
      <c r="C112" t="s">
        <v>205</v>
      </c>
      <c r="D112" s="3" t="s">
        <v>7314</v>
      </c>
      <c r="E112" t="s">
        <v>206</v>
      </c>
      <c r="F112" s="3" t="s">
        <v>207</v>
      </c>
      <c r="G112" t="s">
        <v>24</v>
      </c>
      <c r="H112" s="3" t="s">
        <v>214</v>
      </c>
      <c r="I112" t="s">
        <v>26</v>
      </c>
      <c r="J112" s="3" t="s">
        <v>215</v>
      </c>
      <c r="K112" s="4">
        <v>578</v>
      </c>
      <c r="L112" s="5">
        <v>26.27</v>
      </c>
      <c r="M112" s="6">
        <v>1</v>
      </c>
      <c r="N112" s="7">
        <v>1</v>
      </c>
      <c r="O112" t="s">
        <v>216</v>
      </c>
      <c r="P112" s="3" t="s">
        <v>76</v>
      </c>
      <c r="Q112" s="8">
        <v>0.21149999999999999</v>
      </c>
    </row>
    <row r="113" spans="1:17" hidden="1" x14ac:dyDescent="0.55000000000000004">
      <c r="A113" s="3" t="s">
        <v>198</v>
      </c>
      <c r="B113" s="3" t="s">
        <v>205</v>
      </c>
      <c r="C113" t="s">
        <v>205</v>
      </c>
      <c r="D113" s="3" t="s">
        <v>7314</v>
      </c>
      <c r="E113" t="s">
        <v>206</v>
      </c>
      <c r="F113" s="3" t="s">
        <v>207</v>
      </c>
      <c r="G113" t="s">
        <v>24</v>
      </c>
      <c r="H113" s="3" t="s">
        <v>217</v>
      </c>
      <c r="I113" t="s">
        <v>218</v>
      </c>
      <c r="J113" s="3" t="s">
        <v>215</v>
      </c>
      <c r="K113" s="4">
        <v>795</v>
      </c>
      <c r="L113" s="5">
        <v>36.130000000000003</v>
      </c>
      <c r="M113" s="6">
        <v>0</v>
      </c>
      <c r="N113" s="7">
        <v>1</v>
      </c>
      <c r="O113" t="s">
        <v>219</v>
      </c>
      <c r="P113" s="3" t="s">
        <v>23</v>
      </c>
      <c r="Q113" s="8" t="s">
        <v>23</v>
      </c>
    </row>
    <row r="114" spans="1:17" hidden="1" x14ac:dyDescent="0.55000000000000004">
      <c r="A114" s="3" t="s">
        <v>198</v>
      </c>
      <c r="B114" s="3" t="s">
        <v>220</v>
      </c>
      <c r="C114" t="s">
        <v>220</v>
      </c>
      <c r="D114" s="3" t="s">
        <v>7314</v>
      </c>
      <c r="E114" t="s">
        <v>221</v>
      </c>
      <c r="F114" s="3" t="s">
        <v>222</v>
      </c>
      <c r="G114" t="s">
        <v>24</v>
      </c>
      <c r="H114" s="3" t="s">
        <v>223</v>
      </c>
      <c r="I114" t="s">
        <v>52</v>
      </c>
      <c r="J114" s="3" t="s">
        <v>224</v>
      </c>
      <c r="K114" s="4">
        <v>645</v>
      </c>
      <c r="L114" s="5">
        <v>29.33</v>
      </c>
      <c r="M114" s="6">
        <v>1</v>
      </c>
      <c r="N114" s="7">
        <v>0</v>
      </c>
      <c r="O114" t="s">
        <v>225</v>
      </c>
      <c r="P114" s="3" t="s">
        <v>55</v>
      </c>
      <c r="Q114" s="8">
        <v>0.18448100000000001</v>
      </c>
    </row>
    <row r="115" spans="1:17" hidden="1" x14ac:dyDescent="0.55000000000000004">
      <c r="A115" s="3" t="s">
        <v>198</v>
      </c>
      <c r="B115" s="3" t="s">
        <v>7318</v>
      </c>
      <c r="C115" t="s">
        <v>226</v>
      </c>
      <c r="D115" s="3" t="s">
        <v>7314</v>
      </c>
      <c r="E115" t="s">
        <v>227</v>
      </c>
      <c r="F115" s="3" t="s">
        <v>228</v>
      </c>
      <c r="G115" t="s">
        <v>19</v>
      </c>
      <c r="H115" s="3" t="s">
        <v>229</v>
      </c>
      <c r="I115" t="s">
        <v>209</v>
      </c>
      <c r="J115" s="3" t="s">
        <v>230</v>
      </c>
      <c r="K115" s="4">
        <v>833</v>
      </c>
      <c r="L115" s="5">
        <v>181.09</v>
      </c>
      <c r="M115" s="6">
        <v>1</v>
      </c>
      <c r="N115" s="7">
        <v>1</v>
      </c>
      <c r="O115" t="s">
        <v>231</v>
      </c>
      <c r="P115" s="3" t="s">
        <v>64</v>
      </c>
      <c r="Q115" s="8">
        <v>8.6611999999999995E-2</v>
      </c>
    </row>
    <row r="116" spans="1:17" hidden="1" x14ac:dyDescent="0.55000000000000004">
      <c r="A116" s="3" t="s">
        <v>198</v>
      </c>
      <c r="B116" s="3" t="s">
        <v>7318</v>
      </c>
      <c r="C116" t="s">
        <v>226</v>
      </c>
      <c r="D116" s="3" t="s">
        <v>7314</v>
      </c>
      <c r="E116" t="s">
        <v>227</v>
      </c>
      <c r="F116" s="3" t="s">
        <v>228</v>
      </c>
      <c r="G116" t="s">
        <v>24</v>
      </c>
      <c r="H116" s="3" t="s">
        <v>232</v>
      </c>
      <c r="I116" t="s">
        <v>218</v>
      </c>
      <c r="J116" s="3" t="s">
        <v>233</v>
      </c>
      <c r="K116" s="4">
        <v>751</v>
      </c>
      <c r="L116" s="5">
        <v>34.15</v>
      </c>
      <c r="M116" s="6">
        <v>0</v>
      </c>
      <c r="N116" s="7">
        <v>1</v>
      </c>
      <c r="O116" t="s">
        <v>234</v>
      </c>
      <c r="P116" s="3" t="s">
        <v>23</v>
      </c>
      <c r="Q116" s="8" t="s">
        <v>23</v>
      </c>
    </row>
    <row r="117" spans="1:17" hidden="1" x14ac:dyDescent="0.55000000000000004">
      <c r="A117" s="3" t="s">
        <v>198</v>
      </c>
      <c r="B117" s="3" t="s">
        <v>7318</v>
      </c>
      <c r="C117" t="s">
        <v>226</v>
      </c>
      <c r="D117" s="3" t="s">
        <v>7314</v>
      </c>
      <c r="E117" t="s">
        <v>227</v>
      </c>
      <c r="F117" s="3" t="s">
        <v>228</v>
      </c>
      <c r="G117" t="s">
        <v>24</v>
      </c>
      <c r="H117" s="3" t="s">
        <v>235</v>
      </c>
      <c r="I117" t="s">
        <v>26</v>
      </c>
      <c r="J117" s="3" t="s">
        <v>233</v>
      </c>
      <c r="K117" s="4">
        <v>673</v>
      </c>
      <c r="L117" s="5">
        <v>30.58</v>
      </c>
      <c r="M117" s="6">
        <v>1</v>
      </c>
      <c r="N117" s="7">
        <v>1</v>
      </c>
      <c r="O117" t="s">
        <v>236</v>
      </c>
      <c r="P117" s="3" t="s">
        <v>76</v>
      </c>
      <c r="Q117" s="8">
        <v>0.21149999999999999</v>
      </c>
    </row>
    <row r="118" spans="1:17" hidden="1" x14ac:dyDescent="0.55000000000000004">
      <c r="A118" s="3" t="s">
        <v>198</v>
      </c>
      <c r="B118" s="3" t="s">
        <v>7318</v>
      </c>
      <c r="C118" t="s">
        <v>226</v>
      </c>
      <c r="D118" s="3" t="s">
        <v>7314</v>
      </c>
      <c r="E118" t="s">
        <v>237</v>
      </c>
      <c r="F118" s="3" t="s">
        <v>238</v>
      </c>
      <c r="G118" t="s">
        <v>24</v>
      </c>
      <c r="H118" s="3" t="s">
        <v>232</v>
      </c>
      <c r="I118" t="s">
        <v>218</v>
      </c>
      <c r="J118" s="3" t="s">
        <v>233</v>
      </c>
      <c r="K118" s="4">
        <v>751</v>
      </c>
      <c r="L118" s="5">
        <v>34.15</v>
      </c>
      <c r="M118" s="6">
        <v>0</v>
      </c>
      <c r="N118" s="7">
        <v>0</v>
      </c>
      <c r="O118" t="s">
        <v>234</v>
      </c>
      <c r="P118" s="3" t="s">
        <v>23</v>
      </c>
      <c r="Q118" s="8" t="s">
        <v>23</v>
      </c>
    </row>
    <row r="119" spans="1:17" hidden="1" x14ac:dyDescent="0.55000000000000004">
      <c r="A119" s="3" t="s">
        <v>198</v>
      </c>
      <c r="B119" s="3" t="s">
        <v>7318</v>
      </c>
      <c r="C119" t="s">
        <v>226</v>
      </c>
      <c r="D119" s="3" t="s">
        <v>7314</v>
      </c>
      <c r="E119" t="s">
        <v>237</v>
      </c>
      <c r="F119" s="3" t="s">
        <v>238</v>
      </c>
      <c r="G119" t="s">
        <v>24</v>
      </c>
      <c r="H119" s="3" t="s">
        <v>235</v>
      </c>
      <c r="I119" t="s">
        <v>26</v>
      </c>
      <c r="J119" s="3" t="s">
        <v>233</v>
      </c>
      <c r="K119" s="4">
        <v>673</v>
      </c>
      <c r="L119" s="5">
        <v>30.58</v>
      </c>
      <c r="M119" s="6">
        <v>1</v>
      </c>
      <c r="N119" s="7">
        <v>0</v>
      </c>
      <c r="O119" t="s">
        <v>236</v>
      </c>
      <c r="P119" s="3" t="s">
        <v>76</v>
      </c>
      <c r="Q119" s="8">
        <v>0.21149999999999999</v>
      </c>
    </row>
    <row r="120" spans="1:17" hidden="1" x14ac:dyDescent="0.55000000000000004">
      <c r="A120" s="3" t="s">
        <v>198</v>
      </c>
      <c r="B120" s="3" t="s">
        <v>226</v>
      </c>
      <c r="C120" t="s">
        <v>226</v>
      </c>
      <c r="D120" s="3" t="s">
        <v>7314</v>
      </c>
      <c r="E120" t="s">
        <v>239</v>
      </c>
      <c r="F120" s="3" t="s">
        <v>240</v>
      </c>
      <c r="G120" t="s">
        <v>24</v>
      </c>
      <c r="H120" s="3" t="s">
        <v>232</v>
      </c>
      <c r="I120" t="s">
        <v>218</v>
      </c>
      <c r="J120" s="3" t="s">
        <v>233</v>
      </c>
      <c r="K120" s="4">
        <v>751</v>
      </c>
      <c r="L120" s="5">
        <v>34.15</v>
      </c>
      <c r="M120" s="6">
        <v>0</v>
      </c>
      <c r="N120" s="7">
        <v>0</v>
      </c>
      <c r="O120" t="s">
        <v>234</v>
      </c>
      <c r="P120" s="3" t="s">
        <v>23</v>
      </c>
      <c r="Q120" s="8" t="s">
        <v>23</v>
      </c>
    </row>
    <row r="121" spans="1:17" hidden="1" x14ac:dyDescent="0.55000000000000004">
      <c r="A121" s="3" t="s">
        <v>198</v>
      </c>
      <c r="B121" s="3" t="s">
        <v>226</v>
      </c>
      <c r="C121" t="s">
        <v>226</v>
      </c>
      <c r="D121" s="3" t="s">
        <v>7314</v>
      </c>
      <c r="E121" t="s">
        <v>239</v>
      </c>
      <c r="F121" s="3" t="s">
        <v>240</v>
      </c>
      <c r="G121" t="s">
        <v>24</v>
      </c>
      <c r="H121" s="3" t="s">
        <v>235</v>
      </c>
      <c r="I121" t="s">
        <v>26</v>
      </c>
      <c r="J121" s="3" t="s">
        <v>233</v>
      </c>
      <c r="K121" s="4">
        <v>673</v>
      </c>
      <c r="L121" s="5">
        <v>30.58</v>
      </c>
      <c r="M121" s="6">
        <v>1</v>
      </c>
      <c r="N121" s="7">
        <v>0</v>
      </c>
      <c r="O121" t="s">
        <v>236</v>
      </c>
      <c r="P121" s="3" t="s">
        <v>76</v>
      </c>
      <c r="Q121" s="8">
        <v>0.21149999999999999</v>
      </c>
    </row>
    <row r="122" spans="1:17" hidden="1" x14ac:dyDescent="0.55000000000000004">
      <c r="A122" s="3" t="s">
        <v>198</v>
      </c>
      <c r="B122" s="3" t="s">
        <v>7318</v>
      </c>
      <c r="C122" t="s">
        <v>226</v>
      </c>
      <c r="D122" s="3" t="s">
        <v>7314</v>
      </c>
      <c r="E122" t="s">
        <v>241</v>
      </c>
      <c r="F122" s="3" t="s">
        <v>242</v>
      </c>
      <c r="G122" t="s">
        <v>19</v>
      </c>
      <c r="H122" s="3" t="s">
        <v>229</v>
      </c>
      <c r="I122" t="s">
        <v>209</v>
      </c>
      <c r="J122" s="3" t="s">
        <v>230</v>
      </c>
      <c r="K122" s="4">
        <v>833</v>
      </c>
      <c r="L122" s="5">
        <v>181.09</v>
      </c>
      <c r="M122" s="6">
        <v>1</v>
      </c>
      <c r="N122" s="7">
        <v>0</v>
      </c>
      <c r="O122" t="s">
        <v>231</v>
      </c>
      <c r="P122" s="3" t="s">
        <v>64</v>
      </c>
      <c r="Q122" s="8">
        <v>8.6611999999999995E-2</v>
      </c>
    </row>
    <row r="123" spans="1:17" hidden="1" x14ac:dyDescent="0.55000000000000004">
      <c r="A123" s="3" t="s">
        <v>198</v>
      </c>
      <c r="B123" s="3" t="s">
        <v>7318</v>
      </c>
      <c r="C123" t="s">
        <v>226</v>
      </c>
      <c r="D123" s="3" t="s">
        <v>7314</v>
      </c>
      <c r="E123" t="s">
        <v>241</v>
      </c>
      <c r="F123" s="3" t="s">
        <v>242</v>
      </c>
      <c r="G123" t="s">
        <v>24</v>
      </c>
      <c r="H123" s="3" t="s">
        <v>232</v>
      </c>
      <c r="I123" t="s">
        <v>218</v>
      </c>
      <c r="J123" s="3" t="s">
        <v>233</v>
      </c>
      <c r="K123" s="4">
        <v>751</v>
      </c>
      <c r="L123" s="5">
        <v>34.15</v>
      </c>
      <c r="M123" s="6">
        <v>0</v>
      </c>
      <c r="N123" s="7">
        <v>0</v>
      </c>
      <c r="O123" t="s">
        <v>234</v>
      </c>
      <c r="P123" s="3" t="s">
        <v>23</v>
      </c>
      <c r="Q123" s="8" t="s">
        <v>23</v>
      </c>
    </row>
    <row r="124" spans="1:17" hidden="1" x14ac:dyDescent="0.55000000000000004">
      <c r="A124" s="3" t="s">
        <v>198</v>
      </c>
      <c r="B124" s="3" t="s">
        <v>7318</v>
      </c>
      <c r="C124" t="s">
        <v>226</v>
      </c>
      <c r="D124" s="3" t="s">
        <v>7314</v>
      </c>
      <c r="E124" t="s">
        <v>241</v>
      </c>
      <c r="F124" s="3" t="s">
        <v>242</v>
      </c>
      <c r="G124" t="s">
        <v>24</v>
      </c>
      <c r="H124" s="3" t="s">
        <v>235</v>
      </c>
      <c r="I124" t="s">
        <v>26</v>
      </c>
      <c r="J124" s="3" t="s">
        <v>233</v>
      </c>
      <c r="K124" s="4">
        <v>673</v>
      </c>
      <c r="L124" s="5">
        <v>30.58</v>
      </c>
      <c r="M124" s="6">
        <v>1</v>
      </c>
      <c r="N124" s="7">
        <v>0</v>
      </c>
      <c r="O124" t="s">
        <v>236</v>
      </c>
      <c r="P124" s="3" t="s">
        <v>76</v>
      </c>
      <c r="Q124" s="8">
        <v>0.21149999999999999</v>
      </c>
    </row>
    <row r="125" spans="1:17" hidden="1" x14ac:dyDescent="0.55000000000000004">
      <c r="A125" s="3" t="s">
        <v>198</v>
      </c>
      <c r="B125" s="3" t="s">
        <v>7318</v>
      </c>
      <c r="C125" t="s">
        <v>226</v>
      </c>
      <c r="D125" s="3" t="s">
        <v>7314</v>
      </c>
      <c r="E125" t="s">
        <v>243</v>
      </c>
      <c r="F125" s="3" t="s">
        <v>244</v>
      </c>
      <c r="G125" t="s">
        <v>19</v>
      </c>
      <c r="H125" s="3" t="s">
        <v>245</v>
      </c>
      <c r="I125" t="s">
        <v>246</v>
      </c>
      <c r="J125" s="3" t="s">
        <v>247</v>
      </c>
      <c r="K125" s="4">
        <v>469</v>
      </c>
      <c r="L125" s="5">
        <v>101.93</v>
      </c>
      <c r="M125" s="6">
        <v>1</v>
      </c>
      <c r="N125" s="7">
        <v>0</v>
      </c>
      <c r="O125" t="s">
        <v>248</v>
      </c>
      <c r="P125" s="3" t="s">
        <v>249</v>
      </c>
      <c r="Q125" s="8">
        <v>5.8173999999999997E-2</v>
      </c>
    </row>
    <row r="126" spans="1:17" hidden="1" x14ac:dyDescent="0.55000000000000004">
      <c r="A126" s="3" t="s">
        <v>198</v>
      </c>
      <c r="B126" s="3" t="s">
        <v>7318</v>
      </c>
      <c r="C126" t="s">
        <v>226</v>
      </c>
      <c r="D126" s="3" t="s">
        <v>7314</v>
      </c>
      <c r="E126" t="s">
        <v>243</v>
      </c>
      <c r="F126" s="3" t="s">
        <v>244</v>
      </c>
      <c r="G126" t="s">
        <v>24</v>
      </c>
      <c r="H126" s="3" t="s">
        <v>232</v>
      </c>
      <c r="I126" t="s">
        <v>218</v>
      </c>
      <c r="J126" s="3" t="s">
        <v>233</v>
      </c>
      <c r="K126" s="4">
        <v>751</v>
      </c>
      <c r="L126" s="5">
        <v>34.15</v>
      </c>
      <c r="M126" s="6">
        <v>0</v>
      </c>
      <c r="N126" s="7">
        <v>0</v>
      </c>
      <c r="O126" t="s">
        <v>234</v>
      </c>
      <c r="P126" s="3" t="s">
        <v>23</v>
      </c>
      <c r="Q126" s="8" t="s">
        <v>23</v>
      </c>
    </row>
    <row r="127" spans="1:17" hidden="1" x14ac:dyDescent="0.55000000000000004">
      <c r="A127" s="3" t="s">
        <v>198</v>
      </c>
      <c r="B127" s="3" t="s">
        <v>7318</v>
      </c>
      <c r="C127" t="s">
        <v>226</v>
      </c>
      <c r="D127" s="3" t="s">
        <v>7314</v>
      </c>
      <c r="E127" t="s">
        <v>243</v>
      </c>
      <c r="F127" s="3" t="s">
        <v>244</v>
      </c>
      <c r="G127" t="s">
        <v>24</v>
      </c>
      <c r="H127" s="3" t="s">
        <v>235</v>
      </c>
      <c r="I127" t="s">
        <v>26</v>
      </c>
      <c r="J127" s="3" t="s">
        <v>233</v>
      </c>
      <c r="K127" s="4">
        <v>673</v>
      </c>
      <c r="L127" s="5">
        <v>30.58</v>
      </c>
      <c r="M127" s="6">
        <v>1</v>
      </c>
      <c r="N127" s="7">
        <v>0</v>
      </c>
      <c r="O127" t="s">
        <v>236</v>
      </c>
      <c r="P127" s="3" t="s">
        <v>76</v>
      </c>
      <c r="Q127" s="8">
        <v>0.21149999999999999</v>
      </c>
    </row>
    <row r="128" spans="1:17" hidden="1" x14ac:dyDescent="0.55000000000000004">
      <c r="A128" s="3" t="s">
        <v>198</v>
      </c>
      <c r="B128" s="3" t="s">
        <v>226</v>
      </c>
      <c r="C128" t="s">
        <v>226</v>
      </c>
      <c r="D128" s="3" t="s">
        <v>7314</v>
      </c>
      <c r="E128" t="s">
        <v>250</v>
      </c>
      <c r="F128" s="3" t="s">
        <v>251</v>
      </c>
      <c r="G128" t="s">
        <v>24</v>
      </c>
      <c r="H128" s="3" t="s">
        <v>232</v>
      </c>
      <c r="I128" t="s">
        <v>218</v>
      </c>
      <c r="J128" s="3" t="s">
        <v>233</v>
      </c>
      <c r="K128" s="4">
        <v>751</v>
      </c>
      <c r="L128" s="5">
        <v>34.15</v>
      </c>
      <c r="M128" s="6">
        <v>0</v>
      </c>
      <c r="N128" s="7">
        <v>0</v>
      </c>
      <c r="O128" t="s">
        <v>234</v>
      </c>
      <c r="P128" s="3" t="s">
        <v>23</v>
      </c>
      <c r="Q128" s="8" t="s">
        <v>23</v>
      </c>
    </row>
    <row r="129" spans="1:17" hidden="1" x14ac:dyDescent="0.55000000000000004">
      <c r="A129" s="3" t="s">
        <v>198</v>
      </c>
      <c r="B129" s="3" t="s">
        <v>226</v>
      </c>
      <c r="C129" t="s">
        <v>226</v>
      </c>
      <c r="D129" s="3" t="s">
        <v>7314</v>
      </c>
      <c r="E129" t="s">
        <v>250</v>
      </c>
      <c r="F129" s="3" t="s">
        <v>251</v>
      </c>
      <c r="G129" t="s">
        <v>24</v>
      </c>
      <c r="H129" s="3" t="s">
        <v>235</v>
      </c>
      <c r="I129" t="s">
        <v>26</v>
      </c>
      <c r="J129" s="3" t="s">
        <v>233</v>
      </c>
      <c r="K129" s="4">
        <v>673</v>
      </c>
      <c r="L129" s="5">
        <v>30.58</v>
      </c>
      <c r="M129" s="6">
        <v>1</v>
      </c>
      <c r="N129" s="7">
        <v>0</v>
      </c>
      <c r="O129" t="s">
        <v>236</v>
      </c>
      <c r="P129" s="3" t="s">
        <v>76</v>
      </c>
      <c r="Q129" s="8">
        <v>0.21149999999999999</v>
      </c>
    </row>
    <row r="130" spans="1:17" hidden="1" x14ac:dyDescent="0.55000000000000004">
      <c r="A130" s="3" t="s">
        <v>198</v>
      </c>
      <c r="B130" s="3" t="s">
        <v>226</v>
      </c>
      <c r="C130" t="s">
        <v>226</v>
      </c>
      <c r="D130" s="3" t="s">
        <v>7314</v>
      </c>
      <c r="E130" t="s">
        <v>252</v>
      </c>
      <c r="F130" s="3" t="s">
        <v>253</v>
      </c>
      <c r="G130" t="s">
        <v>24</v>
      </c>
      <c r="H130" s="3" t="s">
        <v>232</v>
      </c>
      <c r="I130" t="s">
        <v>218</v>
      </c>
      <c r="J130" s="3" t="s">
        <v>233</v>
      </c>
      <c r="K130" s="4">
        <v>751</v>
      </c>
      <c r="L130" s="5">
        <v>34.15</v>
      </c>
      <c r="M130" s="6">
        <v>0</v>
      </c>
      <c r="N130" s="7">
        <v>0</v>
      </c>
      <c r="O130" t="s">
        <v>234</v>
      </c>
      <c r="P130" s="3" t="s">
        <v>23</v>
      </c>
      <c r="Q130" s="8" t="s">
        <v>23</v>
      </c>
    </row>
    <row r="131" spans="1:17" hidden="1" x14ac:dyDescent="0.55000000000000004">
      <c r="A131" s="3" t="s">
        <v>198</v>
      </c>
      <c r="B131" s="3" t="s">
        <v>226</v>
      </c>
      <c r="C131" t="s">
        <v>226</v>
      </c>
      <c r="D131" s="3" t="s">
        <v>7314</v>
      </c>
      <c r="E131" t="s">
        <v>252</v>
      </c>
      <c r="F131" s="3" t="s">
        <v>253</v>
      </c>
      <c r="G131" t="s">
        <v>24</v>
      </c>
      <c r="H131" s="3" t="s">
        <v>235</v>
      </c>
      <c r="I131" t="s">
        <v>26</v>
      </c>
      <c r="J131" s="3" t="s">
        <v>233</v>
      </c>
      <c r="K131" s="4">
        <v>673</v>
      </c>
      <c r="L131" s="5">
        <v>30.58</v>
      </c>
      <c r="M131" s="6">
        <v>1</v>
      </c>
      <c r="N131" s="7">
        <v>0</v>
      </c>
      <c r="O131" t="s">
        <v>236</v>
      </c>
      <c r="P131" s="3" t="s">
        <v>76</v>
      </c>
      <c r="Q131" s="8">
        <v>0.21149999999999999</v>
      </c>
    </row>
    <row r="132" spans="1:17" hidden="1" x14ac:dyDescent="0.55000000000000004">
      <c r="A132" s="3" t="s">
        <v>198</v>
      </c>
      <c r="B132" s="3" t="s">
        <v>254</v>
      </c>
      <c r="C132" t="s">
        <v>254</v>
      </c>
      <c r="D132" s="3" t="s">
        <v>7314</v>
      </c>
      <c r="E132" t="s">
        <v>255</v>
      </c>
      <c r="F132" s="3" t="s">
        <v>256</v>
      </c>
      <c r="G132" t="s">
        <v>19</v>
      </c>
      <c r="H132" s="3" t="s">
        <v>257</v>
      </c>
      <c r="I132" t="s">
        <v>209</v>
      </c>
      <c r="J132" s="3" t="s">
        <v>258</v>
      </c>
      <c r="K132" s="4">
        <v>958</v>
      </c>
      <c r="L132" s="5">
        <v>208.28</v>
      </c>
      <c r="M132" s="6">
        <v>1</v>
      </c>
      <c r="N132" s="7">
        <v>1</v>
      </c>
      <c r="O132" t="s">
        <v>213</v>
      </c>
      <c r="P132" s="3" t="s">
        <v>64</v>
      </c>
      <c r="Q132" s="8">
        <v>6.7199999999999996E-2</v>
      </c>
    </row>
    <row r="133" spans="1:17" hidden="1" x14ac:dyDescent="0.55000000000000004">
      <c r="A133" s="3" t="s">
        <v>198</v>
      </c>
      <c r="B133" s="3" t="s">
        <v>254</v>
      </c>
      <c r="C133" t="s">
        <v>254</v>
      </c>
      <c r="D133" s="3" t="s">
        <v>7314</v>
      </c>
      <c r="E133" t="s">
        <v>255</v>
      </c>
      <c r="F133" s="3" t="s">
        <v>256</v>
      </c>
      <c r="G133" t="s">
        <v>19</v>
      </c>
      <c r="H133" s="3" t="s">
        <v>257</v>
      </c>
      <c r="I133" t="s">
        <v>209</v>
      </c>
      <c r="J133" s="3" t="s">
        <v>258</v>
      </c>
      <c r="K133" s="4">
        <v>958</v>
      </c>
      <c r="L133" s="5">
        <v>208.28</v>
      </c>
      <c r="M133" s="6">
        <v>1</v>
      </c>
      <c r="N133" s="7">
        <v>1</v>
      </c>
      <c r="O133" t="s">
        <v>259</v>
      </c>
      <c r="P133" s="3" t="s">
        <v>212</v>
      </c>
      <c r="Q133" s="8">
        <v>9.6376000000000003E-2</v>
      </c>
    </row>
    <row r="134" spans="1:17" hidden="1" x14ac:dyDescent="0.55000000000000004">
      <c r="A134" s="3" t="s">
        <v>198</v>
      </c>
      <c r="B134" s="3" t="s">
        <v>254</v>
      </c>
      <c r="C134" t="s">
        <v>254</v>
      </c>
      <c r="D134" s="3" t="s">
        <v>7314</v>
      </c>
      <c r="E134" t="s">
        <v>255</v>
      </c>
      <c r="F134" s="3" t="s">
        <v>256</v>
      </c>
      <c r="G134" t="s">
        <v>24</v>
      </c>
      <c r="H134" s="3" t="s">
        <v>260</v>
      </c>
      <c r="I134" t="s">
        <v>52</v>
      </c>
      <c r="J134" s="3" t="s">
        <v>261</v>
      </c>
      <c r="K134" s="4">
        <v>495</v>
      </c>
      <c r="L134" s="5">
        <v>22.51</v>
      </c>
      <c r="M134" s="6">
        <v>1</v>
      </c>
      <c r="N134" s="7">
        <v>1</v>
      </c>
      <c r="O134" t="s">
        <v>262</v>
      </c>
      <c r="P134" s="3" t="s">
        <v>55</v>
      </c>
      <c r="Q134" s="8">
        <v>0.18298400000000001</v>
      </c>
    </row>
    <row r="135" spans="1:17" hidden="1" x14ac:dyDescent="0.55000000000000004">
      <c r="A135" s="3" t="s">
        <v>198</v>
      </c>
      <c r="B135" s="3" t="s">
        <v>263</v>
      </c>
      <c r="C135" t="s">
        <v>263</v>
      </c>
      <c r="D135" s="3" t="s">
        <v>7314</v>
      </c>
      <c r="E135" t="s">
        <v>265</v>
      </c>
      <c r="F135" s="3" t="s">
        <v>266</v>
      </c>
      <c r="G135" t="s">
        <v>19</v>
      </c>
      <c r="H135" s="3" t="s">
        <v>267</v>
      </c>
      <c r="I135" t="s">
        <v>246</v>
      </c>
      <c r="J135" s="3" t="s">
        <v>268</v>
      </c>
      <c r="K135" s="4">
        <v>598</v>
      </c>
      <c r="L135" s="5">
        <v>130.04</v>
      </c>
      <c r="M135" s="6">
        <v>1</v>
      </c>
      <c r="N135" s="7">
        <v>1</v>
      </c>
      <c r="O135" t="s">
        <v>269</v>
      </c>
      <c r="P135" s="3" t="s">
        <v>249</v>
      </c>
      <c r="Q135" s="8">
        <v>8.0463999999999994E-2</v>
      </c>
    </row>
    <row r="136" spans="1:17" hidden="1" x14ac:dyDescent="0.55000000000000004">
      <c r="A136" s="9" t="s">
        <v>198</v>
      </c>
      <c r="B136" s="3" t="s">
        <v>263</v>
      </c>
      <c r="C136" t="s">
        <v>263</v>
      </c>
      <c r="D136" s="3" t="s">
        <v>7314</v>
      </c>
      <c r="E136" t="s">
        <v>265</v>
      </c>
      <c r="F136" s="3" t="s">
        <v>266</v>
      </c>
      <c r="G136" t="s">
        <v>24</v>
      </c>
      <c r="H136" s="3" t="s">
        <v>270</v>
      </c>
      <c r="I136" t="s">
        <v>52</v>
      </c>
      <c r="J136" s="3" t="s">
        <v>271</v>
      </c>
      <c r="K136" s="4">
        <v>720</v>
      </c>
      <c r="L136" s="5">
        <v>32.71</v>
      </c>
      <c r="M136" s="6">
        <v>1</v>
      </c>
      <c r="N136" s="7">
        <v>1</v>
      </c>
      <c r="O136" t="s">
        <v>272</v>
      </c>
      <c r="P136" s="3" t="s">
        <v>55</v>
      </c>
      <c r="Q136" s="8">
        <v>0.217362</v>
      </c>
    </row>
    <row r="137" spans="1:17" hidden="1" x14ac:dyDescent="0.55000000000000004">
      <c r="A137" s="3" t="s">
        <v>273</v>
      </c>
      <c r="B137" s="3" t="s">
        <v>7320</v>
      </c>
      <c r="C137" t="s">
        <v>274</v>
      </c>
      <c r="D137" s="3" t="s">
        <v>7319</v>
      </c>
      <c r="E137" t="s">
        <v>275</v>
      </c>
      <c r="F137" s="3" t="s">
        <v>276</v>
      </c>
      <c r="G137" t="s">
        <v>24</v>
      </c>
      <c r="H137" s="3" t="s">
        <v>277</v>
      </c>
      <c r="I137" t="s">
        <v>52</v>
      </c>
      <c r="J137" s="3" t="s">
        <v>278</v>
      </c>
      <c r="K137" s="4">
        <v>1071</v>
      </c>
      <c r="L137" s="5">
        <v>48.66</v>
      </c>
      <c r="M137" s="6">
        <v>1</v>
      </c>
      <c r="N137" s="7">
        <v>0</v>
      </c>
      <c r="O137" t="s">
        <v>279</v>
      </c>
      <c r="P137" s="3" t="s">
        <v>55</v>
      </c>
      <c r="Q137" s="8">
        <v>0.25825500000000001</v>
      </c>
    </row>
    <row r="138" spans="1:17" hidden="1" x14ac:dyDescent="0.55000000000000004">
      <c r="A138" s="3" t="s">
        <v>273</v>
      </c>
      <c r="B138" s="3" t="s">
        <v>280</v>
      </c>
      <c r="C138" t="s">
        <v>280</v>
      </c>
      <c r="D138" s="3" t="s">
        <v>7319</v>
      </c>
      <c r="E138" t="s">
        <v>281</v>
      </c>
      <c r="F138" s="3" t="s">
        <v>282</v>
      </c>
      <c r="G138" t="s">
        <v>19</v>
      </c>
      <c r="H138" s="3" t="s">
        <v>283</v>
      </c>
      <c r="I138" t="s">
        <v>284</v>
      </c>
      <c r="J138" s="3" t="s">
        <v>285</v>
      </c>
      <c r="K138" s="4">
        <v>412</v>
      </c>
      <c r="L138" s="5">
        <v>89.59</v>
      </c>
      <c r="M138" s="6">
        <v>1</v>
      </c>
      <c r="N138" s="7">
        <v>0</v>
      </c>
      <c r="O138" t="s">
        <v>286</v>
      </c>
      <c r="P138" s="3" t="s">
        <v>287</v>
      </c>
      <c r="Q138" s="8">
        <v>4.4969000000000002E-2</v>
      </c>
    </row>
    <row r="139" spans="1:17" hidden="1" x14ac:dyDescent="0.55000000000000004">
      <c r="A139" s="3" t="s">
        <v>273</v>
      </c>
      <c r="B139" s="3" t="s">
        <v>280</v>
      </c>
      <c r="C139" t="s">
        <v>280</v>
      </c>
      <c r="D139" s="3" t="s">
        <v>7319</v>
      </c>
      <c r="E139" t="s">
        <v>281</v>
      </c>
      <c r="F139" s="3" t="s">
        <v>282</v>
      </c>
      <c r="G139" t="s">
        <v>19</v>
      </c>
      <c r="H139" s="3" t="s">
        <v>288</v>
      </c>
      <c r="I139" t="s">
        <v>289</v>
      </c>
      <c r="J139" s="3" t="s">
        <v>290</v>
      </c>
      <c r="K139" s="4">
        <v>408</v>
      </c>
      <c r="L139" s="5">
        <v>88.8</v>
      </c>
      <c r="M139" s="6">
        <v>0</v>
      </c>
      <c r="N139" s="7">
        <v>0</v>
      </c>
      <c r="O139" t="s">
        <v>291</v>
      </c>
      <c r="P139" s="3" t="s">
        <v>292</v>
      </c>
      <c r="Q139" s="8">
        <v>3.9309999999999998E-2</v>
      </c>
    </row>
    <row r="140" spans="1:17" hidden="1" x14ac:dyDescent="0.55000000000000004">
      <c r="A140" s="3" t="s">
        <v>273</v>
      </c>
      <c r="B140" s="3" t="s">
        <v>280</v>
      </c>
      <c r="C140" t="s">
        <v>280</v>
      </c>
      <c r="D140" s="3" t="s">
        <v>7319</v>
      </c>
      <c r="E140" t="s">
        <v>281</v>
      </c>
      <c r="F140" s="3" t="s">
        <v>282</v>
      </c>
      <c r="G140" t="s">
        <v>24</v>
      </c>
      <c r="H140" s="3" t="s">
        <v>293</v>
      </c>
      <c r="I140" t="s">
        <v>52</v>
      </c>
      <c r="J140" s="3" t="s">
        <v>294</v>
      </c>
      <c r="K140" s="4">
        <v>1092</v>
      </c>
      <c r="L140" s="5">
        <v>0</v>
      </c>
      <c r="M140" s="6">
        <v>0</v>
      </c>
      <c r="N140" s="7">
        <v>0</v>
      </c>
      <c r="O140" t="s">
        <v>23</v>
      </c>
      <c r="P140" s="3" t="s">
        <v>23</v>
      </c>
      <c r="Q140" s="8" t="s">
        <v>23</v>
      </c>
    </row>
    <row r="141" spans="1:17" hidden="1" x14ac:dyDescent="0.55000000000000004">
      <c r="A141" s="3" t="s">
        <v>273</v>
      </c>
      <c r="B141" s="3" t="s">
        <v>280</v>
      </c>
      <c r="C141" t="s">
        <v>280</v>
      </c>
      <c r="D141" s="3" t="s">
        <v>7319</v>
      </c>
      <c r="E141" t="s">
        <v>281</v>
      </c>
      <c r="F141" s="3" t="s">
        <v>282</v>
      </c>
      <c r="G141" t="s">
        <v>24</v>
      </c>
      <c r="H141" s="3" t="s">
        <v>295</v>
      </c>
      <c r="I141" t="s">
        <v>296</v>
      </c>
      <c r="J141" s="3" t="s">
        <v>294</v>
      </c>
      <c r="K141" s="4">
        <v>946</v>
      </c>
      <c r="L141" s="5">
        <v>0</v>
      </c>
      <c r="M141" s="6">
        <v>0</v>
      </c>
      <c r="N141" s="7">
        <v>0</v>
      </c>
      <c r="O141" t="s">
        <v>23</v>
      </c>
      <c r="P141" s="3" t="s">
        <v>23</v>
      </c>
      <c r="Q141" s="8" t="s">
        <v>23</v>
      </c>
    </row>
    <row r="142" spans="1:17" hidden="1" x14ac:dyDescent="0.55000000000000004">
      <c r="A142" s="3" t="s">
        <v>273</v>
      </c>
      <c r="B142" s="3" t="s">
        <v>280</v>
      </c>
      <c r="C142" t="s">
        <v>280</v>
      </c>
      <c r="D142" s="3" t="s">
        <v>7319</v>
      </c>
      <c r="E142" t="s">
        <v>281</v>
      </c>
      <c r="F142" s="3" t="s">
        <v>282</v>
      </c>
      <c r="G142" t="s">
        <v>24</v>
      </c>
      <c r="H142" s="3" t="s">
        <v>297</v>
      </c>
      <c r="I142" t="s">
        <v>298</v>
      </c>
      <c r="J142" s="3" t="s">
        <v>294</v>
      </c>
      <c r="K142" s="4">
        <v>1366</v>
      </c>
      <c r="L142" s="5">
        <v>0</v>
      </c>
      <c r="M142" s="6">
        <v>0</v>
      </c>
      <c r="N142" s="7">
        <v>0</v>
      </c>
      <c r="O142" t="s">
        <v>23</v>
      </c>
      <c r="P142" s="3" t="s">
        <v>23</v>
      </c>
      <c r="Q142" s="8" t="s">
        <v>23</v>
      </c>
    </row>
    <row r="143" spans="1:17" hidden="1" x14ac:dyDescent="0.55000000000000004">
      <c r="A143" s="3" t="s">
        <v>273</v>
      </c>
      <c r="B143" s="3" t="s">
        <v>280</v>
      </c>
      <c r="C143" t="s">
        <v>280</v>
      </c>
      <c r="D143" s="3" t="s">
        <v>7319</v>
      </c>
      <c r="E143" t="s">
        <v>281</v>
      </c>
      <c r="F143" s="3" t="s">
        <v>282</v>
      </c>
      <c r="G143" t="s">
        <v>24</v>
      </c>
      <c r="H143" s="3" t="s">
        <v>299</v>
      </c>
      <c r="I143" t="s">
        <v>300</v>
      </c>
      <c r="J143" s="3" t="s">
        <v>294</v>
      </c>
      <c r="K143" s="4">
        <v>1108</v>
      </c>
      <c r="L143" s="5">
        <v>0</v>
      </c>
      <c r="M143" s="6">
        <v>0</v>
      </c>
      <c r="N143" s="7">
        <v>0</v>
      </c>
      <c r="O143" t="s">
        <v>23</v>
      </c>
      <c r="P143" s="3" t="s">
        <v>23</v>
      </c>
      <c r="Q143" s="8" t="s">
        <v>23</v>
      </c>
    </row>
    <row r="144" spans="1:17" hidden="1" x14ac:dyDescent="0.55000000000000004">
      <c r="A144" s="3" t="s">
        <v>273</v>
      </c>
      <c r="B144" s="3" t="s">
        <v>280</v>
      </c>
      <c r="C144" t="s">
        <v>280</v>
      </c>
      <c r="D144" s="3" t="s">
        <v>7319</v>
      </c>
      <c r="E144" t="s">
        <v>281</v>
      </c>
      <c r="F144" s="3" t="s">
        <v>282</v>
      </c>
      <c r="G144" t="s">
        <v>24</v>
      </c>
      <c r="H144" s="3" t="s">
        <v>301</v>
      </c>
      <c r="I144" t="s">
        <v>302</v>
      </c>
      <c r="J144" s="3" t="s">
        <v>294</v>
      </c>
      <c r="K144" s="4">
        <v>1345</v>
      </c>
      <c r="L144" s="5">
        <v>0</v>
      </c>
      <c r="M144" s="6">
        <v>0</v>
      </c>
      <c r="N144" s="7">
        <v>0</v>
      </c>
      <c r="O144" t="s">
        <v>23</v>
      </c>
      <c r="P144" s="3" t="s">
        <v>23</v>
      </c>
      <c r="Q144" s="8" t="s">
        <v>23</v>
      </c>
    </row>
    <row r="145" spans="1:17" hidden="1" x14ac:dyDescent="0.55000000000000004">
      <c r="A145" s="3" t="s">
        <v>273</v>
      </c>
      <c r="B145" s="3" t="s">
        <v>280</v>
      </c>
      <c r="C145" t="s">
        <v>280</v>
      </c>
      <c r="D145" s="3" t="s">
        <v>7319</v>
      </c>
      <c r="E145" t="s">
        <v>281</v>
      </c>
      <c r="F145" s="3" t="s">
        <v>282</v>
      </c>
      <c r="G145" t="s">
        <v>24</v>
      </c>
      <c r="H145" s="3" t="s">
        <v>303</v>
      </c>
      <c r="I145" t="s">
        <v>304</v>
      </c>
      <c r="J145" s="3" t="s">
        <v>294</v>
      </c>
      <c r="K145" s="4">
        <v>1521</v>
      </c>
      <c r="L145" s="5">
        <v>0</v>
      </c>
      <c r="M145" s="6">
        <v>0</v>
      </c>
      <c r="N145" s="7">
        <v>0</v>
      </c>
      <c r="O145" t="s">
        <v>23</v>
      </c>
      <c r="P145" s="3" t="s">
        <v>23</v>
      </c>
      <c r="Q145" s="8" t="s">
        <v>23</v>
      </c>
    </row>
    <row r="146" spans="1:17" hidden="1" x14ac:dyDescent="0.55000000000000004">
      <c r="A146" s="3" t="s">
        <v>273</v>
      </c>
      <c r="B146" s="3" t="s">
        <v>280</v>
      </c>
      <c r="C146" t="s">
        <v>280</v>
      </c>
      <c r="D146" s="3" t="s">
        <v>7319</v>
      </c>
      <c r="E146" t="s">
        <v>281</v>
      </c>
      <c r="F146" s="3" t="s">
        <v>282</v>
      </c>
      <c r="G146" t="s">
        <v>24</v>
      </c>
      <c r="H146" s="3" t="s">
        <v>305</v>
      </c>
      <c r="I146" t="s">
        <v>26</v>
      </c>
      <c r="J146" s="3" t="s">
        <v>306</v>
      </c>
      <c r="K146" s="4">
        <v>1563</v>
      </c>
      <c r="L146" s="5">
        <v>71.05</v>
      </c>
      <c r="M146" s="6">
        <v>1</v>
      </c>
      <c r="N146" s="7">
        <v>0</v>
      </c>
      <c r="O146" t="s">
        <v>307</v>
      </c>
      <c r="P146" s="3" t="s">
        <v>76</v>
      </c>
      <c r="Q146" s="8">
        <v>0.20633299999999999</v>
      </c>
    </row>
    <row r="147" spans="1:17" hidden="1" x14ac:dyDescent="0.55000000000000004">
      <c r="A147" s="3" t="s">
        <v>273</v>
      </c>
      <c r="B147" s="3" t="s">
        <v>280</v>
      </c>
      <c r="C147" t="s">
        <v>280</v>
      </c>
      <c r="D147" s="3" t="s">
        <v>7319</v>
      </c>
      <c r="E147" t="s">
        <v>281</v>
      </c>
      <c r="F147" s="3" t="s">
        <v>282</v>
      </c>
      <c r="G147" t="s">
        <v>24</v>
      </c>
      <c r="H147" s="3" t="s">
        <v>308</v>
      </c>
      <c r="I147" t="s">
        <v>309</v>
      </c>
      <c r="J147" s="3" t="s">
        <v>306</v>
      </c>
      <c r="K147" s="4">
        <v>1320</v>
      </c>
      <c r="L147" s="5">
        <v>0</v>
      </c>
      <c r="M147" s="6">
        <v>0</v>
      </c>
      <c r="N147" s="7">
        <v>0</v>
      </c>
      <c r="O147" t="s">
        <v>23</v>
      </c>
      <c r="P147" s="3" t="s">
        <v>23</v>
      </c>
      <c r="Q147" s="8" t="s">
        <v>23</v>
      </c>
    </row>
    <row r="148" spans="1:17" hidden="1" x14ac:dyDescent="0.55000000000000004">
      <c r="A148" s="3" t="s">
        <v>273</v>
      </c>
      <c r="B148" s="3" t="s">
        <v>280</v>
      </c>
      <c r="C148" t="s">
        <v>280</v>
      </c>
      <c r="D148" s="3" t="s">
        <v>7319</v>
      </c>
      <c r="E148" t="s">
        <v>281</v>
      </c>
      <c r="F148" s="3" t="s">
        <v>282</v>
      </c>
      <c r="G148" t="s">
        <v>24</v>
      </c>
      <c r="H148" s="3" t="s">
        <v>310</v>
      </c>
      <c r="I148" t="s">
        <v>218</v>
      </c>
      <c r="J148" s="3" t="s">
        <v>306</v>
      </c>
      <c r="K148" s="4">
        <v>1521</v>
      </c>
      <c r="L148" s="5">
        <v>0</v>
      </c>
      <c r="M148" s="6">
        <v>0</v>
      </c>
      <c r="N148" s="7">
        <v>0</v>
      </c>
      <c r="O148" t="s">
        <v>311</v>
      </c>
      <c r="P148" s="3" t="s">
        <v>23</v>
      </c>
      <c r="Q148" s="8" t="s">
        <v>23</v>
      </c>
    </row>
    <row r="149" spans="1:17" hidden="1" x14ac:dyDescent="0.55000000000000004">
      <c r="A149" s="3" t="s">
        <v>273</v>
      </c>
      <c r="B149" s="3" t="s">
        <v>280</v>
      </c>
      <c r="C149" t="s">
        <v>280</v>
      </c>
      <c r="D149" s="3" t="s">
        <v>7319</v>
      </c>
      <c r="E149" t="s">
        <v>281</v>
      </c>
      <c r="F149" s="3" t="s">
        <v>282</v>
      </c>
      <c r="G149" t="s">
        <v>24</v>
      </c>
      <c r="H149" s="3" t="s">
        <v>312</v>
      </c>
      <c r="I149" t="s">
        <v>313</v>
      </c>
      <c r="J149" s="3" t="s">
        <v>306</v>
      </c>
      <c r="K149" s="4">
        <v>1345</v>
      </c>
      <c r="L149" s="5">
        <v>0</v>
      </c>
      <c r="M149" s="6">
        <v>0</v>
      </c>
      <c r="N149" s="7">
        <v>0</v>
      </c>
      <c r="O149" t="s">
        <v>23</v>
      </c>
      <c r="P149" s="3" t="s">
        <v>23</v>
      </c>
      <c r="Q149" s="8" t="s">
        <v>23</v>
      </c>
    </row>
    <row r="150" spans="1:17" hidden="1" x14ac:dyDescent="0.55000000000000004">
      <c r="A150" s="3" t="s">
        <v>273</v>
      </c>
      <c r="B150" s="3" t="s">
        <v>280</v>
      </c>
      <c r="C150" t="s">
        <v>280</v>
      </c>
      <c r="D150" s="3" t="s">
        <v>7319</v>
      </c>
      <c r="E150" t="s">
        <v>281</v>
      </c>
      <c r="F150" s="3" t="s">
        <v>282</v>
      </c>
      <c r="G150" t="s">
        <v>24</v>
      </c>
      <c r="H150" s="3" t="s">
        <v>314</v>
      </c>
      <c r="I150" t="s">
        <v>315</v>
      </c>
      <c r="J150" s="3" t="s">
        <v>306</v>
      </c>
      <c r="K150" s="4">
        <v>942</v>
      </c>
      <c r="L150" s="5">
        <v>0</v>
      </c>
      <c r="M150" s="6">
        <v>0</v>
      </c>
      <c r="N150" s="7">
        <v>0</v>
      </c>
      <c r="O150" t="s">
        <v>23</v>
      </c>
      <c r="P150" s="3" t="s">
        <v>23</v>
      </c>
      <c r="Q150" s="8" t="s">
        <v>23</v>
      </c>
    </row>
    <row r="151" spans="1:17" hidden="1" x14ac:dyDescent="0.55000000000000004">
      <c r="A151" s="3" t="s">
        <v>273</v>
      </c>
      <c r="B151" s="3" t="s">
        <v>280</v>
      </c>
      <c r="C151" t="s">
        <v>280</v>
      </c>
      <c r="D151" s="3" t="s">
        <v>7319</v>
      </c>
      <c r="E151" t="s">
        <v>281</v>
      </c>
      <c r="F151" s="3" t="s">
        <v>282</v>
      </c>
      <c r="G151" t="s">
        <v>24</v>
      </c>
      <c r="H151" s="3" t="s">
        <v>316</v>
      </c>
      <c r="I151" t="s">
        <v>317</v>
      </c>
      <c r="J151" s="3" t="s">
        <v>306</v>
      </c>
      <c r="K151" s="4">
        <v>1186</v>
      </c>
      <c r="L151" s="5">
        <v>0</v>
      </c>
      <c r="M151" s="6">
        <v>0</v>
      </c>
      <c r="N151" s="7">
        <v>0</v>
      </c>
      <c r="O151" t="s">
        <v>23</v>
      </c>
      <c r="P151" s="3" t="s">
        <v>23</v>
      </c>
      <c r="Q151" s="8" t="s">
        <v>23</v>
      </c>
    </row>
    <row r="152" spans="1:17" hidden="1" x14ac:dyDescent="0.55000000000000004">
      <c r="A152" s="3" t="s">
        <v>273</v>
      </c>
      <c r="B152" s="3" t="s">
        <v>280</v>
      </c>
      <c r="C152" t="s">
        <v>280</v>
      </c>
      <c r="D152" s="3" t="s">
        <v>7319</v>
      </c>
      <c r="E152" t="s">
        <v>318</v>
      </c>
      <c r="F152" s="3" t="s">
        <v>319</v>
      </c>
      <c r="G152" t="s">
        <v>19</v>
      </c>
      <c r="H152" s="3" t="s">
        <v>283</v>
      </c>
      <c r="I152" t="s">
        <v>284</v>
      </c>
      <c r="J152" s="3" t="s">
        <v>285</v>
      </c>
      <c r="K152" s="4">
        <v>412</v>
      </c>
      <c r="L152" s="5">
        <v>89.59</v>
      </c>
      <c r="M152" s="6">
        <v>1</v>
      </c>
      <c r="N152" s="7">
        <v>0</v>
      </c>
      <c r="O152" t="s">
        <v>286</v>
      </c>
      <c r="P152" s="3" t="s">
        <v>287</v>
      </c>
      <c r="Q152" s="8">
        <v>4.4969000000000002E-2</v>
      </c>
    </row>
    <row r="153" spans="1:17" hidden="1" x14ac:dyDescent="0.55000000000000004">
      <c r="A153" s="3" t="s">
        <v>273</v>
      </c>
      <c r="B153" s="3" t="s">
        <v>280</v>
      </c>
      <c r="C153" t="s">
        <v>280</v>
      </c>
      <c r="D153" s="3" t="s">
        <v>7319</v>
      </c>
      <c r="E153" t="s">
        <v>318</v>
      </c>
      <c r="F153" s="3" t="s">
        <v>319</v>
      </c>
      <c r="G153" t="s">
        <v>19</v>
      </c>
      <c r="H153" s="3" t="s">
        <v>288</v>
      </c>
      <c r="I153" t="s">
        <v>289</v>
      </c>
      <c r="J153" s="3" t="s">
        <v>290</v>
      </c>
      <c r="K153" s="4">
        <v>408</v>
      </c>
      <c r="L153" s="5">
        <v>88.8</v>
      </c>
      <c r="M153" s="6">
        <v>0</v>
      </c>
      <c r="N153" s="7">
        <v>0</v>
      </c>
      <c r="O153" t="s">
        <v>291</v>
      </c>
      <c r="P153" s="3" t="s">
        <v>292</v>
      </c>
      <c r="Q153" s="8">
        <v>3.9309999999999998E-2</v>
      </c>
    </row>
    <row r="154" spans="1:17" hidden="1" x14ac:dyDescent="0.55000000000000004">
      <c r="A154" s="3" t="s">
        <v>273</v>
      </c>
      <c r="B154" s="3" t="s">
        <v>280</v>
      </c>
      <c r="C154" t="s">
        <v>280</v>
      </c>
      <c r="D154" s="3" t="s">
        <v>7319</v>
      </c>
      <c r="E154" t="s">
        <v>318</v>
      </c>
      <c r="F154" s="3" t="s">
        <v>319</v>
      </c>
      <c r="G154" t="s">
        <v>24</v>
      </c>
      <c r="H154" s="3" t="s">
        <v>293</v>
      </c>
      <c r="I154" t="s">
        <v>52</v>
      </c>
      <c r="J154" s="3" t="s">
        <v>294</v>
      </c>
      <c r="K154" s="4">
        <v>1092</v>
      </c>
      <c r="L154" s="5">
        <v>0</v>
      </c>
      <c r="M154" s="6">
        <v>0</v>
      </c>
      <c r="N154" s="7">
        <v>0</v>
      </c>
      <c r="O154" t="s">
        <v>23</v>
      </c>
      <c r="P154" s="3" t="s">
        <v>23</v>
      </c>
      <c r="Q154" s="8" t="s">
        <v>23</v>
      </c>
    </row>
    <row r="155" spans="1:17" hidden="1" x14ac:dyDescent="0.55000000000000004">
      <c r="A155" s="3" t="s">
        <v>273</v>
      </c>
      <c r="B155" s="3" t="s">
        <v>280</v>
      </c>
      <c r="C155" t="s">
        <v>280</v>
      </c>
      <c r="D155" s="3" t="s">
        <v>7319</v>
      </c>
      <c r="E155" t="s">
        <v>318</v>
      </c>
      <c r="F155" s="3" t="s">
        <v>319</v>
      </c>
      <c r="G155" t="s">
        <v>24</v>
      </c>
      <c r="H155" s="3" t="s">
        <v>295</v>
      </c>
      <c r="I155" t="s">
        <v>296</v>
      </c>
      <c r="J155" s="3" t="s">
        <v>294</v>
      </c>
      <c r="K155" s="4">
        <v>946</v>
      </c>
      <c r="L155" s="5">
        <v>0</v>
      </c>
      <c r="M155" s="6">
        <v>0</v>
      </c>
      <c r="N155" s="7">
        <v>0</v>
      </c>
      <c r="O155" t="s">
        <v>23</v>
      </c>
      <c r="P155" s="3" t="s">
        <v>23</v>
      </c>
      <c r="Q155" s="8" t="s">
        <v>23</v>
      </c>
    </row>
    <row r="156" spans="1:17" hidden="1" x14ac:dyDescent="0.55000000000000004">
      <c r="A156" s="3" t="s">
        <v>273</v>
      </c>
      <c r="B156" s="3" t="s">
        <v>280</v>
      </c>
      <c r="C156" t="s">
        <v>280</v>
      </c>
      <c r="D156" s="3" t="s">
        <v>7319</v>
      </c>
      <c r="E156" t="s">
        <v>318</v>
      </c>
      <c r="F156" s="3" t="s">
        <v>319</v>
      </c>
      <c r="G156" t="s">
        <v>24</v>
      </c>
      <c r="H156" s="3" t="s">
        <v>297</v>
      </c>
      <c r="I156" t="s">
        <v>298</v>
      </c>
      <c r="J156" s="3" t="s">
        <v>294</v>
      </c>
      <c r="K156" s="4">
        <v>1366</v>
      </c>
      <c r="L156" s="5">
        <v>0</v>
      </c>
      <c r="M156" s="6">
        <v>0</v>
      </c>
      <c r="N156" s="7">
        <v>0</v>
      </c>
      <c r="O156" t="s">
        <v>23</v>
      </c>
      <c r="P156" s="3" t="s">
        <v>23</v>
      </c>
      <c r="Q156" s="8" t="s">
        <v>23</v>
      </c>
    </row>
    <row r="157" spans="1:17" hidden="1" x14ac:dyDescent="0.55000000000000004">
      <c r="A157" s="3" t="s">
        <v>273</v>
      </c>
      <c r="B157" s="3" t="s">
        <v>280</v>
      </c>
      <c r="C157" t="s">
        <v>280</v>
      </c>
      <c r="D157" s="3" t="s">
        <v>7319</v>
      </c>
      <c r="E157" t="s">
        <v>318</v>
      </c>
      <c r="F157" s="3" t="s">
        <v>319</v>
      </c>
      <c r="G157" t="s">
        <v>24</v>
      </c>
      <c r="H157" s="3" t="s">
        <v>299</v>
      </c>
      <c r="I157" t="s">
        <v>300</v>
      </c>
      <c r="J157" s="3" t="s">
        <v>294</v>
      </c>
      <c r="K157" s="4">
        <v>1108</v>
      </c>
      <c r="L157" s="5">
        <v>0</v>
      </c>
      <c r="M157" s="6">
        <v>0</v>
      </c>
      <c r="N157" s="7">
        <v>0</v>
      </c>
      <c r="O157" t="s">
        <v>23</v>
      </c>
      <c r="P157" s="3" t="s">
        <v>23</v>
      </c>
      <c r="Q157" s="8" t="s">
        <v>23</v>
      </c>
    </row>
    <row r="158" spans="1:17" hidden="1" x14ac:dyDescent="0.55000000000000004">
      <c r="A158" s="3" t="s">
        <v>273</v>
      </c>
      <c r="B158" s="3" t="s">
        <v>280</v>
      </c>
      <c r="C158" t="s">
        <v>280</v>
      </c>
      <c r="D158" s="3" t="s">
        <v>7319</v>
      </c>
      <c r="E158" t="s">
        <v>318</v>
      </c>
      <c r="F158" s="3" t="s">
        <v>319</v>
      </c>
      <c r="G158" t="s">
        <v>24</v>
      </c>
      <c r="H158" s="3" t="s">
        <v>301</v>
      </c>
      <c r="I158" t="s">
        <v>302</v>
      </c>
      <c r="J158" s="3" t="s">
        <v>294</v>
      </c>
      <c r="K158" s="4">
        <v>1345</v>
      </c>
      <c r="L158" s="5">
        <v>0</v>
      </c>
      <c r="M158" s="6">
        <v>0</v>
      </c>
      <c r="N158" s="7">
        <v>0</v>
      </c>
      <c r="O158" t="s">
        <v>23</v>
      </c>
      <c r="P158" s="3" t="s">
        <v>23</v>
      </c>
      <c r="Q158" s="8" t="s">
        <v>23</v>
      </c>
    </row>
    <row r="159" spans="1:17" hidden="1" x14ac:dyDescent="0.55000000000000004">
      <c r="A159" s="3" t="s">
        <v>273</v>
      </c>
      <c r="B159" s="3" t="s">
        <v>280</v>
      </c>
      <c r="C159" t="s">
        <v>280</v>
      </c>
      <c r="D159" s="3" t="s">
        <v>7319</v>
      </c>
      <c r="E159" t="s">
        <v>318</v>
      </c>
      <c r="F159" s="3" t="s">
        <v>319</v>
      </c>
      <c r="G159" t="s">
        <v>24</v>
      </c>
      <c r="H159" s="3" t="s">
        <v>303</v>
      </c>
      <c r="I159" t="s">
        <v>304</v>
      </c>
      <c r="J159" s="3" t="s">
        <v>294</v>
      </c>
      <c r="K159" s="4">
        <v>1521</v>
      </c>
      <c r="L159" s="5">
        <v>0</v>
      </c>
      <c r="M159" s="6">
        <v>0</v>
      </c>
      <c r="N159" s="7">
        <v>0</v>
      </c>
      <c r="O159" t="s">
        <v>23</v>
      </c>
      <c r="P159" s="3" t="s">
        <v>23</v>
      </c>
      <c r="Q159" s="8" t="s">
        <v>23</v>
      </c>
    </row>
    <row r="160" spans="1:17" hidden="1" x14ac:dyDescent="0.55000000000000004">
      <c r="A160" s="3" t="s">
        <v>273</v>
      </c>
      <c r="B160" s="3" t="s">
        <v>280</v>
      </c>
      <c r="C160" t="s">
        <v>280</v>
      </c>
      <c r="D160" s="3" t="s">
        <v>7319</v>
      </c>
      <c r="E160" t="s">
        <v>318</v>
      </c>
      <c r="F160" s="3" t="s">
        <v>319</v>
      </c>
      <c r="G160" t="s">
        <v>24</v>
      </c>
      <c r="H160" s="3" t="s">
        <v>305</v>
      </c>
      <c r="I160" t="s">
        <v>26</v>
      </c>
      <c r="J160" s="3" t="s">
        <v>306</v>
      </c>
      <c r="K160" s="4">
        <v>1563</v>
      </c>
      <c r="L160" s="5">
        <v>71.05</v>
      </c>
      <c r="M160" s="6">
        <v>1</v>
      </c>
      <c r="N160" s="7">
        <v>0</v>
      </c>
      <c r="O160" t="s">
        <v>307</v>
      </c>
      <c r="P160" s="3" t="s">
        <v>76</v>
      </c>
      <c r="Q160" s="8">
        <v>0.20633299999999999</v>
      </c>
    </row>
    <row r="161" spans="1:17" hidden="1" x14ac:dyDescent="0.55000000000000004">
      <c r="A161" s="3" t="s">
        <v>273</v>
      </c>
      <c r="B161" s="3" t="s">
        <v>280</v>
      </c>
      <c r="C161" t="s">
        <v>280</v>
      </c>
      <c r="D161" s="3" t="s">
        <v>7319</v>
      </c>
      <c r="E161" t="s">
        <v>318</v>
      </c>
      <c r="F161" s="3" t="s">
        <v>319</v>
      </c>
      <c r="G161" t="s">
        <v>24</v>
      </c>
      <c r="H161" s="3" t="s">
        <v>308</v>
      </c>
      <c r="I161" t="s">
        <v>309</v>
      </c>
      <c r="J161" s="3" t="s">
        <v>306</v>
      </c>
      <c r="K161" s="4">
        <v>1320</v>
      </c>
      <c r="L161" s="5">
        <v>0</v>
      </c>
      <c r="M161" s="6">
        <v>0</v>
      </c>
      <c r="N161" s="7">
        <v>0</v>
      </c>
      <c r="O161" t="s">
        <v>23</v>
      </c>
      <c r="P161" s="3" t="s">
        <v>23</v>
      </c>
      <c r="Q161" s="8" t="s">
        <v>23</v>
      </c>
    </row>
    <row r="162" spans="1:17" hidden="1" x14ac:dyDescent="0.55000000000000004">
      <c r="A162" s="3" t="s">
        <v>273</v>
      </c>
      <c r="B162" s="3" t="s">
        <v>280</v>
      </c>
      <c r="C162" t="s">
        <v>280</v>
      </c>
      <c r="D162" s="3" t="s">
        <v>7319</v>
      </c>
      <c r="E162" t="s">
        <v>318</v>
      </c>
      <c r="F162" s="3" t="s">
        <v>319</v>
      </c>
      <c r="G162" t="s">
        <v>24</v>
      </c>
      <c r="H162" s="3" t="s">
        <v>310</v>
      </c>
      <c r="I162" t="s">
        <v>218</v>
      </c>
      <c r="J162" s="3" t="s">
        <v>306</v>
      </c>
      <c r="K162" s="4">
        <v>1521</v>
      </c>
      <c r="L162" s="5">
        <v>0</v>
      </c>
      <c r="M162" s="6">
        <v>0</v>
      </c>
      <c r="N162" s="7">
        <v>0</v>
      </c>
      <c r="O162" t="s">
        <v>311</v>
      </c>
      <c r="P162" s="3" t="s">
        <v>23</v>
      </c>
      <c r="Q162" s="8" t="s">
        <v>23</v>
      </c>
    </row>
    <row r="163" spans="1:17" hidden="1" x14ac:dyDescent="0.55000000000000004">
      <c r="A163" s="3" t="s">
        <v>273</v>
      </c>
      <c r="B163" s="3" t="s">
        <v>280</v>
      </c>
      <c r="C163" t="s">
        <v>280</v>
      </c>
      <c r="D163" s="3" t="s">
        <v>7319</v>
      </c>
      <c r="E163" t="s">
        <v>318</v>
      </c>
      <c r="F163" s="3" t="s">
        <v>319</v>
      </c>
      <c r="G163" t="s">
        <v>24</v>
      </c>
      <c r="H163" s="3" t="s">
        <v>312</v>
      </c>
      <c r="I163" t="s">
        <v>313</v>
      </c>
      <c r="J163" s="3" t="s">
        <v>306</v>
      </c>
      <c r="K163" s="4">
        <v>1345</v>
      </c>
      <c r="L163" s="5">
        <v>0</v>
      </c>
      <c r="M163" s="6">
        <v>0</v>
      </c>
      <c r="N163" s="7">
        <v>0</v>
      </c>
      <c r="O163" t="s">
        <v>23</v>
      </c>
      <c r="P163" s="3" t="s">
        <v>23</v>
      </c>
      <c r="Q163" s="8" t="s">
        <v>23</v>
      </c>
    </row>
    <row r="164" spans="1:17" hidden="1" x14ac:dyDescent="0.55000000000000004">
      <c r="A164" s="3" t="s">
        <v>273</v>
      </c>
      <c r="B164" s="3" t="s">
        <v>280</v>
      </c>
      <c r="C164" t="s">
        <v>280</v>
      </c>
      <c r="D164" s="3" t="s">
        <v>7319</v>
      </c>
      <c r="E164" t="s">
        <v>318</v>
      </c>
      <c r="F164" s="3" t="s">
        <v>319</v>
      </c>
      <c r="G164" t="s">
        <v>24</v>
      </c>
      <c r="H164" s="3" t="s">
        <v>314</v>
      </c>
      <c r="I164" t="s">
        <v>315</v>
      </c>
      <c r="J164" s="3" t="s">
        <v>306</v>
      </c>
      <c r="K164" s="4">
        <v>942</v>
      </c>
      <c r="L164" s="5">
        <v>0</v>
      </c>
      <c r="M164" s="6">
        <v>0</v>
      </c>
      <c r="N164" s="7">
        <v>0</v>
      </c>
      <c r="O164" t="s">
        <v>23</v>
      </c>
      <c r="P164" s="3" t="s">
        <v>23</v>
      </c>
      <c r="Q164" s="8" t="s">
        <v>23</v>
      </c>
    </row>
    <row r="165" spans="1:17" hidden="1" x14ac:dyDescent="0.55000000000000004">
      <c r="A165" s="3" t="s">
        <v>273</v>
      </c>
      <c r="B165" s="3" t="s">
        <v>280</v>
      </c>
      <c r="C165" t="s">
        <v>280</v>
      </c>
      <c r="D165" s="3" t="s">
        <v>7319</v>
      </c>
      <c r="E165" t="s">
        <v>318</v>
      </c>
      <c r="F165" s="3" t="s">
        <v>319</v>
      </c>
      <c r="G165" t="s">
        <v>24</v>
      </c>
      <c r="H165" s="3" t="s">
        <v>316</v>
      </c>
      <c r="I165" t="s">
        <v>317</v>
      </c>
      <c r="J165" s="3" t="s">
        <v>306</v>
      </c>
      <c r="K165" s="4">
        <v>1186</v>
      </c>
      <c r="L165" s="5">
        <v>0</v>
      </c>
      <c r="M165" s="6">
        <v>0</v>
      </c>
      <c r="N165" s="7">
        <v>0</v>
      </c>
      <c r="O165" t="s">
        <v>23</v>
      </c>
      <c r="P165" s="3" t="s">
        <v>23</v>
      </c>
      <c r="Q165" s="8" t="s">
        <v>23</v>
      </c>
    </row>
    <row r="166" spans="1:17" hidden="1" x14ac:dyDescent="0.55000000000000004">
      <c r="A166" s="3" t="s">
        <v>273</v>
      </c>
      <c r="B166" s="3" t="s">
        <v>280</v>
      </c>
      <c r="C166" t="s">
        <v>280</v>
      </c>
      <c r="D166" s="3" t="s">
        <v>7319</v>
      </c>
      <c r="E166" t="s">
        <v>320</v>
      </c>
      <c r="F166" s="3" t="s">
        <v>321</v>
      </c>
      <c r="G166" t="s">
        <v>19</v>
      </c>
      <c r="H166" s="3" t="s">
        <v>283</v>
      </c>
      <c r="I166" t="s">
        <v>284</v>
      </c>
      <c r="J166" s="3" t="s">
        <v>285</v>
      </c>
      <c r="K166" s="4">
        <v>412</v>
      </c>
      <c r="L166" s="5">
        <v>89.59</v>
      </c>
      <c r="M166" s="6">
        <v>1</v>
      </c>
      <c r="N166" s="7">
        <v>1</v>
      </c>
      <c r="O166" t="s">
        <v>286</v>
      </c>
      <c r="P166" s="3" t="s">
        <v>287</v>
      </c>
      <c r="Q166" s="8">
        <v>4.4969000000000002E-2</v>
      </c>
    </row>
    <row r="167" spans="1:17" hidden="1" x14ac:dyDescent="0.55000000000000004">
      <c r="A167" s="3" t="s">
        <v>273</v>
      </c>
      <c r="B167" s="3" t="s">
        <v>280</v>
      </c>
      <c r="C167" t="s">
        <v>280</v>
      </c>
      <c r="D167" s="3" t="s">
        <v>7319</v>
      </c>
      <c r="E167" t="s">
        <v>320</v>
      </c>
      <c r="F167" s="3" t="s">
        <v>321</v>
      </c>
      <c r="G167" t="s">
        <v>19</v>
      </c>
      <c r="H167" s="3" t="s">
        <v>288</v>
      </c>
      <c r="I167" t="s">
        <v>289</v>
      </c>
      <c r="J167" s="3" t="s">
        <v>290</v>
      </c>
      <c r="K167" s="4">
        <v>408</v>
      </c>
      <c r="L167" s="5">
        <v>88.8</v>
      </c>
      <c r="M167" s="6">
        <v>0</v>
      </c>
      <c r="N167" s="7">
        <v>1</v>
      </c>
      <c r="O167" t="s">
        <v>291</v>
      </c>
      <c r="P167" s="3" t="s">
        <v>292</v>
      </c>
      <c r="Q167" s="8">
        <v>3.9309999999999998E-2</v>
      </c>
    </row>
    <row r="168" spans="1:17" hidden="1" x14ac:dyDescent="0.55000000000000004">
      <c r="A168" s="3" t="s">
        <v>273</v>
      </c>
      <c r="B168" s="3" t="s">
        <v>280</v>
      </c>
      <c r="C168" t="s">
        <v>280</v>
      </c>
      <c r="D168" s="3" t="s">
        <v>7319</v>
      </c>
      <c r="E168" t="s">
        <v>320</v>
      </c>
      <c r="F168" s="3" t="s">
        <v>321</v>
      </c>
      <c r="G168" t="s">
        <v>24</v>
      </c>
      <c r="H168" s="3" t="s">
        <v>293</v>
      </c>
      <c r="I168" t="s">
        <v>52</v>
      </c>
      <c r="J168" s="3" t="s">
        <v>294</v>
      </c>
      <c r="K168" s="4">
        <v>1092</v>
      </c>
      <c r="L168" s="5">
        <v>0</v>
      </c>
      <c r="M168" s="6">
        <v>0</v>
      </c>
      <c r="N168" s="7">
        <v>1</v>
      </c>
      <c r="O168" t="s">
        <v>23</v>
      </c>
      <c r="P168" s="3" t="s">
        <v>23</v>
      </c>
      <c r="Q168" s="8" t="s">
        <v>23</v>
      </c>
    </row>
    <row r="169" spans="1:17" hidden="1" x14ac:dyDescent="0.55000000000000004">
      <c r="A169" s="3" t="s">
        <v>273</v>
      </c>
      <c r="B169" s="3" t="s">
        <v>280</v>
      </c>
      <c r="C169" t="s">
        <v>280</v>
      </c>
      <c r="D169" s="3" t="s">
        <v>7319</v>
      </c>
      <c r="E169" t="s">
        <v>320</v>
      </c>
      <c r="F169" s="3" t="s">
        <v>321</v>
      </c>
      <c r="G169" t="s">
        <v>24</v>
      </c>
      <c r="H169" s="3" t="s">
        <v>295</v>
      </c>
      <c r="I169" t="s">
        <v>296</v>
      </c>
      <c r="J169" s="3" t="s">
        <v>294</v>
      </c>
      <c r="K169" s="4">
        <v>946</v>
      </c>
      <c r="L169" s="5">
        <v>0</v>
      </c>
      <c r="M169" s="6">
        <v>0</v>
      </c>
      <c r="N169" s="7">
        <v>1</v>
      </c>
      <c r="O169" t="s">
        <v>23</v>
      </c>
      <c r="P169" s="3" t="s">
        <v>23</v>
      </c>
      <c r="Q169" s="8" t="s">
        <v>23</v>
      </c>
    </row>
    <row r="170" spans="1:17" hidden="1" x14ac:dyDescent="0.55000000000000004">
      <c r="A170" s="3" t="s">
        <v>273</v>
      </c>
      <c r="B170" s="3" t="s">
        <v>280</v>
      </c>
      <c r="C170" t="s">
        <v>280</v>
      </c>
      <c r="D170" s="3" t="s">
        <v>7319</v>
      </c>
      <c r="E170" t="s">
        <v>320</v>
      </c>
      <c r="F170" s="3" t="s">
        <v>321</v>
      </c>
      <c r="G170" t="s">
        <v>24</v>
      </c>
      <c r="H170" s="3" t="s">
        <v>297</v>
      </c>
      <c r="I170" t="s">
        <v>298</v>
      </c>
      <c r="J170" s="3" t="s">
        <v>294</v>
      </c>
      <c r="K170" s="4">
        <v>1366</v>
      </c>
      <c r="L170" s="5">
        <v>0</v>
      </c>
      <c r="M170" s="6">
        <v>0</v>
      </c>
      <c r="N170" s="7">
        <v>1</v>
      </c>
      <c r="O170" t="s">
        <v>23</v>
      </c>
      <c r="P170" s="3" t="s">
        <v>23</v>
      </c>
      <c r="Q170" s="8" t="s">
        <v>23</v>
      </c>
    </row>
    <row r="171" spans="1:17" hidden="1" x14ac:dyDescent="0.55000000000000004">
      <c r="A171" s="3" t="s">
        <v>273</v>
      </c>
      <c r="B171" s="3" t="s">
        <v>280</v>
      </c>
      <c r="C171" t="s">
        <v>280</v>
      </c>
      <c r="D171" s="3" t="s">
        <v>7319</v>
      </c>
      <c r="E171" t="s">
        <v>320</v>
      </c>
      <c r="F171" s="3" t="s">
        <v>321</v>
      </c>
      <c r="G171" t="s">
        <v>24</v>
      </c>
      <c r="H171" s="3" t="s">
        <v>299</v>
      </c>
      <c r="I171" t="s">
        <v>300</v>
      </c>
      <c r="J171" s="3" t="s">
        <v>294</v>
      </c>
      <c r="K171" s="4">
        <v>1108</v>
      </c>
      <c r="L171" s="5">
        <v>0</v>
      </c>
      <c r="M171" s="6">
        <v>0</v>
      </c>
      <c r="N171" s="7">
        <v>1</v>
      </c>
      <c r="O171" t="s">
        <v>23</v>
      </c>
      <c r="P171" s="3" t="s">
        <v>23</v>
      </c>
      <c r="Q171" s="8" t="s">
        <v>23</v>
      </c>
    </row>
    <row r="172" spans="1:17" hidden="1" x14ac:dyDescent="0.55000000000000004">
      <c r="A172" s="3" t="s">
        <v>273</v>
      </c>
      <c r="B172" s="3" t="s">
        <v>280</v>
      </c>
      <c r="C172" t="s">
        <v>280</v>
      </c>
      <c r="D172" s="3" t="s">
        <v>7319</v>
      </c>
      <c r="E172" t="s">
        <v>320</v>
      </c>
      <c r="F172" s="3" t="s">
        <v>321</v>
      </c>
      <c r="G172" t="s">
        <v>24</v>
      </c>
      <c r="H172" s="3" t="s">
        <v>301</v>
      </c>
      <c r="I172" t="s">
        <v>302</v>
      </c>
      <c r="J172" s="3" t="s">
        <v>294</v>
      </c>
      <c r="K172" s="4">
        <v>1345</v>
      </c>
      <c r="L172" s="5">
        <v>0</v>
      </c>
      <c r="M172" s="6">
        <v>0</v>
      </c>
      <c r="N172" s="7">
        <v>1</v>
      </c>
      <c r="O172" t="s">
        <v>23</v>
      </c>
      <c r="P172" s="3" t="s">
        <v>23</v>
      </c>
      <c r="Q172" s="8" t="s">
        <v>23</v>
      </c>
    </row>
    <row r="173" spans="1:17" hidden="1" x14ac:dyDescent="0.55000000000000004">
      <c r="A173" s="3" t="s">
        <v>273</v>
      </c>
      <c r="B173" s="3" t="s">
        <v>280</v>
      </c>
      <c r="C173" t="s">
        <v>280</v>
      </c>
      <c r="D173" s="3" t="s">
        <v>7319</v>
      </c>
      <c r="E173" t="s">
        <v>320</v>
      </c>
      <c r="F173" s="3" t="s">
        <v>321</v>
      </c>
      <c r="G173" t="s">
        <v>24</v>
      </c>
      <c r="H173" s="3" t="s">
        <v>303</v>
      </c>
      <c r="I173" t="s">
        <v>304</v>
      </c>
      <c r="J173" s="3" t="s">
        <v>294</v>
      </c>
      <c r="K173" s="4">
        <v>1521</v>
      </c>
      <c r="L173" s="5">
        <v>0</v>
      </c>
      <c r="M173" s="6">
        <v>0</v>
      </c>
      <c r="N173" s="7">
        <v>1</v>
      </c>
      <c r="O173" t="s">
        <v>23</v>
      </c>
      <c r="P173" s="3" t="s">
        <v>23</v>
      </c>
      <c r="Q173" s="8" t="s">
        <v>23</v>
      </c>
    </row>
    <row r="174" spans="1:17" hidden="1" x14ac:dyDescent="0.55000000000000004">
      <c r="A174" s="3" t="s">
        <v>273</v>
      </c>
      <c r="B174" s="3" t="s">
        <v>280</v>
      </c>
      <c r="C174" t="s">
        <v>280</v>
      </c>
      <c r="D174" s="3" t="s">
        <v>7319</v>
      </c>
      <c r="E174" t="s">
        <v>320</v>
      </c>
      <c r="F174" s="3" t="s">
        <v>321</v>
      </c>
      <c r="G174" t="s">
        <v>24</v>
      </c>
      <c r="H174" s="3" t="s">
        <v>305</v>
      </c>
      <c r="I174" t="s">
        <v>26</v>
      </c>
      <c r="J174" s="3" t="s">
        <v>306</v>
      </c>
      <c r="K174" s="4">
        <v>1563</v>
      </c>
      <c r="L174" s="5">
        <v>71.05</v>
      </c>
      <c r="M174" s="6">
        <v>1</v>
      </c>
      <c r="N174" s="7">
        <v>1</v>
      </c>
      <c r="O174" t="s">
        <v>307</v>
      </c>
      <c r="P174" s="3" t="s">
        <v>76</v>
      </c>
      <c r="Q174" s="8">
        <v>0.20633299999999999</v>
      </c>
    </row>
    <row r="175" spans="1:17" hidden="1" x14ac:dyDescent="0.55000000000000004">
      <c r="A175" s="3" t="s">
        <v>273</v>
      </c>
      <c r="B175" s="3" t="s">
        <v>280</v>
      </c>
      <c r="C175" t="s">
        <v>280</v>
      </c>
      <c r="D175" s="3" t="s">
        <v>7319</v>
      </c>
      <c r="E175" t="s">
        <v>320</v>
      </c>
      <c r="F175" s="3" t="s">
        <v>321</v>
      </c>
      <c r="G175" t="s">
        <v>24</v>
      </c>
      <c r="H175" s="3" t="s">
        <v>308</v>
      </c>
      <c r="I175" t="s">
        <v>309</v>
      </c>
      <c r="J175" s="3" t="s">
        <v>306</v>
      </c>
      <c r="K175" s="4">
        <v>1320</v>
      </c>
      <c r="L175" s="5">
        <v>0</v>
      </c>
      <c r="M175" s="6">
        <v>0</v>
      </c>
      <c r="N175" s="7">
        <v>1</v>
      </c>
      <c r="O175" t="s">
        <v>23</v>
      </c>
      <c r="P175" s="3" t="s">
        <v>23</v>
      </c>
      <c r="Q175" s="8" t="s">
        <v>23</v>
      </c>
    </row>
    <row r="176" spans="1:17" hidden="1" x14ac:dyDescent="0.55000000000000004">
      <c r="A176" s="3" t="s">
        <v>273</v>
      </c>
      <c r="B176" s="3" t="s">
        <v>280</v>
      </c>
      <c r="C176" t="s">
        <v>280</v>
      </c>
      <c r="D176" s="3" t="s">
        <v>7319</v>
      </c>
      <c r="E176" t="s">
        <v>320</v>
      </c>
      <c r="F176" s="3" t="s">
        <v>321</v>
      </c>
      <c r="G176" t="s">
        <v>24</v>
      </c>
      <c r="H176" s="3" t="s">
        <v>310</v>
      </c>
      <c r="I176" t="s">
        <v>218</v>
      </c>
      <c r="J176" s="3" t="s">
        <v>306</v>
      </c>
      <c r="K176" s="4">
        <v>1521</v>
      </c>
      <c r="L176" s="5">
        <v>0</v>
      </c>
      <c r="M176" s="6">
        <v>0</v>
      </c>
      <c r="N176" s="7">
        <v>1</v>
      </c>
      <c r="O176" t="s">
        <v>311</v>
      </c>
      <c r="P176" s="3" t="s">
        <v>23</v>
      </c>
      <c r="Q176" s="8" t="s">
        <v>23</v>
      </c>
    </row>
    <row r="177" spans="1:17" hidden="1" x14ac:dyDescent="0.55000000000000004">
      <c r="A177" s="3" t="s">
        <v>273</v>
      </c>
      <c r="B177" s="3" t="s">
        <v>280</v>
      </c>
      <c r="C177" t="s">
        <v>280</v>
      </c>
      <c r="D177" s="3" t="s">
        <v>7319</v>
      </c>
      <c r="E177" t="s">
        <v>320</v>
      </c>
      <c r="F177" s="3" t="s">
        <v>321</v>
      </c>
      <c r="G177" t="s">
        <v>24</v>
      </c>
      <c r="H177" s="3" t="s">
        <v>312</v>
      </c>
      <c r="I177" t="s">
        <v>313</v>
      </c>
      <c r="J177" s="3" t="s">
        <v>306</v>
      </c>
      <c r="K177" s="4">
        <v>1345</v>
      </c>
      <c r="L177" s="5">
        <v>0</v>
      </c>
      <c r="M177" s="6">
        <v>0</v>
      </c>
      <c r="N177" s="7">
        <v>1</v>
      </c>
      <c r="O177" t="s">
        <v>23</v>
      </c>
      <c r="P177" s="3" t="s">
        <v>23</v>
      </c>
      <c r="Q177" s="8" t="s">
        <v>23</v>
      </c>
    </row>
    <row r="178" spans="1:17" hidden="1" x14ac:dyDescent="0.55000000000000004">
      <c r="A178" s="3" t="s">
        <v>273</v>
      </c>
      <c r="B178" s="3" t="s">
        <v>280</v>
      </c>
      <c r="C178" t="s">
        <v>280</v>
      </c>
      <c r="D178" s="3" t="s">
        <v>7319</v>
      </c>
      <c r="E178" t="s">
        <v>320</v>
      </c>
      <c r="F178" s="3" t="s">
        <v>321</v>
      </c>
      <c r="G178" t="s">
        <v>24</v>
      </c>
      <c r="H178" s="3" t="s">
        <v>314</v>
      </c>
      <c r="I178" t="s">
        <v>315</v>
      </c>
      <c r="J178" s="3" t="s">
        <v>306</v>
      </c>
      <c r="K178" s="4">
        <v>942</v>
      </c>
      <c r="L178" s="5">
        <v>0</v>
      </c>
      <c r="M178" s="6">
        <v>0</v>
      </c>
      <c r="N178" s="7">
        <v>1</v>
      </c>
      <c r="O178" t="s">
        <v>23</v>
      </c>
      <c r="P178" s="3" t="s">
        <v>23</v>
      </c>
      <c r="Q178" s="8" t="s">
        <v>23</v>
      </c>
    </row>
    <row r="179" spans="1:17" hidden="1" x14ac:dyDescent="0.55000000000000004">
      <c r="A179" s="3" t="s">
        <v>273</v>
      </c>
      <c r="B179" s="3" t="s">
        <v>280</v>
      </c>
      <c r="C179" t="s">
        <v>280</v>
      </c>
      <c r="D179" s="3" t="s">
        <v>7319</v>
      </c>
      <c r="E179" t="s">
        <v>320</v>
      </c>
      <c r="F179" s="3" t="s">
        <v>321</v>
      </c>
      <c r="G179" t="s">
        <v>24</v>
      </c>
      <c r="H179" s="3" t="s">
        <v>316</v>
      </c>
      <c r="I179" t="s">
        <v>317</v>
      </c>
      <c r="J179" s="3" t="s">
        <v>306</v>
      </c>
      <c r="K179" s="4">
        <v>1186</v>
      </c>
      <c r="L179" s="5">
        <v>0</v>
      </c>
      <c r="M179" s="6">
        <v>0</v>
      </c>
      <c r="N179" s="7">
        <v>1</v>
      </c>
      <c r="O179" t="s">
        <v>23</v>
      </c>
      <c r="P179" s="3" t="s">
        <v>23</v>
      </c>
      <c r="Q179" s="8" t="s">
        <v>23</v>
      </c>
    </row>
    <row r="180" spans="1:17" hidden="1" x14ac:dyDescent="0.55000000000000004">
      <c r="A180" s="3" t="s">
        <v>273</v>
      </c>
      <c r="B180" s="3" t="s">
        <v>280</v>
      </c>
      <c r="C180" t="s">
        <v>280</v>
      </c>
      <c r="D180" s="3" t="s">
        <v>7319</v>
      </c>
      <c r="E180" t="s">
        <v>322</v>
      </c>
      <c r="F180" s="3" t="s">
        <v>323</v>
      </c>
      <c r="G180" t="s">
        <v>24</v>
      </c>
      <c r="H180" s="3" t="s">
        <v>293</v>
      </c>
      <c r="I180" t="s">
        <v>52</v>
      </c>
      <c r="J180" s="3" t="s">
        <v>294</v>
      </c>
      <c r="K180" s="4">
        <v>1092</v>
      </c>
      <c r="L180" s="5">
        <v>0</v>
      </c>
      <c r="M180" s="6">
        <v>0</v>
      </c>
      <c r="N180" s="7">
        <v>0</v>
      </c>
      <c r="O180" t="s">
        <v>23</v>
      </c>
      <c r="P180" s="3" t="s">
        <v>23</v>
      </c>
      <c r="Q180" s="8" t="s">
        <v>23</v>
      </c>
    </row>
    <row r="181" spans="1:17" hidden="1" x14ac:dyDescent="0.55000000000000004">
      <c r="A181" s="3" t="s">
        <v>273</v>
      </c>
      <c r="B181" s="3" t="s">
        <v>280</v>
      </c>
      <c r="C181" t="s">
        <v>280</v>
      </c>
      <c r="D181" s="3" t="s">
        <v>7319</v>
      </c>
      <c r="E181" t="s">
        <v>322</v>
      </c>
      <c r="F181" s="3" t="s">
        <v>323</v>
      </c>
      <c r="G181" t="s">
        <v>24</v>
      </c>
      <c r="H181" s="3" t="s">
        <v>295</v>
      </c>
      <c r="I181" t="s">
        <v>296</v>
      </c>
      <c r="J181" s="3" t="s">
        <v>294</v>
      </c>
      <c r="K181" s="4">
        <v>946</v>
      </c>
      <c r="L181" s="5">
        <v>0</v>
      </c>
      <c r="M181" s="6">
        <v>0</v>
      </c>
      <c r="N181" s="7">
        <v>0</v>
      </c>
      <c r="O181" t="s">
        <v>23</v>
      </c>
      <c r="P181" s="3" t="s">
        <v>23</v>
      </c>
      <c r="Q181" s="8" t="s">
        <v>23</v>
      </c>
    </row>
    <row r="182" spans="1:17" hidden="1" x14ac:dyDescent="0.55000000000000004">
      <c r="A182" s="3" t="s">
        <v>273</v>
      </c>
      <c r="B182" s="3" t="s">
        <v>280</v>
      </c>
      <c r="C182" t="s">
        <v>280</v>
      </c>
      <c r="D182" s="3" t="s">
        <v>7319</v>
      </c>
      <c r="E182" t="s">
        <v>322</v>
      </c>
      <c r="F182" s="3" t="s">
        <v>323</v>
      </c>
      <c r="G182" t="s">
        <v>24</v>
      </c>
      <c r="H182" s="3" t="s">
        <v>297</v>
      </c>
      <c r="I182" t="s">
        <v>298</v>
      </c>
      <c r="J182" s="3" t="s">
        <v>294</v>
      </c>
      <c r="K182" s="4">
        <v>1366</v>
      </c>
      <c r="L182" s="5">
        <v>0</v>
      </c>
      <c r="M182" s="6">
        <v>0</v>
      </c>
      <c r="N182" s="7">
        <v>0</v>
      </c>
      <c r="O182" t="s">
        <v>23</v>
      </c>
      <c r="P182" s="3" t="s">
        <v>23</v>
      </c>
      <c r="Q182" s="8" t="s">
        <v>23</v>
      </c>
    </row>
    <row r="183" spans="1:17" hidden="1" x14ac:dyDescent="0.55000000000000004">
      <c r="A183" s="3" t="s">
        <v>273</v>
      </c>
      <c r="B183" s="3" t="s">
        <v>280</v>
      </c>
      <c r="C183" t="s">
        <v>280</v>
      </c>
      <c r="D183" s="3" t="s">
        <v>7319</v>
      </c>
      <c r="E183" t="s">
        <v>322</v>
      </c>
      <c r="F183" s="3" t="s">
        <v>323</v>
      </c>
      <c r="G183" t="s">
        <v>24</v>
      </c>
      <c r="H183" s="3" t="s">
        <v>299</v>
      </c>
      <c r="I183" t="s">
        <v>300</v>
      </c>
      <c r="J183" s="3" t="s">
        <v>294</v>
      </c>
      <c r="K183" s="4">
        <v>1108</v>
      </c>
      <c r="L183" s="5">
        <v>0</v>
      </c>
      <c r="M183" s="6">
        <v>0</v>
      </c>
      <c r="N183" s="7">
        <v>0</v>
      </c>
      <c r="O183" t="s">
        <v>23</v>
      </c>
      <c r="P183" s="3" t="s">
        <v>23</v>
      </c>
      <c r="Q183" s="8" t="s">
        <v>23</v>
      </c>
    </row>
    <row r="184" spans="1:17" hidden="1" x14ac:dyDescent="0.55000000000000004">
      <c r="A184" s="3" t="s">
        <v>273</v>
      </c>
      <c r="B184" s="3" t="s">
        <v>280</v>
      </c>
      <c r="C184" t="s">
        <v>280</v>
      </c>
      <c r="D184" s="3" t="s">
        <v>7319</v>
      </c>
      <c r="E184" t="s">
        <v>322</v>
      </c>
      <c r="F184" s="3" t="s">
        <v>323</v>
      </c>
      <c r="G184" t="s">
        <v>24</v>
      </c>
      <c r="H184" s="3" t="s">
        <v>301</v>
      </c>
      <c r="I184" t="s">
        <v>302</v>
      </c>
      <c r="J184" s="3" t="s">
        <v>294</v>
      </c>
      <c r="K184" s="4">
        <v>1345</v>
      </c>
      <c r="L184" s="5">
        <v>0</v>
      </c>
      <c r="M184" s="6">
        <v>0</v>
      </c>
      <c r="N184" s="7">
        <v>0</v>
      </c>
      <c r="O184" t="s">
        <v>23</v>
      </c>
      <c r="P184" s="3" t="s">
        <v>23</v>
      </c>
      <c r="Q184" s="8" t="s">
        <v>23</v>
      </c>
    </row>
    <row r="185" spans="1:17" hidden="1" x14ac:dyDescent="0.55000000000000004">
      <c r="A185" s="3" t="s">
        <v>273</v>
      </c>
      <c r="B185" s="3" t="s">
        <v>280</v>
      </c>
      <c r="C185" t="s">
        <v>280</v>
      </c>
      <c r="D185" s="3" t="s">
        <v>7319</v>
      </c>
      <c r="E185" t="s">
        <v>322</v>
      </c>
      <c r="F185" s="3" t="s">
        <v>323</v>
      </c>
      <c r="G185" t="s">
        <v>24</v>
      </c>
      <c r="H185" s="3" t="s">
        <v>303</v>
      </c>
      <c r="I185" t="s">
        <v>304</v>
      </c>
      <c r="J185" s="3" t="s">
        <v>294</v>
      </c>
      <c r="K185" s="4">
        <v>1521</v>
      </c>
      <c r="L185" s="5">
        <v>0</v>
      </c>
      <c r="M185" s="6">
        <v>0</v>
      </c>
      <c r="N185" s="7">
        <v>0</v>
      </c>
      <c r="O185" t="s">
        <v>23</v>
      </c>
      <c r="P185" s="3" t="s">
        <v>23</v>
      </c>
      <c r="Q185" s="8" t="s">
        <v>23</v>
      </c>
    </row>
    <row r="186" spans="1:17" hidden="1" x14ac:dyDescent="0.55000000000000004">
      <c r="A186" s="3" t="s">
        <v>273</v>
      </c>
      <c r="B186" s="3" t="s">
        <v>280</v>
      </c>
      <c r="C186" t="s">
        <v>280</v>
      </c>
      <c r="D186" s="3" t="s">
        <v>7319</v>
      </c>
      <c r="E186" t="s">
        <v>322</v>
      </c>
      <c r="F186" s="3" t="s">
        <v>323</v>
      </c>
      <c r="G186" t="s">
        <v>24</v>
      </c>
      <c r="H186" s="3" t="s">
        <v>305</v>
      </c>
      <c r="I186" t="s">
        <v>26</v>
      </c>
      <c r="J186" s="3" t="s">
        <v>306</v>
      </c>
      <c r="K186" s="4">
        <v>1563</v>
      </c>
      <c r="L186" s="5">
        <v>71.05</v>
      </c>
      <c r="M186" s="6">
        <v>1</v>
      </c>
      <c r="N186" s="7">
        <v>0</v>
      </c>
      <c r="O186" t="s">
        <v>307</v>
      </c>
      <c r="P186" s="3" t="s">
        <v>76</v>
      </c>
      <c r="Q186" s="8">
        <v>0.20633299999999999</v>
      </c>
    </row>
    <row r="187" spans="1:17" hidden="1" x14ac:dyDescent="0.55000000000000004">
      <c r="A187" s="3" t="s">
        <v>273</v>
      </c>
      <c r="B187" s="3" t="s">
        <v>280</v>
      </c>
      <c r="C187" t="s">
        <v>280</v>
      </c>
      <c r="D187" s="3" t="s">
        <v>7319</v>
      </c>
      <c r="E187" t="s">
        <v>322</v>
      </c>
      <c r="F187" s="3" t="s">
        <v>323</v>
      </c>
      <c r="G187" t="s">
        <v>24</v>
      </c>
      <c r="H187" s="3" t="s">
        <v>308</v>
      </c>
      <c r="I187" t="s">
        <v>309</v>
      </c>
      <c r="J187" s="3" t="s">
        <v>306</v>
      </c>
      <c r="K187" s="4">
        <v>1320</v>
      </c>
      <c r="L187" s="5">
        <v>0</v>
      </c>
      <c r="M187" s="6">
        <v>0</v>
      </c>
      <c r="N187" s="7">
        <v>0</v>
      </c>
      <c r="O187" t="s">
        <v>23</v>
      </c>
      <c r="P187" s="3" t="s">
        <v>23</v>
      </c>
      <c r="Q187" s="8" t="s">
        <v>23</v>
      </c>
    </row>
    <row r="188" spans="1:17" hidden="1" x14ac:dyDescent="0.55000000000000004">
      <c r="A188" s="3" t="s">
        <v>273</v>
      </c>
      <c r="B188" s="3" t="s">
        <v>280</v>
      </c>
      <c r="C188" t="s">
        <v>280</v>
      </c>
      <c r="D188" s="3" t="s">
        <v>7319</v>
      </c>
      <c r="E188" t="s">
        <v>322</v>
      </c>
      <c r="F188" s="3" t="s">
        <v>323</v>
      </c>
      <c r="G188" t="s">
        <v>24</v>
      </c>
      <c r="H188" s="3" t="s">
        <v>310</v>
      </c>
      <c r="I188" t="s">
        <v>218</v>
      </c>
      <c r="J188" s="3" t="s">
        <v>306</v>
      </c>
      <c r="K188" s="4">
        <v>1521</v>
      </c>
      <c r="L188" s="5">
        <v>0</v>
      </c>
      <c r="M188" s="6">
        <v>0</v>
      </c>
      <c r="N188" s="7">
        <v>0</v>
      </c>
      <c r="O188" t="s">
        <v>311</v>
      </c>
      <c r="P188" s="3" t="s">
        <v>23</v>
      </c>
      <c r="Q188" s="8" t="s">
        <v>23</v>
      </c>
    </row>
    <row r="189" spans="1:17" hidden="1" x14ac:dyDescent="0.55000000000000004">
      <c r="A189" s="3" t="s">
        <v>273</v>
      </c>
      <c r="B189" s="3" t="s">
        <v>280</v>
      </c>
      <c r="C189" t="s">
        <v>280</v>
      </c>
      <c r="D189" s="3" t="s">
        <v>7319</v>
      </c>
      <c r="E189" t="s">
        <v>322</v>
      </c>
      <c r="F189" s="3" t="s">
        <v>323</v>
      </c>
      <c r="G189" t="s">
        <v>24</v>
      </c>
      <c r="H189" s="3" t="s">
        <v>312</v>
      </c>
      <c r="I189" t="s">
        <v>313</v>
      </c>
      <c r="J189" s="3" t="s">
        <v>306</v>
      </c>
      <c r="K189" s="4">
        <v>1345</v>
      </c>
      <c r="L189" s="5">
        <v>0</v>
      </c>
      <c r="M189" s="6">
        <v>0</v>
      </c>
      <c r="N189" s="7">
        <v>0</v>
      </c>
      <c r="O189" t="s">
        <v>23</v>
      </c>
      <c r="P189" s="3" t="s">
        <v>23</v>
      </c>
      <c r="Q189" s="8" t="s">
        <v>23</v>
      </c>
    </row>
    <row r="190" spans="1:17" hidden="1" x14ac:dyDescent="0.55000000000000004">
      <c r="A190" s="3" t="s">
        <v>273</v>
      </c>
      <c r="B190" s="3" t="s">
        <v>280</v>
      </c>
      <c r="C190" t="s">
        <v>280</v>
      </c>
      <c r="D190" s="3" t="s">
        <v>7319</v>
      </c>
      <c r="E190" t="s">
        <v>322</v>
      </c>
      <c r="F190" s="3" t="s">
        <v>323</v>
      </c>
      <c r="G190" t="s">
        <v>24</v>
      </c>
      <c r="H190" s="3" t="s">
        <v>314</v>
      </c>
      <c r="I190" t="s">
        <v>315</v>
      </c>
      <c r="J190" s="3" t="s">
        <v>306</v>
      </c>
      <c r="K190" s="4">
        <v>942</v>
      </c>
      <c r="L190" s="5">
        <v>0</v>
      </c>
      <c r="M190" s="6">
        <v>0</v>
      </c>
      <c r="N190" s="7">
        <v>0</v>
      </c>
      <c r="O190" t="s">
        <v>23</v>
      </c>
      <c r="P190" s="3" t="s">
        <v>23</v>
      </c>
      <c r="Q190" s="8" t="s">
        <v>23</v>
      </c>
    </row>
    <row r="191" spans="1:17" hidden="1" x14ac:dyDescent="0.55000000000000004">
      <c r="A191" s="3" t="s">
        <v>273</v>
      </c>
      <c r="B191" s="3" t="s">
        <v>280</v>
      </c>
      <c r="C191" t="s">
        <v>280</v>
      </c>
      <c r="D191" s="3" t="s">
        <v>7319</v>
      </c>
      <c r="E191" t="s">
        <v>322</v>
      </c>
      <c r="F191" s="3" t="s">
        <v>323</v>
      </c>
      <c r="G191" t="s">
        <v>24</v>
      </c>
      <c r="H191" s="3" t="s">
        <v>316</v>
      </c>
      <c r="I191" t="s">
        <v>317</v>
      </c>
      <c r="J191" s="3" t="s">
        <v>306</v>
      </c>
      <c r="K191" s="4">
        <v>1186</v>
      </c>
      <c r="L191" s="5">
        <v>0</v>
      </c>
      <c r="M191" s="6">
        <v>0</v>
      </c>
      <c r="N191" s="7">
        <v>0</v>
      </c>
      <c r="O191" t="s">
        <v>23</v>
      </c>
      <c r="P191" s="3" t="s">
        <v>23</v>
      </c>
      <c r="Q191" s="8" t="s">
        <v>23</v>
      </c>
    </row>
    <row r="192" spans="1:17" hidden="1" x14ac:dyDescent="0.55000000000000004">
      <c r="A192" s="3" t="s">
        <v>273</v>
      </c>
      <c r="B192" s="3" t="s">
        <v>324</v>
      </c>
      <c r="C192" t="s">
        <v>324</v>
      </c>
      <c r="D192" s="3" t="s">
        <v>7319</v>
      </c>
      <c r="E192" t="s">
        <v>325</v>
      </c>
      <c r="F192" s="3" t="s">
        <v>326</v>
      </c>
      <c r="G192" t="s">
        <v>19</v>
      </c>
      <c r="H192" s="3" t="s">
        <v>327</v>
      </c>
      <c r="I192" t="s">
        <v>284</v>
      </c>
      <c r="J192" s="3" t="s">
        <v>328</v>
      </c>
      <c r="K192" s="4">
        <v>289</v>
      </c>
      <c r="L192" s="5">
        <v>62.8</v>
      </c>
      <c r="M192" s="6">
        <v>1</v>
      </c>
      <c r="N192" s="7">
        <v>1</v>
      </c>
      <c r="O192" t="s">
        <v>329</v>
      </c>
      <c r="P192" s="3" t="s">
        <v>287</v>
      </c>
      <c r="Q192" s="8">
        <v>3.3007000000000002E-2</v>
      </c>
    </row>
    <row r="193" spans="1:17" hidden="1" x14ac:dyDescent="0.55000000000000004">
      <c r="A193" s="3" t="s">
        <v>273</v>
      </c>
      <c r="B193" s="3" t="s">
        <v>324</v>
      </c>
      <c r="C193" t="s">
        <v>324</v>
      </c>
      <c r="D193" s="3" t="s">
        <v>7319</v>
      </c>
      <c r="E193" t="s">
        <v>325</v>
      </c>
      <c r="F193" s="3" t="s">
        <v>326</v>
      </c>
      <c r="G193" t="s">
        <v>24</v>
      </c>
      <c r="H193" s="3" t="s">
        <v>293</v>
      </c>
      <c r="I193" t="s">
        <v>52</v>
      </c>
      <c r="J193" s="3" t="s">
        <v>294</v>
      </c>
      <c r="K193" s="4">
        <v>1092</v>
      </c>
      <c r="L193" s="5">
        <v>0</v>
      </c>
      <c r="M193" s="6">
        <v>0</v>
      </c>
      <c r="N193" s="7">
        <v>1</v>
      </c>
      <c r="O193" t="s">
        <v>23</v>
      </c>
      <c r="P193" s="3" t="s">
        <v>23</v>
      </c>
      <c r="Q193" s="8" t="s">
        <v>23</v>
      </c>
    </row>
    <row r="194" spans="1:17" hidden="1" x14ac:dyDescent="0.55000000000000004">
      <c r="A194" s="3" t="s">
        <v>273</v>
      </c>
      <c r="B194" s="3" t="s">
        <v>324</v>
      </c>
      <c r="C194" t="s">
        <v>324</v>
      </c>
      <c r="D194" s="3" t="s">
        <v>7319</v>
      </c>
      <c r="E194" t="s">
        <v>325</v>
      </c>
      <c r="F194" s="3" t="s">
        <v>326</v>
      </c>
      <c r="G194" t="s">
        <v>24</v>
      </c>
      <c r="H194" s="3" t="s">
        <v>295</v>
      </c>
      <c r="I194" t="s">
        <v>296</v>
      </c>
      <c r="J194" s="3" t="s">
        <v>294</v>
      </c>
      <c r="K194" s="4">
        <v>946</v>
      </c>
      <c r="L194" s="5">
        <v>0</v>
      </c>
      <c r="M194" s="6">
        <v>0</v>
      </c>
      <c r="N194" s="7">
        <v>1</v>
      </c>
      <c r="O194" t="s">
        <v>23</v>
      </c>
      <c r="P194" s="3" t="s">
        <v>23</v>
      </c>
      <c r="Q194" s="8" t="s">
        <v>23</v>
      </c>
    </row>
    <row r="195" spans="1:17" hidden="1" x14ac:dyDescent="0.55000000000000004">
      <c r="A195" s="3" t="s">
        <v>273</v>
      </c>
      <c r="B195" s="3" t="s">
        <v>324</v>
      </c>
      <c r="C195" t="s">
        <v>324</v>
      </c>
      <c r="D195" s="3" t="s">
        <v>7319</v>
      </c>
      <c r="E195" t="s">
        <v>325</v>
      </c>
      <c r="F195" s="3" t="s">
        <v>326</v>
      </c>
      <c r="G195" t="s">
        <v>24</v>
      </c>
      <c r="H195" s="3" t="s">
        <v>297</v>
      </c>
      <c r="I195" t="s">
        <v>298</v>
      </c>
      <c r="J195" s="3" t="s">
        <v>294</v>
      </c>
      <c r="K195" s="4">
        <v>1366</v>
      </c>
      <c r="L195" s="5">
        <v>0</v>
      </c>
      <c r="M195" s="6">
        <v>0</v>
      </c>
      <c r="N195" s="7">
        <v>1</v>
      </c>
      <c r="O195" t="s">
        <v>23</v>
      </c>
      <c r="P195" s="3" t="s">
        <v>23</v>
      </c>
      <c r="Q195" s="8" t="s">
        <v>23</v>
      </c>
    </row>
    <row r="196" spans="1:17" hidden="1" x14ac:dyDescent="0.55000000000000004">
      <c r="A196" s="3" t="s">
        <v>273</v>
      </c>
      <c r="B196" s="3" t="s">
        <v>324</v>
      </c>
      <c r="C196" t="s">
        <v>324</v>
      </c>
      <c r="D196" s="3" t="s">
        <v>7319</v>
      </c>
      <c r="E196" t="s">
        <v>325</v>
      </c>
      <c r="F196" s="3" t="s">
        <v>326</v>
      </c>
      <c r="G196" t="s">
        <v>24</v>
      </c>
      <c r="H196" s="3" t="s">
        <v>299</v>
      </c>
      <c r="I196" t="s">
        <v>300</v>
      </c>
      <c r="J196" s="3" t="s">
        <v>294</v>
      </c>
      <c r="K196" s="4">
        <v>1108</v>
      </c>
      <c r="L196" s="5">
        <v>0</v>
      </c>
      <c r="M196" s="6">
        <v>0</v>
      </c>
      <c r="N196" s="7">
        <v>1</v>
      </c>
      <c r="O196" t="s">
        <v>23</v>
      </c>
      <c r="P196" s="3" t="s">
        <v>23</v>
      </c>
      <c r="Q196" s="8" t="s">
        <v>23</v>
      </c>
    </row>
    <row r="197" spans="1:17" hidden="1" x14ac:dyDescent="0.55000000000000004">
      <c r="A197" s="3" t="s">
        <v>273</v>
      </c>
      <c r="B197" s="3" t="s">
        <v>324</v>
      </c>
      <c r="C197" t="s">
        <v>324</v>
      </c>
      <c r="D197" s="3" t="s">
        <v>7319</v>
      </c>
      <c r="E197" t="s">
        <v>325</v>
      </c>
      <c r="F197" s="3" t="s">
        <v>326</v>
      </c>
      <c r="G197" t="s">
        <v>24</v>
      </c>
      <c r="H197" s="3" t="s">
        <v>301</v>
      </c>
      <c r="I197" t="s">
        <v>302</v>
      </c>
      <c r="J197" s="3" t="s">
        <v>294</v>
      </c>
      <c r="K197" s="4">
        <v>1345</v>
      </c>
      <c r="L197" s="5">
        <v>0</v>
      </c>
      <c r="M197" s="6">
        <v>0</v>
      </c>
      <c r="N197" s="7">
        <v>1</v>
      </c>
      <c r="O197" t="s">
        <v>23</v>
      </c>
      <c r="P197" s="3" t="s">
        <v>23</v>
      </c>
      <c r="Q197" s="8" t="s">
        <v>23</v>
      </c>
    </row>
    <row r="198" spans="1:17" hidden="1" x14ac:dyDescent="0.55000000000000004">
      <c r="A198" s="3" t="s">
        <v>273</v>
      </c>
      <c r="B198" s="3" t="s">
        <v>324</v>
      </c>
      <c r="C198" t="s">
        <v>324</v>
      </c>
      <c r="D198" s="3" t="s">
        <v>7319</v>
      </c>
      <c r="E198" t="s">
        <v>325</v>
      </c>
      <c r="F198" s="3" t="s">
        <v>326</v>
      </c>
      <c r="G198" t="s">
        <v>24</v>
      </c>
      <c r="H198" s="3" t="s">
        <v>303</v>
      </c>
      <c r="I198" t="s">
        <v>304</v>
      </c>
      <c r="J198" s="3" t="s">
        <v>294</v>
      </c>
      <c r="K198" s="4">
        <v>1521</v>
      </c>
      <c r="L198" s="5">
        <v>0</v>
      </c>
      <c r="M198" s="6">
        <v>0</v>
      </c>
      <c r="N198" s="7">
        <v>1</v>
      </c>
      <c r="O198" t="s">
        <v>23</v>
      </c>
      <c r="P198" s="3" t="s">
        <v>23</v>
      </c>
      <c r="Q198" s="8" t="s">
        <v>23</v>
      </c>
    </row>
    <row r="199" spans="1:17" hidden="1" x14ac:dyDescent="0.55000000000000004">
      <c r="A199" s="3" t="s">
        <v>273</v>
      </c>
      <c r="B199" s="3" t="s">
        <v>324</v>
      </c>
      <c r="C199" t="s">
        <v>324</v>
      </c>
      <c r="D199" s="3" t="s">
        <v>7319</v>
      </c>
      <c r="E199" t="s">
        <v>325</v>
      </c>
      <c r="F199" s="3" t="s">
        <v>326</v>
      </c>
      <c r="G199" t="s">
        <v>24</v>
      </c>
      <c r="H199" s="3" t="s">
        <v>305</v>
      </c>
      <c r="I199" t="s">
        <v>26</v>
      </c>
      <c r="J199" s="3" t="s">
        <v>306</v>
      </c>
      <c r="K199" s="4">
        <v>1563</v>
      </c>
      <c r="L199" s="5">
        <v>71.05</v>
      </c>
      <c r="M199" s="6">
        <v>0</v>
      </c>
      <c r="N199" s="7">
        <v>1</v>
      </c>
      <c r="O199" t="s">
        <v>307</v>
      </c>
      <c r="P199" s="3" t="s">
        <v>76</v>
      </c>
      <c r="Q199" s="8">
        <v>0.20633299999999999</v>
      </c>
    </row>
    <row r="200" spans="1:17" hidden="1" x14ac:dyDescent="0.55000000000000004">
      <c r="A200" s="3" t="s">
        <v>273</v>
      </c>
      <c r="B200" s="3" t="s">
        <v>324</v>
      </c>
      <c r="C200" t="s">
        <v>324</v>
      </c>
      <c r="D200" s="3" t="s">
        <v>7319</v>
      </c>
      <c r="E200" t="s">
        <v>325</v>
      </c>
      <c r="F200" s="3" t="s">
        <v>326</v>
      </c>
      <c r="G200" t="s">
        <v>24</v>
      </c>
      <c r="H200" s="3" t="s">
        <v>308</v>
      </c>
      <c r="I200" t="s">
        <v>309</v>
      </c>
      <c r="J200" s="3" t="s">
        <v>306</v>
      </c>
      <c r="K200" s="4">
        <v>1320</v>
      </c>
      <c r="L200" s="5">
        <v>0</v>
      </c>
      <c r="M200" s="6">
        <v>0</v>
      </c>
      <c r="N200" s="7">
        <v>1</v>
      </c>
      <c r="O200" t="s">
        <v>23</v>
      </c>
      <c r="P200" s="3" t="s">
        <v>23</v>
      </c>
      <c r="Q200" s="8" t="s">
        <v>23</v>
      </c>
    </row>
    <row r="201" spans="1:17" hidden="1" x14ac:dyDescent="0.55000000000000004">
      <c r="A201" s="3" t="s">
        <v>273</v>
      </c>
      <c r="B201" s="3" t="s">
        <v>324</v>
      </c>
      <c r="C201" t="s">
        <v>324</v>
      </c>
      <c r="D201" s="3" t="s">
        <v>7319</v>
      </c>
      <c r="E201" t="s">
        <v>325</v>
      </c>
      <c r="F201" s="3" t="s">
        <v>326</v>
      </c>
      <c r="G201" t="s">
        <v>24</v>
      </c>
      <c r="H201" s="3" t="s">
        <v>310</v>
      </c>
      <c r="I201" t="s">
        <v>218</v>
      </c>
      <c r="J201" s="3" t="s">
        <v>306</v>
      </c>
      <c r="K201" s="4">
        <v>1521</v>
      </c>
      <c r="L201" s="5">
        <v>0</v>
      </c>
      <c r="M201" s="6">
        <v>0</v>
      </c>
      <c r="N201" s="7">
        <v>1</v>
      </c>
      <c r="O201" t="s">
        <v>311</v>
      </c>
      <c r="P201" s="3" t="s">
        <v>23</v>
      </c>
      <c r="Q201" s="8" t="s">
        <v>23</v>
      </c>
    </row>
    <row r="202" spans="1:17" hidden="1" x14ac:dyDescent="0.55000000000000004">
      <c r="A202" s="3" t="s">
        <v>273</v>
      </c>
      <c r="B202" s="3" t="s">
        <v>324</v>
      </c>
      <c r="C202" t="s">
        <v>324</v>
      </c>
      <c r="D202" s="3" t="s">
        <v>7319</v>
      </c>
      <c r="E202" t="s">
        <v>325</v>
      </c>
      <c r="F202" s="3" t="s">
        <v>326</v>
      </c>
      <c r="G202" t="s">
        <v>24</v>
      </c>
      <c r="H202" s="3" t="s">
        <v>312</v>
      </c>
      <c r="I202" t="s">
        <v>313</v>
      </c>
      <c r="J202" s="3" t="s">
        <v>306</v>
      </c>
      <c r="K202" s="4">
        <v>1345</v>
      </c>
      <c r="L202" s="5">
        <v>0</v>
      </c>
      <c r="M202" s="6">
        <v>0</v>
      </c>
      <c r="N202" s="7">
        <v>1</v>
      </c>
      <c r="O202" t="s">
        <v>23</v>
      </c>
      <c r="P202" s="3" t="s">
        <v>23</v>
      </c>
      <c r="Q202" s="8" t="s">
        <v>23</v>
      </c>
    </row>
    <row r="203" spans="1:17" hidden="1" x14ac:dyDescent="0.55000000000000004">
      <c r="A203" s="3" t="s">
        <v>273</v>
      </c>
      <c r="B203" s="3" t="s">
        <v>324</v>
      </c>
      <c r="C203" t="s">
        <v>324</v>
      </c>
      <c r="D203" s="3" t="s">
        <v>7319</v>
      </c>
      <c r="E203" t="s">
        <v>325</v>
      </c>
      <c r="F203" s="3" t="s">
        <v>326</v>
      </c>
      <c r="G203" t="s">
        <v>24</v>
      </c>
      <c r="H203" s="3" t="s">
        <v>314</v>
      </c>
      <c r="I203" t="s">
        <v>315</v>
      </c>
      <c r="J203" s="3" t="s">
        <v>306</v>
      </c>
      <c r="K203" s="4">
        <v>942</v>
      </c>
      <c r="L203" s="5">
        <v>0</v>
      </c>
      <c r="M203" s="6">
        <v>0</v>
      </c>
      <c r="N203" s="7">
        <v>1</v>
      </c>
      <c r="O203" t="s">
        <v>23</v>
      </c>
      <c r="P203" s="3" t="s">
        <v>23</v>
      </c>
      <c r="Q203" s="8" t="s">
        <v>23</v>
      </c>
    </row>
    <row r="204" spans="1:17" hidden="1" x14ac:dyDescent="0.55000000000000004">
      <c r="A204" s="3" t="s">
        <v>273</v>
      </c>
      <c r="B204" s="3" t="s">
        <v>324</v>
      </c>
      <c r="C204" t="s">
        <v>324</v>
      </c>
      <c r="D204" s="3" t="s">
        <v>7319</v>
      </c>
      <c r="E204" t="s">
        <v>325</v>
      </c>
      <c r="F204" s="3" t="s">
        <v>326</v>
      </c>
      <c r="G204" t="s">
        <v>24</v>
      </c>
      <c r="H204" s="3" t="s">
        <v>316</v>
      </c>
      <c r="I204" t="s">
        <v>317</v>
      </c>
      <c r="J204" s="3" t="s">
        <v>306</v>
      </c>
      <c r="K204" s="4">
        <v>1186</v>
      </c>
      <c r="L204" s="5">
        <v>0</v>
      </c>
      <c r="M204" s="6">
        <v>0</v>
      </c>
      <c r="N204" s="7">
        <v>1</v>
      </c>
      <c r="O204" t="s">
        <v>23</v>
      </c>
      <c r="P204" s="3" t="s">
        <v>23</v>
      </c>
      <c r="Q204" s="8" t="s">
        <v>23</v>
      </c>
    </row>
    <row r="205" spans="1:17" hidden="1" x14ac:dyDescent="0.55000000000000004">
      <c r="A205" s="3" t="s">
        <v>273</v>
      </c>
      <c r="B205" s="3" t="s">
        <v>324</v>
      </c>
      <c r="C205" t="s">
        <v>324</v>
      </c>
      <c r="D205" s="3" t="s">
        <v>7319</v>
      </c>
      <c r="E205" t="s">
        <v>325</v>
      </c>
      <c r="F205" s="3" t="s">
        <v>326</v>
      </c>
      <c r="G205" t="s">
        <v>24</v>
      </c>
      <c r="H205" s="3" t="s">
        <v>330</v>
      </c>
      <c r="I205" t="s">
        <v>218</v>
      </c>
      <c r="J205" s="3" t="s">
        <v>331</v>
      </c>
      <c r="K205" s="4">
        <v>1932</v>
      </c>
      <c r="L205" s="5">
        <v>87.83</v>
      </c>
      <c r="M205" s="6">
        <v>0</v>
      </c>
      <c r="N205" s="7">
        <v>1</v>
      </c>
      <c r="O205" t="s">
        <v>332</v>
      </c>
      <c r="P205" s="3" t="s">
        <v>23</v>
      </c>
      <c r="Q205" s="8" t="s">
        <v>23</v>
      </c>
    </row>
    <row r="206" spans="1:17" hidden="1" x14ac:dyDescent="0.55000000000000004">
      <c r="A206" s="9" t="s">
        <v>273</v>
      </c>
      <c r="B206" s="3" t="s">
        <v>324</v>
      </c>
      <c r="C206" t="s">
        <v>324</v>
      </c>
      <c r="D206" s="3" t="s">
        <v>7319</v>
      </c>
      <c r="E206" t="s">
        <v>325</v>
      </c>
      <c r="F206" s="3" t="s">
        <v>326</v>
      </c>
      <c r="G206" t="s">
        <v>24</v>
      </c>
      <c r="H206" s="3" t="s">
        <v>333</v>
      </c>
      <c r="I206" t="s">
        <v>26</v>
      </c>
      <c r="J206" s="3" t="s">
        <v>331</v>
      </c>
      <c r="K206" s="4">
        <v>1441</v>
      </c>
      <c r="L206" s="5">
        <v>65.5</v>
      </c>
      <c r="M206" s="6">
        <v>1</v>
      </c>
      <c r="N206" s="7">
        <v>1</v>
      </c>
      <c r="O206" t="s">
        <v>334</v>
      </c>
      <c r="P206" s="3" t="s">
        <v>76</v>
      </c>
      <c r="Q206" s="8">
        <v>0.22966700000000001</v>
      </c>
    </row>
    <row r="207" spans="1:17" hidden="1" x14ac:dyDescent="0.55000000000000004">
      <c r="A207" s="3" t="s">
        <v>335</v>
      </c>
      <c r="B207" s="3" t="s">
        <v>336</v>
      </c>
      <c r="C207" t="s">
        <v>533</v>
      </c>
      <c r="D207" s="3" t="s">
        <v>7319</v>
      </c>
      <c r="E207" t="s">
        <v>338</v>
      </c>
      <c r="F207" s="3" t="s">
        <v>339</v>
      </c>
      <c r="G207" t="s">
        <v>24</v>
      </c>
      <c r="H207" s="3" t="s">
        <v>340</v>
      </c>
      <c r="I207" t="s">
        <v>52</v>
      </c>
      <c r="J207" s="3" t="s">
        <v>341</v>
      </c>
      <c r="K207" s="4">
        <v>1759</v>
      </c>
      <c r="L207" s="5">
        <v>79.97</v>
      </c>
      <c r="M207" s="6">
        <v>1</v>
      </c>
      <c r="N207" s="7">
        <v>0</v>
      </c>
      <c r="O207" t="s">
        <v>342</v>
      </c>
      <c r="P207" s="3" t="s">
        <v>55</v>
      </c>
      <c r="Q207" s="8">
        <v>0.29558499999999999</v>
      </c>
    </row>
    <row r="208" spans="1:17" hidden="1" x14ac:dyDescent="0.55000000000000004">
      <c r="A208" s="3" t="s">
        <v>335</v>
      </c>
      <c r="B208" s="3" t="s">
        <v>336</v>
      </c>
      <c r="C208" t="s">
        <v>533</v>
      </c>
      <c r="D208" s="3" t="s">
        <v>7319</v>
      </c>
      <c r="E208" t="s">
        <v>338</v>
      </c>
      <c r="F208" s="3" t="s">
        <v>339</v>
      </c>
      <c r="G208" t="s">
        <v>24</v>
      </c>
      <c r="H208" s="3" t="s">
        <v>343</v>
      </c>
      <c r="I208" t="s">
        <v>52</v>
      </c>
      <c r="J208" s="3" t="s">
        <v>344</v>
      </c>
      <c r="K208" s="4">
        <v>1393</v>
      </c>
      <c r="L208" s="5">
        <v>0</v>
      </c>
      <c r="M208" s="6">
        <v>0</v>
      </c>
      <c r="N208" s="7">
        <v>0</v>
      </c>
      <c r="O208" t="s">
        <v>23</v>
      </c>
      <c r="P208" s="3" t="s">
        <v>23</v>
      </c>
      <c r="Q208" s="8" t="s">
        <v>23</v>
      </c>
    </row>
    <row r="209" spans="1:17" hidden="1" x14ac:dyDescent="0.55000000000000004">
      <c r="A209" s="3" t="s">
        <v>335</v>
      </c>
      <c r="B209" s="3" t="s">
        <v>336</v>
      </c>
      <c r="C209" t="s">
        <v>533</v>
      </c>
      <c r="D209" s="3" t="s">
        <v>7319</v>
      </c>
      <c r="E209" t="s">
        <v>338</v>
      </c>
      <c r="F209" s="3" t="s">
        <v>339</v>
      </c>
      <c r="G209" t="s">
        <v>24</v>
      </c>
      <c r="H209" s="3" t="s">
        <v>345</v>
      </c>
      <c r="I209" t="s">
        <v>296</v>
      </c>
      <c r="J209" s="3" t="s">
        <v>344</v>
      </c>
      <c r="K209" s="4">
        <v>1246</v>
      </c>
      <c r="L209" s="5">
        <v>0</v>
      </c>
      <c r="M209" s="6">
        <v>0</v>
      </c>
      <c r="N209" s="7">
        <v>0</v>
      </c>
      <c r="O209" t="s">
        <v>23</v>
      </c>
      <c r="P209" s="3" t="s">
        <v>23</v>
      </c>
      <c r="Q209" s="8" t="s">
        <v>23</v>
      </c>
    </row>
    <row r="210" spans="1:17" hidden="1" x14ac:dyDescent="0.55000000000000004">
      <c r="A210" s="3" t="s">
        <v>335</v>
      </c>
      <c r="B210" s="3" t="s">
        <v>336</v>
      </c>
      <c r="C210" t="s">
        <v>533</v>
      </c>
      <c r="D210" s="3" t="s">
        <v>7319</v>
      </c>
      <c r="E210" t="s">
        <v>338</v>
      </c>
      <c r="F210" s="3" t="s">
        <v>339</v>
      </c>
      <c r="G210" t="s">
        <v>24</v>
      </c>
      <c r="H210" s="3" t="s">
        <v>346</v>
      </c>
      <c r="I210" t="s">
        <v>298</v>
      </c>
      <c r="J210" s="3" t="s">
        <v>344</v>
      </c>
      <c r="K210" s="4">
        <v>1677</v>
      </c>
      <c r="L210" s="5">
        <v>0</v>
      </c>
      <c r="M210" s="6">
        <v>0</v>
      </c>
      <c r="N210" s="7">
        <v>0</v>
      </c>
      <c r="O210" t="s">
        <v>23</v>
      </c>
      <c r="P210" s="3" t="s">
        <v>23</v>
      </c>
      <c r="Q210" s="8" t="s">
        <v>23</v>
      </c>
    </row>
    <row r="211" spans="1:17" hidden="1" x14ac:dyDescent="0.55000000000000004">
      <c r="A211" s="3" t="s">
        <v>335</v>
      </c>
      <c r="B211" s="3" t="s">
        <v>336</v>
      </c>
      <c r="C211" t="s">
        <v>533</v>
      </c>
      <c r="D211" s="3" t="s">
        <v>7319</v>
      </c>
      <c r="E211" t="s">
        <v>338</v>
      </c>
      <c r="F211" s="3" t="s">
        <v>339</v>
      </c>
      <c r="G211" t="s">
        <v>24</v>
      </c>
      <c r="H211" s="3" t="s">
        <v>347</v>
      </c>
      <c r="I211" t="s">
        <v>300</v>
      </c>
      <c r="J211" s="3" t="s">
        <v>344</v>
      </c>
      <c r="K211" s="4">
        <v>1374</v>
      </c>
      <c r="L211" s="5">
        <v>0</v>
      </c>
      <c r="M211" s="6">
        <v>0</v>
      </c>
      <c r="N211" s="7">
        <v>0</v>
      </c>
      <c r="O211" t="s">
        <v>23</v>
      </c>
      <c r="P211" s="3" t="s">
        <v>23</v>
      </c>
      <c r="Q211" s="8" t="s">
        <v>23</v>
      </c>
    </row>
    <row r="212" spans="1:17" hidden="1" x14ac:dyDescent="0.55000000000000004">
      <c r="A212" s="3" t="s">
        <v>335</v>
      </c>
      <c r="B212" s="3" t="s">
        <v>336</v>
      </c>
      <c r="C212" t="s">
        <v>533</v>
      </c>
      <c r="D212" s="3" t="s">
        <v>7319</v>
      </c>
      <c r="E212" t="s">
        <v>338</v>
      </c>
      <c r="F212" s="3" t="s">
        <v>339</v>
      </c>
      <c r="G212" t="s">
        <v>24</v>
      </c>
      <c r="H212" s="3" t="s">
        <v>348</v>
      </c>
      <c r="I212" t="s">
        <v>304</v>
      </c>
      <c r="J212" s="3" t="s">
        <v>344</v>
      </c>
      <c r="K212" s="4">
        <v>1834</v>
      </c>
      <c r="L212" s="5">
        <v>0</v>
      </c>
      <c r="M212" s="6">
        <v>0</v>
      </c>
      <c r="N212" s="7">
        <v>0</v>
      </c>
      <c r="O212" t="s">
        <v>23</v>
      </c>
      <c r="P212" s="3" t="s">
        <v>23</v>
      </c>
      <c r="Q212" s="8" t="s">
        <v>23</v>
      </c>
    </row>
    <row r="213" spans="1:17" hidden="1" x14ac:dyDescent="0.55000000000000004">
      <c r="A213" s="3" t="s">
        <v>335</v>
      </c>
      <c r="B213" s="3" t="s">
        <v>336</v>
      </c>
      <c r="C213" t="s">
        <v>533</v>
      </c>
      <c r="D213" s="3" t="s">
        <v>7319</v>
      </c>
      <c r="E213" t="s">
        <v>338</v>
      </c>
      <c r="F213" s="3" t="s">
        <v>339</v>
      </c>
      <c r="G213" t="s">
        <v>24</v>
      </c>
      <c r="H213" s="3" t="s">
        <v>349</v>
      </c>
      <c r="I213" t="s">
        <v>302</v>
      </c>
      <c r="J213" s="3" t="s">
        <v>344</v>
      </c>
      <c r="K213" s="4">
        <v>1611</v>
      </c>
      <c r="L213" s="5">
        <v>0</v>
      </c>
      <c r="M213" s="6">
        <v>0</v>
      </c>
      <c r="N213" s="7">
        <v>0</v>
      </c>
      <c r="O213" t="s">
        <v>23</v>
      </c>
      <c r="P213" s="3" t="s">
        <v>23</v>
      </c>
      <c r="Q213" s="8" t="s">
        <v>23</v>
      </c>
    </row>
    <row r="214" spans="1:17" hidden="1" x14ac:dyDescent="0.55000000000000004">
      <c r="A214" s="3" t="s">
        <v>335</v>
      </c>
      <c r="B214" s="3" t="s">
        <v>336</v>
      </c>
      <c r="C214" t="s">
        <v>533</v>
      </c>
      <c r="D214" s="3" t="s">
        <v>7319</v>
      </c>
      <c r="E214" t="s">
        <v>338</v>
      </c>
      <c r="F214" s="3" t="s">
        <v>339</v>
      </c>
      <c r="G214" t="s">
        <v>24</v>
      </c>
      <c r="H214" s="3" t="s">
        <v>350</v>
      </c>
      <c r="I214" t="s">
        <v>26</v>
      </c>
      <c r="J214" s="3" t="s">
        <v>351</v>
      </c>
      <c r="K214" s="4">
        <v>1782</v>
      </c>
      <c r="L214" s="5">
        <v>81</v>
      </c>
      <c r="M214" s="6">
        <v>0</v>
      </c>
      <c r="N214" s="7">
        <v>0</v>
      </c>
      <c r="O214" t="s">
        <v>352</v>
      </c>
      <c r="P214" s="3" t="s">
        <v>29</v>
      </c>
      <c r="Q214" s="8">
        <v>0.29416700000000001</v>
      </c>
    </row>
    <row r="215" spans="1:17" hidden="1" x14ac:dyDescent="0.55000000000000004">
      <c r="A215" s="3" t="s">
        <v>335</v>
      </c>
      <c r="B215" s="3" t="s">
        <v>336</v>
      </c>
      <c r="C215" t="s">
        <v>533</v>
      </c>
      <c r="D215" s="3" t="s">
        <v>7319</v>
      </c>
      <c r="E215" t="s">
        <v>338</v>
      </c>
      <c r="F215" s="3" t="s">
        <v>339</v>
      </c>
      <c r="G215" t="s">
        <v>24</v>
      </c>
      <c r="H215" s="3" t="s">
        <v>353</v>
      </c>
      <c r="I215" t="s">
        <v>309</v>
      </c>
      <c r="J215" s="3" t="s">
        <v>354</v>
      </c>
      <c r="K215" s="4">
        <v>1615</v>
      </c>
      <c r="L215" s="5">
        <v>0</v>
      </c>
      <c r="M215" s="6">
        <v>0</v>
      </c>
      <c r="N215" s="7">
        <v>0</v>
      </c>
      <c r="O215" t="s">
        <v>23</v>
      </c>
      <c r="P215" s="3" t="s">
        <v>23</v>
      </c>
      <c r="Q215" s="8" t="s">
        <v>23</v>
      </c>
    </row>
    <row r="216" spans="1:17" hidden="1" x14ac:dyDescent="0.55000000000000004">
      <c r="A216" s="3" t="s">
        <v>335</v>
      </c>
      <c r="B216" s="3" t="s">
        <v>336</v>
      </c>
      <c r="C216" t="s">
        <v>533</v>
      </c>
      <c r="D216" s="3" t="s">
        <v>7319</v>
      </c>
      <c r="E216" t="s">
        <v>338</v>
      </c>
      <c r="F216" s="3" t="s">
        <v>339</v>
      </c>
      <c r="G216" t="s">
        <v>24</v>
      </c>
      <c r="H216" s="3" t="s">
        <v>355</v>
      </c>
      <c r="I216" t="s">
        <v>218</v>
      </c>
      <c r="J216" s="3" t="s">
        <v>354</v>
      </c>
      <c r="K216" s="4">
        <v>1825</v>
      </c>
      <c r="L216" s="5">
        <v>0</v>
      </c>
      <c r="M216" s="6">
        <v>0</v>
      </c>
      <c r="N216" s="7">
        <v>0</v>
      </c>
      <c r="O216" t="s">
        <v>23</v>
      </c>
      <c r="P216" s="3" t="s">
        <v>23</v>
      </c>
      <c r="Q216" s="8" t="s">
        <v>23</v>
      </c>
    </row>
    <row r="217" spans="1:17" hidden="1" x14ac:dyDescent="0.55000000000000004">
      <c r="A217" s="3" t="s">
        <v>335</v>
      </c>
      <c r="B217" s="3" t="s">
        <v>336</v>
      </c>
      <c r="C217" t="s">
        <v>533</v>
      </c>
      <c r="D217" s="3" t="s">
        <v>7319</v>
      </c>
      <c r="E217" t="s">
        <v>338</v>
      </c>
      <c r="F217" s="3" t="s">
        <v>339</v>
      </c>
      <c r="G217" t="s">
        <v>24</v>
      </c>
      <c r="H217" s="3" t="s">
        <v>356</v>
      </c>
      <c r="I217" t="s">
        <v>313</v>
      </c>
      <c r="J217" s="3" t="s">
        <v>354</v>
      </c>
      <c r="K217" s="4">
        <v>1600</v>
      </c>
      <c r="L217" s="5">
        <v>0</v>
      </c>
      <c r="M217" s="6">
        <v>0</v>
      </c>
      <c r="N217" s="7">
        <v>0</v>
      </c>
      <c r="O217" t="s">
        <v>23</v>
      </c>
      <c r="P217" s="3" t="s">
        <v>23</v>
      </c>
      <c r="Q217" s="8" t="s">
        <v>23</v>
      </c>
    </row>
    <row r="218" spans="1:17" hidden="1" x14ac:dyDescent="0.55000000000000004">
      <c r="A218" s="3" t="s">
        <v>335</v>
      </c>
      <c r="B218" s="3" t="s">
        <v>336</v>
      </c>
      <c r="C218" t="s">
        <v>533</v>
      </c>
      <c r="D218" s="3" t="s">
        <v>7319</v>
      </c>
      <c r="E218" t="s">
        <v>338</v>
      </c>
      <c r="F218" s="3" t="s">
        <v>339</v>
      </c>
      <c r="G218" t="s">
        <v>24</v>
      </c>
      <c r="H218" s="3" t="s">
        <v>357</v>
      </c>
      <c r="I218" t="s">
        <v>315</v>
      </c>
      <c r="J218" s="3" t="s">
        <v>354</v>
      </c>
      <c r="K218" s="4">
        <v>1228</v>
      </c>
      <c r="L218" s="5">
        <v>0</v>
      </c>
      <c r="M218" s="6">
        <v>0</v>
      </c>
      <c r="N218" s="7">
        <v>0</v>
      </c>
      <c r="O218" t="s">
        <v>23</v>
      </c>
      <c r="P218" s="3" t="s">
        <v>23</v>
      </c>
      <c r="Q218" s="8" t="s">
        <v>23</v>
      </c>
    </row>
    <row r="219" spans="1:17" hidden="1" x14ac:dyDescent="0.55000000000000004">
      <c r="A219" s="3" t="s">
        <v>335</v>
      </c>
      <c r="B219" s="3" t="s">
        <v>336</v>
      </c>
      <c r="C219" t="s">
        <v>533</v>
      </c>
      <c r="D219" s="3" t="s">
        <v>7319</v>
      </c>
      <c r="E219" t="s">
        <v>338</v>
      </c>
      <c r="F219" s="3" t="s">
        <v>339</v>
      </c>
      <c r="G219" t="s">
        <v>24</v>
      </c>
      <c r="H219" s="3" t="s">
        <v>358</v>
      </c>
      <c r="I219" t="s">
        <v>317</v>
      </c>
      <c r="J219" s="3" t="s">
        <v>354</v>
      </c>
      <c r="K219" s="4">
        <v>1461</v>
      </c>
      <c r="L219" s="5">
        <v>0</v>
      </c>
      <c r="M219" s="6">
        <v>0</v>
      </c>
      <c r="N219" s="7">
        <v>0</v>
      </c>
      <c r="O219" t="s">
        <v>23</v>
      </c>
      <c r="P219" s="3" t="s">
        <v>23</v>
      </c>
      <c r="Q219" s="8" t="s">
        <v>23</v>
      </c>
    </row>
    <row r="220" spans="1:17" hidden="1" x14ac:dyDescent="0.55000000000000004">
      <c r="A220" s="3" t="s">
        <v>335</v>
      </c>
      <c r="B220" s="3" t="s">
        <v>359</v>
      </c>
      <c r="C220" t="s">
        <v>359</v>
      </c>
      <c r="D220" s="3" t="s">
        <v>7319</v>
      </c>
      <c r="E220" t="s">
        <v>360</v>
      </c>
      <c r="F220" s="3" t="s">
        <v>361</v>
      </c>
      <c r="G220" t="s">
        <v>24</v>
      </c>
      <c r="H220" s="3" t="s">
        <v>362</v>
      </c>
      <c r="I220" t="s">
        <v>52</v>
      </c>
      <c r="J220" s="3" t="s">
        <v>363</v>
      </c>
      <c r="K220" s="4">
        <v>1769</v>
      </c>
      <c r="L220" s="5">
        <v>80.400000000000006</v>
      </c>
      <c r="M220" s="6">
        <v>0</v>
      </c>
      <c r="N220" s="7">
        <v>0</v>
      </c>
      <c r="O220" t="s">
        <v>364</v>
      </c>
      <c r="P220" s="3" t="s">
        <v>55</v>
      </c>
      <c r="Q220" s="8">
        <v>0.29568100000000003</v>
      </c>
    </row>
    <row r="221" spans="1:17" hidden="1" x14ac:dyDescent="0.55000000000000004">
      <c r="A221" s="3" t="s">
        <v>335</v>
      </c>
      <c r="B221" s="3" t="s">
        <v>359</v>
      </c>
      <c r="C221" t="s">
        <v>359</v>
      </c>
      <c r="D221" s="3" t="s">
        <v>7319</v>
      </c>
      <c r="E221" t="s">
        <v>360</v>
      </c>
      <c r="F221" s="3" t="s">
        <v>361</v>
      </c>
      <c r="G221" t="s">
        <v>24</v>
      </c>
      <c r="H221" s="3" t="s">
        <v>365</v>
      </c>
      <c r="I221" t="s">
        <v>309</v>
      </c>
      <c r="J221" s="3" t="s">
        <v>366</v>
      </c>
      <c r="K221" s="4">
        <v>1540</v>
      </c>
      <c r="L221" s="5">
        <v>69.989999999999995</v>
      </c>
      <c r="M221" s="6">
        <v>1</v>
      </c>
      <c r="N221" s="7">
        <v>0</v>
      </c>
      <c r="O221" t="s">
        <v>367</v>
      </c>
      <c r="P221" s="3" t="s">
        <v>76</v>
      </c>
      <c r="Q221" s="8">
        <v>0.29816700000000002</v>
      </c>
    </row>
    <row r="222" spans="1:17" hidden="1" x14ac:dyDescent="0.55000000000000004">
      <c r="A222" s="3" t="s">
        <v>335</v>
      </c>
      <c r="B222" s="3" t="s">
        <v>359</v>
      </c>
      <c r="C222" t="s">
        <v>359</v>
      </c>
      <c r="D222" s="3" t="s">
        <v>7319</v>
      </c>
      <c r="E222" t="s">
        <v>368</v>
      </c>
      <c r="F222" s="3" t="s">
        <v>369</v>
      </c>
      <c r="G222" t="s">
        <v>24</v>
      </c>
      <c r="H222" s="3" t="s">
        <v>362</v>
      </c>
      <c r="I222" t="s">
        <v>52</v>
      </c>
      <c r="J222" s="3" t="s">
        <v>363</v>
      </c>
      <c r="K222" s="4">
        <v>1769</v>
      </c>
      <c r="L222" s="5">
        <v>80.400000000000006</v>
      </c>
      <c r="M222" s="6">
        <v>0</v>
      </c>
      <c r="N222" s="7">
        <v>0</v>
      </c>
      <c r="O222" t="s">
        <v>364</v>
      </c>
      <c r="P222" s="3" t="s">
        <v>55</v>
      </c>
      <c r="Q222" s="8">
        <v>0.29568100000000003</v>
      </c>
    </row>
    <row r="223" spans="1:17" hidden="1" x14ac:dyDescent="0.55000000000000004">
      <c r="A223" s="3" t="s">
        <v>335</v>
      </c>
      <c r="B223" s="3" t="s">
        <v>359</v>
      </c>
      <c r="C223" t="s">
        <v>359</v>
      </c>
      <c r="D223" s="3" t="s">
        <v>7319</v>
      </c>
      <c r="E223" t="s">
        <v>368</v>
      </c>
      <c r="F223" s="3" t="s">
        <v>369</v>
      </c>
      <c r="G223" t="s">
        <v>24</v>
      </c>
      <c r="H223" s="3" t="s">
        <v>365</v>
      </c>
      <c r="I223" t="s">
        <v>309</v>
      </c>
      <c r="J223" s="3" t="s">
        <v>366</v>
      </c>
      <c r="K223" s="4">
        <v>1540</v>
      </c>
      <c r="L223" s="5">
        <v>69.989999999999995</v>
      </c>
      <c r="M223" s="6">
        <v>1</v>
      </c>
      <c r="N223" s="7">
        <v>0</v>
      </c>
      <c r="O223" t="s">
        <v>367</v>
      </c>
      <c r="P223" s="3" t="s">
        <v>76</v>
      </c>
      <c r="Q223" s="8">
        <v>0.29816700000000002</v>
      </c>
    </row>
    <row r="224" spans="1:17" hidden="1" x14ac:dyDescent="0.55000000000000004">
      <c r="A224" s="3" t="s">
        <v>335</v>
      </c>
      <c r="B224" s="3" t="s">
        <v>370</v>
      </c>
      <c r="C224" t="s">
        <v>370</v>
      </c>
      <c r="D224" s="3" t="s">
        <v>7319</v>
      </c>
      <c r="E224" t="s">
        <v>371</v>
      </c>
      <c r="F224" s="3" t="s">
        <v>372</v>
      </c>
      <c r="G224" t="s">
        <v>19</v>
      </c>
      <c r="H224" s="3" t="s">
        <v>373</v>
      </c>
      <c r="I224" t="s">
        <v>374</v>
      </c>
      <c r="J224" s="3" t="s">
        <v>375</v>
      </c>
      <c r="K224" s="4">
        <v>81</v>
      </c>
      <c r="L224" s="5">
        <v>17.59</v>
      </c>
      <c r="M224" s="6">
        <v>1</v>
      </c>
      <c r="N224" s="7">
        <v>0</v>
      </c>
      <c r="O224" t="s">
        <v>376</v>
      </c>
      <c r="P224" s="3" t="s">
        <v>377</v>
      </c>
      <c r="Q224" s="8">
        <v>1.9202E-2</v>
      </c>
    </row>
    <row r="225" spans="1:17" hidden="1" x14ac:dyDescent="0.55000000000000004">
      <c r="A225" s="3" t="s">
        <v>335</v>
      </c>
      <c r="B225" s="3" t="s">
        <v>370</v>
      </c>
      <c r="C225" t="s">
        <v>370</v>
      </c>
      <c r="D225" s="3" t="s">
        <v>7319</v>
      </c>
      <c r="E225" t="s">
        <v>371</v>
      </c>
      <c r="F225" s="3" t="s">
        <v>372</v>
      </c>
      <c r="G225" t="s">
        <v>24</v>
      </c>
      <c r="H225" s="3" t="s">
        <v>378</v>
      </c>
      <c r="I225" t="s">
        <v>26</v>
      </c>
      <c r="J225" s="3" t="s">
        <v>379</v>
      </c>
      <c r="K225" s="4">
        <v>1646</v>
      </c>
      <c r="L225" s="5">
        <v>74.819999999999993</v>
      </c>
      <c r="M225" s="6">
        <v>1</v>
      </c>
      <c r="N225" s="7">
        <v>0</v>
      </c>
      <c r="O225" t="s">
        <v>380</v>
      </c>
      <c r="P225" s="3" t="s">
        <v>76</v>
      </c>
      <c r="Q225" s="8">
        <v>0.29416700000000001</v>
      </c>
    </row>
    <row r="226" spans="1:17" hidden="1" x14ac:dyDescent="0.55000000000000004">
      <c r="A226" s="3" t="s">
        <v>335</v>
      </c>
      <c r="B226" s="3" t="s">
        <v>370</v>
      </c>
      <c r="C226" t="s">
        <v>370</v>
      </c>
      <c r="D226" s="3" t="s">
        <v>7319</v>
      </c>
      <c r="E226" t="s">
        <v>371</v>
      </c>
      <c r="F226" s="3" t="s">
        <v>372</v>
      </c>
      <c r="G226" t="s">
        <v>24</v>
      </c>
      <c r="H226" s="3" t="s">
        <v>381</v>
      </c>
      <c r="I226" t="s">
        <v>218</v>
      </c>
      <c r="J226" s="3" t="s">
        <v>379</v>
      </c>
      <c r="K226" s="4">
        <v>2205</v>
      </c>
      <c r="L226" s="5">
        <v>100.21</v>
      </c>
      <c r="M226" s="6">
        <v>0</v>
      </c>
      <c r="N226" s="7">
        <v>0</v>
      </c>
      <c r="O226" t="s">
        <v>382</v>
      </c>
      <c r="P226" s="3" t="s">
        <v>23</v>
      </c>
      <c r="Q226" s="8" t="s">
        <v>23</v>
      </c>
    </row>
    <row r="227" spans="1:17" hidden="1" x14ac:dyDescent="0.55000000000000004">
      <c r="A227" s="3" t="s">
        <v>335</v>
      </c>
      <c r="B227" s="3" t="s">
        <v>383</v>
      </c>
      <c r="C227" t="s">
        <v>7323</v>
      </c>
      <c r="D227" s="3" t="s">
        <v>7319</v>
      </c>
      <c r="E227" t="s">
        <v>385</v>
      </c>
      <c r="F227" s="3" t="s">
        <v>386</v>
      </c>
      <c r="G227" t="s">
        <v>24</v>
      </c>
      <c r="H227" s="3" t="s">
        <v>387</v>
      </c>
      <c r="I227" t="s">
        <v>26</v>
      </c>
      <c r="J227" s="3" t="s">
        <v>388</v>
      </c>
      <c r="K227" s="4">
        <v>1725</v>
      </c>
      <c r="L227" s="5">
        <v>78.41</v>
      </c>
      <c r="M227" s="6">
        <v>1</v>
      </c>
      <c r="N227" s="7">
        <v>0</v>
      </c>
      <c r="O227" t="s">
        <v>389</v>
      </c>
      <c r="P227" s="3" t="s">
        <v>29</v>
      </c>
      <c r="Q227" s="8">
        <v>0.29083300000000001</v>
      </c>
    </row>
    <row r="228" spans="1:17" hidden="1" x14ac:dyDescent="0.55000000000000004">
      <c r="A228" s="3" t="s">
        <v>335</v>
      </c>
      <c r="B228" s="3" t="s">
        <v>383</v>
      </c>
      <c r="C228" t="s">
        <v>7323</v>
      </c>
      <c r="D228" s="3" t="s">
        <v>7319</v>
      </c>
      <c r="E228" t="s">
        <v>385</v>
      </c>
      <c r="F228" s="3" t="s">
        <v>386</v>
      </c>
      <c r="G228" t="s">
        <v>24</v>
      </c>
      <c r="H228" s="3" t="s">
        <v>390</v>
      </c>
      <c r="I228" t="s">
        <v>309</v>
      </c>
      <c r="J228" s="3" t="s">
        <v>391</v>
      </c>
      <c r="K228" s="4">
        <v>1723</v>
      </c>
      <c r="L228" s="5">
        <v>0</v>
      </c>
      <c r="M228" s="6">
        <v>0</v>
      </c>
      <c r="N228" s="7">
        <v>0</v>
      </c>
      <c r="O228" t="s">
        <v>23</v>
      </c>
      <c r="P228" s="3" t="s">
        <v>23</v>
      </c>
      <c r="Q228" s="8" t="s">
        <v>23</v>
      </c>
    </row>
    <row r="229" spans="1:17" hidden="1" x14ac:dyDescent="0.55000000000000004">
      <c r="A229" s="3" t="s">
        <v>335</v>
      </c>
      <c r="B229" s="3" t="s">
        <v>383</v>
      </c>
      <c r="C229" t="s">
        <v>7323</v>
      </c>
      <c r="D229" s="3" t="s">
        <v>7319</v>
      </c>
      <c r="E229" t="s">
        <v>385</v>
      </c>
      <c r="F229" s="3" t="s">
        <v>386</v>
      </c>
      <c r="G229" t="s">
        <v>24</v>
      </c>
      <c r="H229" s="3" t="s">
        <v>392</v>
      </c>
      <c r="I229" t="s">
        <v>218</v>
      </c>
      <c r="J229" s="3" t="s">
        <v>391</v>
      </c>
      <c r="K229" s="4">
        <v>1938</v>
      </c>
      <c r="L229" s="5">
        <v>0</v>
      </c>
      <c r="M229" s="6">
        <v>0</v>
      </c>
      <c r="N229" s="7">
        <v>0</v>
      </c>
      <c r="O229" t="s">
        <v>23</v>
      </c>
      <c r="P229" s="3" t="s">
        <v>23</v>
      </c>
      <c r="Q229" s="8" t="s">
        <v>23</v>
      </c>
    </row>
    <row r="230" spans="1:17" hidden="1" x14ac:dyDescent="0.55000000000000004">
      <c r="A230" s="3" t="s">
        <v>335</v>
      </c>
      <c r="B230" s="3" t="s">
        <v>383</v>
      </c>
      <c r="C230" t="s">
        <v>7323</v>
      </c>
      <c r="D230" s="3" t="s">
        <v>7319</v>
      </c>
      <c r="E230" t="s">
        <v>385</v>
      </c>
      <c r="F230" s="3" t="s">
        <v>386</v>
      </c>
      <c r="G230" t="s">
        <v>24</v>
      </c>
      <c r="H230" s="3" t="s">
        <v>393</v>
      </c>
      <c r="I230" t="s">
        <v>313</v>
      </c>
      <c r="J230" s="3" t="s">
        <v>391</v>
      </c>
      <c r="K230" s="4">
        <v>1657</v>
      </c>
      <c r="L230" s="5">
        <v>0</v>
      </c>
      <c r="M230" s="6">
        <v>0</v>
      </c>
      <c r="N230" s="7">
        <v>0</v>
      </c>
      <c r="O230" t="s">
        <v>23</v>
      </c>
      <c r="P230" s="3" t="s">
        <v>23</v>
      </c>
      <c r="Q230" s="8" t="s">
        <v>23</v>
      </c>
    </row>
    <row r="231" spans="1:17" hidden="1" x14ac:dyDescent="0.55000000000000004">
      <c r="A231" s="3" t="s">
        <v>335</v>
      </c>
      <c r="B231" s="3" t="s">
        <v>383</v>
      </c>
      <c r="C231" t="s">
        <v>7323</v>
      </c>
      <c r="D231" s="3" t="s">
        <v>7319</v>
      </c>
      <c r="E231" t="s">
        <v>385</v>
      </c>
      <c r="F231" s="3" t="s">
        <v>386</v>
      </c>
      <c r="G231" t="s">
        <v>24</v>
      </c>
      <c r="H231" s="3" t="s">
        <v>394</v>
      </c>
      <c r="I231" t="s">
        <v>315</v>
      </c>
      <c r="J231" s="3" t="s">
        <v>391</v>
      </c>
      <c r="K231" s="4">
        <v>1344</v>
      </c>
      <c r="L231" s="5">
        <v>0</v>
      </c>
      <c r="M231" s="6">
        <v>0</v>
      </c>
      <c r="N231" s="7">
        <v>0</v>
      </c>
      <c r="O231" t="s">
        <v>23</v>
      </c>
      <c r="P231" s="3" t="s">
        <v>23</v>
      </c>
      <c r="Q231" s="8" t="s">
        <v>23</v>
      </c>
    </row>
    <row r="232" spans="1:17" hidden="1" x14ac:dyDescent="0.55000000000000004">
      <c r="A232" s="3" t="s">
        <v>335</v>
      </c>
      <c r="B232" s="3" t="s">
        <v>383</v>
      </c>
      <c r="C232" t="s">
        <v>7323</v>
      </c>
      <c r="D232" s="3" t="s">
        <v>7319</v>
      </c>
      <c r="E232" t="s">
        <v>385</v>
      </c>
      <c r="F232" s="3" t="s">
        <v>386</v>
      </c>
      <c r="G232" t="s">
        <v>24</v>
      </c>
      <c r="H232" s="3" t="s">
        <v>395</v>
      </c>
      <c r="I232" t="s">
        <v>317</v>
      </c>
      <c r="J232" s="3" t="s">
        <v>391</v>
      </c>
      <c r="K232" s="4">
        <v>1550</v>
      </c>
      <c r="L232" s="5">
        <v>0</v>
      </c>
      <c r="M232" s="6">
        <v>0</v>
      </c>
      <c r="N232" s="7">
        <v>0</v>
      </c>
      <c r="O232" t="s">
        <v>23</v>
      </c>
      <c r="P232" s="3" t="s">
        <v>23</v>
      </c>
      <c r="Q232" s="8" t="s">
        <v>23</v>
      </c>
    </row>
    <row r="233" spans="1:17" hidden="1" x14ac:dyDescent="0.55000000000000004">
      <c r="A233" s="3" t="s">
        <v>335</v>
      </c>
      <c r="B233" s="3" t="s">
        <v>396</v>
      </c>
      <c r="C233" t="s">
        <v>396</v>
      </c>
      <c r="D233" s="3" t="s">
        <v>7319</v>
      </c>
      <c r="E233" t="s">
        <v>397</v>
      </c>
      <c r="F233" s="3" t="s">
        <v>398</v>
      </c>
      <c r="G233" t="s">
        <v>19</v>
      </c>
      <c r="H233" s="3" t="s">
        <v>399</v>
      </c>
      <c r="I233" t="s">
        <v>400</v>
      </c>
      <c r="J233" s="3" t="s">
        <v>401</v>
      </c>
      <c r="K233" s="4">
        <v>35</v>
      </c>
      <c r="L233" s="5">
        <v>7.5</v>
      </c>
      <c r="M233" s="6">
        <v>1</v>
      </c>
      <c r="N233" s="7">
        <v>0</v>
      </c>
      <c r="O233" t="s">
        <v>402</v>
      </c>
      <c r="P233" s="3" t="s">
        <v>403</v>
      </c>
      <c r="Q233" s="8">
        <v>7.0600000000000003E-3</v>
      </c>
    </row>
    <row r="234" spans="1:17" hidden="1" x14ac:dyDescent="0.55000000000000004">
      <c r="A234" s="3" t="s">
        <v>335</v>
      </c>
      <c r="B234" s="3" t="s">
        <v>396</v>
      </c>
      <c r="C234" t="s">
        <v>396</v>
      </c>
      <c r="D234" s="3" t="s">
        <v>7319</v>
      </c>
      <c r="E234" t="s">
        <v>397</v>
      </c>
      <c r="F234" s="3" t="s">
        <v>398</v>
      </c>
      <c r="G234" t="s">
        <v>24</v>
      </c>
      <c r="H234" s="3" t="s">
        <v>404</v>
      </c>
      <c r="I234" t="s">
        <v>26</v>
      </c>
      <c r="J234" s="3" t="s">
        <v>405</v>
      </c>
      <c r="K234" s="4">
        <v>1813</v>
      </c>
      <c r="L234" s="5">
        <v>82.41</v>
      </c>
      <c r="M234" s="6">
        <v>1</v>
      </c>
      <c r="N234" s="7">
        <v>0</v>
      </c>
      <c r="O234" t="s">
        <v>406</v>
      </c>
      <c r="P234" s="3" t="s">
        <v>29</v>
      </c>
      <c r="Q234" s="8">
        <v>0.29083300000000001</v>
      </c>
    </row>
    <row r="235" spans="1:17" hidden="1" x14ac:dyDescent="0.55000000000000004">
      <c r="A235" s="3" t="s">
        <v>335</v>
      </c>
      <c r="B235" s="3" t="s">
        <v>407</v>
      </c>
      <c r="C235" t="s">
        <v>337</v>
      </c>
      <c r="D235" s="3" t="s">
        <v>7319</v>
      </c>
      <c r="E235" t="s">
        <v>408</v>
      </c>
      <c r="F235" s="3" t="s">
        <v>409</v>
      </c>
      <c r="G235" t="s">
        <v>19</v>
      </c>
      <c r="H235" s="3" t="s">
        <v>410</v>
      </c>
      <c r="I235" t="s">
        <v>289</v>
      </c>
      <c r="J235" s="3" t="s">
        <v>411</v>
      </c>
      <c r="K235" s="4">
        <v>6</v>
      </c>
      <c r="L235" s="5">
        <v>1.24</v>
      </c>
      <c r="M235" s="6">
        <v>1</v>
      </c>
      <c r="N235" s="7">
        <v>0</v>
      </c>
      <c r="O235" t="s">
        <v>23</v>
      </c>
      <c r="P235" s="3" t="s">
        <v>23</v>
      </c>
      <c r="Q235" s="8" t="s">
        <v>23</v>
      </c>
    </row>
    <row r="236" spans="1:17" hidden="1" x14ac:dyDescent="0.55000000000000004">
      <c r="A236" s="3" t="s">
        <v>335</v>
      </c>
      <c r="B236" s="3" t="s">
        <v>407</v>
      </c>
      <c r="C236" t="s">
        <v>337</v>
      </c>
      <c r="D236" s="3" t="s">
        <v>7319</v>
      </c>
      <c r="E236" t="s">
        <v>408</v>
      </c>
      <c r="F236" s="3" t="s">
        <v>409</v>
      </c>
      <c r="G236" t="s">
        <v>24</v>
      </c>
      <c r="H236" s="3" t="s">
        <v>412</v>
      </c>
      <c r="I236" t="s">
        <v>52</v>
      </c>
      <c r="J236" s="3" t="s">
        <v>413</v>
      </c>
      <c r="K236" s="4">
        <v>1783</v>
      </c>
      <c r="L236" s="5">
        <v>81.05</v>
      </c>
      <c r="M236" s="6">
        <v>1</v>
      </c>
      <c r="N236" s="7">
        <v>0</v>
      </c>
      <c r="O236" t="s">
        <v>414</v>
      </c>
      <c r="P236" s="3" t="s">
        <v>55</v>
      </c>
      <c r="Q236" s="8">
        <v>0.29582599999999998</v>
      </c>
    </row>
    <row r="237" spans="1:17" hidden="1" x14ac:dyDescent="0.55000000000000004">
      <c r="A237" s="3" t="s">
        <v>335</v>
      </c>
      <c r="B237" s="3" t="s">
        <v>407</v>
      </c>
      <c r="C237" t="s">
        <v>337</v>
      </c>
      <c r="D237" s="3" t="s">
        <v>7319</v>
      </c>
      <c r="E237" t="s">
        <v>408</v>
      </c>
      <c r="F237" s="3" t="s">
        <v>409</v>
      </c>
      <c r="G237" t="s">
        <v>24</v>
      </c>
      <c r="H237" s="3" t="s">
        <v>343</v>
      </c>
      <c r="I237" t="s">
        <v>52</v>
      </c>
      <c r="J237" s="3" t="s">
        <v>344</v>
      </c>
      <c r="K237" s="4">
        <v>1393</v>
      </c>
      <c r="L237" s="5">
        <v>0</v>
      </c>
      <c r="M237" s="6">
        <v>0</v>
      </c>
      <c r="N237" s="7">
        <v>0</v>
      </c>
      <c r="O237" t="s">
        <v>23</v>
      </c>
      <c r="P237" s="3" t="s">
        <v>23</v>
      </c>
      <c r="Q237" s="8" t="s">
        <v>23</v>
      </c>
    </row>
    <row r="238" spans="1:17" hidden="1" x14ac:dyDescent="0.55000000000000004">
      <c r="A238" s="3" t="s">
        <v>335</v>
      </c>
      <c r="B238" s="3" t="s">
        <v>407</v>
      </c>
      <c r="C238" t="s">
        <v>337</v>
      </c>
      <c r="D238" s="3" t="s">
        <v>7319</v>
      </c>
      <c r="E238" t="s">
        <v>408</v>
      </c>
      <c r="F238" s="3" t="s">
        <v>409</v>
      </c>
      <c r="G238" t="s">
        <v>24</v>
      </c>
      <c r="H238" s="3" t="s">
        <v>345</v>
      </c>
      <c r="I238" t="s">
        <v>296</v>
      </c>
      <c r="J238" s="3" t="s">
        <v>344</v>
      </c>
      <c r="K238" s="4">
        <v>1246</v>
      </c>
      <c r="L238" s="5">
        <v>0</v>
      </c>
      <c r="M238" s="6">
        <v>0</v>
      </c>
      <c r="N238" s="7">
        <v>0</v>
      </c>
      <c r="O238" t="s">
        <v>23</v>
      </c>
      <c r="P238" s="3" t="s">
        <v>23</v>
      </c>
      <c r="Q238" s="8" t="s">
        <v>23</v>
      </c>
    </row>
    <row r="239" spans="1:17" hidden="1" x14ac:dyDescent="0.55000000000000004">
      <c r="A239" s="3" t="s">
        <v>335</v>
      </c>
      <c r="B239" s="3" t="s">
        <v>407</v>
      </c>
      <c r="C239" t="s">
        <v>337</v>
      </c>
      <c r="D239" s="3" t="s">
        <v>7319</v>
      </c>
      <c r="E239" t="s">
        <v>408</v>
      </c>
      <c r="F239" s="3" t="s">
        <v>409</v>
      </c>
      <c r="G239" t="s">
        <v>24</v>
      </c>
      <c r="H239" s="3" t="s">
        <v>346</v>
      </c>
      <c r="I239" t="s">
        <v>298</v>
      </c>
      <c r="J239" s="3" t="s">
        <v>344</v>
      </c>
      <c r="K239" s="4">
        <v>1677</v>
      </c>
      <c r="L239" s="5">
        <v>0</v>
      </c>
      <c r="M239" s="6">
        <v>0</v>
      </c>
      <c r="N239" s="7">
        <v>0</v>
      </c>
      <c r="O239" t="s">
        <v>23</v>
      </c>
      <c r="P239" s="3" t="s">
        <v>23</v>
      </c>
      <c r="Q239" s="8" t="s">
        <v>23</v>
      </c>
    </row>
    <row r="240" spans="1:17" hidden="1" x14ac:dyDescent="0.55000000000000004">
      <c r="A240" s="3" t="s">
        <v>335</v>
      </c>
      <c r="B240" s="3" t="s">
        <v>407</v>
      </c>
      <c r="C240" t="s">
        <v>337</v>
      </c>
      <c r="D240" s="3" t="s">
        <v>7319</v>
      </c>
      <c r="E240" t="s">
        <v>408</v>
      </c>
      <c r="F240" s="3" t="s">
        <v>409</v>
      </c>
      <c r="G240" t="s">
        <v>24</v>
      </c>
      <c r="H240" s="3" t="s">
        <v>347</v>
      </c>
      <c r="I240" t="s">
        <v>300</v>
      </c>
      <c r="J240" s="3" t="s">
        <v>344</v>
      </c>
      <c r="K240" s="4">
        <v>1374</v>
      </c>
      <c r="L240" s="5">
        <v>0</v>
      </c>
      <c r="M240" s="6">
        <v>0</v>
      </c>
      <c r="N240" s="7">
        <v>0</v>
      </c>
      <c r="O240" t="s">
        <v>23</v>
      </c>
      <c r="P240" s="3" t="s">
        <v>23</v>
      </c>
      <c r="Q240" s="8" t="s">
        <v>23</v>
      </c>
    </row>
    <row r="241" spans="1:17" hidden="1" x14ac:dyDescent="0.55000000000000004">
      <c r="A241" s="3" t="s">
        <v>335</v>
      </c>
      <c r="B241" s="3" t="s">
        <v>407</v>
      </c>
      <c r="C241" t="s">
        <v>337</v>
      </c>
      <c r="D241" s="3" t="s">
        <v>7319</v>
      </c>
      <c r="E241" t="s">
        <v>408</v>
      </c>
      <c r="F241" s="3" t="s">
        <v>409</v>
      </c>
      <c r="G241" t="s">
        <v>24</v>
      </c>
      <c r="H241" s="3" t="s">
        <v>348</v>
      </c>
      <c r="I241" t="s">
        <v>304</v>
      </c>
      <c r="J241" s="3" t="s">
        <v>344</v>
      </c>
      <c r="K241" s="4">
        <v>1834</v>
      </c>
      <c r="L241" s="5">
        <v>0</v>
      </c>
      <c r="M241" s="6">
        <v>0</v>
      </c>
      <c r="N241" s="7">
        <v>0</v>
      </c>
      <c r="O241" t="s">
        <v>23</v>
      </c>
      <c r="P241" s="3" t="s">
        <v>23</v>
      </c>
      <c r="Q241" s="8" t="s">
        <v>23</v>
      </c>
    </row>
    <row r="242" spans="1:17" hidden="1" x14ac:dyDescent="0.55000000000000004">
      <c r="A242" s="3" t="s">
        <v>335</v>
      </c>
      <c r="B242" s="3" t="s">
        <v>407</v>
      </c>
      <c r="C242" t="s">
        <v>337</v>
      </c>
      <c r="D242" s="3" t="s">
        <v>7319</v>
      </c>
      <c r="E242" t="s">
        <v>408</v>
      </c>
      <c r="F242" s="3" t="s">
        <v>409</v>
      </c>
      <c r="G242" t="s">
        <v>24</v>
      </c>
      <c r="H242" s="3" t="s">
        <v>349</v>
      </c>
      <c r="I242" t="s">
        <v>302</v>
      </c>
      <c r="J242" s="3" t="s">
        <v>344</v>
      </c>
      <c r="K242" s="4">
        <v>1611</v>
      </c>
      <c r="L242" s="5">
        <v>0</v>
      </c>
      <c r="M242" s="6">
        <v>0</v>
      </c>
      <c r="N242" s="7">
        <v>0</v>
      </c>
      <c r="O242" t="s">
        <v>23</v>
      </c>
      <c r="P242" s="3" t="s">
        <v>23</v>
      </c>
      <c r="Q242" s="8" t="s">
        <v>23</v>
      </c>
    </row>
    <row r="243" spans="1:17" hidden="1" x14ac:dyDescent="0.55000000000000004">
      <c r="A243" s="3" t="s">
        <v>335</v>
      </c>
      <c r="B243" s="3" t="s">
        <v>407</v>
      </c>
      <c r="C243" t="s">
        <v>337</v>
      </c>
      <c r="D243" s="3" t="s">
        <v>7319</v>
      </c>
      <c r="E243" t="s">
        <v>408</v>
      </c>
      <c r="F243" s="3" t="s">
        <v>409</v>
      </c>
      <c r="G243" t="s">
        <v>24</v>
      </c>
      <c r="H243" s="3" t="s">
        <v>415</v>
      </c>
      <c r="I243" t="s">
        <v>26</v>
      </c>
      <c r="J243" s="3" t="s">
        <v>416</v>
      </c>
      <c r="K243" s="4">
        <v>1805</v>
      </c>
      <c r="L243" s="5">
        <v>82.05</v>
      </c>
      <c r="M243" s="6">
        <v>0</v>
      </c>
      <c r="N243" s="7">
        <v>0</v>
      </c>
      <c r="O243" t="s">
        <v>417</v>
      </c>
      <c r="P243" s="3" t="s">
        <v>29</v>
      </c>
      <c r="Q243" s="8">
        <v>0.29416700000000001</v>
      </c>
    </row>
    <row r="244" spans="1:17" hidden="1" x14ac:dyDescent="0.55000000000000004">
      <c r="A244" s="3" t="s">
        <v>335</v>
      </c>
      <c r="B244" s="3" t="s">
        <v>407</v>
      </c>
      <c r="C244" t="s">
        <v>337</v>
      </c>
      <c r="D244" s="3" t="s">
        <v>7319</v>
      </c>
      <c r="E244" t="s">
        <v>408</v>
      </c>
      <c r="F244" s="3" t="s">
        <v>409</v>
      </c>
      <c r="G244" t="s">
        <v>24</v>
      </c>
      <c r="H244" s="3" t="s">
        <v>353</v>
      </c>
      <c r="I244" t="s">
        <v>309</v>
      </c>
      <c r="J244" s="3" t="s">
        <v>354</v>
      </c>
      <c r="K244" s="4">
        <v>1615</v>
      </c>
      <c r="L244" s="5">
        <v>0</v>
      </c>
      <c r="M244" s="6">
        <v>0</v>
      </c>
      <c r="N244" s="7">
        <v>0</v>
      </c>
      <c r="O244" t="s">
        <v>23</v>
      </c>
      <c r="P244" s="3" t="s">
        <v>23</v>
      </c>
      <c r="Q244" s="8" t="s">
        <v>23</v>
      </c>
    </row>
    <row r="245" spans="1:17" hidden="1" x14ac:dyDescent="0.55000000000000004">
      <c r="A245" s="3" t="s">
        <v>335</v>
      </c>
      <c r="B245" s="3" t="s">
        <v>407</v>
      </c>
      <c r="C245" t="s">
        <v>337</v>
      </c>
      <c r="D245" s="3" t="s">
        <v>7319</v>
      </c>
      <c r="E245" t="s">
        <v>408</v>
      </c>
      <c r="F245" s="3" t="s">
        <v>409</v>
      </c>
      <c r="G245" t="s">
        <v>24</v>
      </c>
      <c r="H245" s="3" t="s">
        <v>355</v>
      </c>
      <c r="I245" t="s">
        <v>218</v>
      </c>
      <c r="J245" s="3" t="s">
        <v>354</v>
      </c>
      <c r="K245" s="4">
        <v>1825</v>
      </c>
      <c r="L245" s="5">
        <v>0</v>
      </c>
      <c r="M245" s="6">
        <v>0</v>
      </c>
      <c r="N245" s="7">
        <v>0</v>
      </c>
      <c r="O245" t="s">
        <v>23</v>
      </c>
      <c r="P245" s="3" t="s">
        <v>23</v>
      </c>
      <c r="Q245" s="8" t="s">
        <v>23</v>
      </c>
    </row>
    <row r="246" spans="1:17" hidden="1" x14ac:dyDescent="0.55000000000000004">
      <c r="A246" s="3" t="s">
        <v>335</v>
      </c>
      <c r="B246" s="3" t="s">
        <v>407</v>
      </c>
      <c r="C246" t="s">
        <v>337</v>
      </c>
      <c r="D246" s="3" t="s">
        <v>7319</v>
      </c>
      <c r="E246" t="s">
        <v>408</v>
      </c>
      <c r="F246" s="3" t="s">
        <v>409</v>
      </c>
      <c r="G246" t="s">
        <v>24</v>
      </c>
      <c r="H246" s="3" t="s">
        <v>356</v>
      </c>
      <c r="I246" t="s">
        <v>313</v>
      </c>
      <c r="J246" s="3" t="s">
        <v>354</v>
      </c>
      <c r="K246" s="4">
        <v>1600</v>
      </c>
      <c r="L246" s="5">
        <v>0</v>
      </c>
      <c r="M246" s="6">
        <v>0</v>
      </c>
      <c r="N246" s="7">
        <v>0</v>
      </c>
      <c r="O246" t="s">
        <v>23</v>
      </c>
      <c r="P246" s="3" t="s">
        <v>23</v>
      </c>
      <c r="Q246" s="8" t="s">
        <v>23</v>
      </c>
    </row>
    <row r="247" spans="1:17" hidden="1" x14ac:dyDescent="0.55000000000000004">
      <c r="A247" s="3" t="s">
        <v>335</v>
      </c>
      <c r="B247" s="3" t="s">
        <v>407</v>
      </c>
      <c r="C247" t="s">
        <v>337</v>
      </c>
      <c r="D247" s="3" t="s">
        <v>7319</v>
      </c>
      <c r="E247" t="s">
        <v>408</v>
      </c>
      <c r="F247" s="3" t="s">
        <v>409</v>
      </c>
      <c r="G247" t="s">
        <v>24</v>
      </c>
      <c r="H247" s="3" t="s">
        <v>357</v>
      </c>
      <c r="I247" t="s">
        <v>315</v>
      </c>
      <c r="J247" s="3" t="s">
        <v>354</v>
      </c>
      <c r="K247" s="4">
        <v>1228</v>
      </c>
      <c r="L247" s="5">
        <v>0</v>
      </c>
      <c r="M247" s="6">
        <v>0</v>
      </c>
      <c r="N247" s="7">
        <v>0</v>
      </c>
      <c r="O247" t="s">
        <v>23</v>
      </c>
      <c r="P247" s="3" t="s">
        <v>23</v>
      </c>
      <c r="Q247" s="8" t="s">
        <v>23</v>
      </c>
    </row>
    <row r="248" spans="1:17" hidden="1" x14ac:dyDescent="0.55000000000000004">
      <c r="A248" s="3" t="s">
        <v>335</v>
      </c>
      <c r="B248" s="3" t="s">
        <v>407</v>
      </c>
      <c r="C248" t="s">
        <v>337</v>
      </c>
      <c r="D248" s="3" t="s">
        <v>7319</v>
      </c>
      <c r="E248" t="s">
        <v>408</v>
      </c>
      <c r="F248" s="3" t="s">
        <v>409</v>
      </c>
      <c r="G248" t="s">
        <v>24</v>
      </c>
      <c r="H248" s="3" t="s">
        <v>358</v>
      </c>
      <c r="I248" t="s">
        <v>317</v>
      </c>
      <c r="J248" s="3" t="s">
        <v>354</v>
      </c>
      <c r="K248" s="4">
        <v>1461</v>
      </c>
      <c r="L248" s="5">
        <v>0</v>
      </c>
      <c r="M248" s="6">
        <v>0</v>
      </c>
      <c r="N248" s="7">
        <v>0</v>
      </c>
      <c r="O248" t="s">
        <v>23</v>
      </c>
      <c r="P248" s="3" t="s">
        <v>23</v>
      </c>
      <c r="Q248" s="8" t="s">
        <v>23</v>
      </c>
    </row>
    <row r="249" spans="1:17" hidden="1" x14ac:dyDescent="0.55000000000000004">
      <c r="A249" s="3" t="s">
        <v>335</v>
      </c>
      <c r="B249" s="3" t="s">
        <v>407</v>
      </c>
      <c r="C249" t="s">
        <v>337</v>
      </c>
      <c r="D249" s="3" t="s">
        <v>7319</v>
      </c>
      <c r="E249" t="s">
        <v>418</v>
      </c>
      <c r="F249" s="3" t="s">
        <v>419</v>
      </c>
      <c r="G249" t="s">
        <v>24</v>
      </c>
      <c r="H249" s="3" t="s">
        <v>412</v>
      </c>
      <c r="I249" t="s">
        <v>52</v>
      </c>
      <c r="J249" s="3" t="s">
        <v>413</v>
      </c>
      <c r="K249" s="4">
        <v>1783</v>
      </c>
      <c r="L249" s="5">
        <v>81.05</v>
      </c>
      <c r="M249" s="6">
        <v>1</v>
      </c>
      <c r="N249" s="7">
        <v>0</v>
      </c>
      <c r="O249" t="s">
        <v>414</v>
      </c>
      <c r="P249" s="3" t="s">
        <v>55</v>
      </c>
      <c r="Q249" s="8">
        <v>0.29582599999999998</v>
      </c>
    </row>
    <row r="250" spans="1:17" hidden="1" x14ac:dyDescent="0.55000000000000004">
      <c r="A250" s="3" t="s">
        <v>335</v>
      </c>
      <c r="B250" s="3" t="s">
        <v>407</v>
      </c>
      <c r="C250" t="s">
        <v>337</v>
      </c>
      <c r="D250" s="3" t="s">
        <v>7319</v>
      </c>
      <c r="E250" t="s">
        <v>418</v>
      </c>
      <c r="F250" s="3" t="s">
        <v>419</v>
      </c>
      <c r="G250" t="s">
        <v>24</v>
      </c>
      <c r="H250" s="3" t="s">
        <v>343</v>
      </c>
      <c r="I250" t="s">
        <v>52</v>
      </c>
      <c r="J250" s="3" t="s">
        <v>344</v>
      </c>
      <c r="K250" s="4">
        <v>1393</v>
      </c>
      <c r="L250" s="5">
        <v>0</v>
      </c>
      <c r="M250" s="6">
        <v>0</v>
      </c>
      <c r="N250" s="7">
        <v>0</v>
      </c>
      <c r="O250" t="s">
        <v>23</v>
      </c>
      <c r="P250" s="3" t="s">
        <v>23</v>
      </c>
      <c r="Q250" s="8" t="s">
        <v>23</v>
      </c>
    </row>
    <row r="251" spans="1:17" hidden="1" x14ac:dyDescent="0.55000000000000004">
      <c r="A251" s="3" t="s">
        <v>335</v>
      </c>
      <c r="B251" s="3" t="s">
        <v>407</v>
      </c>
      <c r="C251" t="s">
        <v>337</v>
      </c>
      <c r="D251" s="3" t="s">
        <v>7319</v>
      </c>
      <c r="E251" t="s">
        <v>418</v>
      </c>
      <c r="F251" s="3" t="s">
        <v>419</v>
      </c>
      <c r="G251" t="s">
        <v>24</v>
      </c>
      <c r="H251" s="3" t="s">
        <v>345</v>
      </c>
      <c r="I251" t="s">
        <v>296</v>
      </c>
      <c r="J251" s="3" t="s">
        <v>344</v>
      </c>
      <c r="K251" s="4">
        <v>1246</v>
      </c>
      <c r="L251" s="5">
        <v>0</v>
      </c>
      <c r="M251" s="6">
        <v>0</v>
      </c>
      <c r="N251" s="7">
        <v>0</v>
      </c>
      <c r="O251" t="s">
        <v>23</v>
      </c>
      <c r="P251" s="3" t="s">
        <v>23</v>
      </c>
      <c r="Q251" s="8" t="s">
        <v>23</v>
      </c>
    </row>
    <row r="252" spans="1:17" hidden="1" x14ac:dyDescent="0.55000000000000004">
      <c r="A252" s="3" t="s">
        <v>335</v>
      </c>
      <c r="B252" s="3" t="s">
        <v>407</v>
      </c>
      <c r="C252" t="s">
        <v>337</v>
      </c>
      <c r="D252" s="3" t="s">
        <v>7319</v>
      </c>
      <c r="E252" t="s">
        <v>418</v>
      </c>
      <c r="F252" s="3" t="s">
        <v>419</v>
      </c>
      <c r="G252" t="s">
        <v>24</v>
      </c>
      <c r="H252" s="3" t="s">
        <v>346</v>
      </c>
      <c r="I252" t="s">
        <v>298</v>
      </c>
      <c r="J252" s="3" t="s">
        <v>344</v>
      </c>
      <c r="K252" s="4">
        <v>1677</v>
      </c>
      <c r="L252" s="5">
        <v>0</v>
      </c>
      <c r="M252" s="6">
        <v>0</v>
      </c>
      <c r="N252" s="7">
        <v>0</v>
      </c>
      <c r="O252" t="s">
        <v>23</v>
      </c>
      <c r="P252" s="3" t="s">
        <v>23</v>
      </c>
      <c r="Q252" s="8" t="s">
        <v>23</v>
      </c>
    </row>
    <row r="253" spans="1:17" hidden="1" x14ac:dyDescent="0.55000000000000004">
      <c r="A253" s="3" t="s">
        <v>335</v>
      </c>
      <c r="B253" s="3" t="s">
        <v>407</v>
      </c>
      <c r="C253" t="s">
        <v>337</v>
      </c>
      <c r="D253" s="3" t="s">
        <v>7319</v>
      </c>
      <c r="E253" t="s">
        <v>418</v>
      </c>
      <c r="F253" s="3" t="s">
        <v>419</v>
      </c>
      <c r="G253" t="s">
        <v>24</v>
      </c>
      <c r="H253" s="3" t="s">
        <v>347</v>
      </c>
      <c r="I253" t="s">
        <v>300</v>
      </c>
      <c r="J253" s="3" t="s">
        <v>344</v>
      </c>
      <c r="K253" s="4">
        <v>1374</v>
      </c>
      <c r="L253" s="5">
        <v>0</v>
      </c>
      <c r="M253" s="6">
        <v>0</v>
      </c>
      <c r="N253" s="7">
        <v>0</v>
      </c>
      <c r="O253" t="s">
        <v>23</v>
      </c>
      <c r="P253" s="3" t="s">
        <v>23</v>
      </c>
      <c r="Q253" s="8" t="s">
        <v>23</v>
      </c>
    </row>
    <row r="254" spans="1:17" hidden="1" x14ac:dyDescent="0.55000000000000004">
      <c r="A254" s="3" t="s">
        <v>335</v>
      </c>
      <c r="B254" s="3" t="s">
        <v>407</v>
      </c>
      <c r="C254" t="s">
        <v>337</v>
      </c>
      <c r="D254" s="3" t="s">
        <v>7319</v>
      </c>
      <c r="E254" t="s">
        <v>418</v>
      </c>
      <c r="F254" s="3" t="s">
        <v>419</v>
      </c>
      <c r="G254" t="s">
        <v>24</v>
      </c>
      <c r="H254" s="3" t="s">
        <v>348</v>
      </c>
      <c r="I254" t="s">
        <v>304</v>
      </c>
      <c r="J254" s="3" t="s">
        <v>344</v>
      </c>
      <c r="K254" s="4">
        <v>1834</v>
      </c>
      <c r="L254" s="5">
        <v>0</v>
      </c>
      <c r="M254" s="6">
        <v>0</v>
      </c>
      <c r="N254" s="7">
        <v>0</v>
      </c>
      <c r="O254" t="s">
        <v>23</v>
      </c>
      <c r="P254" s="3" t="s">
        <v>23</v>
      </c>
      <c r="Q254" s="8" t="s">
        <v>23</v>
      </c>
    </row>
    <row r="255" spans="1:17" hidden="1" x14ac:dyDescent="0.55000000000000004">
      <c r="A255" s="3" t="s">
        <v>335</v>
      </c>
      <c r="B255" s="3" t="s">
        <v>407</v>
      </c>
      <c r="C255" t="s">
        <v>337</v>
      </c>
      <c r="D255" s="3" t="s">
        <v>7319</v>
      </c>
      <c r="E255" t="s">
        <v>418</v>
      </c>
      <c r="F255" s="3" t="s">
        <v>419</v>
      </c>
      <c r="G255" t="s">
        <v>24</v>
      </c>
      <c r="H255" s="3" t="s">
        <v>349</v>
      </c>
      <c r="I255" t="s">
        <v>302</v>
      </c>
      <c r="J255" s="3" t="s">
        <v>344</v>
      </c>
      <c r="K255" s="4">
        <v>1611</v>
      </c>
      <c r="L255" s="5">
        <v>0</v>
      </c>
      <c r="M255" s="6">
        <v>0</v>
      </c>
      <c r="N255" s="7">
        <v>0</v>
      </c>
      <c r="O255" t="s">
        <v>23</v>
      </c>
      <c r="P255" s="3" t="s">
        <v>23</v>
      </c>
      <c r="Q255" s="8" t="s">
        <v>23</v>
      </c>
    </row>
    <row r="256" spans="1:17" hidden="1" x14ac:dyDescent="0.55000000000000004">
      <c r="A256" s="3" t="s">
        <v>335</v>
      </c>
      <c r="B256" s="3" t="s">
        <v>407</v>
      </c>
      <c r="C256" t="s">
        <v>337</v>
      </c>
      <c r="D256" s="3" t="s">
        <v>7319</v>
      </c>
      <c r="E256" t="s">
        <v>418</v>
      </c>
      <c r="F256" s="3" t="s">
        <v>419</v>
      </c>
      <c r="G256" t="s">
        <v>24</v>
      </c>
      <c r="H256" s="3" t="s">
        <v>415</v>
      </c>
      <c r="I256" t="s">
        <v>26</v>
      </c>
      <c r="J256" s="3" t="s">
        <v>416</v>
      </c>
      <c r="K256" s="4">
        <v>1805</v>
      </c>
      <c r="L256" s="5">
        <v>82.05</v>
      </c>
      <c r="M256" s="6">
        <v>0</v>
      </c>
      <c r="N256" s="7">
        <v>0</v>
      </c>
      <c r="O256" t="s">
        <v>417</v>
      </c>
      <c r="P256" s="3" t="s">
        <v>29</v>
      </c>
      <c r="Q256" s="8">
        <v>0.29416700000000001</v>
      </c>
    </row>
    <row r="257" spans="1:17" hidden="1" x14ac:dyDescent="0.55000000000000004">
      <c r="A257" s="3" t="s">
        <v>335</v>
      </c>
      <c r="B257" s="3" t="s">
        <v>407</v>
      </c>
      <c r="C257" t="s">
        <v>337</v>
      </c>
      <c r="D257" s="3" t="s">
        <v>7319</v>
      </c>
      <c r="E257" t="s">
        <v>418</v>
      </c>
      <c r="F257" s="3" t="s">
        <v>419</v>
      </c>
      <c r="G257" t="s">
        <v>24</v>
      </c>
      <c r="H257" s="3" t="s">
        <v>353</v>
      </c>
      <c r="I257" t="s">
        <v>309</v>
      </c>
      <c r="J257" s="3" t="s">
        <v>354</v>
      </c>
      <c r="K257" s="4">
        <v>1615</v>
      </c>
      <c r="L257" s="5">
        <v>0</v>
      </c>
      <c r="M257" s="6">
        <v>0</v>
      </c>
      <c r="N257" s="7">
        <v>0</v>
      </c>
      <c r="O257" t="s">
        <v>23</v>
      </c>
      <c r="P257" s="3" t="s">
        <v>23</v>
      </c>
      <c r="Q257" s="8" t="s">
        <v>23</v>
      </c>
    </row>
    <row r="258" spans="1:17" hidden="1" x14ac:dyDescent="0.55000000000000004">
      <c r="A258" s="3" t="s">
        <v>335</v>
      </c>
      <c r="B258" s="3" t="s">
        <v>407</v>
      </c>
      <c r="C258" t="s">
        <v>337</v>
      </c>
      <c r="D258" s="3" t="s">
        <v>7319</v>
      </c>
      <c r="E258" t="s">
        <v>418</v>
      </c>
      <c r="F258" s="3" t="s">
        <v>419</v>
      </c>
      <c r="G258" t="s">
        <v>24</v>
      </c>
      <c r="H258" s="3" t="s">
        <v>355</v>
      </c>
      <c r="I258" t="s">
        <v>218</v>
      </c>
      <c r="J258" s="3" t="s">
        <v>354</v>
      </c>
      <c r="K258" s="4">
        <v>1825</v>
      </c>
      <c r="L258" s="5">
        <v>0</v>
      </c>
      <c r="M258" s="6">
        <v>0</v>
      </c>
      <c r="N258" s="7">
        <v>0</v>
      </c>
      <c r="O258" t="s">
        <v>23</v>
      </c>
      <c r="P258" s="3" t="s">
        <v>23</v>
      </c>
      <c r="Q258" s="8" t="s">
        <v>23</v>
      </c>
    </row>
    <row r="259" spans="1:17" hidden="1" x14ac:dyDescent="0.55000000000000004">
      <c r="A259" s="3" t="s">
        <v>335</v>
      </c>
      <c r="B259" s="3" t="s">
        <v>407</v>
      </c>
      <c r="C259" t="s">
        <v>337</v>
      </c>
      <c r="D259" s="3" t="s">
        <v>7319</v>
      </c>
      <c r="E259" t="s">
        <v>418</v>
      </c>
      <c r="F259" s="3" t="s">
        <v>419</v>
      </c>
      <c r="G259" t="s">
        <v>24</v>
      </c>
      <c r="H259" s="3" t="s">
        <v>356</v>
      </c>
      <c r="I259" t="s">
        <v>313</v>
      </c>
      <c r="J259" s="3" t="s">
        <v>354</v>
      </c>
      <c r="K259" s="4">
        <v>1600</v>
      </c>
      <c r="L259" s="5">
        <v>0</v>
      </c>
      <c r="M259" s="6">
        <v>0</v>
      </c>
      <c r="N259" s="7">
        <v>0</v>
      </c>
      <c r="O259" t="s">
        <v>23</v>
      </c>
      <c r="P259" s="3" t="s">
        <v>23</v>
      </c>
      <c r="Q259" s="8" t="s">
        <v>23</v>
      </c>
    </row>
    <row r="260" spans="1:17" hidden="1" x14ac:dyDescent="0.55000000000000004">
      <c r="A260" s="3" t="s">
        <v>335</v>
      </c>
      <c r="B260" s="3" t="s">
        <v>407</v>
      </c>
      <c r="C260" t="s">
        <v>337</v>
      </c>
      <c r="D260" s="3" t="s">
        <v>7319</v>
      </c>
      <c r="E260" t="s">
        <v>418</v>
      </c>
      <c r="F260" s="3" t="s">
        <v>419</v>
      </c>
      <c r="G260" t="s">
        <v>24</v>
      </c>
      <c r="H260" s="3" t="s">
        <v>357</v>
      </c>
      <c r="I260" t="s">
        <v>315</v>
      </c>
      <c r="J260" s="3" t="s">
        <v>354</v>
      </c>
      <c r="K260" s="4">
        <v>1228</v>
      </c>
      <c r="L260" s="5">
        <v>0</v>
      </c>
      <c r="M260" s="6">
        <v>0</v>
      </c>
      <c r="N260" s="7">
        <v>0</v>
      </c>
      <c r="O260" t="s">
        <v>23</v>
      </c>
      <c r="P260" s="3" t="s">
        <v>23</v>
      </c>
      <c r="Q260" s="8" t="s">
        <v>23</v>
      </c>
    </row>
    <row r="261" spans="1:17" hidden="1" x14ac:dyDescent="0.55000000000000004">
      <c r="A261" s="3" t="s">
        <v>335</v>
      </c>
      <c r="B261" s="3" t="s">
        <v>407</v>
      </c>
      <c r="C261" t="s">
        <v>337</v>
      </c>
      <c r="D261" s="3" t="s">
        <v>7319</v>
      </c>
      <c r="E261" t="s">
        <v>418</v>
      </c>
      <c r="F261" s="3" t="s">
        <v>419</v>
      </c>
      <c r="G261" t="s">
        <v>24</v>
      </c>
      <c r="H261" s="3" t="s">
        <v>358</v>
      </c>
      <c r="I261" t="s">
        <v>317</v>
      </c>
      <c r="J261" s="3" t="s">
        <v>354</v>
      </c>
      <c r="K261" s="4">
        <v>1461</v>
      </c>
      <c r="L261" s="5">
        <v>0</v>
      </c>
      <c r="M261" s="6">
        <v>0</v>
      </c>
      <c r="N261" s="7">
        <v>0</v>
      </c>
      <c r="O261" t="s">
        <v>23</v>
      </c>
      <c r="P261" s="3" t="s">
        <v>23</v>
      </c>
      <c r="Q261" s="8" t="s">
        <v>23</v>
      </c>
    </row>
    <row r="262" spans="1:17" hidden="1" x14ac:dyDescent="0.55000000000000004">
      <c r="A262" s="3" t="s">
        <v>335</v>
      </c>
      <c r="B262" s="3" t="s">
        <v>407</v>
      </c>
      <c r="C262" t="s">
        <v>337</v>
      </c>
      <c r="D262" s="3" t="s">
        <v>7319</v>
      </c>
      <c r="E262" t="s">
        <v>420</v>
      </c>
      <c r="F262" s="3" t="s">
        <v>421</v>
      </c>
      <c r="G262" t="s">
        <v>24</v>
      </c>
      <c r="H262" s="3" t="s">
        <v>343</v>
      </c>
      <c r="I262" t="s">
        <v>52</v>
      </c>
      <c r="J262" s="3" t="s">
        <v>344</v>
      </c>
      <c r="K262" s="4">
        <v>1393</v>
      </c>
      <c r="L262" s="5">
        <v>0</v>
      </c>
      <c r="M262" s="6">
        <v>0</v>
      </c>
      <c r="N262" s="7">
        <v>0</v>
      </c>
      <c r="O262" t="s">
        <v>23</v>
      </c>
      <c r="P262" s="3" t="s">
        <v>23</v>
      </c>
      <c r="Q262" s="8" t="s">
        <v>23</v>
      </c>
    </row>
    <row r="263" spans="1:17" hidden="1" x14ac:dyDescent="0.55000000000000004">
      <c r="A263" s="3" t="s">
        <v>335</v>
      </c>
      <c r="B263" s="3" t="s">
        <v>407</v>
      </c>
      <c r="C263" t="s">
        <v>337</v>
      </c>
      <c r="D263" s="3" t="s">
        <v>7319</v>
      </c>
      <c r="E263" t="s">
        <v>420</v>
      </c>
      <c r="F263" s="3" t="s">
        <v>421</v>
      </c>
      <c r="G263" t="s">
        <v>24</v>
      </c>
      <c r="H263" s="3" t="s">
        <v>345</v>
      </c>
      <c r="I263" t="s">
        <v>296</v>
      </c>
      <c r="J263" s="3" t="s">
        <v>344</v>
      </c>
      <c r="K263" s="4">
        <v>1246</v>
      </c>
      <c r="L263" s="5">
        <v>0</v>
      </c>
      <c r="M263" s="6">
        <v>0</v>
      </c>
      <c r="N263" s="7">
        <v>0</v>
      </c>
      <c r="O263" t="s">
        <v>23</v>
      </c>
      <c r="P263" s="3" t="s">
        <v>23</v>
      </c>
      <c r="Q263" s="8" t="s">
        <v>23</v>
      </c>
    </row>
    <row r="264" spans="1:17" hidden="1" x14ac:dyDescent="0.55000000000000004">
      <c r="A264" s="3" t="s">
        <v>335</v>
      </c>
      <c r="B264" s="3" t="s">
        <v>407</v>
      </c>
      <c r="C264" t="s">
        <v>337</v>
      </c>
      <c r="D264" s="3" t="s">
        <v>7319</v>
      </c>
      <c r="E264" t="s">
        <v>420</v>
      </c>
      <c r="F264" s="3" t="s">
        <v>421</v>
      </c>
      <c r="G264" t="s">
        <v>24</v>
      </c>
      <c r="H264" s="3" t="s">
        <v>346</v>
      </c>
      <c r="I264" t="s">
        <v>298</v>
      </c>
      <c r="J264" s="3" t="s">
        <v>344</v>
      </c>
      <c r="K264" s="4">
        <v>1677</v>
      </c>
      <c r="L264" s="5">
        <v>0</v>
      </c>
      <c r="M264" s="6">
        <v>0</v>
      </c>
      <c r="N264" s="7">
        <v>0</v>
      </c>
      <c r="O264" t="s">
        <v>23</v>
      </c>
      <c r="P264" s="3" t="s">
        <v>23</v>
      </c>
      <c r="Q264" s="8" t="s">
        <v>23</v>
      </c>
    </row>
    <row r="265" spans="1:17" hidden="1" x14ac:dyDescent="0.55000000000000004">
      <c r="A265" s="3" t="s">
        <v>335</v>
      </c>
      <c r="B265" s="3" t="s">
        <v>407</v>
      </c>
      <c r="C265" t="s">
        <v>337</v>
      </c>
      <c r="D265" s="3" t="s">
        <v>7319</v>
      </c>
      <c r="E265" t="s">
        <v>420</v>
      </c>
      <c r="F265" s="3" t="s">
        <v>421</v>
      </c>
      <c r="G265" t="s">
        <v>24</v>
      </c>
      <c r="H265" s="3" t="s">
        <v>347</v>
      </c>
      <c r="I265" t="s">
        <v>300</v>
      </c>
      <c r="J265" s="3" t="s">
        <v>344</v>
      </c>
      <c r="K265" s="4">
        <v>1374</v>
      </c>
      <c r="L265" s="5">
        <v>0</v>
      </c>
      <c r="M265" s="6">
        <v>0</v>
      </c>
      <c r="N265" s="7">
        <v>0</v>
      </c>
      <c r="O265" t="s">
        <v>23</v>
      </c>
      <c r="P265" s="3" t="s">
        <v>23</v>
      </c>
      <c r="Q265" s="8" t="s">
        <v>23</v>
      </c>
    </row>
    <row r="266" spans="1:17" hidden="1" x14ac:dyDescent="0.55000000000000004">
      <c r="A266" s="3" t="s">
        <v>335</v>
      </c>
      <c r="B266" s="3" t="s">
        <v>407</v>
      </c>
      <c r="C266" t="s">
        <v>337</v>
      </c>
      <c r="D266" s="3" t="s">
        <v>7319</v>
      </c>
      <c r="E266" t="s">
        <v>420</v>
      </c>
      <c r="F266" s="3" t="s">
        <v>421</v>
      </c>
      <c r="G266" t="s">
        <v>24</v>
      </c>
      <c r="H266" s="3" t="s">
        <v>348</v>
      </c>
      <c r="I266" t="s">
        <v>304</v>
      </c>
      <c r="J266" s="3" t="s">
        <v>344</v>
      </c>
      <c r="K266" s="4">
        <v>1834</v>
      </c>
      <c r="L266" s="5">
        <v>0</v>
      </c>
      <c r="M266" s="6">
        <v>0</v>
      </c>
      <c r="N266" s="7">
        <v>0</v>
      </c>
      <c r="O266" t="s">
        <v>23</v>
      </c>
      <c r="P266" s="3" t="s">
        <v>23</v>
      </c>
      <c r="Q266" s="8" t="s">
        <v>23</v>
      </c>
    </row>
    <row r="267" spans="1:17" hidden="1" x14ac:dyDescent="0.55000000000000004">
      <c r="A267" s="3" t="s">
        <v>335</v>
      </c>
      <c r="B267" s="3" t="s">
        <v>407</v>
      </c>
      <c r="C267" t="s">
        <v>337</v>
      </c>
      <c r="D267" s="3" t="s">
        <v>7319</v>
      </c>
      <c r="E267" t="s">
        <v>420</v>
      </c>
      <c r="F267" s="3" t="s">
        <v>421</v>
      </c>
      <c r="G267" t="s">
        <v>24</v>
      </c>
      <c r="H267" s="3" t="s">
        <v>349</v>
      </c>
      <c r="I267" t="s">
        <v>302</v>
      </c>
      <c r="J267" s="3" t="s">
        <v>344</v>
      </c>
      <c r="K267" s="4">
        <v>1611</v>
      </c>
      <c r="L267" s="5">
        <v>0</v>
      </c>
      <c r="M267" s="6">
        <v>0</v>
      </c>
      <c r="N267" s="7">
        <v>0</v>
      </c>
      <c r="O267" t="s">
        <v>23</v>
      </c>
      <c r="P267" s="3" t="s">
        <v>23</v>
      </c>
      <c r="Q267" s="8" t="s">
        <v>23</v>
      </c>
    </row>
    <row r="268" spans="1:17" hidden="1" x14ac:dyDescent="0.55000000000000004">
      <c r="A268" s="3" t="s">
        <v>335</v>
      </c>
      <c r="B268" s="3" t="s">
        <v>407</v>
      </c>
      <c r="C268" t="s">
        <v>337</v>
      </c>
      <c r="D268" s="3" t="s">
        <v>7319</v>
      </c>
      <c r="E268" t="s">
        <v>420</v>
      </c>
      <c r="F268" s="3" t="s">
        <v>421</v>
      </c>
      <c r="G268" t="s">
        <v>24</v>
      </c>
      <c r="H268" s="3" t="s">
        <v>353</v>
      </c>
      <c r="I268" t="s">
        <v>309</v>
      </c>
      <c r="J268" s="3" t="s">
        <v>354</v>
      </c>
      <c r="K268" s="4">
        <v>1615</v>
      </c>
      <c r="L268" s="5">
        <v>0</v>
      </c>
      <c r="M268" s="6">
        <v>0</v>
      </c>
      <c r="N268" s="7">
        <v>0</v>
      </c>
      <c r="O268" t="s">
        <v>23</v>
      </c>
      <c r="P268" s="3" t="s">
        <v>23</v>
      </c>
      <c r="Q268" s="8" t="s">
        <v>23</v>
      </c>
    </row>
    <row r="269" spans="1:17" hidden="1" x14ac:dyDescent="0.55000000000000004">
      <c r="A269" s="3" t="s">
        <v>335</v>
      </c>
      <c r="B269" s="3" t="s">
        <v>407</v>
      </c>
      <c r="C269" t="s">
        <v>337</v>
      </c>
      <c r="D269" s="3" t="s">
        <v>7319</v>
      </c>
      <c r="E269" t="s">
        <v>420</v>
      </c>
      <c r="F269" s="3" t="s">
        <v>421</v>
      </c>
      <c r="G269" t="s">
        <v>24</v>
      </c>
      <c r="H269" s="3" t="s">
        <v>355</v>
      </c>
      <c r="I269" t="s">
        <v>218</v>
      </c>
      <c r="J269" s="3" t="s">
        <v>354</v>
      </c>
      <c r="K269" s="4">
        <v>1825</v>
      </c>
      <c r="L269" s="5">
        <v>0</v>
      </c>
      <c r="M269" s="6">
        <v>0</v>
      </c>
      <c r="N269" s="7">
        <v>0</v>
      </c>
      <c r="O269" t="s">
        <v>23</v>
      </c>
      <c r="P269" s="3" t="s">
        <v>23</v>
      </c>
      <c r="Q269" s="8" t="s">
        <v>23</v>
      </c>
    </row>
    <row r="270" spans="1:17" hidden="1" x14ac:dyDescent="0.55000000000000004">
      <c r="A270" s="3" t="s">
        <v>335</v>
      </c>
      <c r="B270" s="3" t="s">
        <v>407</v>
      </c>
      <c r="C270" t="s">
        <v>337</v>
      </c>
      <c r="D270" s="3" t="s">
        <v>7319</v>
      </c>
      <c r="E270" t="s">
        <v>420</v>
      </c>
      <c r="F270" s="3" t="s">
        <v>421</v>
      </c>
      <c r="G270" t="s">
        <v>24</v>
      </c>
      <c r="H270" s="3" t="s">
        <v>356</v>
      </c>
      <c r="I270" t="s">
        <v>313</v>
      </c>
      <c r="J270" s="3" t="s">
        <v>354</v>
      </c>
      <c r="K270" s="4">
        <v>1600</v>
      </c>
      <c r="L270" s="5">
        <v>0</v>
      </c>
      <c r="M270" s="6">
        <v>0</v>
      </c>
      <c r="N270" s="7">
        <v>0</v>
      </c>
      <c r="O270" t="s">
        <v>23</v>
      </c>
      <c r="P270" s="3" t="s">
        <v>23</v>
      </c>
      <c r="Q270" s="8" t="s">
        <v>23</v>
      </c>
    </row>
    <row r="271" spans="1:17" hidden="1" x14ac:dyDescent="0.55000000000000004">
      <c r="A271" s="3" t="s">
        <v>335</v>
      </c>
      <c r="B271" s="3" t="s">
        <v>407</v>
      </c>
      <c r="C271" t="s">
        <v>337</v>
      </c>
      <c r="D271" s="3" t="s">
        <v>7319</v>
      </c>
      <c r="E271" t="s">
        <v>420</v>
      </c>
      <c r="F271" s="3" t="s">
        <v>421</v>
      </c>
      <c r="G271" t="s">
        <v>24</v>
      </c>
      <c r="H271" s="3" t="s">
        <v>357</v>
      </c>
      <c r="I271" t="s">
        <v>315</v>
      </c>
      <c r="J271" s="3" t="s">
        <v>354</v>
      </c>
      <c r="K271" s="4">
        <v>1228</v>
      </c>
      <c r="L271" s="5">
        <v>0</v>
      </c>
      <c r="M271" s="6">
        <v>0</v>
      </c>
      <c r="N271" s="7">
        <v>0</v>
      </c>
      <c r="O271" t="s">
        <v>23</v>
      </c>
      <c r="P271" s="3" t="s">
        <v>23</v>
      </c>
      <c r="Q271" s="8" t="s">
        <v>23</v>
      </c>
    </row>
    <row r="272" spans="1:17" hidden="1" x14ac:dyDescent="0.55000000000000004">
      <c r="A272" s="3" t="s">
        <v>335</v>
      </c>
      <c r="B272" s="3" t="s">
        <v>407</v>
      </c>
      <c r="C272" t="s">
        <v>337</v>
      </c>
      <c r="D272" s="3" t="s">
        <v>7319</v>
      </c>
      <c r="E272" t="s">
        <v>420</v>
      </c>
      <c r="F272" s="3" t="s">
        <v>421</v>
      </c>
      <c r="G272" t="s">
        <v>24</v>
      </c>
      <c r="H272" s="3" t="s">
        <v>358</v>
      </c>
      <c r="I272" t="s">
        <v>317</v>
      </c>
      <c r="J272" s="3" t="s">
        <v>354</v>
      </c>
      <c r="K272" s="4">
        <v>1461</v>
      </c>
      <c r="L272" s="5">
        <v>0</v>
      </c>
      <c r="M272" s="6">
        <v>0</v>
      </c>
      <c r="N272" s="7">
        <v>0</v>
      </c>
      <c r="O272" t="s">
        <v>23</v>
      </c>
      <c r="P272" s="3" t="s">
        <v>23</v>
      </c>
      <c r="Q272" s="8" t="s">
        <v>23</v>
      </c>
    </row>
    <row r="273" spans="1:17" hidden="1" x14ac:dyDescent="0.55000000000000004">
      <c r="A273" s="3" t="s">
        <v>335</v>
      </c>
      <c r="B273" s="3" t="s">
        <v>407</v>
      </c>
      <c r="C273" t="s">
        <v>337</v>
      </c>
      <c r="D273" s="3" t="s">
        <v>7319</v>
      </c>
      <c r="E273" t="s">
        <v>420</v>
      </c>
      <c r="F273" s="3" t="s">
        <v>421</v>
      </c>
      <c r="G273" t="s">
        <v>24</v>
      </c>
      <c r="H273" s="3" t="s">
        <v>422</v>
      </c>
      <c r="I273" t="s">
        <v>52</v>
      </c>
      <c r="J273" s="3" t="s">
        <v>423</v>
      </c>
      <c r="K273" s="4">
        <v>1785</v>
      </c>
      <c r="L273" s="5">
        <v>81.12</v>
      </c>
      <c r="M273" s="6">
        <v>1</v>
      </c>
      <c r="N273" s="7">
        <v>0</v>
      </c>
      <c r="O273" t="s">
        <v>424</v>
      </c>
      <c r="P273" s="3" t="s">
        <v>55</v>
      </c>
      <c r="Q273" s="8">
        <v>0.29584100000000002</v>
      </c>
    </row>
    <row r="274" spans="1:17" hidden="1" x14ac:dyDescent="0.55000000000000004">
      <c r="A274" s="3" t="s">
        <v>335</v>
      </c>
      <c r="B274" s="3" t="s">
        <v>407</v>
      </c>
      <c r="C274" t="s">
        <v>337</v>
      </c>
      <c r="D274" s="3" t="s">
        <v>7319</v>
      </c>
      <c r="E274" t="s">
        <v>420</v>
      </c>
      <c r="F274" s="3" t="s">
        <v>421</v>
      </c>
      <c r="G274" t="s">
        <v>24</v>
      </c>
      <c r="H274" s="3" t="s">
        <v>425</v>
      </c>
      <c r="I274" t="s">
        <v>26</v>
      </c>
      <c r="J274" s="3" t="s">
        <v>426</v>
      </c>
      <c r="K274" s="4">
        <v>1810</v>
      </c>
      <c r="L274" s="5">
        <v>82.27</v>
      </c>
      <c r="M274" s="6">
        <v>0</v>
      </c>
      <c r="N274" s="7">
        <v>0</v>
      </c>
      <c r="O274" t="s">
        <v>427</v>
      </c>
      <c r="P274" s="3" t="s">
        <v>29</v>
      </c>
      <c r="Q274" s="8">
        <v>0.29416700000000001</v>
      </c>
    </row>
    <row r="275" spans="1:17" hidden="1" x14ac:dyDescent="0.55000000000000004">
      <c r="A275" s="3" t="s">
        <v>335</v>
      </c>
      <c r="B275" s="3" t="s">
        <v>428</v>
      </c>
      <c r="C275" t="s">
        <v>428</v>
      </c>
      <c r="D275" s="3" t="s">
        <v>7319</v>
      </c>
      <c r="E275" t="s">
        <v>429</v>
      </c>
      <c r="F275" s="3" t="s">
        <v>430</v>
      </c>
      <c r="G275" t="s">
        <v>19</v>
      </c>
      <c r="H275" s="3" t="s">
        <v>431</v>
      </c>
      <c r="I275" t="s">
        <v>432</v>
      </c>
      <c r="J275" s="3" t="s">
        <v>433</v>
      </c>
      <c r="K275" s="4">
        <v>160</v>
      </c>
      <c r="L275" s="5">
        <v>34.85</v>
      </c>
      <c r="M275" s="6">
        <v>1</v>
      </c>
      <c r="N275" s="7">
        <v>0</v>
      </c>
      <c r="O275" t="s">
        <v>434</v>
      </c>
      <c r="P275" s="3" t="s">
        <v>403</v>
      </c>
      <c r="Q275" s="8">
        <v>1.8157E-2</v>
      </c>
    </row>
    <row r="276" spans="1:17" hidden="1" x14ac:dyDescent="0.55000000000000004">
      <c r="A276" s="3" t="s">
        <v>335</v>
      </c>
      <c r="B276" s="3" t="s">
        <v>428</v>
      </c>
      <c r="C276" t="s">
        <v>428</v>
      </c>
      <c r="D276" s="3" t="s">
        <v>7319</v>
      </c>
      <c r="E276" t="s">
        <v>429</v>
      </c>
      <c r="F276" s="3" t="s">
        <v>430</v>
      </c>
      <c r="G276" t="s">
        <v>24</v>
      </c>
      <c r="H276" s="3" t="s">
        <v>435</v>
      </c>
      <c r="I276" t="s">
        <v>26</v>
      </c>
      <c r="J276" s="3" t="s">
        <v>436</v>
      </c>
      <c r="K276" s="4">
        <v>1350</v>
      </c>
      <c r="L276" s="5">
        <v>61.38</v>
      </c>
      <c r="M276" s="6">
        <v>1</v>
      </c>
      <c r="N276" s="7">
        <v>0</v>
      </c>
      <c r="O276" t="s">
        <v>437</v>
      </c>
      <c r="P276" s="3" t="s">
        <v>76</v>
      </c>
      <c r="Q276" s="8">
        <v>0.29416700000000001</v>
      </c>
    </row>
    <row r="277" spans="1:17" hidden="1" x14ac:dyDescent="0.55000000000000004">
      <c r="A277" s="3" t="s">
        <v>335</v>
      </c>
      <c r="B277" s="3" t="s">
        <v>438</v>
      </c>
      <c r="C277" t="s">
        <v>438</v>
      </c>
      <c r="D277" s="3" t="s">
        <v>7319</v>
      </c>
      <c r="E277" t="s">
        <v>439</v>
      </c>
      <c r="F277" s="3" t="s">
        <v>440</v>
      </c>
      <c r="G277" t="s">
        <v>24</v>
      </c>
      <c r="H277" s="3" t="s">
        <v>441</v>
      </c>
      <c r="I277" t="s">
        <v>26</v>
      </c>
      <c r="J277" s="3" t="s">
        <v>442</v>
      </c>
      <c r="K277" s="4">
        <v>1713</v>
      </c>
      <c r="L277" s="5">
        <v>77.88</v>
      </c>
      <c r="M277" s="6">
        <v>1</v>
      </c>
      <c r="N277" s="7">
        <v>0</v>
      </c>
      <c r="O277" t="s">
        <v>443</v>
      </c>
      <c r="P277" s="3" t="s">
        <v>76</v>
      </c>
      <c r="Q277" s="8">
        <v>0.29416700000000001</v>
      </c>
    </row>
    <row r="278" spans="1:17" hidden="1" x14ac:dyDescent="0.55000000000000004">
      <c r="A278" s="3" t="s">
        <v>335</v>
      </c>
      <c r="B278" s="3" t="s">
        <v>438</v>
      </c>
      <c r="C278" t="s">
        <v>438</v>
      </c>
      <c r="D278" s="3" t="s">
        <v>7319</v>
      </c>
      <c r="E278" t="s">
        <v>439</v>
      </c>
      <c r="F278" s="3" t="s">
        <v>440</v>
      </c>
      <c r="G278" t="s">
        <v>24</v>
      </c>
      <c r="H278" s="3" t="s">
        <v>444</v>
      </c>
      <c r="I278" t="s">
        <v>218</v>
      </c>
      <c r="J278" s="3" t="s">
        <v>442</v>
      </c>
      <c r="K278" s="4">
        <v>2270</v>
      </c>
      <c r="L278" s="5">
        <v>103.2</v>
      </c>
      <c r="M278" s="6">
        <v>0</v>
      </c>
      <c r="N278" s="7">
        <v>0</v>
      </c>
      <c r="O278" t="s">
        <v>445</v>
      </c>
      <c r="P278" s="3" t="s">
        <v>23</v>
      </c>
      <c r="Q278" s="8" t="s">
        <v>23</v>
      </c>
    </row>
    <row r="279" spans="1:17" hidden="1" x14ac:dyDescent="0.55000000000000004">
      <c r="A279" s="3" t="s">
        <v>335</v>
      </c>
      <c r="B279" s="3" t="s">
        <v>438</v>
      </c>
      <c r="C279" t="s">
        <v>438</v>
      </c>
      <c r="D279" s="3" t="s">
        <v>7319</v>
      </c>
      <c r="E279" t="s">
        <v>446</v>
      </c>
      <c r="F279" s="3" t="s">
        <v>447</v>
      </c>
      <c r="G279" t="s">
        <v>19</v>
      </c>
      <c r="H279" s="3" t="s">
        <v>448</v>
      </c>
      <c r="I279" t="s">
        <v>289</v>
      </c>
      <c r="J279" s="3" t="s">
        <v>449</v>
      </c>
      <c r="K279" s="4">
        <v>56</v>
      </c>
      <c r="L279" s="5">
        <v>12.11</v>
      </c>
      <c r="M279" s="6">
        <v>1</v>
      </c>
      <c r="N279" s="7">
        <v>1</v>
      </c>
      <c r="O279" t="s">
        <v>450</v>
      </c>
      <c r="P279" s="3" t="s">
        <v>451</v>
      </c>
      <c r="Q279" s="8">
        <v>8.6599999999999993E-3</v>
      </c>
    </row>
    <row r="280" spans="1:17" hidden="1" x14ac:dyDescent="0.55000000000000004">
      <c r="A280" s="3" t="s">
        <v>335</v>
      </c>
      <c r="B280" s="3" t="s">
        <v>438</v>
      </c>
      <c r="C280" t="s">
        <v>438</v>
      </c>
      <c r="D280" s="3" t="s">
        <v>7319</v>
      </c>
      <c r="E280" t="s">
        <v>446</v>
      </c>
      <c r="F280" s="3" t="s">
        <v>447</v>
      </c>
      <c r="G280" t="s">
        <v>24</v>
      </c>
      <c r="H280" s="3" t="s">
        <v>441</v>
      </c>
      <c r="I280" t="s">
        <v>26</v>
      </c>
      <c r="J280" s="3" t="s">
        <v>442</v>
      </c>
      <c r="K280" s="4">
        <v>1713</v>
      </c>
      <c r="L280" s="5">
        <v>77.88</v>
      </c>
      <c r="M280" s="6">
        <v>1</v>
      </c>
      <c r="N280" s="7">
        <v>1</v>
      </c>
      <c r="O280" t="s">
        <v>443</v>
      </c>
      <c r="P280" s="3" t="s">
        <v>76</v>
      </c>
      <c r="Q280" s="8">
        <v>0.29416700000000001</v>
      </c>
    </row>
    <row r="281" spans="1:17" hidden="1" x14ac:dyDescent="0.55000000000000004">
      <c r="A281" s="3" t="s">
        <v>335</v>
      </c>
      <c r="B281" s="3" t="s">
        <v>438</v>
      </c>
      <c r="C281" t="s">
        <v>438</v>
      </c>
      <c r="D281" s="3" t="s">
        <v>7319</v>
      </c>
      <c r="E281" t="s">
        <v>446</v>
      </c>
      <c r="F281" s="3" t="s">
        <v>447</v>
      </c>
      <c r="G281" t="s">
        <v>24</v>
      </c>
      <c r="H281" s="3" t="s">
        <v>444</v>
      </c>
      <c r="I281" t="s">
        <v>218</v>
      </c>
      <c r="J281" s="3" t="s">
        <v>442</v>
      </c>
      <c r="K281" s="4">
        <v>2270</v>
      </c>
      <c r="L281" s="5">
        <v>103.2</v>
      </c>
      <c r="M281" s="6">
        <v>0</v>
      </c>
      <c r="N281" s="7">
        <v>1</v>
      </c>
      <c r="O281" t="s">
        <v>445</v>
      </c>
      <c r="P281" s="3" t="s">
        <v>23</v>
      </c>
      <c r="Q281" s="8" t="s">
        <v>23</v>
      </c>
    </row>
    <row r="282" spans="1:17" hidden="1" x14ac:dyDescent="0.55000000000000004">
      <c r="A282" s="3" t="s">
        <v>335</v>
      </c>
      <c r="B282" s="3" t="s">
        <v>438</v>
      </c>
      <c r="C282" t="s">
        <v>438</v>
      </c>
      <c r="D282" s="3" t="s">
        <v>7319</v>
      </c>
      <c r="E282" t="s">
        <v>452</v>
      </c>
      <c r="F282" s="3" t="s">
        <v>453</v>
      </c>
      <c r="G282" t="s">
        <v>19</v>
      </c>
      <c r="H282" s="3" t="s">
        <v>448</v>
      </c>
      <c r="I282" t="s">
        <v>289</v>
      </c>
      <c r="J282" s="3" t="s">
        <v>449</v>
      </c>
      <c r="K282" s="4">
        <v>56</v>
      </c>
      <c r="L282" s="5">
        <v>12.11</v>
      </c>
      <c r="M282" s="6">
        <v>1</v>
      </c>
      <c r="N282" s="7">
        <v>0</v>
      </c>
      <c r="O282" t="s">
        <v>450</v>
      </c>
      <c r="P282" s="3" t="s">
        <v>451</v>
      </c>
      <c r="Q282" s="8">
        <v>8.6599999999999993E-3</v>
      </c>
    </row>
    <row r="283" spans="1:17" hidden="1" x14ac:dyDescent="0.55000000000000004">
      <c r="A283" s="3" t="s">
        <v>335</v>
      </c>
      <c r="B283" s="3" t="s">
        <v>438</v>
      </c>
      <c r="C283" t="s">
        <v>438</v>
      </c>
      <c r="D283" s="3" t="s">
        <v>7319</v>
      </c>
      <c r="E283" t="s">
        <v>452</v>
      </c>
      <c r="F283" s="3" t="s">
        <v>453</v>
      </c>
      <c r="G283" t="s">
        <v>24</v>
      </c>
      <c r="H283" s="3" t="s">
        <v>343</v>
      </c>
      <c r="I283" t="s">
        <v>52</v>
      </c>
      <c r="J283" s="3" t="s">
        <v>344</v>
      </c>
      <c r="K283" s="4">
        <v>1393</v>
      </c>
      <c r="L283" s="5">
        <v>0</v>
      </c>
      <c r="M283" s="6">
        <v>0</v>
      </c>
      <c r="N283" s="7">
        <v>0</v>
      </c>
      <c r="O283" t="s">
        <v>23</v>
      </c>
      <c r="P283" s="3" t="s">
        <v>23</v>
      </c>
      <c r="Q283" s="8" t="s">
        <v>23</v>
      </c>
    </row>
    <row r="284" spans="1:17" hidden="1" x14ac:dyDescent="0.55000000000000004">
      <c r="A284" s="3" t="s">
        <v>335</v>
      </c>
      <c r="B284" s="3" t="s">
        <v>438</v>
      </c>
      <c r="C284" t="s">
        <v>438</v>
      </c>
      <c r="D284" s="3" t="s">
        <v>7319</v>
      </c>
      <c r="E284" t="s">
        <v>452</v>
      </c>
      <c r="F284" s="3" t="s">
        <v>453</v>
      </c>
      <c r="G284" t="s">
        <v>24</v>
      </c>
      <c r="H284" s="3" t="s">
        <v>345</v>
      </c>
      <c r="I284" t="s">
        <v>296</v>
      </c>
      <c r="J284" s="3" t="s">
        <v>344</v>
      </c>
      <c r="K284" s="4">
        <v>1246</v>
      </c>
      <c r="L284" s="5">
        <v>0</v>
      </c>
      <c r="M284" s="6">
        <v>0</v>
      </c>
      <c r="N284" s="7">
        <v>0</v>
      </c>
      <c r="O284" t="s">
        <v>23</v>
      </c>
      <c r="P284" s="3" t="s">
        <v>23</v>
      </c>
      <c r="Q284" s="8" t="s">
        <v>23</v>
      </c>
    </row>
    <row r="285" spans="1:17" hidden="1" x14ac:dyDescent="0.55000000000000004">
      <c r="A285" s="3" t="s">
        <v>335</v>
      </c>
      <c r="B285" s="3" t="s">
        <v>438</v>
      </c>
      <c r="C285" t="s">
        <v>438</v>
      </c>
      <c r="D285" s="3" t="s">
        <v>7319</v>
      </c>
      <c r="E285" t="s">
        <v>452</v>
      </c>
      <c r="F285" s="3" t="s">
        <v>453</v>
      </c>
      <c r="G285" t="s">
        <v>24</v>
      </c>
      <c r="H285" s="3" t="s">
        <v>346</v>
      </c>
      <c r="I285" t="s">
        <v>298</v>
      </c>
      <c r="J285" s="3" t="s">
        <v>344</v>
      </c>
      <c r="K285" s="4">
        <v>1677</v>
      </c>
      <c r="L285" s="5">
        <v>0</v>
      </c>
      <c r="M285" s="6">
        <v>0</v>
      </c>
      <c r="N285" s="7">
        <v>0</v>
      </c>
      <c r="O285" t="s">
        <v>23</v>
      </c>
      <c r="P285" s="3" t="s">
        <v>23</v>
      </c>
      <c r="Q285" s="8" t="s">
        <v>23</v>
      </c>
    </row>
    <row r="286" spans="1:17" hidden="1" x14ac:dyDescent="0.55000000000000004">
      <c r="A286" s="3" t="s">
        <v>335</v>
      </c>
      <c r="B286" s="3" t="s">
        <v>438</v>
      </c>
      <c r="C286" t="s">
        <v>438</v>
      </c>
      <c r="D286" s="3" t="s">
        <v>7319</v>
      </c>
      <c r="E286" t="s">
        <v>452</v>
      </c>
      <c r="F286" s="3" t="s">
        <v>453</v>
      </c>
      <c r="G286" t="s">
        <v>24</v>
      </c>
      <c r="H286" s="3" t="s">
        <v>347</v>
      </c>
      <c r="I286" t="s">
        <v>300</v>
      </c>
      <c r="J286" s="3" t="s">
        <v>344</v>
      </c>
      <c r="K286" s="4">
        <v>1374</v>
      </c>
      <c r="L286" s="5">
        <v>0</v>
      </c>
      <c r="M286" s="6">
        <v>0</v>
      </c>
      <c r="N286" s="7">
        <v>0</v>
      </c>
      <c r="O286" t="s">
        <v>23</v>
      </c>
      <c r="P286" s="3" t="s">
        <v>23</v>
      </c>
      <c r="Q286" s="8" t="s">
        <v>23</v>
      </c>
    </row>
    <row r="287" spans="1:17" hidden="1" x14ac:dyDescent="0.55000000000000004">
      <c r="A287" s="3" t="s">
        <v>335</v>
      </c>
      <c r="B287" s="3" t="s">
        <v>438</v>
      </c>
      <c r="C287" t="s">
        <v>438</v>
      </c>
      <c r="D287" s="3" t="s">
        <v>7319</v>
      </c>
      <c r="E287" t="s">
        <v>452</v>
      </c>
      <c r="F287" s="3" t="s">
        <v>453</v>
      </c>
      <c r="G287" t="s">
        <v>24</v>
      </c>
      <c r="H287" s="3" t="s">
        <v>348</v>
      </c>
      <c r="I287" t="s">
        <v>304</v>
      </c>
      <c r="J287" s="3" t="s">
        <v>344</v>
      </c>
      <c r="K287" s="4">
        <v>1834</v>
      </c>
      <c r="L287" s="5">
        <v>0</v>
      </c>
      <c r="M287" s="6">
        <v>0</v>
      </c>
      <c r="N287" s="7">
        <v>0</v>
      </c>
      <c r="O287" t="s">
        <v>23</v>
      </c>
      <c r="P287" s="3" t="s">
        <v>23</v>
      </c>
      <c r="Q287" s="8" t="s">
        <v>23</v>
      </c>
    </row>
    <row r="288" spans="1:17" hidden="1" x14ac:dyDescent="0.55000000000000004">
      <c r="A288" s="3" t="s">
        <v>335</v>
      </c>
      <c r="B288" s="3" t="s">
        <v>438</v>
      </c>
      <c r="C288" t="s">
        <v>438</v>
      </c>
      <c r="D288" s="3" t="s">
        <v>7319</v>
      </c>
      <c r="E288" t="s">
        <v>452</v>
      </c>
      <c r="F288" s="3" t="s">
        <v>453</v>
      </c>
      <c r="G288" t="s">
        <v>24</v>
      </c>
      <c r="H288" s="3" t="s">
        <v>349</v>
      </c>
      <c r="I288" t="s">
        <v>302</v>
      </c>
      <c r="J288" s="3" t="s">
        <v>344</v>
      </c>
      <c r="K288" s="4">
        <v>1611</v>
      </c>
      <c r="L288" s="5">
        <v>0</v>
      </c>
      <c r="M288" s="6">
        <v>0</v>
      </c>
      <c r="N288" s="7">
        <v>0</v>
      </c>
      <c r="O288" t="s">
        <v>23</v>
      </c>
      <c r="P288" s="3" t="s">
        <v>23</v>
      </c>
      <c r="Q288" s="8" t="s">
        <v>23</v>
      </c>
    </row>
    <row r="289" spans="1:17" hidden="1" x14ac:dyDescent="0.55000000000000004">
      <c r="A289" s="3" t="s">
        <v>335</v>
      </c>
      <c r="B289" s="3" t="s">
        <v>438</v>
      </c>
      <c r="C289" t="s">
        <v>438</v>
      </c>
      <c r="D289" s="3" t="s">
        <v>7319</v>
      </c>
      <c r="E289" t="s">
        <v>452</v>
      </c>
      <c r="F289" s="3" t="s">
        <v>453</v>
      </c>
      <c r="G289" t="s">
        <v>24</v>
      </c>
      <c r="H289" s="3" t="s">
        <v>441</v>
      </c>
      <c r="I289" t="s">
        <v>26</v>
      </c>
      <c r="J289" s="3" t="s">
        <v>442</v>
      </c>
      <c r="K289" s="4">
        <v>1713</v>
      </c>
      <c r="L289" s="5">
        <v>77.88</v>
      </c>
      <c r="M289" s="6">
        <v>1</v>
      </c>
      <c r="N289" s="7">
        <v>0</v>
      </c>
      <c r="O289" t="s">
        <v>443</v>
      </c>
      <c r="P289" s="3" t="s">
        <v>76</v>
      </c>
      <c r="Q289" s="8">
        <v>0.29416700000000001</v>
      </c>
    </row>
    <row r="290" spans="1:17" hidden="1" x14ac:dyDescent="0.55000000000000004">
      <c r="A290" s="3" t="s">
        <v>335</v>
      </c>
      <c r="B290" s="3" t="s">
        <v>438</v>
      </c>
      <c r="C290" t="s">
        <v>438</v>
      </c>
      <c r="D290" s="3" t="s">
        <v>7319</v>
      </c>
      <c r="E290" t="s">
        <v>452</v>
      </c>
      <c r="F290" s="3" t="s">
        <v>453</v>
      </c>
      <c r="G290" t="s">
        <v>24</v>
      </c>
      <c r="H290" s="3" t="s">
        <v>444</v>
      </c>
      <c r="I290" t="s">
        <v>218</v>
      </c>
      <c r="J290" s="3" t="s">
        <v>442</v>
      </c>
      <c r="K290" s="4">
        <v>2270</v>
      </c>
      <c r="L290" s="5">
        <v>103.2</v>
      </c>
      <c r="M290" s="6">
        <v>0</v>
      </c>
      <c r="N290" s="7">
        <v>0</v>
      </c>
      <c r="O290" t="s">
        <v>445</v>
      </c>
      <c r="P290" s="3" t="s">
        <v>23</v>
      </c>
      <c r="Q290" s="8" t="s">
        <v>23</v>
      </c>
    </row>
    <row r="291" spans="1:17" hidden="1" x14ac:dyDescent="0.55000000000000004">
      <c r="A291" s="3" t="s">
        <v>335</v>
      </c>
      <c r="B291" s="3" t="s">
        <v>438</v>
      </c>
      <c r="C291" t="s">
        <v>438</v>
      </c>
      <c r="D291" s="3" t="s">
        <v>7319</v>
      </c>
      <c r="E291" t="s">
        <v>452</v>
      </c>
      <c r="F291" s="3" t="s">
        <v>453</v>
      </c>
      <c r="G291" t="s">
        <v>24</v>
      </c>
      <c r="H291" s="3" t="s">
        <v>353</v>
      </c>
      <c r="I291" t="s">
        <v>309</v>
      </c>
      <c r="J291" s="3" t="s">
        <v>354</v>
      </c>
      <c r="K291" s="4">
        <v>1615</v>
      </c>
      <c r="L291" s="5">
        <v>0</v>
      </c>
      <c r="M291" s="6">
        <v>0</v>
      </c>
      <c r="N291" s="7">
        <v>0</v>
      </c>
      <c r="O291" t="s">
        <v>23</v>
      </c>
      <c r="P291" s="3" t="s">
        <v>23</v>
      </c>
      <c r="Q291" s="8" t="s">
        <v>23</v>
      </c>
    </row>
    <row r="292" spans="1:17" hidden="1" x14ac:dyDescent="0.55000000000000004">
      <c r="A292" s="3" t="s">
        <v>335</v>
      </c>
      <c r="B292" s="3" t="s">
        <v>438</v>
      </c>
      <c r="C292" t="s">
        <v>438</v>
      </c>
      <c r="D292" s="3" t="s">
        <v>7319</v>
      </c>
      <c r="E292" t="s">
        <v>452</v>
      </c>
      <c r="F292" s="3" t="s">
        <v>453</v>
      </c>
      <c r="G292" t="s">
        <v>24</v>
      </c>
      <c r="H292" s="3" t="s">
        <v>355</v>
      </c>
      <c r="I292" t="s">
        <v>218</v>
      </c>
      <c r="J292" s="3" t="s">
        <v>354</v>
      </c>
      <c r="K292" s="4">
        <v>1825</v>
      </c>
      <c r="L292" s="5">
        <v>0</v>
      </c>
      <c r="M292" s="6">
        <v>0</v>
      </c>
      <c r="N292" s="7">
        <v>0</v>
      </c>
      <c r="O292" t="s">
        <v>23</v>
      </c>
      <c r="P292" s="3" t="s">
        <v>23</v>
      </c>
      <c r="Q292" s="8" t="s">
        <v>23</v>
      </c>
    </row>
    <row r="293" spans="1:17" hidden="1" x14ac:dyDescent="0.55000000000000004">
      <c r="A293" s="3" t="s">
        <v>335</v>
      </c>
      <c r="B293" s="3" t="s">
        <v>438</v>
      </c>
      <c r="C293" t="s">
        <v>438</v>
      </c>
      <c r="D293" s="3" t="s">
        <v>7319</v>
      </c>
      <c r="E293" t="s">
        <v>452</v>
      </c>
      <c r="F293" s="3" t="s">
        <v>453</v>
      </c>
      <c r="G293" t="s">
        <v>24</v>
      </c>
      <c r="H293" s="3" t="s">
        <v>356</v>
      </c>
      <c r="I293" t="s">
        <v>313</v>
      </c>
      <c r="J293" s="3" t="s">
        <v>354</v>
      </c>
      <c r="K293" s="4">
        <v>1600</v>
      </c>
      <c r="L293" s="5">
        <v>0</v>
      </c>
      <c r="M293" s="6">
        <v>0</v>
      </c>
      <c r="N293" s="7">
        <v>0</v>
      </c>
      <c r="O293" t="s">
        <v>23</v>
      </c>
      <c r="P293" s="3" t="s">
        <v>23</v>
      </c>
      <c r="Q293" s="8" t="s">
        <v>23</v>
      </c>
    </row>
    <row r="294" spans="1:17" hidden="1" x14ac:dyDescent="0.55000000000000004">
      <c r="A294" s="3" t="s">
        <v>335</v>
      </c>
      <c r="B294" s="3" t="s">
        <v>438</v>
      </c>
      <c r="C294" t="s">
        <v>438</v>
      </c>
      <c r="D294" s="3" t="s">
        <v>7319</v>
      </c>
      <c r="E294" t="s">
        <v>452</v>
      </c>
      <c r="F294" s="3" t="s">
        <v>453</v>
      </c>
      <c r="G294" t="s">
        <v>24</v>
      </c>
      <c r="H294" s="3" t="s">
        <v>357</v>
      </c>
      <c r="I294" t="s">
        <v>315</v>
      </c>
      <c r="J294" s="3" t="s">
        <v>354</v>
      </c>
      <c r="K294" s="4">
        <v>1228</v>
      </c>
      <c r="L294" s="5">
        <v>0</v>
      </c>
      <c r="M294" s="6">
        <v>0</v>
      </c>
      <c r="N294" s="7">
        <v>0</v>
      </c>
      <c r="O294" t="s">
        <v>23</v>
      </c>
      <c r="P294" s="3" t="s">
        <v>23</v>
      </c>
      <c r="Q294" s="8" t="s">
        <v>23</v>
      </c>
    </row>
    <row r="295" spans="1:17" hidden="1" x14ac:dyDescent="0.55000000000000004">
      <c r="A295" s="3" t="s">
        <v>335</v>
      </c>
      <c r="B295" s="3" t="s">
        <v>438</v>
      </c>
      <c r="C295" t="s">
        <v>438</v>
      </c>
      <c r="D295" s="3" t="s">
        <v>7319</v>
      </c>
      <c r="E295" t="s">
        <v>452</v>
      </c>
      <c r="F295" s="3" t="s">
        <v>453</v>
      </c>
      <c r="G295" t="s">
        <v>24</v>
      </c>
      <c r="H295" s="3" t="s">
        <v>358</v>
      </c>
      <c r="I295" t="s">
        <v>317</v>
      </c>
      <c r="J295" s="3" t="s">
        <v>354</v>
      </c>
      <c r="K295" s="4">
        <v>1461</v>
      </c>
      <c r="L295" s="5">
        <v>0</v>
      </c>
      <c r="M295" s="6">
        <v>0</v>
      </c>
      <c r="N295" s="7">
        <v>0</v>
      </c>
      <c r="O295" t="s">
        <v>23</v>
      </c>
      <c r="P295" s="3" t="s">
        <v>23</v>
      </c>
      <c r="Q295" s="8" t="s">
        <v>23</v>
      </c>
    </row>
    <row r="296" spans="1:17" hidden="1" x14ac:dyDescent="0.55000000000000004">
      <c r="A296" s="3" t="s">
        <v>335</v>
      </c>
      <c r="B296" s="3" t="s">
        <v>454</v>
      </c>
      <c r="C296" t="s">
        <v>7323</v>
      </c>
      <c r="D296" s="3" t="s">
        <v>7319</v>
      </c>
      <c r="E296" t="s">
        <v>455</v>
      </c>
      <c r="F296" s="3" t="s">
        <v>456</v>
      </c>
      <c r="G296" t="s">
        <v>24</v>
      </c>
      <c r="H296" s="3" t="s">
        <v>457</v>
      </c>
      <c r="I296" t="s">
        <v>52</v>
      </c>
      <c r="J296" s="3" t="s">
        <v>458</v>
      </c>
      <c r="K296" s="4">
        <v>1900</v>
      </c>
      <c r="L296" s="5">
        <v>86.35</v>
      </c>
      <c r="M296" s="6">
        <v>1</v>
      </c>
      <c r="N296" s="7">
        <v>0</v>
      </c>
      <c r="O296" t="s">
        <v>459</v>
      </c>
      <c r="P296" s="3" t="s">
        <v>55</v>
      </c>
      <c r="Q296" s="8">
        <v>0.29700199999999999</v>
      </c>
    </row>
    <row r="297" spans="1:17" hidden="1" x14ac:dyDescent="0.55000000000000004">
      <c r="A297" s="3" t="s">
        <v>335</v>
      </c>
      <c r="B297" s="3" t="s">
        <v>454</v>
      </c>
      <c r="C297" t="s">
        <v>7323</v>
      </c>
      <c r="D297" s="3" t="s">
        <v>7319</v>
      </c>
      <c r="E297" t="s">
        <v>455</v>
      </c>
      <c r="F297" s="3" t="s">
        <v>456</v>
      </c>
      <c r="G297" t="s">
        <v>24</v>
      </c>
      <c r="H297" s="3" t="s">
        <v>460</v>
      </c>
      <c r="I297" t="s">
        <v>26</v>
      </c>
      <c r="J297" s="3" t="s">
        <v>461</v>
      </c>
      <c r="K297" s="4">
        <v>1733</v>
      </c>
      <c r="L297" s="5">
        <v>78.77</v>
      </c>
      <c r="M297" s="6">
        <v>0</v>
      </c>
      <c r="N297" s="7">
        <v>0</v>
      </c>
      <c r="O297" t="s">
        <v>462</v>
      </c>
      <c r="P297" s="3" t="s">
        <v>29</v>
      </c>
      <c r="Q297" s="8">
        <v>0.29083300000000001</v>
      </c>
    </row>
    <row r="298" spans="1:17" hidden="1" x14ac:dyDescent="0.55000000000000004">
      <c r="A298" s="3" t="s">
        <v>335</v>
      </c>
      <c r="B298" s="3" t="s">
        <v>463</v>
      </c>
      <c r="C298" t="s">
        <v>337</v>
      </c>
      <c r="D298" s="3" t="s">
        <v>7319</v>
      </c>
      <c r="E298" t="s">
        <v>464</v>
      </c>
      <c r="F298" s="3" t="s">
        <v>465</v>
      </c>
      <c r="G298" t="s">
        <v>19</v>
      </c>
      <c r="H298" s="3" t="s">
        <v>466</v>
      </c>
      <c r="I298" t="s">
        <v>289</v>
      </c>
      <c r="J298" s="3" t="s">
        <v>467</v>
      </c>
      <c r="K298" s="4">
        <v>5</v>
      </c>
      <c r="L298" s="5">
        <v>1.02</v>
      </c>
      <c r="M298" s="6">
        <v>1</v>
      </c>
      <c r="N298" s="7">
        <v>1</v>
      </c>
      <c r="O298" t="s">
        <v>468</v>
      </c>
      <c r="P298" s="3" t="s">
        <v>451</v>
      </c>
      <c r="Q298" s="8">
        <v>2.7399999999999998E-3</v>
      </c>
    </row>
    <row r="299" spans="1:17" hidden="1" x14ac:dyDescent="0.55000000000000004">
      <c r="A299" s="3" t="s">
        <v>335</v>
      </c>
      <c r="B299" s="3" t="s">
        <v>463</v>
      </c>
      <c r="C299" t="s">
        <v>337</v>
      </c>
      <c r="D299" s="3" t="s">
        <v>7319</v>
      </c>
      <c r="E299" t="s">
        <v>464</v>
      </c>
      <c r="F299" s="3" t="s">
        <v>465</v>
      </c>
      <c r="G299" t="s">
        <v>24</v>
      </c>
      <c r="H299" s="3" t="s">
        <v>343</v>
      </c>
      <c r="I299" t="s">
        <v>52</v>
      </c>
      <c r="J299" s="3" t="s">
        <v>344</v>
      </c>
      <c r="K299" s="4">
        <v>1393</v>
      </c>
      <c r="L299" s="5">
        <v>0</v>
      </c>
      <c r="M299" s="6">
        <v>0</v>
      </c>
      <c r="N299" s="7">
        <v>1</v>
      </c>
      <c r="O299" t="s">
        <v>23</v>
      </c>
      <c r="P299" s="3" t="s">
        <v>23</v>
      </c>
      <c r="Q299" s="8" t="s">
        <v>23</v>
      </c>
    </row>
    <row r="300" spans="1:17" hidden="1" x14ac:dyDescent="0.55000000000000004">
      <c r="A300" s="3" t="s">
        <v>335</v>
      </c>
      <c r="B300" s="3" t="s">
        <v>463</v>
      </c>
      <c r="C300" t="s">
        <v>337</v>
      </c>
      <c r="D300" s="3" t="s">
        <v>7319</v>
      </c>
      <c r="E300" t="s">
        <v>464</v>
      </c>
      <c r="F300" s="3" t="s">
        <v>465</v>
      </c>
      <c r="G300" t="s">
        <v>24</v>
      </c>
      <c r="H300" s="3" t="s">
        <v>345</v>
      </c>
      <c r="I300" t="s">
        <v>296</v>
      </c>
      <c r="J300" s="3" t="s">
        <v>344</v>
      </c>
      <c r="K300" s="4">
        <v>1246</v>
      </c>
      <c r="L300" s="5">
        <v>0</v>
      </c>
      <c r="M300" s="6">
        <v>0</v>
      </c>
      <c r="N300" s="7">
        <v>1</v>
      </c>
      <c r="O300" t="s">
        <v>23</v>
      </c>
      <c r="P300" s="3" t="s">
        <v>23</v>
      </c>
      <c r="Q300" s="8" t="s">
        <v>23</v>
      </c>
    </row>
    <row r="301" spans="1:17" hidden="1" x14ac:dyDescent="0.55000000000000004">
      <c r="A301" s="3" t="s">
        <v>335</v>
      </c>
      <c r="B301" s="3" t="s">
        <v>463</v>
      </c>
      <c r="C301" t="s">
        <v>337</v>
      </c>
      <c r="D301" s="3" t="s">
        <v>7319</v>
      </c>
      <c r="E301" t="s">
        <v>464</v>
      </c>
      <c r="F301" s="3" t="s">
        <v>465</v>
      </c>
      <c r="G301" t="s">
        <v>24</v>
      </c>
      <c r="H301" s="3" t="s">
        <v>346</v>
      </c>
      <c r="I301" t="s">
        <v>298</v>
      </c>
      <c r="J301" s="3" t="s">
        <v>344</v>
      </c>
      <c r="K301" s="4">
        <v>1677</v>
      </c>
      <c r="L301" s="5">
        <v>0</v>
      </c>
      <c r="M301" s="6">
        <v>0</v>
      </c>
      <c r="N301" s="7">
        <v>1</v>
      </c>
      <c r="O301" t="s">
        <v>23</v>
      </c>
      <c r="P301" s="3" t="s">
        <v>23</v>
      </c>
      <c r="Q301" s="8" t="s">
        <v>23</v>
      </c>
    </row>
    <row r="302" spans="1:17" hidden="1" x14ac:dyDescent="0.55000000000000004">
      <c r="A302" s="3" t="s">
        <v>335</v>
      </c>
      <c r="B302" s="3" t="s">
        <v>463</v>
      </c>
      <c r="C302" t="s">
        <v>337</v>
      </c>
      <c r="D302" s="3" t="s">
        <v>7319</v>
      </c>
      <c r="E302" t="s">
        <v>464</v>
      </c>
      <c r="F302" s="3" t="s">
        <v>465</v>
      </c>
      <c r="G302" t="s">
        <v>24</v>
      </c>
      <c r="H302" s="3" t="s">
        <v>347</v>
      </c>
      <c r="I302" t="s">
        <v>300</v>
      </c>
      <c r="J302" s="3" t="s">
        <v>344</v>
      </c>
      <c r="K302" s="4">
        <v>1374</v>
      </c>
      <c r="L302" s="5">
        <v>0</v>
      </c>
      <c r="M302" s="6">
        <v>0</v>
      </c>
      <c r="N302" s="7">
        <v>1</v>
      </c>
      <c r="O302" t="s">
        <v>23</v>
      </c>
      <c r="P302" s="3" t="s">
        <v>23</v>
      </c>
      <c r="Q302" s="8" t="s">
        <v>23</v>
      </c>
    </row>
    <row r="303" spans="1:17" hidden="1" x14ac:dyDescent="0.55000000000000004">
      <c r="A303" s="3" t="s">
        <v>335</v>
      </c>
      <c r="B303" s="3" t="s">
        <v>463</v>
      </c>
      <c r="C303" t="s">
        <v>337</v>
      </c>
      <c r="D303" s="3" t="s">
        <v>7319</v>
      </c>
      <c r="E303" t="s">
        <v>464</v>
      </c>
      <c r="F303" s="3" t="s">
        <v>465</v>
      </c>
      <c r="G303" t="s">
        <v>24</v>
      </c>
      <c r="H303" s="3" t="s">
        <v>348</v>
      </c>
      <c r="I303" t="s">
        <v>304</v>
      </c>
      <c r="J303" s="3" t="s">
        <v>344</v>
      </c>
      <c r="K303" s="4">
        <v>1834</v>
      </c>
      <c r="L303" s="5">
        <v>0</v>
      </c>
      <c r="M303" s="6">
        <v>0</v>
      </c>
      <c r="N303" s="7">
        <v>1</v>
      </c>
      <c r="O303" t="s">
        <v>23</v>
      </c>
      <c r="P303" s="3" t="s">
        <v>23</v>
      </c>
      <c r="Q303" s="8" t="s">
        <v>23</v>
      </c>
    </row>
    <row r="304" spans="1:17" hidden="1" x14ac:dyDescent="0.55000000000000004">
      <c r="A304" s="3" t="s">
        <v>335</v>
      </c>
      <c r="B304" s="3" t="s">
        <v>463</v>
      </c>
      <c r="C304" t="s">
        <v>337</v>
      </c>
      <c r="D304" s="3" t="s">
        <v>7319</v>
      </c>
      <c r="E304" t="s">
        <v>464</v>
      </c>
      <c r="F304" s="3" t="s">
        <v>465</v>
      </c>
      <c r="G304" t="s">
        <v>24</v>
      </c>
      <c r="H304" s="3" t="s">
        <v>349</v>
      </c>
      <c r="I304" t="s">
        <v>302</v>
      </c>
      <c r="J304" s="3" t="s">
        <v>344</v>
      </c>
      <c r="K304" s="4">
        <v>1611</v>
      </c>
      <c r="L304" s="5">
        <v>0</v>
      </c>
      <c r="M304" s="6">
        <v>0</v>
      </c>
      <c r="N304" s="7">
        <v>1</v>
      </c>
      <c r="O304" t="s">
        <v>23</v>
      </c>
      <c r="P304" s="3" t="s">
        <v>23</v>
      </c>
      <c r="Q304" s="8" t="s">
        <v>23</v>
      </c>
    </row>
    <row r="305" spans="1:17" hidden="1" x14ac:dyDescent="0.55000000000000004">
      <c r="A305" s="3" t="s">
        <v>335</v>
      </c>
      <c r="B305" s="3" t="s">
        <v>463</v>
      </c>
      <c r="C305" t="s">
        <v>337</v>
      </c>
      <c r="D305" s="3" t="s">
        <v>7319</v>
      </c>
      <c r="E305" t="s">
        <v>464</v>
      </c>
      <c r="F305" s="3" t="s">
        <v>465</v>
      </c>
      <c r="G305" t="s">
        <v>24</v>
      </c>
      <c r="H305" s="3" t="s">
        <v>469</v>
      </c>
      <c r="I305" t="s">
        <v>26</v>
      </c>
      <c r="J305" s="3" t="s">
        <v>470</v>
      </c>
      <c r="K305" s="4">
        <v>1811</v>
      </c>
      <c r="L305" s="5">
        <v>82.32</v>
      </c>
      <c r="M305" s="6">
        <v>1</v>
      </c>
      <c r="N305" s="7">
        <v>1</v>
      </c>
      <c r="O305" t="s">
        <v>471</v>
      </c>
      <c r="P305" s="3" t="s">
        <v>76</v>
      </c>
      <c r="Q305" s="8">
        <v>0.29416700000000001</v>
      </c>
    </row>
    <row r="306" spans="1:17" hidden="1" x14ac:dyDescent="0.55000000000000004">
      <c r="A306" s="3" t="s">
        <v>335</v>
      </c>
      <c r="B306" s="3" t="s">
        <v>463</v>
      </c>
      <c r="C306" t="s">
        <v>337</v>
      </c>
      <c r="D306" s="3" t="s">
        <v>7319</v>
      </c>
      <c r="E306" t="s">
        <v>464</v>
      </c>
      <c r="F306" s="3" t="s">
        <v>465</v>
      </c>
      <c r="G306" t="s">
        <v>24</v>
      </c>
      <c r="H306" s="3" t="s">
        <v>472</v>
      </c>
      <c r="I306" t="s">
        <v>218</v>
      </c>
      <c r="J306" s="3" t="s">
        <v>470</v>
      </c>
      <c r="K306" s="4">
        <v>2332</v>
      </c>
      <c r="L306" s="5">
        <v>106</v>
      </c>
      <c r="M306" s="6">
        <v>0</v>
      </c>
      <c r="N306" s="7">
        <v>1</v>
      </c>
      <c r="O306" t="s">
        <v>473</v>
      </c>
      <c r="P306" s="3" t="s">
        <v>23</v>
      </c>
      <c r="Q306" s="8" t="s">
        <v>23</v>
      </c>
    </row>
    <row r="307" spans="1:17" hidden="1" x14ac:dyDescent="0.55000000000000004">
      <c r="A307" s="3" t="s">
        <v>335</v>
      </c>
      <c r="B307" s="3" t="s">
        <v>463</v>
      </c>
      <c r="C307" t="s">
        <v>337</v>
      </c>
      <c r="D307" s="3" t="s">
        <v>7319</v>
      </c>
      <c r="E307" t="s">
        <v>464</v>
      </c>
      <c r="F307" s="3" t="s">
        <v>465</v>
      </c>
      <c r="G307" t="s">
        <v>24</v>
      </c>
      <c r="H307" s="3" t="s">
        <v>353</v>
      </c>
      <c r="I307" t="s">
        <v>309</v>
      </c>
      <c r="J307" s="3" t="s">
        <v>354</v>
      </c>
      <c r="K307" s="4">
        <v>1615</v>
      </c>
      <c r="L307" s="5">
        <v>0</v>
      </c>
      <c r="M307" s="6">
        <v>0</v>
      </c>
      <c r="N307" s="7">
        <v>1</v>
      </c>
      <c r="O307" t="s">
        <v>23</v>
      </c>
      <c r="P307" s="3" t="s">
        <v>23</v>
      </c>
      <c r="Q307" s="8" t="s">
        <v>23</v>
      </c>
    </row>
    <row r="308" spans="1:17" hidden="1" x14ac:dyDescent="0.55000000000000004">
      <c r="A308" s="3" t="s">
        <v>335</v>
      </c>
      <c r="B308" s="3" t="s">
        <v>463</v>
      </c>
      <c r="C308" t="s">
        <v>337</v>
      </c>
      <c r="D308" s="3" t="s">
        <v>7319</v>
      </c>
      <c r="E308" t="s">
        <v>464</v>
      </c>
      <c r="F308" s="3" t="s">
        <v>465</v>
      </c>
      <c r="G308" t="s">
        <v>24</v>
      </c>
      <c r="H308" s="3" t="s">
        <v>355</v>
      </c>
      <c r="I308" t="s">
        <v>218</v>
      </c>
      <c r="J308" s="3" t="s">
        <v>354</v>
      </c>
      <c r="K308" s="4">
        <v>1825</v>
      </c>
      <c r="L308" s="5">
        <v>0</v>
      </c>
      <c r="M308" s="6">
        <v>0</v>
      </c>
      <c r="N308" s="7">
        <v>1</v>
      </c>
      <c r="O308" t="s">
        <v>23</v>
      </c>
      <c r="P308" s="3" t="s">
        <v>23</v>
      </c>
      <c r="Q308" s="8" t="s">
        <v>23</v>
      </c>
    </row>
    <row r="309" spans="1:17" hidden="1" x14ac:dyDescent="0.55000000000000004">
      <c r="A309" s="3" t="s">
        <v>335</v>
      </c>
      <c r="B309" s="3" t="s">
        <v>463</v>
      </c>
      <c r="C309" t="s">
        <v>337</v>
      </c>
      <c r="D309" s="3" t="s">
        <v>7319</v>
      </c>
      <c r="E309" t="s">
        <v>464</v>
      </c>
      <c r="F309" s="3" t="s">
        <v>465</v>
      </c>
      <c r="G309" t="s">
        <v>24</v>
      </c>
      <c r="H309" s="3" t="s">
        <v>356</v>
      </c>
      <c r="I309" t="s">
        <v>313</v>
      </c>
      <c r="J309" s="3" t="s">
        <v>354</v>
      </c>
      <c r="K309" s="4">
        <v>1600</v>
      </c>
      <c r="L309" s="5">
        <v>0</v>
      </c>
      <c r="M309" s="6">
        <v>0</v>
      </c>
      <c r="N309" s="7">
        <v>1</v>
      </c>
      <c r="O309" t="s">
        <v>23</v>
      </c>
      <c r="P309" s="3" t="s">
        <v>23</v>
      </c>
      <c r="Q309" s="8" t="s">
        <v>23</v>
      </c>
    </row>
    <row r="310" spans="1:17" hidden="1" x14ac:dyDescent="0.55000000000000004">
      <c r="A310" s="3" t="s">
        <v>335</v>
      </c>
      <c r="B310" s="3" t="s">
        <v>463</v>
      </c>
      <c r="C310" t="s">
        <v>337</v>
      </c>
      <c r="D310" s="3" t="s">
        <v>7319</v>
      </c>
      <c r="E310" t="s">
        <v>464</v>
      </c>
      <c r="F310" s="3" t="s">
        <v>465</v>
      </c>
      <c r="G310" t="s">
        <v>24</v>
      </c>
      <c r="H310" s="3" t="s">
        <v>357</v>
      </c>
      <c r="I310" t="s">
        <v>315</v>
      </c>
      <c r="J310" s="3" t="s">
        <v>354</v>
      </c>
      <c r="K310" s="4">
        <v>1228</v>
      </c>
      <c r="L310" s="5">
        <v>0</v>
      </c>
      <c r="M310" s="6">
        <v>0</v>
      </c>
      <c r="N310" s="7">
        <v>1</v>
      </c>
      <c r="O310" t="s">
        <v>23</v>
      </c>
      <c r="P310" s="3" t="s">
        <v>23</v>
      </c>
      <c r="Q310" s="8" t="s">
        <v>23</v>
      </c>
    </row>
    <row r="311" spans="1:17" hidden="1" x14ac:dyDescent="0.55000000000000004">
      <c r="A311" s="3" t="s">
        <v>335</v>
      </c>
      <c r="B311" s="3" t="s">
        <v>463</v>
      </c>
      <c r="C311" t="s">
        <v>337</v>
      </c>
      <c r="D311" s="3" t="s">
        <v>7319</v>
      </c>
      <c r="E311" t="s">
        <v>464</v>
      </c>
      <c r="F311" s="3" t="s">
        <v>465</v>
      </c>
      <c r="G311" t="s">
        <v>24</v>
      </c>
      <c r="H311" s="3" t="s">
        <v>358</v>
      </c>
      <c r="I311" t="s">
        <v>317</v>
      </c>
      <c r="J311" s="3" t="s">
        <v>354</v>
      </c>
      <c r="K311" s="4">
        <v>1461</v>
      </c>
      <c r="L311" s="5">
        <v>0</v>
      </c>
      <c r="M311" s="6">
        <v>0</v>
      </c>
      <c r="N311" s="7">
        <v>1</v>
      </c>
      <c r="O311" t="s">
        <v>23</v>
      </c>
      <c r="P311" s="3" t="s">
        <v>23</v>
      </c>
      <c r="Q311" s="8" t="s">
        <v>23</v>
      </c>
    </row>
    <row r="312" spans="1:17" hidden="1" x14ac:dyDescent="0.55000000000000004">
      <c r="A312" s="3" t="s">
        <v>335</v>
      </c>
      <c r="B312" s="3" t="s">
        <v>474</v>
      </c>
      <c r="C312" t="s">
        <v>337</v>
      </c>
      <c r="D312" s="3" t="s">
        <v>7319</v>
      </c>
      <c r="E312" t="s">
        <v>475</v>
      </c>
      <c r="F312" s="3" t="s">
        <v>476</v>
      </c>
      <c r="G312" t="s">
        <v>24</v>
      </c>
      <c r="H312" s="3" t="s">
        <v>477</v>
      </c>
      <c r="I312" t="s">
        <v>52</v>
      </c>
      <c r="J312" s="3" t="s">
        <v>478</v>
      </c>
      <c r="K312" s="4">
        <v>1789</v>
      </c>
      <c r="L312" s="5">
        <v>81.3</v>
      </c>
      <c r="M312" s="6">
        <v>1</v>
      </c>
      <c r="N312" s="7">
        <v>0</v>
      </c>
      <c r="O312" t="s">
        <v>479</v>
      </c>
      <c r="P312" s="3" t="s">
        <v>55</v>
      </c>
      <c r="Q312" s="8">
        <v>0.29588100000000001</v>
      </c>
    </row>
    <row r="313" spans="1:17" hidden="1" x14ac:dyDescent="0.55000000000000004">
      <c r="A313" s="3" t="s">
        <v>335</v>
      </c>
      <c r="B313" s="3" t="s">
        <v>474</v>
      </c>
      <c r="C313" t="s">
        <v>337</v>
      </c>
      <c r="D313" s="3" t="s">
        <v>7319</v>
      </c>
      <c r="E313" t="s">
        <v>475</v>
      </c>
      <c r="F313" s="3" t="s">
        <v>476</v>
      </c>
      <c r="G313" t="s">
        <v>24</v>
      </c>
      <c r="H313" s="3" t="s">
        <v>343</v>
      </c>
      <c r="I313" t="s">
        <v>52</v>
      </c>
      <c r="J313" s="3" t="s">
        <v>344</v>
      </c>
      <c r="K313" s="4">
        <v>1393</v>
      </c>
      <c r="L313" s="5">
        <v>0</v>
      </c>
      <c r="M313" s="6">
        <v>0</v>
      </c>
      <c r="N313" s="7">
        <v>0</v>
      </c>
      <c r="O313" t="s">
        <v>23</v>
      </c>
      <c r="P313" s="3" t="s">
        <v>23</v>
      </c>
      <c r="Q313" s="8" t="s">
        <v>23</v>
      </c>
    </row>
    <row r="314" spans="1:17" hidden="1" x14ac:dyDescent="0.55000000000000004">
      <c r="A314" s="3" t="s">
        <v>335</v>
      </c>
      <c r="B314" s="3" t="s">
        <v>474</v>
      </c>
      <c r="C314" t="s">
        <v>337</v>
      </c>
      <c r="D314" s="3" t="s">
        <v>7319</v>
      </c>
      <c r="E314" t="s">
        <v>475</v>
      </c>
      <c r="F314" s="3" t="s">
        <v>476</v>
      </c>
      <c r="G314" t="s">
        <v>24</v>
      </c>
      <c r="H314" s="3" t="s">
        <v>345</v>
      </c>
      <c r="I314" t="s">
        <v>296</v>
      </c>
      <c r="J314" s="3" t="s">
        <v>344</v>
      </c>
      <c r="K314" s="4">
        <v>1246</v>
      </c>
      <c r="L314" s="5">
        <v>0</v>
      </c>
      <c r="M314" s="6">
        <v>0</v>
      </c>
      <c r="N314" s="7">
        <v>0</v>
      </c>
      <c r="O314" t="s">
        <v>23</v>
      </c>
      <c r="P314" s="3" t="s">
        <v>23</v>
      </c>
      <c r="Q314" s="8" t="s">
        <v>23</v>
      </c>
    </row>
    <row r="315" spans="1:17" hidden="1" x14ac:dyDescent="0.55000000000000004">
      <c r="A315" s="3" t="s">
        <v>335</v>
      </c>
      <c r="B315" s="3" t="s">
        <v>474</v>
      </c>
      <c r="C315" t="s">
        <v>337</v>
      </c>
      <c r="D315" s="3" t="s">
        <v>7319</v>
      </c>
      <c r="E315" t="s">
        <v>475</v>
      </c>
      <c r="F315" s="3" t="s">
        <v>476</v>
      </c>
      <c r="G315" t="s">
        <v>24</v>
      </c>
      <c r="H315" s="3" t="s">
        <v>346</v>
      </c>
      <c r="I315" t="s">
        <v>298</v>
      </c>
      <c r="J315" s="3" t="s">
        <v>344</v>
      </c>
      <c r="K315" s="4">
        <v>1677</v>
      </c>
      <c r="L315" s="5">
        <v>0</v>
      </c>
      <c r="M315" s="6">
        <v>0</v>
      </c>
      <c r="N315" s="7">
        <v>0</v>
      </c>
      <c r="O315" t="s">
        <v>23</v>
      </c>
      <c r="P315" s="3" t="s">
        <v>23</v>
      </c>
      <c r="Q315" s="8" t="s">
        <v>23</v>
      </c>
    </row>
    <row r="316" spans="1:17" hidden="1" x14ac:dyDescent="0.55000000000000004">
      <c r="A316" s="3" t="s">
        <v>335</v>
      </c>
      <c r="B316" s="3" t="s">
        <v>474</v>
      </c>
      <c r="C316" t="s">
        <v>337</v>
      </c>
      <c r="D316" s="3" t="s">
        <v>7319</v>
      </c>
      <c r="E316" t="s">
        <v>475</v>
      </c>
      <c r="F316" s="3" t="s">
        <v>476</v>
      </c>
      <c r="G316" t="s">
        <v>24</v>
      </c>
      <c r="H316" s="3" t="s">
        <v>347</v>
      </c>
      <c r="I316" t="s">
        <v>300</v>
      </c>
      <c r="J316" s="3" t="s">
        <v>344</v>
      </c>
      <c r="K316" s="4">
        <v>1374</v>
      </c>
      <c r="L316" s="5">
        <v>0</v>
      </c>
      <c r="M316" s="6">
        <v>0</v>
      </c>
      <c r="N316" s="7">
        <v>0</v>
      </c>
      <c r="O316" t="s">
        <v>23</v>
      </c>
      <c r="P316" s="3" t="s">
        <v>23</v>
      </c>
      <c r="Q316" s="8" t="s">
        <v>23</v>
      </c>
    </row>
    <row r="317" spans="1:17" hidden="1" x14ac:dyDescent="0.55000000000000004">
      <c r="A317" s="3" t="s">
        <v>335</v>
      </c>
      <c r="B317" s="3" t="s">
        <v>474</v>
      </c>
      <c r="C317" t="s">
        <v>337</v>
      </c>
      <c r="D317" s="3" t="s">
        <v>7319</v>
      </c>
      <c r="E317" t="s">
        <v>475</v>
      </c>
      <c r="F317" s="3" t="s">
        <v>476</v>
      </c>
      <c r="G317" t="s">
        <v>24</v>
      </c>
      <c r="H317" s="3" t="s">
        <v>348</v>
      </c>
      <c r="I317" t="s">
        <v>304</v>
      </c>
      <c r="J317" s="3" t="s">
        <v>344</v>
      </c>
      <c r="K317" s="4">
        <v>1834</v>
      </c>
      <c r="L317" s="5">
        <v>0</v>
      </c>
      <c r="M317" s="6">
        <v>0</v>
      </c>
      <c r="N317" s="7">
        <v>0</v>
      </c>
      <c r="O317" t="s">
        <v>23</v>
      </c>
      <c r="P317" s="3" t="s">
        <v>23</v>
      </c>
      <c r="Q317" s="8" t="s">
        <v>23</v>
      </c>
    </row>
    <row r="318" spans="1:17" hidden="1" x14ac:dyDescent="0.55000000000000004">
      <c r="A318" s="3" t="s">
        <v>335</v>
      </c>
      <c r="B318" s="3" t="s">
        <v>474</v>
      </c>
      <c r="C318" t="s">
        <v>337</v>
      </c>
      <c r="D318" s="3" t="s">
        <v>7319</v>
      </c>
      <c r="E318" t="s">
        <v>475</v>
      </c>
      <c r="F318" s="3" t="s">
        <v>476</v>
      </c>
      <c r="G318" t="s">
        <v>24</v>
      </c>
      <c r="H318" s="3" t="s">
        <v>349</v>
      </c>
      <c r="I318" t="s">
        <v>302</v>
      </c>
      <c r="J318" s="3" t="s">
        <v>344</v>
      </c>
      <c r="K318" s="4">
        <v>1611</v>
      </c>
      <c r="L318" s="5">
        <v>0</v>
      </c>
      <c r="M318" s="6">
        <v>0</v>
      </c>
      <c r="N318" s="7">
        <v>0</v>
      </c>
      <c r="O318" t="s">
        <v>23</v>
      </c>
      <c r="P318" s="3" t="s">
        <v>23</v>
      </c>
      <c r="Q318" s="8" t="s">
        <v>23</v>
      </c>
    </row>
    <row r="319" spans="1:17" hidden="1" x14ac:dyDescent="0.55000000000000004">
      <c r="A319" s="3" t="s">
        <v>335</v>
      </c>
      <c r="B319" s="3" t="s">
        <v>474</v>
      </c>
      <c r="C319" t="s">
        <v>337</v>
      </c>
      <c r="D319" s="3" t="s">
        <v>7319</v>
      </c>
      <c r="E319" t="s">
        <v>475</v>
      </c>
      <c r="F319" s="3" t="s">
        <v>476</v>
      </c>
      <c r="G319" t="s">
        <v>24</v>
      </c>
      <c r="H319" s="3" t="s">
        <v>480</v>
      </c>
      <c r="I319" t="s">
        <v>26</v>
      </c>
      <c r="J319" s="3" t="s">
        <v>481</v>
      </c>
      <c r="K319" s="4">
        <v>1806</v>
      </c>
      <c r="L319" s="5">
        <v>82.09</v>
      </c>
      <c r="M319" s="6">
        <v>0</v>
      </c>
      <c r="N319" s="7">
        <v>0</v>
      </c>
      <c r="O319" t="s">
        <v>482</v>
      </c>
      <c r="P319" s="3" t="s">
        <v>29</v>
      </c>
      <c r="Q319" s="8">
        <v>0.29416700000000001</v>
      </c>
    </row>
    <row r="320" spans="1:17" hidden="1" x14ac:dyDescent="0.55000000000000004">
      <c r="A320" s="3" t="s">
        <v>335</v>
      </c>
      <c r="B320" s="3" t="s">
        <v>474</v>
      </c>
      <c r="C320" t="s">
        <v>337</v>
      </c>
      <c r="D320" s="3" t="s">
        <v>7319</v>
      </c>
      <c r="E320" t="s">
        <v>475</v>
      </c>
      <c r="F320" s="3" t="s">
        <v>476</v>
      </c>
      <c r="G320" t="s">
        <v>24</v>
      </c>
      <c r="H320" s="3" t="s">
        <v>353</v>
      </c>
      <c r="I320" t="s">
        <v>309</v>
      </c>
      <c r="J320" s="3" t="s">
        <v>354</v>
      </c>
      <c r="K320" s="4">
        <v>1615</v>
      </c>
      <c r="L320" s="5">
        <v>0</v>
      </c>
      <c r="M320" s="6">
        <v>0</v>
      </c>
      <c r="N320" s="7">
        <v>0</v>
      </c>
      <c r="O320" t="s">
        <v>23</v>
      </c>
      <c r="P320" s="3" t="s">
        <v>23</v>
      </c>
      <c r="Q320" s="8" t="s">
        <v>23</v>
      </c>
    </row>
    <row r="321" spans="1:17" hidden="1" x14ac:dyDescent="0.55000000000000004">
      <c r="A321" s="3" t="s">
        <v>335</v>
      </c>
      <c r="B321" s="3" t="s">
        <v>474</v>
      </c>
      <c r="C321" t="s">
        <v>337</v>
      </c>
      <c r="D321" s="3" t="s">
        <v>7319</v>
      </c>
      <c r="E321" t="s">
        <v>475</v>
      </c>
      <c r="F321" s="3" t="s">
        <v>476</v>
      </c>
      <c r="G321" t="s">
        <v>24</v>
      </c>
      <c r="H321" s="3" t="s">
        <v>355</v>
      </c>
      <c r="I321" t="s">
        <v>218</v>
      </c>
      <c r="J321" s="3" t="s">
        <v>354</v>
      </c>
      <c r="K321" s="4">
        <v>1825</v>
      </c>
      <c r="L321" s="5">
        <v>0</v>
      </c>
      <c r="M321" s="6">
        <v>0</v>
      </c>
      <c r="N321" s="7">
        <v>0</v>
      </c>
      <c r="O321" t="s">
        <v>23</v>
      </c>
      <c r="P321" s="3" t="s">
        <v>23</v>
      </c>
      <c r="Q321" s="8" t="s">
        <v>23</v>
      </c>
    </row>
    <row r="322" spans="1:17" hidden="1" x14ac:dyDescent="0.55000000000000004">
      <c r="A322" s="3" t="s">
        <v>335</v>
      </c>
      <c r="B322" s="3" t="s">
        <v>474</v>
      </c>
      <c r="C322" t="s">
        <v>337</v>
      </c>
      <c r="D322" s="3" t="s">
        <v>7319</v>
      </c>
      <c r="E322" t="s">
        <v>475</v>
      </c>
      <c r="F322" s="3" t="s">
        <v>476</v>
      </c>
      <c r="G322" t="s">
        <v>24</v>
      </c>
      <c r="H322" s="3" t="s">
        <v>356</v>
      </c>
      <c r="I322" t="s">
        <v>313</v>
      </c>
      <c r="J322" s="3" t="s">
        <v>354</v>
      </c>
      <c r="K322" s="4">
        <v>1600</v>
      </c>
      <c r="L322" s="5">
        <v>0</v>
      </c>
      <c r="M322" s="6">
        <v>0</v>
      </c>
      <c r="N322" s="7">
        <v>0</v>
      </c>
      <c r="O322" t="s">
        <v>23</v>
      </c>
      <c r="P322" s="3" t="s">
        <v>23</v>
      </c>
      <c r="Q322" s="8" t="s">
        <v>23</v>
      </c>
    </row>
    <row r="323" spans="1:17" hidden="1" x14ac:dyDescent="0.55000000000000004">
      <c r="A323" s="3" t="s">
        <v>335</v>
      </c>
      <c r="B323" s="3" t="s">
        <v>474</v>
      </c>
      <c r="C323" t="s">
        <v>337</v>
      </c>
      <c r="D323" s="3" t="s">
        <v>7319</v>
      </c>
      <c r="E323" t="s">
        <v>475</v>
      </c>
      <c r="F323" s="3" t="s">
        <v>476</v>
      </c>
      <c r="G323" t="s">
        <v>24</v>
      </c>
      <c r="H323" s="3" t="s">
        <v>357</v>
      </c>
      <c r="I323" t="s">
        <v>315</v>
      </c>
      <c r="J323" s="3" t="s">
        <v>354</v>
      </c>
      <c r="K323" s="4">
        <v>1228</v>
      </c>
      <c r="L323" s="5">
        <v>0</v>
      </c>
      <c r="M323" s="6">
        <v>0</v>
      </c>
      <c r="N323" s="7">
        <v>0</v>
      </c>
      <c r="O323" t="s">
        <v>23</v>
      </c>
      <c r="P323" s="3" t="s">
        <v>23</v>
      </c>
      <c r="Q323" s="8" t="s">
        <v>23</v>
      </c>
    </row>
    <row r="324" spans="1:17" hidden="1" x14ac:dyDescent="0.55000000000000004">
      <c r="A324" s="3" t="s">
        <v>335</v>
      </c>
      <c r="B324" s="3" t="s">
        <v>474</v>
      </c>
      <c r="C324" t="s">
        <v>337</v>
      </c>
      <c r="D324" s="3" t="s">
        <v>7319</v>
      </c>
      <c r="E324" t="s">
        <v>475</v>
      </c>
      <c r="F324" s="3" t="s">
        <v>476</v>
      </c>
      <c r="G324" t="s">
        <v>24</v>
      </c>
      <c r="H324" s="3" t="s">
        <v>358</v>
      </c>
      <c r="I324" t="s">
        <v>317</v>
      </c>
      <c r="J324" s="3" t="s">
        <v>354</v>
      </c>
      <c r="K324" s="4">
        <v>1461</v>
      </c>
      <c r="L324" s="5">
        <v>0</v>
      </c>
      <c r="M324" s="6">
        <v>0</v>
      </c>
      <c r="N324" s="7">
        <v>0</v>
      </c>
      <c r="O324" t="s">
        <v>23</v>
      </c>
      <c r="P324" s="3" t="s">
        <v>23</v>
      </c>
      <c r="Q324" s="8" t="s">
        <v>23</v>
      </c>
    </row>
    <row r="325" spans="1:17" hidden="1" x14ac:dyDescent="0.55000000000000004">
      <c r="A325" s="3" t="s">
        <v>335</v>
      </c>
      <c r="B325" s="3" t="s">
        <v>483</v>
      </c>
      <c r="C325" t="s">
        <v>483</v>
      </c>
      <c r="D325" s="3" t="s">
        <v>7319</v>
      </c>
      <c r="E325" t="s">
        <v>484</v>
      </c>
      <c r="F325" s="3" t="s">
        <v>485</v>
      </c>
      <c r="G325" t="s">
        <v>19</v>
      </c>
      <c r="H325" s="3" t="s">
        <v>486</v>
      </c>
      <c r="I325" t="s">
        <v>432</v>
      </c>
      <c r="J325" s="3" t="s">
        <v>487</v>
      </c>
      <c r="K325" s="4">
        <v>169</v>
      </c>
      <c r="L325" s="5">
        <v>36.67</v>
      </c>
      <c r="M325" s="6">
        <v>1</v>
      </c>
      <c r="N325" s="7">
        <v>1</v>
      </c>
      <c r="O325" t="s">
        <v>488</v>
      </c>
      <c r="P325" s="3" t="s">
        <v>403</v>
      </c>
      <c r="Q325" s="8">
        <v>3.1295000000000003E-2</v>
      </c>
    </row>
    <row r="326" spans="1:17" hidden="1" x14ac:dyDescent="0.55000000000000004">
      <c r="A326" s="3" t="s">
        <v>335</v>
      </c>
      <c r="B326" s="3" t="s">
        <v>483</v>
      </c>
      <c r="C326" t="s">
        <v>483</v>
      </c>
      <c r="D326" s="3" t="s">
        <v>7319</v>
      </c>
      <c r="E326" t="s">
        <v>484</v>
      </c>
      <c r="F326" s="3" t="s">
        <v>485</v>
      </c>
      <c r="G326" t="s">
        <v>24</v>
      </c>
      <c r="H326" s="3" t="s">
        <v>489</v>
      </c>
      <c r="I326" t="s">
        <v>52</v>
      </c>
      <c r="J326" s="3" t="s">
        <v>490</v>
      </c>
      <c r="K326" s="4">
        <v>1772</v>
      </c>
      <c r="L326" s="5">
        <v>80.56</v>
      </c>
      <c r="M326" s="6">
        <v>0</v>
      </c>
      <c r="N326" s="7">
        <v>1</v>
      </c>
      <c r="O326" t="s">
        <v>491</v>
      </c>
      <c r="P326" s="3" t="s">
        <v>55</v>
      </c>
      <c r="Q326" s="8">
        <v>0.29571700000000001</v>
      </c>
    </row>
    <row r="327" spans="1:17" hidden="1" x14ac:dyDescent="0.55000000000000004">
      <c r="A327" s="3" t="s">
        <v>335</v>
      </c>
      <c r="B327" s="3" t="s">
        <v>483</v>
      </c>
      <c r="C327" t="s">
        <v>483</v>
      </c>
      <c r="D327" s="3" t="s">
        <v>7319</v>
      </c>
      <c r="E327" t="s">
        <v>484</v>
      </c>
      <c r="F327" s="3" t="s">
        <v>485</v>
      </c>
      <c r="G327" t="s">
        <v>24</v>
      </c>
      <c r="H327" s="3" t="s">
        <v>492</v>
      </c>
      <c r="I327" t="s">
        <v>309</v>
      </c>
      <c r="J327" s="3" t="s">
        <v>493</v>
      </c>
      <c r="K327" s="4">
        <v>1837</v>
      </c>
      <c r="L327" s="5">
        <v>83.5</v>
      </c>
      <c r="M327" s="6">
        <v>1</v>
      </c>
      <c r="N327" s="7">
        <v>1</v>
      </c>
      <c r="O327" t="s">
        <v>494</v>
      </c>
      <c r="P327" s="3" t="s">
        <v>76</v>
      </c>
      <c r="Q327" s="8">
        <v>0.29816700000000002</v>
      </c>
    </row>
    <row r="328" spans="1:17" hidden="1" x14ac:dyDescent="0.55000000000000004">
      <c r="A328" s="3" t="s">
        <v>335</v>
      </c>
      <c r="B328" s="3" t="s">
        <v>495</v>
      </c>
      <c r="C328" t="s">
        <v>495</v>
      </c>
      <c r="D328" s="3" t="s">
        <v>7319</v>
      </c>
      <c r="E328" t="s">
        <v>496</v>
      </c>
      <c r="F328" s="3" t="s">
        <v>497</v>
      </c>
      <c r="G328" t="s">
        <v>19</v>
      </c>
      <c r="H328" s="3" t="s">
        <v>498</v>
      </c>
      <c r="I328" t="s">
        <v>289</v>
      </c>
      <c r="J328" s="3" t="s">
        <v>499</v>
      </c>
      <c r="K328" s="4">
        <v>214</v>
      </c>
      <c r="L328" s="5">
        <v>46.41</v>
      </c>
      <c r="M328" s="6">
        <v>1</v>
      </c>
      <c r="N328" s="7">
        <v>1</v>
      </c>
      <c r="O328" t="s">
        <v>500</v>
      </c>
      <c r="P328" s="3" t="s">
        <v>451</v>
      </c>
      <c r="Q328" s="8">
        <v>2.1026E-2</v>
      </c>
    </row>
    <row r="329" spans="1:17" hidden="1" x14ac:dyDescent="0.55000000000000004">
      <c r="A329" s="3" t="s">
        <v>335</v>
      </c>
      <c r="B329" s="3" t="s">
        <v>495</v>
      </c>
      <c r="C329" t="s">
        <v>495</v>
      </c>
      <c r="D329" s="3" t="s">
        <v>7319</v>
      </c>
      <c r="E329" t="s">
        <v>496</v>
      </c>
      <c r="F329" s="3" t="s">
        <v>497</v>
      </c>
      <c r="G329" t="s">
        <v>24</v>
      </c>
      <c r="H329" s="3" t="s">
        <v>501</v>
      </c>
      <c r="I329" t="s">
        <v>26</v>
      </c>
      <c r="J329" s="3" t="s">
        <v>502</v>
      </c>
      <c r="K329" s="4">
        <v>1786</v>
      </c>
      <c r="L329" s="5">
        <v>81.180000000000007</v>
      </c>
      <c r="M329" s="6">
        <v>1</v>
      </c>
      <c r="N329" s="7">
        <v>1</v>
      </c>
      <c r="O329" t="s">
        <v>503</v>
      </c>
      <c r="P329" s="3" t="s">
        <v>76</v>
      </c>
      <c r="Q329" s="8">
        <v>0.29749999999999999</v>
      </c>
    </row>
    <row r="330" spans="1:17" hidden="1" x14ac:dyDescent="0.55000000000000004">
      <c r="A330" s="3" t="s">
        <v>335</v>
      </c>
      <c r="B330" s="3" t="s">
        <v>495</v>
      </c>
      <c r="C330" t="s">
        <v>495</v>
      </c>
      <c r="D330" s="3" t="s">
        <v>7319</v>
      </c>
      <c r="E330" t="s">
        <v>496</v>
      </c>
      <c r="F330" s="3" t="s">
        <v>497</v>
      </c>
      <c r="G330" t="s">
        <v>24</v>
      </c>
      <c r="H330" s="3" t="s">
        <v>504</v>
      </c>
      <c r="I330" t="s">
        <v>218</v>
      </c>
      <c r="J330" s="3" t="s">
        <v>502</v>
      </c>
      <c r="K330" s="4">
        <v>2204</v>
      </c>
      <c r="L330" s="5">
        <v>100.2</v>
      </c>
      <c r="M330" s="6">
        <v>0</v>
      </c>
      <c r="N330" s="7">
        <v>1</v>
      </c>
      <c r="O330" t="s">
        <v>505</v>
      </c>
      <c r="P330" s="3" t="s">
        <v>23</v>
      </c>
      <c r="Q330" s="8" t="s">
        <v>23</v>
      </c>
    </row>
    <row r="331" spans="1:17" hidden="1" x14ac:dyDescent="0.55000000000000004">
      <c r="A331" s="3" t="s">
        <v>335</v>
      </c>
      <c r="B331" s="3" t="s">
        <v>337</v>
      </c>
      <c r="C331" t="s">
        <v>337</v>
      </c>
      <c r="D331" s="3" t="s">
        <v>7319</v>
      </c>
      <c r="E331" t="s">
        <v>506</v>
      </c>
      <c r="F331" s="3" t="s">
        <v>507</v>
      </c>
      <c r="G331" t="s">
        <v>24</v>
      </c>
      <c r="H331" s="3" t="s">
        <v>343</v>
      </c>
      <c r="I331" t="s">
        <v>52</v>
      </c>
      <c r="J331" s="3" t="s">
        <v>344</v>
      </c>
      <c r="K331" s="4">
        <v>1393</v>
      </c>
      <c r="L331" s="5">
        <v>0</v>
      </c>
      <c r="M331" s="6">
        <v>0</v>
      </c>
      <c r="N331" s="7">
        <v>0</v>
      </c>
      <c r="O331" t="s">
        <v>23</v>
      </c>
      <c r="P331" s="3" t="s">
        <v>23</v>
      </c>
      <c r="Q331" s="8" t="s">
        <v>23</v>
      </c>
    </row>
    <row r="332" spans="1:17" hidden="1" x14ac:dyDescent="0.55000000000000004">
      <c r="A332" s="3" t="s">
        <v>335</v>
      </c>
      <c r="B332" s="3" t="s">
        <v>337</v>
      </c>
      <c r="C332" t="s">
        <v>337</v>
      </c>
      <c r="D332" s="3" t="s">
        <v>7319</v>
      </c>
      <c r="E332" t="s">
        <v>506</v>
      </c>
      <c r="F332" s="3" t="s">
        <v>507</v>
      </c>
      <c r="G332" t="s">
        <v>24</v>
      </c>
      <c r="H332" s="3" t="s">
        <v>345</v>
      </c>
      <c r="I332" t="s">
        <v>296</v>
      </c>
      <c r="J332" s="3" t="s">
        <v>344</v>
      </c>
      <c r="K332" s="4">
        <v>1246</v>
      </c>
      <c r="L332" s="5">
        <v>0</v>
      </c>
      <c r="M332" s="6">
        <v>0</v>
      </c>
      <c r="N332" s="7">
        <v>0</v>
      </c>
      <c r="O332" t="s">
        <v>23</v>
      </c>
      <c r="P332" s="3" t="s">
        <v>23</v>
      </c>
      <c r="Q332" s="8" t="s">
        <v>23</v>
      </c>
    </row>
    <row r="333" spans="1:17" hidden="1" x14ac:dyDescent="0.55000000000000004">
      <c r="A333" s="3" t="s">
        <v>335</v>
      </c>
      <c r="B333" s="3" t="s">
        <v>337</v>
      </c>
      <c r="C333" t="s">
        <v>337</v>
      </c>
      <c r="D333" s="3" t="s">
        <v>7319</v>
      </c>
      <c r="E333" t="s">
        <v>506</v>
      </c>
      <c r="F333" s="3" t="s">
        <v>507</v>
      </c>
      <c r="G333" t="s">
        <v>24</v>
      </c>
      <c r="H333" s="3" t="s">
        <v>346</v>
      </c>
      <c r="I333" t="s">
        <v>298</v>
      </c>
      <c r="J333" s="3" t="s">
        <v>344</v>
      </c>
      <c r="K333" s="4">
        <v>1677</v>
      </c>
      <c r="L333" s="5">
        <v>0</v>
      </c>
      <c r="M333" s="6">
        <v>0</v>
      </c>
      <c r="N333" s="7">
        <v>0</v>
      </c>
      <c r="O333" t="s">
        <v>23</v>
      </c>
      <c r="P333" s="3" t="s">
        <v>23</v>
      </c>
      <c r="Q333" s="8" t="s">
        <v>23</v>
      </c>
    </row>
    <row r="334" spans="1:17" hidden="1" x14ac:dyDescent="0.55000000000000004">
      <c r="A334" s="3" t="s">
        <v>335</v>
      </c>
      <c r="B334" s="3" t="s">
        <v>337</v>
      </c>
      <c r="C334" t="s">
        <v>337</v>
      </c>
      <c r="D334" s="3" t="s">
        <v>7319</v>
      </c>
      <c r="E334" t="s">
        <v>506</v>
      </c>
      <c r="F334" s="3" t="s">
        <v>507</v>
      </c>
      <c r="G334" t="s">
        <v>24</v>
      </c>
      <c r="H334" s="3" t="s">
        <v>347</v>
      </c>
      <c r="I334" t="s">
        <v>300</v>
      </c>
      <c r="J334" s="3" t="s">
        <v>344</v>
      </c>
      <c r="K334" s="4">
        <v>1374</v>
      </c>
      <c r="L334" s="5">
        <v>0</v>
      </c>
      <c r="M334" s="6">
        <v>0</v>
      </c>
      <c r="N334" s="7">
        <v>0</v>
      </c>
      <c r="O334" t="s">
        <v>23</v>
      </c>
      <c r="P334" s="3" t="s">
        <v>23</v>
      </c>
      <c r="Q334" s="8" t="s">
        <v>23</v>
      </c>
    </row>
    <row r="335" spans="1:17" hidden="1" x14ac:dyDescent="0.55000000000000004">
      <c r="A335" s="3" t="s">
        <v>335</v>
      </c>
      <c r="B335" s="3" t="s">
        <v>337</v>
      </c>
      <c r="C335" t="s">
        <v>337</v>
      </c>
      <c r="D335" s="3" t="s">
        <v>7319</v>
      </c>
      <c r="E335" t="s">
        <v>506</v>
      </c>
      <c r="F335" s="3" t="s">
        <v>507</v>
      </c>
      <c r="G335" t="s">
        <v>24</v>
      </c>
      <c r="H335" s="3" t="s">
        <v>348</v>
      </c>
      <c r="I335" t="s">
        <v>304</v>
      </c>
      <c r="J335" s="3" t="s">
        <v>344</v>
      </c>
      <c r="K335" s="4">
        <v>1834</v>
      </c>
      <c r="L335" s="5">
        <v>0</v>
      </c>
      <c r="M335" s="6">
        <v>0</v>
      </c>
      <c r="N335" s="7">
        <v>0</v>
      </c>
      <c r="O335" t="s">
        <v>23</v>
      </c>
      <c r="P335" s="3" t="s">
        <v>23</v>
      </c>
      <c r="Q335" s="8" t="s">
        <v>23</v>
      </c>
    </row>
    <row r="336" spans="1:17" hidden="1" x14ac:dyDescent="0.55000000000000004">
      <c r="A336" s="3" t="s">
        <v>335</v>
      </c>
      <c r="B336" s="3" t="s">
        <v>337</v>
      </c>
      <c r="C336" t="s">
        <v>337</v>
      </c>
      <c r="D336" s="3" t="s">
        <v>7319</v>
      </c>
      <c r="E336" t="s">
        <v>506</v>
      </c>
      <c r="F336" s="3" t="s">
        <v>507</v>
      </c>
      <c r="G336" t="s">
        <v>24</v>
      </c>
      <c r="H336" s="3" t="s">
        <v>349</v>
      </c>
      <c r="I336" t="s">
        <v>302</v>
      </c>
      <c r="J336" s="3" t="s">
        <v>344</v>
      </c>
      <c r="K336" s="4">
        <v>1611</v>
      </c>
      <c r="L336" s="5">
        <v>0</v>
      </c>
      <c r="M336" s="6">
        <v>0</v>
      </c>
      <c r="N336" s="7">
        <v>0</v>
      </c>
      <c r="O336" t="s">
        <v>23</v>
      </c>
      <c r="P336" s="3" t="s">
        <v>23</v>
      </c>
      <c r="Q336" s="8" t="s">
        <v>23</v>
      </c>
    </row>
    <row r="337" spans="1:17" hidden="1" x14ac:dyDescent="0.55000000000000004">
      <c r="A337" s="3" t="s">
        <v>335</v>
      </c>
      <c r="B337" s="3" t="s">
        <v>337</v>
      </c>
      <c r="C337" t="s">
        <v>337</v>
      </c>
      <c r="D337" s="3" t="s">
        <v>7319</v>
      </c>
      <c r="E337" t="s">
        <v>506</v>
      </c>
      <c r="F337" s="3" t="s">
        <v>507</v>
      </c>
      <c r="G337" t="s">
        <v>24</v>
      </c>
      <c r="H337" s="3" t="s">
        <v>508</v>
      </c>
      <c r="I337" t="s">
        <v>26</v>
      </c>
      <c r="J337" s="3" t="s">
        <v>509</v>
      </c>
      <c r="K337" s="4">
        <v>1772</v>
      </c>
      <c r="L337" s="5">
        <v>80.55</v>
      </c>
      <c r="M337" s="6">
        <v>1</v>
      </c>
      <c r="N337" s="7">
        <v>0</v>
      </c>
      <c r="O337" t="s">
        <v>510</v>
      </c>
      <c r="P337" s="3" t="s">
        <v>76</v>
      </c>
      <c r="Q337" s="8">
        <v>0.29416700000000001</v>
      </c>
    </row>
    <row r="338" spans="1:17" hidden="1" x14ac:dyDescent="0.55000000000000004">
      <c r="A338" s="3" t="s">
        <v>335</v>
      </c>
      <c r="B338" s="3" t="s">
        <v>337</v>
      </c>
      <c r="C338" t="s">
        <v>337</v>
      </c>
      <c r="D338" s="3" t="s">
        <v>7319</v>
      </c>
      <c r="E338" t="s">
        <v>506</v>
      </c>
      <c r="F338" s="3" t="s">
        <v>507</v>
      </c>
      <c r="G338" t="s">
        <v>24</v>
      </c>
      <c r="H338" s="3" t="s">
        <v>353</v>
      </c>
      <c r="I338" t="s">
        <v>309</v>
      </c>
      <c r="J338" s="3" t="s">
        <v>354</v>
      </c>
      <c r="K338" s="4">
        <v>1615</v>
      </c>
      <c r="L338" s="5">
        <v>0</v>
      </c>
      <c r="M338" s="6">
        <v>0</v>
      </c>
      <c r="N338" s="7">
        <v>0</v>
      </c>
      <c r="O338" t="s">
        <v>23</v>
      </c>
      <c r="P338" s="3" t="s">
        <v>23</v>
      </c>
      <c r="Q338" s="8" t="s">
        <v>23</v>
      </c>
    </row>
    <row r="339" spans="1:17" hidden="1" x14ac:dyDescent="0.55000000000000004">
      <c r="A339" s="3" t="s">
        <v>335</v>
      </c>
      <c r="B339" s="3" t="s">
        <v>337</v>
      </c>
      <c r="C339" t="s">
        <v>337</v>
      </c>
      <c r="D339" s="3" t="s">
        <v>7319</v>
      </c>
      <c r="E339" t="s">
        <v>506</v>
      </c>
      <c r="F339" s="3" t="s">
        <v>507</v>
      </c>
      <c r="G339" t="s">
        <v>24</v>
      </c>
      <c r="H339" s="3" t="s">
        <v>355</v>
      </c>
      <c r="I339" t="s">
        <v>218</v>
      </c>
      <c r="J339" s="3" t="s">
        <v>354</v>
      </c>
      <c r="K339" s="4">
        <v>1825</v>
      </c>
      <c r="L339" s="5">
        <v>0</v>
      </c>
      <c r="M339" s="6">
        <v>0</v>
      </c>
      <c r="N339" s="7">
        <v>0</v>
      </c>
      <c r="O339" t="s">
        <v>23</v>
      </c>
      <c r="P339" s="3" t="s">
        <v>23</v>
      </c>
      <c r="Q339" s="8" t="s">
        <v>23</v>
      </c>
    </row>
    <row r="340" spans="1:17" hidden="1" x14ac:dyDescent="0.55000000000000004">
      <c r="A340" s="3" t="s">
        <v>335</v>
      </c>
      <c r="B340" s="3" t="s">
        <v>337</v>
      </c>
      <c r="C340" t="s">
        <v>337</v>
      </c>
      <c r="D340" s="3" t="s">
        <v>7319</v>
      </c>
      <c r="E340" t="s">
        <v>506</v>
      </c>
      <c r="F340" s="3" t="s">
        <v>507</v>
      </c>
      <c r="G340" t="s">
        <v>24</v>
      </c>
      <c r="H340" s="3" t="s">
        <v>356</v>
      </c>
      <c r="I340" t="s">
        <v>313</v>
      </c>
      <c r="J340" s="3" t="s">
        <v>354</v>
      </c>
      <c r="K340" s="4">
        <v>1600</v>
      </c>
      <c r="L340" s="5">
        <v>0</v>
      </c>
      <c r="M340" s="6">
        <v>0</v>
      </c>
      <c r="N340" s="7">
        <v>0</v>
      </c>
      <c r="O340" t="s">
        <v>23</v>
      </c>
      <c r="P340" s="3" t="s">
        <v>23</v>
      </c>
      <c r="Q340" s="8" t="s">
        <v>23</v>
      </c>
    </row>
    <row r="341" spans="1:17" hidden="1" x14ac:dyDescent="0.55000000000000004">
      <c r="A341" s="3" t="s">
        <v>335</v>
      </c>
      <c r="B341" s="3" t="s">
        <v>337</v>
      </c>
      <c r="C341" t="s">
        <v>337</v>
      </c>
      <c r="D341" s="3" t="s">
        <v>7319</v>
      </c>
      <c r="E341" t="s">
        <v>506</v>
      </c>
      <c r="F341" s="3" t="s">
        <v>507</v>
      </c>
      <c r="G341" t="s">
        <v>24</v>
      </c>
      <c r="H341" s="3" t="s">
        <v>357</v>
      </c>
      <c r="I341" t="s">
        <v>315</v>
      </c>
      <c r="J341" s="3" t="s">
        <v>354</v>
      </c>
      <c r="K341" s="4">
        <v>1228</v>
      </c>
      <c r="L341" s="5">
        <v>0</v>
      </c>
      <c r="M341" s="6">
        <v>0</v>
      </c>
      <c r="N341" s="7">
        <v>0</v>
      </c>
      <c r="O341" t="s">
        <v>23</v>
      </c>
      <c r="P341" s="3" t="s">
        <v>23</v>
      </c>
      <c r="Q341" s="8" t="s">
        <v>23</v>
      </c>
    </row>
    <row r="342" spans="1:17" hidden="1" x14ac:dyDescent="0.55000000000000004">
      <c r="A342" s="3" t="s">
        <v>335</v>
      </c>
      <c r="B342" s="3" t="s">
        <v>337</v>
      </c>
      <c r="C342" t="s">
        <v>337</v>
      </c>
      <c r="D342" s="3" t="s">
        <v>7319</v>
      </c>
      <c r="E342" t="s">
        <v>506</v>
      </c>
      <c r="F342" s="3" t="s">
        <v>507</v>
      </c>
      <c r="G342" t="s">
        <v>24</v>
      </c>
      <c r="H342" s="3" t="s">
        <v>358</v>
      </c>
      <c r="I342" t="s">
        <v>317</v>
      </c>
      <c r="J342" s="3" t="s">
        <v>354</v>
      </c>
      <c r="K342" s="4">
        <v>1461</v>
      </c>
      <c r="L342" s="5">
        <v>0</v>
      </c>
      <c r="M342" s="6">
        <v>0</v>
      </c>
      <c r="N342" s="7">
        <v>0</v>
      </c>
      <c r="O342" t="s">
        <v>23</v>
      </c>
      <c r="P342" s="3" t="s">
        <v>23</v>
      </c>
      <c r="Q342" s="8" t="s">
        <v>23</v>
      </c>
    </row>
    <row r="343" spans="1:17" hidden="1" x14ac:dyDescent="0.55000000000000004">
      <c r="A343" s="3" t="s">
        <v>335</v>
      </c>
      <c r="B343" s="3" t="s">
        <v>511</v>
      </c>
      <c r="C343" t="s">
        <v>7323</v>
      </c>
      <c r="D343" s="3" t="s">
        <v>7319</v>
      </c>
      <c r="E343" t="s">
        <v>512</v>
      </c>
      <c r="F343" s="3" t="s">
        <v>513</v>
      </c>
      <c r="G343" t="s">
        <v>24</v>
      </c>
      <c r="H343" s="3" t="s">
        <v>514</v>
      </c>
      <c r="I343" t="s">
        <v>52</v>
      </c>
      <c r="J343" s="3" t="s">
        <v>515</v>
      </c>
      <c r="K343" s="4">
        <v>1895</v>
      </c>
      <c r="L343" s="5">
        <v>86.13</v>
      </c>
      <c r="M343" s="6">
        <v>1</v>
      </c>
      <c r="N343" s="7">
        <v>0</v>
      </c>
      <c r="O343" t="s">
        <v>516</v>
      </c>
      <c r="P343" s="3" t="s">
        <v>55</v>
      </c>
      <c r="Q343" s="8">
        <v>0.29695199999999999</v>
      </c>
    </row>
    <row r="344" spans="1:17" hidden="1" x14ac:dyDescent="0.55000000000000004">
      <c r="A344" s="3" t="s">
        <v>335</v>
      </c>
      <c r="B344" s="3" t="s">
        <v>511</v>
      </c>
      <c r="C344" t="s">
        <v>7323</v>
      </c>
      <c r="D344" s="3" t="s">
        <v>7319</v>
      </c>
      <c r="E344" t="s">
        <v>512</v>
      </c>
      <c r="F344" s="3" t="s">
        <v>513</v>
      </c>
      <c r="G344" t="s">
        <v>24</v>
      </c>
      <c r="H344" s="3" t="s">
        <v>517</v>
      </c>
      <c r="I344" t="s">
        <v>26</v>
      </c>
      <c r="J344" s="3" t="s">
        <v>518</v>
      </c>
      <c r="K344" s="4">
        <v>1728</v>
      </c>
      <c r="L344" s="5">
        <v>78.55</v>
      </c>
      <c r="M344" s="6">
        <v>0</v>
      </c>
      <c r="N344" s="7">
        <v>0</v>
      </c>
      <c r="O344" t="s">
        <v>519</v>
      </c>
      <c r="P344" s="3" t="s">
        <v>29</v>
      </c>
      <c r="Q344" s="8">
        <v>0.29083300000000001</v>
      </c>
    </row>
    <row r="345" spans="1:17" hidden="1" x14ac:dyDescent="0.55000000000000004">
      <c r="A345" s="3" t="s">
        <v>335</v>
      </c>
      <c r="B345" s="3" t="s">
        <v>511</v>
      </c>
      <c r="C345" t="s">
        <v>7323</v>
      </c>
      <c r="D345" s="3" t="s">
        <v>7319</v>
      </c>
      <c r="E345" t="s">
        <v>512</v>
      </c>
      <c r="F345" s="3" t="s">
        <v>513</v>
      </c>
      <c r="G345" t="s">
        <v>24</v>
      </c>
      <c r="H345" s="3" t="s">
        <v>390</v>
      </c>
      <c r="I345" t="s">
        <v>309</v>
      </c>
      <c r="J345" s="3" t="s">
        <v>391</v>
      </c>
      <c r="K345" s="4">
        <v>1723</v>
      </c>
      <c r="L345" s="5">
        <v>0</v>
      </c>
      <c r="M345" s="6">
        <v>0</v>
      </c>
      <c r="N345" s="7">
        <v>0</v>
      </c>
      <c r="O345" t="s">
        <v>23</v>
      </c>
      <c r="P345" s="3" t="s">
        <v>23</v>
      </c>
      <c r="Q345" s="8" t="s">
        <v>23</v>
      </c>
    </row>
    <row r="346" spans="1:17" hidden="1" x14ac:dyDescent="0.55000000000000004">
      <c r="A346" s="3" t="s">
        <v>335</v>
      </c>
      <c r="B346" s="3" t="s">
        <v>511</v>
      </c>
      <c r="C346" t="s">
        <v>7323</v>
      </c>
      <c r="D346" s="3" t="s">
        <v>7319</v>
      </c>
      <c r="E346" t="s">
        <v>512</v>
      </c>
      <c r="F346" s="3" t="s">
        <v>513</v>
      </c>
      <c r="G346" t="s">
        <v>24</v>
      </c>
      <c r="H346" s="3" t="s">
        <v>392</v>
      </c>
      <c r="I346" t="s">
        <v>218</v>
      </c>
      <c r="J346" s="3" t="s">
        <v>391</v>
      </c>
      <c r="K346" s="4">
        <v>1938</v>
      </c>
      <c r="L346" s="5">
        <v>0</v>
      </c>
      <c r="M346" s="6">
        <v>0</v>
      </c>
      <c r="N346" s="7">
        <v>0</v>
      </c>
      <c r="O346" t="s">
        <v>23</v>
      </c>
      <c r="P346" s="3" t="s">
        <v>23</v>
      </c>
      <c r="Q346" s="8" t="s">
        <v>23</v>
      </c>
    </row>
    <row r="347" spans="1:17" hidden="1" x14ac:dyDescent="0.55000000000000004">
      <c r="A347" s="3" t="s">
        <v>335</v>
      </c>
      <c r="B347" s="3" t="s">
        <v>511</v>
      </c>
      <c r="C347" t="s">
        <v>7323</v>
      </c>
      <c r="D347" s="3" t="s">
        <v>7319</v>
      </c>
      <c r="E347" t="s">
        <v>512</v>
      </c>
      <c r="F347" s="3" t="s">
        <v>513</v>
      </c>
      <c r="G347" t="s">
        <v>24</v>
      </c>
      <c r="H347" s="3" t="s">
        <v>393</v>
      </c>
      <c r="I347" t="s">
        <v>313</v>
      </c>
      <c r="J347" s="3" t="s">
        <v>391</v>
      </c>
      <c r="K347" s="4">
        <v>1657</v>
      </c>
      <c r="L347" s="5">
        <v>0</v>
      </c>
      <c r="M347" s="6">
        <v>0</v>
      </c>
      <c r="N347" s="7">
        <v>0</v>
      </c>
      <c r="O347" t="s">
        <v>23</v>
      </c>
      <c r="P347" s="3" t="s">
        <v>23</v>
      </c>
      <c r="Q347" s="8" t="s">
        <v>23</v>
      </c>
    </row>
    <row r="348" spans="1:17" hidden="1" x14ac:dyDescent="0.55000000000000004">
      <c r="A348" s="3" t="s">
        <v>335</v>
      </c>
      <c r="B348" s="3" t="s">
        <v>511</v>
      </c>
      <c r="C348" t="s">
        <v>7323</v>
      </c>
      <c r="D348" s="3" t="s">
        <v>7319</v>
      </c>
      <c r="E348" t="s">
        <v>512</v>
      </c>
      <c r="F348" s="3" t="s">
        <v>513</v>
      </c>
      <c r="G348" t="s">
        <v>24</v>
      </c>
      <c r="H348" s="3" t="s">
        <v>394</v>
      </c>
      <c r="I348" t="s">
        <v>315</v>
      </c>
      <c r="J348" s="3" t="s">
        <v>391</v>
      </c>
      <c r="K348" s="4">
        <v>1344</v>
      </c>
      <c r="L348" s="5">
        <v>0</v>
      </c>
      <c r="M348" s="6">
        <v>0</v>
      </c>
      <c r="N348" s="7">
        <v>0</v>
      </c>
      <c r="O348" t="s">
        <v>23</v>
      </c>
      <c r="P348" s="3" t="s">
        <v>23</v>
      </c>
      <c r="Q348" s="8" t="s">
        <v>23</v>
      </c>
    </row>
    <row r="349" spans="1:17" hidden="1" x14ac:dyDescent="0.55000000000000004">
      <c r="A349" s="3" t="s">
        <v>335</v>
      </c>
      <c r="B349" s="3" t="s">
        <v>511</v>
      </c>
      <c r="C349" t="s">
        <v>7323</v>
      </c>
      <c r="D349" s="3" t="s">
        <v>7319</v>
      </c>
      <c r="E349" t="s">
        <v>512</v>
      </c>
      <c r="F349" s="3" t="s">
        <v>513</v>
      </c>
      <c r="G349" t="s">
        <v>24</v>
      </c>
      <c r="H349" s="3" t="s">
        <v>395</v>
      </c>
      <c r="I349" t="s">
        <v>317</v>
      </c>
      <c r="J349" s="3" t="s">
        <v>391</v>
      </c>
      <c r="K349" s="4">
        <v>1550</v>
      </c>
      <c r="L349" s="5">
        <v>0</v>
      </c>
      <c r="M349" s="6">
        <v>0</v>
      </c>
      <c r="N349" s="7">
        <v>0</v>
      </c>
      <c r="O349" t="s">
        <v>23</v>
      </c>
      <c r="P349" s="3" t="s">
        <v>23</v>
      </c>
      <c r="Q349" s="8" t="s">
        <v>23</v>
      </c>
    </row>
    <row r="350" spans="1:17" hidden="1" x14ac:dyDescent="0.55000000000000004">
      <c r="A350" s="3" t="s">
        <v>335</v>
      </c>
      <c r="B350" s="3" t="s">
        <v>511</v>
      </c>
      <c r="C350" t="s">
        <v>7323</v>
      </c>
      <c r="D350" s="3" t="s">
        <v>7319</v>
      </c>
      <c r="E350" t="s">
        <v>520</v>
      </c>
      <c r="F350" s="3" t="s">
        <v>521</v>
      </c>
      <c r="G350" t="s">
        <v>24</v>
      </c>
      <c r="H350" s="3" t="s">
        <v>514</v>
      </c>
      <c r="I350" t="s">
        <v>52</v>
      </c>
      <c r="J350" s="3" t="s">
        <v>515</v>
      </c>
      <c r="K350" s="4">
        <v>1895</v>
      </c>
      <c r="L350" s="5">
        <v>86.13</v>
      </c>
      <c r="M350" s="6">
        <v>1</v>
      </c>
      <c r="N350" s="7">
        <v>0</v>
      </c>
      <c r="O350" t="s">
        <v>516</v>
      </c>
      <c r="P350" s="3" t="s">
        <v>55</v>
      </c>
      <c r="Q350" s="8">
        <v>0.29695199999999999</v>
      </c>
    </row>
    <row r="351" spans="1:17" hidden="1" x14ac:dyDescent="0.55000000000000004">
      <c r="A351" s="3" t="s">
        <v>335</v>
      </c>
      <c r="B351" s="3" t="s">
        <v>511</v>
      </c>
      <c r="C351" t="s">
        <v>7323</v>
      </c>
      <c r="D351" s="3" t="s">
        <v>7319</v>
      </c>
      <c r="E351" t="s">
        <v>520</v>
      </c>
      <c r="F351" s="3" t="s">
        <v>521</v>
      </c>
      <c r="G351" t="s">
        <v>24</v>
      </c>
      <c r="H351" s="3" t="s">
        <v>517</v>
      </c>
      <c r="I351" t="s">
        <v>26</v>
      </c>
      <c r="J351" s="3" t="s">
        <v>518</v>
      </c>
      <c r="K351" s="4">
        <v>1728</v>
      </c>
      <c r="L351" s="5">
        <v>78.55</v>
      </c>
      <c r="M351" s="6">
        <v>0</v>
      </c>
      <c r="N351" s="7">
        <v>0</v>
      </c>
      <c r="O351" t="s">
        <v>519</v>
      </c>
      <c r="P351" s="3" t="s">
        <v>29</v>
      </c>
      <c r="Q351" s="8">
        <v>0.29083300000000001</v>
      </c>
    </row>
    <row r="352" spans="1:17" hidden="1" x14ac:dyDescent="0.55000000000000004">
      <c r="A352" s="3" t="s">
        <v>335</v>
      </c>
      <c r="B352" s="3" t="s">
        <v>511</v>
      </c>
      <c r="C352" t="s">
        <v>7323</v>
      </c>
      <c r="D352" s="3" t="s">
        <v>7319</v>
      </c>
      <c r="E352" t="s">
        <v>520</v>
      </c>
      <c r="F352" s="3" t="s">
        <v>521</v>
      </c>
      <c r="G352" t="s">
        <v>24</v>
      </c>
      <c r="H352" s="3" t="s">
        <v>390</v>
      </c>
      <c r="I352" t="s">
        <v>309</v>
      </c>
      <c r="J352" s="3" t="s">
        <v>391</v>
      </c>
      <c r="K352" s="4">
        <v>1723</v>
      </c>
      <c r="L352" s="5">
        <v>0</v>
      </c>
      <c r="M352" s="6">
        <v>0</v>
      </c>
      <c r="N352" s="7">
        <v>0</v>
      </c>
      <c r="O352" t="s">
        <v>23</v>
      </c>
      <c r="P352" s="3" t="s">
        <v>23</v>
      </c>
      <c r="Q352" s="8" t="s">
        <v>23</v>
      </c>
    </row>
    <row r="353" spans="1:17" hidden="1" x14ac:dyDescent="0.55000000000000004">
      <c r="A353" s="3" t="s">
        <v>335</v>
      </c>
      <c r="B353" s="3" t="s">
        <v>511</v>
      </c>
      <c r="C353" t="s">
        <v>7323</v>
      </c>
      <c r="D353" s="3" t="s">
        <v>7319</v>
      </c>
      <c r="E353" t="s">
        <v>520</v>
      </c>
      <c r="F353" s="3" t="s">
        <v>521</v>
      </c>
      <c r="G353" t="s">
        <v>24</v>
      </c>
      <c r="H353" s="3" t="s">
        <v>392</v>
      </c>
      <c r="I353" t="s">
        <v>218</v>
      </c>
      <c r="J353" s="3" t="s">
        <v>391</v>
      </c>
      <c r="K353" s="4">
        <v>1938</v>
      </c>
      <c r="L353" s="5">
        <v>0</v>
      </c>
      <c r="M353" s="6">
        <v>0</v>
      </c>
      <c r="N353" s="7">
        <v>0</v>
      </c>
      <c r="O353" t="s">
        <v>23</v>
      </c>
      <c r="P353" s="3" t="s">
        <v>23</v>
      </c>
      <c r="Q353" s="8" t="s">
        <v>23</v>
      </c>
    </row>
    <row r="354" spans="1:17" hidden="1" x14ac:dyDescent="0.55000000000000004">
      <c r="A354" s="3" t="s">
        <v>335</v>
      </c>
      <c r="B354" s="3" t="s">
        <v>511</v>
      </c>
      <c r="C354" t="s">
        <v>7323</v>
      </c>
      <c r="D354" s="3" t="s">
        <v>7319</v>
      </c>
      <c r="E354" t="s">
        <v>520</v>
      </c>
      <c r="F354" s="3" t="s">
        <v>521</v>
      </c>
      <c r="G354" t="s">
        <v>24</v>
      </c>
      <c r="H354" s="3" t="s">
        <v>393</v>
      </c>
      <c r="I354" t="s">
        <v>313</v>
      </c>
      <c r="J354" s="3" t="s">
        <v>391</v>
      </c>
      <c r="K354" s="4">
        <v>1657</v>
      </c>
      <c r="L354" s="5">
        <v>0</v>
      </c>
      <c r="M354" s="6">
        <v>0</v>
      </c>
      <c r="N354" s="7">
        <v>0</v>
      </c>
      <c r="O354" t="s">
        <v>23</v>
      </c>
      <c r="P354" s="3" t="s">
        <v>23</v>
      </c>
      <c r="Q354" s="8" t="s">
        <v>23</v>
      </c>
    </row>
    <row r="355" spans="1:17" hidden="1" x14ac:dyDescent="0.55000000000000004">
      <c r="A355" s="3" t="s">
        <v>335</v>
      </c>
      <c r="B355" s="3" t="s">
        <v>511</v>
      </c>
      <c r="C355" t="s">
        <v>7323</v>
      </c>
      <c r="D355" s="3" t="s">
        <v>7319</v>
      </c>
      <c r="E355" t="s">
        <v>520</v>
      </c>
      <c r="F355" s="3" t="s">
        <v>521</v>
      </c>
      <c r="G355" t="s">
        <v>24</v>
      </c>
      <c r="H355" s="3" t="s">
        <v>394</v>
      </c>
      <c r="I355" t="s">
        <v>315</v>
      </c>
      <c r="J355" s="3" t="s">
        <v>391</v>
      </c>
      <c r="K355" s="4">
        <v>1344</v>
      </c>
      <c r="L355" s="5">
        <v>0</v>
      </c>
      <c r="M355" s="6">
        <v>0</v>
      </c>
      <c r="N355" s="7">
        <v>0</v>
      </c>
      <c r="O355" t="s">
        <v>23</v>
      </c>
      <c r="P355" s="3" t="s">
        <v>23</v>
      </c>
      <c r="Q355" s="8" t="s">
        <v>23</v>
      </c>
    </row>
    <row r="356" spans="1:17" hidden="1" x14ac:dyDescent="0.55000000000000004">
      <c r="A356" s="3" t="s">
        <v>335</v>
      </c>
      <c r="B356" s="3" t="s">
        <v>511</v>
      </c>
      <c r="C356" t="s">
        <v>7323</v>
      </c>
      <c r="D356" s="3" t="s">
        <v>7319</v>
      </c>
      <c r="E356" t="s">
        <v>520</v>
      </c>
      <c r="F356" s="3" t="s">
        <v>521</v>
      </c>
      <c r="G356" t="s">
        <v>24</v>
      </c>
      <c r="H356" s="3" t="s">
        <v>395</v>
      </c>
      <c r="I356" t="s">
        <v>317</v>
      </c>
      <c r="J356" s="3" t="s">
        <v>391</v>
      </c>
      <c r="K356" s="4">
        <v>1550</v>
      </c>
      <c r="L356" s="5">
        <v>0</v>
      </c>
      <c r="M356" s="6">
        <v>0</v>
      </c>
      <c r="N356" s="7">
        <v>0</v>
      </c>
      <c r="O356" t="s">
        <v>23</v>
      </c>
      <c r="P356" s="3" t="s">
        <v>23</v>
      </c>
      <c r="Q356" s="8" t="s">
        <v>23</v>
      </c>
    </row>
    <row r="357" spans="1:17" hidden="1" x14ac:dyDescent="0.55000000000000004">
      <c r="A357" s="3" t="s">
        <v>335</v>
      </c>
      <c r="B357" s="3" t="s">
        <v>511</v>
      </c>
      <c r="C357" t="s">
        <v>7323</v>
      </c>
      <c r="D357" s="3" t="s">
        <v>7319</v>
      </c>
      <c r="E357" t="s">
        <v>522</v>
      </c>
      <c r="F357" s="3" t="s">
        <v>523</v>
      </c>
      <c r="G357" t="s">
        <v>24</v>
      </c>
      <c r="H357" s="3" t="s">
        <v>514</v>
      </c>
      <c r="I357" t="s">
        <v>52</v>
      </c>
      <c r="J357" s="3" t="s">
        <v>515</v>
      </c>
      <c r="K357" s="4">
        <v>1895</v>
      </c>
      <c r="L357" s="5">
        <v>86.13</v>
      </c>
      <c r="M357" s="6">
        <v>1</v>
      </c>
      <c r="N357" s="7">
        <v>0</v>
      </c>
      <c r="O357" t="s">
        <v>516</v>
      </c>
      <c r="P357" s="3" t="s">
        <v>55</v>
      </c>
      <c r="Q357" s="8">
        <v>0.29695199999999999</v>
      </c>
    </row>
    <row r="358" spans="1:17" hidden="1" x14ac:dyDescent="0.55000000000000004">
      <c r="A358" s="3" t="s">
        <v>335</v>
      </c>
      <c r="B358" s="3" t="s">
        <v>511</v>
      </c>
      <c r="C358" t="s">
        <v>7323</v>
      </c>
      <c r="D358" s="3" t="s">
        <v>7319</v>
      </c>
      <c r="E358" t="s">
        <v>522</v>
      </c>
      <c r="F358" s="3" t="s">
        <v>523</v>
      </c>
      <c r="G358" t="s">
        <v>24</v>
      </c>
      <c r="H358" s="3" t="s">
        <v>517</v>
      </c>
      <c r="I358" t="s">
        <v>26</v>
      </c>
      <c r="J358" s="3" t="s">
        <v>518</v>
      </c>
      <c r="K358" s="4">
        <v>1728</v>
      </c>
      <c r="L358" s="5">
        <v>78.55</v>
      </c>
      <c r="M358" s="6">
        <v>0</v>
      </c>
      <c r="N358" s="7">
        <v>0</v>
      </c>
      <c r="O358" t="s">
        <v>519</v>
      </c>
      <c r="P358" s="3" t="s">
        <v>29</v>
      </c>
      <c r="Q358" s="8">
        <v>0.29083300000000001</v>
      </c>
    </row>
    <row r="359" spans="1:17" hidden="1" x14ac:dyDescent="0.55000000000000004">
      <c r="A359" s="3" t="s">
        <v>335</v>
      </c>
      <c r="B359" s="3" t="s">
        <v>511</v>
      </c>
      <c r="C359" t="s">
        <v>7323</v>
      </c>
      <c r="D359" s="3" t="s">
        <v>7319</v>
      </c>
      <c r="E359" t="s">
        <v>522</v>
      </c>
      <c r="F359" s="3" t="s">
        <v>523</v>
      </c>
      <c r="G359" t="s">
        <v>24</v>
      </c>
      <c r="H359" s="3" t="s">
        <v>390</v>
      </c>
      <c r="I359" t="s">
        <v>309</v>
      </c>
      <c r="J359" s="3" t="s">
        <v>391</v>
      </c>
      <c r="K359" s="4">
        <v>1723</v>
      </c>
      <c r="L359" s="5">
        <v>0</v>
      </c>
      <c r="M359" s="6">
        <v>0</v>
      </c>
      <c r="N359" s="7">
        <v>0</v>
      </c>
      <c r="O359" t="s">
        <v>23</v>
      </c>
      <c r="P359" s="3" t="s">
        <v>23</v>
      </c>
      <c r="Q359" s="8" t="s">
        <v>23</v>
      </c>
    </row>
    <row r="360" spans="1:17" hidden="1" x14ac:dyDescent="0.55000000000000004">
      <c r="A360" s="3" t="s">
        <v>335</v>
      </c>
      <c r="B360" s="3" t="s">
        <v>511</v>
      </c>
      <c r="C360" t="s">
        <v>7323</v>
      </c>
      <c r="D360" s="3" t="s">
        <v>7319</v>
      </c>
      <c r="E360" t="s">
        <v>522</v>
      </c>
      <c r="F360" s="3" t="s">
        <v>523</v>
      </c>
      <c r="G360" t="s">
        <v>24</v>
      </c>
      <c r="H360" s="3" t="s">
        <v>392</v>
      </c>
      <c r="I360" t="s">
        <v>218</v>
      </c>
      <c r="J360" s="3" t="s">
        <v>391</v>
      </c>
      <c r="K360" s="4">
        <v>1938</v>
      </c>
      <c r="L360" s="5">
        <v>0</v>
      </c>
      <c r="M360" s="6">
        <v>0</v>
      </c>
      <c r="N360" s="7">
        <v>0</v>
      </c>
      <c r="O360" t="s">
        <v>23</v>
      </c>
      <c r="P360" s="3" t="s">
        <v>23</v>
      </c>
      <c r="Q360" s="8" t="s">
        <v>23</v>
      </c>
    </row>
    <row r="361" spans="1:17" hidden="1" x14ac:dyDescent="0.55000000000000004">
      <c r="A361" s="3" t="s">
        <v>335</v>
      </c>
      <c r="B361" s="3" t="s">
        <v>511</v>
      </c>
      <c r="C361" t="s">
        <v>7323</v>
      </c>
      <c r="D361" s="3" t="s">
        <v>7319</v>
      </c>
      <c r="E361" t="s">
        <v>522</v>
      </c>
      <c r="F361" s="3" t="s">
        <v>523</v>
      </c>
      <c r="G361" t="s">
        <v>24</v>
      </c>
      <c r="H361" s="3" t="s">
        <v>393</v>
      </c>
      <c r="I361" t="s">
        <v>313</v>
      </c>
      <c r="J361" s="3" t="s">
        <v>391</v>
      </c>
      <c r="K361" s="4">
        <v>1657</v>
      </c>
      <c r="L361" s="5">
        <v>0</v>
      </c>
      <c r="M361" s="6">
        <v>0</v>
      </c>
      <c r="N361" s="7">
        <v>0</v>
      </c>
      <c r="O361" t="s">
        <v>23</v>
      </c>
      <c r="P361" s="3" t="s">
        <v>23</v>
      </c>
      <c r="Q361" s="8" t="s">
        <v>23</v>
      </c>
    </row>
    <row r="362" spans="1:17" hidden="1" x14ac:dyDescent="0.55000000000000004">
      <c r="A362" s="3" t="s">
        <v>335</v>
      </c>
      <c r="B362" s="3" t="s">
        <v>511</v>
      </c>
      <c r="C362" t="s">
        <v>7323</v>
      </c>
      <c r="D362" s="3" t="s">
        <v>7319</v>
      </c>
      <c r="E362" t="s">
        <v>522</v>
      </c>
      <c r="F362" s="3" t="s">
        <v>523</v>
      </c>
      <c r="G362" t="s">
        <v>24</v>
      </c>
      <c r="H362" s="3" t="s">
        <v>394</v>
      </c>
      <c r="I362" t="s">
        <v>315</v>
      </c>
      <c r="J362" s="3" t="s">
        <v>391</v>
      </c>
      <c r="K362" s="4">
        <v>1344</v>
      </c>
      <c r="L362" s="5">
        <v>0</v>
      </c>
      <c r="M362" s="6">
        <v>0</v>
      </c>
      <c r="N362" s="7">
        <v>0</v>
      </c>
      <c r="O362" t="s">
        <v>23</v>
      </c>
      <c r="P362" s="3" t="s">
        <v>23</v>
      </c>
      <c r="Q362" s="8" t="s">
        <v>23</v>
      </c>
    </row>
    <row r="363" spans="1:17" hidden="1" x14ac:dyDescent="0.55000000000000004">
      <c r="A363" s="3" t="s">
        <v>335</v>
      </c>
      <c r="B363" s="3" t="s">
        <v>511</v>
      </c>
      <c r="C363" t="s">
        <v>7323</v>
      </c>
      <c r="D363" s="3" t="s">
        <v>7319</v>
      </c>
      <c r="E363" t="s">
        <v>522</v>
      </c>
      <c r="F363" s="3" t="s">
        <v>523</v>
      </c>
      <c r="G363" t="s">
        <v>24</v>
      </c>
      <c r="H363" s="3" t="s">
        <v>395</v>
      </c>
      <c r="I363" t="s">
        <v>317</v>
      </c>
      <c r="J363" s="3" t="s">
        <v>391</v>
      </c>
      <c r="K363" s="4">
        <v>1550</v>
      </c>
      <c r="L363" s="5">
        <v>0</v>
      </c>
      <c r="M363" s="6">
        <v>0</v>
      </c>
      <c r="N363" s="7">
        <v>0</v>
      </c>
      <c r="O363" t="s">
        <v>23</v>
      </c>
      <c r="P363" s="3" t="s">
        <v>23</v>
      </c>
      <c r="Q363" s="8" t="s">
        <v>23</v>
      </c>
    </row>
    <row r="364" spans="1:17" hidden="1" x14ac:dyDescent="0.55000000000000004">
      <c r="A364" s="3" t="s">
        <v>335</v>
      </c>
      <c r="B364" s="3" t="s">
        <v>524</v>
      </c>
      <c r="C364" t="s">
        <v>337</v>
      </c>
      <c r="D364" s="3" t="s">
        <v>7319</v>
      </c>
      <c r="E364" t="s">
        <v>525</v>
      </c>
      <c r="F364" s="3" t="s">
        <v>526</v>
      </c>
      <c r="G364" t="s">
        <v>24</v>
      </c>
      <c r="H364" s="3" t="s">
        <v>527</v>
      </c>
      <c r="I364" t="s">
        <v>52</v>
      </c>
      <c r="J364" s="3" t="s">
        <v>528</v>
      </c>
      <c r="K364" s="4">
        <v>1764</v>
      </c>
      <c r="L364" s="5">
        <v>80.2</v>
      </c>
      <c r="M364" s="6">
        <v>0</v>
      </c>
      <c r="N364" s="7">
        <v>0</v>
      </c>
      <c r="O364" t="s">
        <v>529</v>
      </c>
      <c r="P364" s="3" t="s">
        <v>55</v>
      </c>
      <c r="Q364" s="8">
        <v>0.29563600000000001</v>
      </c>
    </row>
    <row r="365" spans="1:17" hidden="1" x14ac:dyDescent="0.55000000000000004">
      <c r="A365" s="3" t="s">
        <v>335</v>
      </c>
      <c r="B365" s="3" t="s">
        <v>524</v>
      </c>
      <c r="C365" t="s">
        <v>337</v>
      </c>
      <c r="D365" s="3" t="s">
        <v>7319</v>
      </c>
      <c r="E365" t="s">
        <v>525</v>
      </c>
      <c r="F365" s="3" t="s">
        <v>526</v>
      </c>
      <c r="G365" t="s">
        <v>24</v>
      </c>
      <c r="H365" s="3" t="s">
        <v>343</v>
      </c>
      <c r="I365" t="s">
        <v>52</v>
      </c>
      <c r="J365" s="3" t="s">
        <v>344</v>
      </c>
      <c r="K365" s="4">
        <v>1393</v>
      </c>
      <c r="L365" s="5">
        <v>0</v>
      </c>
      <c r="M365" s="6">
        <v>0</v>
      </c>
      <c r="N365" s="7">
        <v>0</v>
      </c>
      <c r="O365" t="s">
        <v>23</v>
      </c>
      <c r="P365" s="3" t="s">
        <v>23</v>
      </c>
      <c r="Q365" s="8" t="s">
        <v>23</v>
      </c>
    </row>
    <row r="366" spans="1:17" hidden="1" x14ac:dyDescent="0.55000000000000004">
      <c r="A366" s="3" t="s">
        <v>335</v>
      </c>
      <c r="B366" s="3" t="s">
        <v>524</v>
      </c>
      <c r="C366" t="s">
        <v>337</v>
      </c>
      <c r="D366" s="3" t="s">
        <v>7319</v>
      </c>
      <c r="E366" t="s">
        <v>525</v>
      </c>
      <c r="F366" s="3" t="s">
        <v>526</v>
      </c>
      <c r="G366" t="s">
        <v>24</v>
      </c>
      <c r="H366" s="3" t="s">
        <v>345</v>
      </c>
      <c r="I366" t="s">
        <v>296</v>
      </c>
      <c r="J366" s="3" t="s">
        <v>344</v>
      </c>
      <c r="K366" s="4">
        <v>1246</v>
      </c>
      <c r="L366" s="5">
        <v>0</v>
      </c>
      <c r="M366" s="6">
        <v>0</v>
      </c>
      <c r="N366" s="7">
        <v>0</v>
      </c>
      <c r="O366" t="s">
        <v>23</v>
      </c>
      <c r="P366" s="3" t="s">
        <v>23</v>
      </c>
      <c r="Q366" s="8" t="s">
        <v>23</v>
      </c>
    </row>
    <row r="367" spans="1:17" hidden="1" x14ac:dyDescent="0.55000000000000004">
      <c r="A367" s="3" t="s">
        <v>335</v>
      </c>
      <c r="B367" s="3" t="s">
        <v>524</v>
      </c>
      <c r="C367" t="s">
        <v>337</v>
      </c>
      <c r="D367" s="3" t="s">
        <v>7319</v>
      </c>
      <c r="E367" t="s">
        <v>525</v>
      </c>
      <c r="F367" s="3" t="s">
        <v>526</v>
      </c>
      <c r="G367" t="s">
        <v>24</v>
      </c>
      <c r="H367" s="3" t="s">
        <v>346</v>
      </c>
      <c r="I367" t="s">
        <v>298</v>
      </c>
      <c r="J367" s="3" t="s">
        <v>344</v>
      </c>
      <c r="K367" s="4">
        <v>1677</v>
      </c>
      <c r="L367" s="5">
        <v>0</v>
      </c>
      <c r="M367" s="6">
        <v>0</v>
      </c>
      <c r="N367" s="7">
        <v>0</v>
      </c>
      <c r="O367" t="s">
        <v>23</v>
      </c>
      <c r="P367" s="3" t="s">
        <v>23</v>
      </c>
      <c r="Q367" s="8" t="s">
        <v>23</v>
      </c>
    </row>
    <row r="368" spans="1:17" hidden="1" x14ac:dyDescent="0.55000000000000004">
      <c r="A368" s="3" t="s">
        <v>335</v>
      </c>
      <c r="B368" s="3" t="s">
        <v>524</v>
      </c>
      <c r="C368" t="s">
        <v>337</v>
      </c>
      <c r="D368" s="3" t="s">
        <v>7319</v>
      </c>
      <c r="E368" t="s">
        <v>525</v>
      </c>
      <c r="F368" s="3" t="s">
        <v>526</v>
      </c>
      <c r="G368" t="s">
        <v>24</v>
      </c>
      <c r="H368" s="3" t="s">
        <v>347</v>
      </c>
      <c r="I368" t="s">
        <v>300</v>
      </c>
      <c r="J368" s="3" t="s">
        <v>344</v>
      </c>
      <c r="K368" s="4">
        <v>1374</v>
      </c>
      <c r="L368" s="5">
        <v>0</v>
      </c>
      <c r="M368" s="6">
        <v>0</v>
      </c>
      <c r="N368" s="7">
        <v>0</v>
      </c>
      <c r="O368" t="s">
        <v>23</v>
      </c>
      <c r="P368" s="3" t="s">
        <v>23</v>
      </c>
      <c r="Q368" s="8" t="s">
        <v>23</v>
      </c>
    </row>
    <row r="369" spans="1:17" hidden="1" x14ac:dyDescent="0.55000000000000004">
      <c r="A369" s="3" t="s">
        <v>335</v>
      </c>
      <c r="B369" s="3" t="s">
        <v>524</v>
      </c>
      <c r="C369" t="s">
        <v>337</v>
      </c>
      <c r="D369" s="3" t="s">
        <v>7319</v>
      </c>
      <c r="E369" t="s">
        <v>525</v>
      </c>
      <c r="F369" s="3" t="s">
        <v>526</v>
      </c>
      <c r="G369" t="s">
        <v>24</v>
      </c>
      <c r="H369" s="3" t="s">
        <v>348</v>
      </c>
      <c r="I369" t="s">
        <v>304</v>
      </c>
      <c r="J369" s="3" t="s">
        <v>344</v>
      </c>
      <c r="K369" s="4">
        <v>1834</v>
      </c>
      <c r="L369" s="5">
        <v>0</v>
      </c>
      <c r="M369" s="6">
        <v>0</v>
      </c>
      <c r="N369" s="7">
        <v>0</v>
      </c>
      <c r="O369" t="s">
        <v>23</v>
      </c>
      <c r="P369" s="3" t="s">
        <v>23</v>
      </c>
      <c r="Q369" s="8" t="s">
        <v>23</v>
      </c>
    </row>
    <row r="370" spans="1:17" hidden="1" x14ac:dyDescent="0.55000000000000004">
      <c r="A370" s="3" t="s">
        <v>335</v>
      </c>
      <c r="B370" s="3" t="s">
        <v>524</v>
      </c>
      <c r="C370" t="s">
        <v>337</v>
      </c>
      <c r="D370" s="3" t="s">
        <v>7319</v>
      </c>
      <c r="E370" t="s">
        <v>525</v>
      </c>
      <c r="F370" s="3" t="s">
        <v>526</v>
      </c>
      <c r="G370" t="s">
        <v>24</v>
      </c>
      <c r="H370" s="3" t="s">
        <v>349</v>
      </c>
      <c r="I370" t="s">
        <v>302</v>
      </c>
      <c r="J370" s="3" t="s">
        <v>344</v>
      </c>
      <c r="K370" s="4">
        <v>1611</v>
      </c>
      <c r="L370" s="5">
        <v>0</v>
      </c>
      <c r="M370" s="6">
        <v>0</v>
      </c>
      <c r="N370" s="7">
        <v>0</v>
      </c>
      <c r="O370" t="s">
        <v>23</v>
      </c>
      <c r="P370" s="3" t="s">
        <v>23</v>
      </c>
      <c r="Q370" s="8" t="s">
        <v>23</v>
      </c>
    </row>
    <row r="371" spans="1:17" hidden="1" x14ac:dyDescent="0.55000000000000004">
      <c r="A371" s="3" t="s">
        <v>335</v>
      </c>
      <c r="B371" s="3" t="s">
        <v>524</v>
      </c>
      <c r="C371" t="s">
        <v>337</v>
      </c>
      <c r="D371" s="3" t="s">
        <v>7319</v>
      </c>
      <c r="E371" t="s">
        <v>525</v>
      </c>
      <c r="F371" s="3" t="s">
        <v>526</v>
      </c>
      <c r="G371" t="s">
        <v>24</v>
      </c>
      <c r="H371" s="3" t="s">
        <v>530</v>
      </c>
      <c r="I371" t="s">
        <v>26</v>
      </c>
      <c r="J371" s="3" t="s">
        <v>531</v>
      </c>
      <c r="K371" s="4">
        <v>1312</v>
      </c>
      <c r="L371" s="5">
        <v>59.65</v>
      </c>
      <c r="M371" s="6">
        <v>1</v>
      </c>
      <c r="N371" s="7">
        <v>0</v>
      </c>
      <c r="O371" t="s">
        <v>532</v>
      </c>
      <c r="P371" s="3" t="s">
        <v>76</v>
      </c>
      <c r="Q371" s="8">
        <v>0.29416700000000001</v>
      </c>
    </row>
    <row r="372" spans="1:17" hidden="1" x14ac:dyDescent="0.55000000000000004">
      <c r="A372" s="3" t="s">
        <v>335</v>
      </c>
      <c r="B372" s="3" t="s">
        <v>524</v>
      </c>
      <c r="C372" t="s">
        <v>337</v>
      </c>
      <c r="D372" s="3" t="s">
        <v>7319</v>
      </c>
      <c r="E372" t="s">
        <v>525</v>
      </c>
      <c r="F372" s="3" t="s">
        <v>526</v>
      </c>
      <c r="G372" t="s">
        <v>24</v>
      </c>
      <c r="H372" s="3" t="s">
        <v>353</v>
      </c>
      <c r="I372" t="s">
        <v>309</v>
      </c>
      <c r="J372" s="3" t="s">
        <v>354</v>
      </c>
      <c r="K372" s="4">
        <v>1615</v>
      </c>
      <c r="L372" s="5">
        <v>0</v>
      </c>
      <c r="M372" s="6">
        <v>0</v>
      </c>
      <c r="N372" s="7">
        <v>0</v>
      </c>
      <c r="O372" t="s">
        <v>23</v>
      </c>
      <c r="P372" s="3" t="s">
        <v>23</v>
      </c>
      <c r="Q372" s="8" t="s">
        <v>23</v>
      </c>
    </row>
    <row r="373" spans="1:17" hidden="1" x14ac:dyDescent="0.55000000000000004">
      <c r="A373" s="3" t="s">
        <v>335</v>
      </c>
      <c r="B373" s="3" t="s">
        <v>524</v>
      </c>
      <c r="C373" t="s">
        <v>337</v>
      </c>
      <c r="D373" s="3" t="s">
        <v>7319</v>
      </c>
      <c r="E373" t="s">
        <v>525</v>
      </c>
      <c r="F373" s="3" t="s">
        <v>526</v>
      </c>
      <c r="G373" t="s">
        <v>24</v>
      </c>
      <c r="H373" s="3" t="s">
        <v>355</v>
      </c>
      <c r="I373" t="s">
        <v>218</v>
      </c>
      <c r="J373" s="3" t="s">
        <v>354</v>
      </c>
      <c r="K373" s="4">
        <v>1825</v>
      </c>
      <c r="L373" s="5">
        <v>0</v>
      </c>
      <c r="M373" s="6">
        <v>0</v>
      </c>
      <c r="N373" s="7">
        <v>0</v>
      </c>
      <c r="O373" t="s">
        <v>23</v>
      </c>
      <c r="P373" s="3" t="s">
        <v>23</v>
      </c>
      <c r="Q373" s="8" t="s">
        <v>23</v>
      </c>
    </row>
    <row r="374" spans="1:17" hidden="1" x14ac:dyDescent="0.55000000000000004">
      <c r="A374" s="3" t="s">
        <v>335</v>
      </c>
      <c r="B374" s="3" t="s">
        <v>524</v>
      </c>
      <c r="C374" t="s">
        <v>337</v>
      </c>
      <c r="D374" s="3" t="s">
        <v>7319</v>
      </c>
      <c r="E374" t="s">
        <v>525</v>
      </c>
      <c r="F374" s="3" t="s">
        <v>526</v>
      </c>
      <c r="G374" t="s">
        <v>24</v>
      </c>
      <c r="H374" s="3" t="s">
        <v>356</v>
      </c>
      <c r="I374" t="s">
        <v>313</v>
      </c>
      <c r="J374" s="3" t="s">
        <v>354</v>
      </c>
      <c r="K374" s="4">
        <v>1600</v>
      </c>
      <c r="L374" s="5">
        <v>0</v>
      </c>
      <c r="M374" s="6">
        <v>0</v>
      </c>
      <c r="N374" s="7">
        <v>0</v>
      </c>
      <c r="O374" t="s">
        <v>23</v>
      </c>
      <c r="P374" s="3" t="s">
        <v>23</v>
      </c>
      <c r="Q374" s="8" t="s">
        <v>23</v>
      </c>
    </row>
    <row r="375" spans="1:17" hidden="1" x14ac:dyDescent="0.55000000000000004">
      <c r="A375" s="3" t="s">
        <v>335</v>
      </c>
      <c r="B375" s="3" t="s">
        <v>524</v>
      </c>
      <c r="C375" t="s">
        <v>337</v>
      </c>
      <c r="D375" s="3" t="s">
        <v>7319</v>
      </c>
      <c r="E375" t="s">
        <v>525</v>
      </c>
      <c r="F375" s="3" t="s">
        <v>526</v>
      </c>
      <c r="G375" t="s">
        <v>24</v>
      </c>
      <c r="H375" s="3" t="s">
        <v>357</v>
      </c>
      <c r="I375" t="s">
        <v>315</v>
      </c>
      <c r="J375" s="3" t="s">
        <v>354</v>
      </c>
      <c r="K375" s="4">
        <v>1228</v>
      </c>
      <c r="L375" s="5">
        <v>0</v>
      </c>
      <c r="M375" s="6">
        <v>0</v>
      </c>
      <c r="N375" s="7">
        <v>0</v>
      </c>
      <c r="O375" t="s">
        <v>23</v>
      </c>
      <c r="P375" s="3" t="s">
        <v>23</v>
      </c>
      <c r="Q375" s="8" t="s">
        <v>23</v>
      </c>
    </row>
    <row r="376" spans="1:17" hidden="1" x14ac:dyDescent="0.55000000000000004">
      <c r="A376" s="3" t="s">
        <v>335</v>
      </c>
      <c r="B376" s="3" t="s">
        <v>524</v>
      </c>
      <c r="C376" t="s">
        <v>337</v>
      </c>
      <c r="D376" s="3" t="s">
        <v>7319</v>
      </c>
      <c r="E376" t="s">
        <v>525</v>
      </c>
      <c r="F376" s="3" t="s">
        <v>526</v>
      </c>
      <c r="G376" t="s">
        <v>24</v>
      </c>
      <c r="H376" s="3" t="s">
        <v>358</v>
      </c>
      <c r="I376" t="s">
        <v>317</v>
      </c>
      <c r="J376" s="3" t="s">
        <v>354</v>
      </c>
      <c r="K376" s="4">
        <v>1461</v>
      </c>
      <c r="L376" s="5">
        <v>0</v>
      </c>
      <c r="M376" s="6">
        <v>0</v>
      </c>
      <c r="N376" s="7">
        <v>0</v>
      </c>
      <c r="O376" t="s">
        <v>23</v>
      </c>
      <c r="P376" s="3" t="s">
        <v>23</v>
      </c>
      <c r="Q376" s="8" t="s">
        <v>23</v>
      </c>
    </row>
    <row r="377" spans="1:17" hidden="1" x14ac:dyDescent="0.55000000000000004">
      <c r="A377" s="3" t="s">
        <v>335</v>
      </c>
      <c r="B377" s="3" t="s">
        <v>533</v>
      </c>
      <c r="C377" t="s">
        <v>533</v>
      </c>
      <c r="D377" s="3" t="s">
        <v>7319</v>
      </c>
      <c r="E377" t="s">
        <v>534</v>
      </c>
      <c r="F377" s="3" t="s">
        <v>535</v>
      </c>
      <c r="G377" t="s">
        <v>19</v>
      </c>
      <c r="H377" s="3" t="s">
        <v>536</v>
      </c>
      <c r="I377" t="s">
        <v>289</v>
      </c>
      <c r="J377" s="3" t="s">
        <v>537</v>
      </c>
      <c r="K377" s="4">
        <v>22</v>
      </c>
      <c r="L377" s="5">
        <v>4.8499999999999996</v>
      </c>
      <c r="M377" s="6">
        <v>1</v>
      </c>
      <c r="N377" s="7">
        <v>1</v>
      </c>
      <c r="O377" t="s">
        <v>538</v>
      </c>
      <c r="P377" s="3" t="s">
        <v>451</v>
      </c>
      <c r="Q377" s="8">
        <v>6.326E-3</v>
      </c>
    </row>
    <row r="378" spans="1:17" hidden="1" x14ac:dyDescent="0.55000000000000004">
      <c r="A378" s="3" t="s">
        <v>335</v>
      </c>
      <c r="B378" s="3" t="s">
        <v>533</v>
      </c>
      <c r="C378" t="s">
        <v>533</v>
      </c>
      <c r="D378" s="3" t="s">
        <v>7319</v>
      </c>
      <c r="E378" t="s">
        <v>534</v>
      </c>
      <c r="F378" s="3" t="s">
        <v>535</v>
      </c>
      <c r="G378" t="s">
        <v>24</v>
      </c>
      <c r="H378" s="3" t="s">
        <v>343</v>
      </c>
      <c r="I378" t="s">
        <v>52</v>
      </c>
      <c r="J378" s="3" t="s">
        <v>344</v>
      </c>
      <c r="K378" s="4">
        <v>1393</v>
      </c>
      <c r="L378" s="5">
        <v>0</v>
      </c>
      <c r="M378" s="6">
        <v>0</v>
      </c>
      <c r="N378" s="7">
        <v>1</v>
      </c>
      <c r="O378" t="s">
        <v>23</v>
      </c>
      <c r="P378" s="3" t="s">
        <v>23</v>
      </c>
      <c r="Q378" s="8" t="s">
        <v>23</v>
      </c>
    </row>
    <row r="379" spans="1:17" hidden="1" x14ac:dyDescent="0.55000000000000004">
      <c r="A379" s="3" t="s">
        <v>335</v>
      </c>
      <c r="B379" s="3" t="s">
        <v>533</v>
      </c>
      <c r="C379" t="s">
        <v>533</v>
      </c>
      <c r="D379" s="3" t="s">
        <v>7319</v>
      </c>
      <c r="E379" t="s">
        <v>534</v>
      </c>
      <c r="F379" s="3" t="s">
        <v>535</v>
      </c>
      <c r="G379" t="s">
        <v>24</v>
      </c>
      <c r="H379" s="3" t="s">
        <v>345</v>
      </c>
      <c r="I379" t="s">
        <v>296</v>
      </c>
      <c r="J379" s="3" t="s">
        <v>344</v>
      </c>
      <c r="K379" s="4">
        <v>1246</v>
      </c>
      <c r="L379" s="5">
        <v>0</v>
      </c>
      <c r="M379" s="6">
        <v>0</v>
      </c>
      <c r="N379" s="7">
        <v>1</v>
      </c>
      <c r="O379" t="s">
        <v>23</v>
      </c>
      <c r="P379" s="3" t="s">
        <v>23</v>
      </c>
      <c r="Q379" s="8" t="s">
        <v>23</v>
      </c>
    </row>
    <row r="380" spans="1:17" hidden="1" x14ac:dyDescent="0.55000000000000004">
      <c r="A380" s="3" t="s">
        <v>335</v>
      </c>
      <c r="B380" s="3" t="s">
        <v>533</v>
      </c>
      <c r="C380" t="s">
        <v>533</v>
      </c>
      <c r="D380" s="3" t="s">
        <v>7319</v>
      </c>
      <c r="E380" t="s">
        <v>534</v>
      </c>
      <c r="F380" s="3" t="s">
        <v>535</v>
      </c>
      <c r="G380" t="s">
        <v>24</v>
      </c>
      <c r="H380" s="3" t="s">
        <v>346</v>
      </c>
      <c r="I380" t="s">
        <v>298</v>
      </c>
      <c r="J380" s="3" t="s">
        <v>344</v>
      </c>
      <c r="K380" s="4">
        <v>1677</v>
      </c>
      <c r="L380" s="5">
        <v>0</v>
      </c>
      <c r="M380" s="6">
        <v>0</v>
      </c>
      <c r="N380" s="7">
        <v>1</v>
      </c>
      <c r="O380" t="s">
        <v>23</v>
      </c>
      <c r="P380" s="3" t="s">
        <v>23</v>
      </c>
      <c r="Q380" s="8" t="s">
        <v>23</v>
      </c>
    </row>
    <row r="381" spans="1:17" hidden="1" x14ac:dyDescent="0.55000000000000004">
      <c r="A381" s="3" t="s">
        <v>335</v>
      </c>
      <c r="B381" s="3" t="s">
        <v>533</v>
      </c>
      <c r="C381" t="s">
        <v>533</v>
      </c>
      <c r="D381" s="3" t="s">
        <v>7319</v>
      </c>
      <c r="E381" t="s">
        <v>534</v>
      </c>
      <c r="F381" s="3" t="s">
        <v>535</v>
      </c>
      <c r="G381" t="s">
        <v>24</v>
      </c>
      <c r="H381" s="3" t="s">
        <v>347</v>
      </c>
      <c r="I381" t="s">
        <v>300</v>
      </c>
      <c r="J381" s="3" t="s">
        <v>344</v>
      </c>
      <c r="K381" s="4">
        <v>1374</v>
      </c>
      <c r="L381" s="5">
        <v>0</v>
      </c>
      <c r="M381" s="6">
        <v>0</v>
      </c>
      <c r="N381" s="7">
        <v>1</v>
      </c>
      <c r="O381" t="s">
        <v>23</v>
      </c>
      <c r="P381" s="3" t="s">
        <v>23</v>
      </c>
      <c r="Q381" s="8" t="s">
        <v>23</v>
      </c>
    </row>
    <row r="382" spans="1:17" hidden="1" x14ac:dyDescent="0.55000000000000004">
      <c r="A382" s="3" t="s">
        <v>335</v>
      </c>
      <c r="B382" s="3" t="s">
        <v>533</v>
      </c>
      <c r="C382" t="s">
        <v>533</v>
      </c>
      <c r="D382" s="3" t="s">
        <v>7319</v>
      </c>
      <c r="E382" t="s">
        <v>534</v>
      </c>
      <c r="F382" s="3" t="s">
        <v>535</v>
      </c>
      <c r="G382" t="s">
        <v>24</v>
      </c>
      <c r="H382" s="3" t="s">
        <v>348</v>
      </c>
      <c r="I382" t="s">
        <v>304</v>
      </c>
      <c r="J382" s="3" t="s">
        <v>344</v>
      </c>
      <c r="K382" s="4">
        <v>1834</v>
      </c>
      <c r="L382" s="5">
        <v>0</v>
      </c>
      <c r="M382" s="6">
        <v>0</v>
      </c>
      <c r="N382" s="7">
        <v>1</v>
      </c>
      <c r="O382" t="s">
        <v>23</v>
      </c>
      <c r="P382" s="3" t="s">
        <v>23</v>
      </c>
      <c r="Q382" s="8" t="s">
        <v>23</v>
      </c>
    </row>
    <row r="383" spans="1:17" hidden="1" x14ac:dyDescent="0.55000000000000004">
      <c r="A383" s="3" t="s">
        <v>335</v>
      </c>
      <c r="B383" s="3" t="s">
        <v>533</v>
      </c>
      <c r="C383" t="s">
        <v>533</v>
      </c>
      <c r="D383" s="3" t="s">
        <v>7319</v>
      </c>
      <c r="E383" t="s">
        <v>534</v>
      </c>
      <c r="F383" s="3" t="s">
        <v>535</v>
      </c>
      <c r="G383" t="s">
        <v>24</v>
      </c>
      <c r="H383" s="3" t="s">
        <v>349</v>
      </c>
      <c r="I383" t="s">
        <v>302</v>
      </c>
      <c r="J383" s="3" t="s">
        <v>344</v>
      </c>
      <c r="K383" s="4">
        <v>1611</v>
      </c>
      <c r="L383" s="5">
        <v>0</v>
      </c>
      <c r="M383" s="6">
        <v>0</v>
      </c>
      <c r="N383" s="7">
        <v>1</v>
      </c>
      <c r="O383" t="s">
        <v>23</v>
      </c>
      <c r="P383" s="3" t="s">
        <v>23</v>
      </c>
      <c r="Q383" s="8" t="s">
        <v>23</v>
      </c>
    </row>
    <row r="384" spans="1:17" hidden="1" x14ac:dyDescent="0.55000000000000004">
      <c r="A384" s="3" t="s">
        <v>335</v>
      </c>
      <c r="B384" s="3" t="s">
        <v>533</v>
      </c>
      <c r="C384" t="s">
        <v>533</v>
      </c>
      <c r="D384" s="3" t="s">
        <v>7319</v>
      </c>
      <c r="E384" t="s">
        <v>534</v>
      </c>
      <c r="F384" s="3" t="s">
        <v>535</v>
      </c>
      <c r="G384" t="s">
        <v>24</v>
      </c>
      <c r="H384" s="3" t="s">
        <v>539</v>
      </c>
      <c r="I384" t="s">
        <v>26</v>
      </c>
      <c r="J384" s="3" t="s">
        <v>540</v>
      </c>
      <c r="K384" s="4">
        <v>1780</v>
      </c>
      <c r="L384" s="5">
        <v>80.91</v>
      </c>
      <c r="M384" s="6">
        <v>1</v>
      </c>
      <c r="N384" s="7">
        <v>1</v>
      </c>
      <c r="O384" t="s">
        <v>541</v>
      </c>
      <c r="P384" s="3" t="s">
        <v>76</v>
      </c>
      <c r="Q384" s="8">
        <v>0.29416700000000001</v>
      </c>
    </row>
    <row r="385" spans="1:17" hidden="1" x14ac:dyDescent="0.55000000000000004">
      <c r="A385" s="3" t="s">
        <v>335</v>
      </c>
      <c r="B385" s="3" t="s">
        <v>533</v>
      </c>
      <c r="C385" t="s">
        <v>533</v>
      </c>
      <c r="D385" s="3" t="s">
        <v>7319</v>
      </c>
      <c r="E385" t="s">
        <v>534</v>
      </c>
      <c r="F385" s="3" t="s">
        <v>535</v>
      </c>
      <c r="G385" t="s">
        <v>24</v>
      </c>
      <c r="H385" s="3" t="s">
        <v>542</v>
      </c>
      <c r="I385" t="s">
        <v>218</v>
      </c>
      <c r="J385" s="3" t="s">
        <v>540</v>
      </c>
      <c r="K385" s="4">
        <v>2315</v>
      </c>
      <c r="L385" s="5">
        <v>105.21</v>
      </c>
      <c r="M385" s="6">
        <v>0</v>
      </c>
      <c r="N385" s="7">
        <v>1</v>
      </c>
      <c r="O385" t="s">
        <v>543</v>
      </c>
      <c r="P385" s="3" t="s">
        <v>23</v>
      </c>
      <c r="Q385" s="8" t="s">
        <v>23</v>
      </c>
    </row>
    <row r="386" spans="1:17" hidden="1" x14ac:dyDescent="0.55000000000000004">
      <c r="A386" s="3" t="s">
        <v>335</v>
      </c>
      <c r="B386" s="3" t="s">
        <v>533</v>
      </c>
      <c r="C386" t="s">
        <v>533</v>
      </c>
      <c r="D386" s="3" t="s">
        <v>7319</v>
      </c>
      <c r="E386" t="s">
        <v>534</v>
      </c>
      <c r="F386" s="3" t="s">
        <v>535</v>
      </c>
      <c r="G386" t="s">
        <v>24</v>
      </c>
      <c r="H386" s="3" t="s">
        <v>353</v>
      </c>
      <c r="I386" t="s">
        <v>309</v>
      </c>
      <c r="J386" s="3" t="s">
        <v>354</v>
      </c>
      <c r="K386" s="4">
        <v>1615</v>
      </c>
      <c r="L386" s="5">
        <v>0</v>
      </c>
      <c r="M386" s="6">
        <v>0</v>
      </c>
      <c r="N386" s="7">
        <v>1</v>
      </c>
      <c r="O386" t="s">
        <v>23</v>
      </c>
      <c r="P386" s="3" t="s">
        <v>23</v>
      </c>
      <c r="Q386" s="8" t="s">
        <v>23</v>
      </c>
    </row>
    <row r="387" spans="1:17" hidden="1" x14ac:dyDescent="0.55000000000000004">
      <c r="A387" s="3" t="s">
        <v>335</v>
      </c>
      <c r="B387" s="3" t="s">
        <v>533</v>
      </c>
      <c r="C387" t="s">
        <v>533</v>
      </c>
      <c r="D387" s="3" t="s">
        <v>7319</v>
      </c>
      <c r="E387" t="s">
        <v>534</v>
      </c>
      <c r="F387" s="3" t="s">
        <v>535</v>
      </c>
      <c r="G387" t="s">
        <v>24</v>
      </c>
      <c r="H387" s="3" t="s">
        <v>355</v>
      </c>
      <c r="I387" t="s">
        <v>218</v>
      </c>
      <c r="J387" s="3" t="s">
        <v>354</v>
      </c>
      <c r="K387" s="4">
        <v>1825</v>
      </c>
      <c r="L387" s="5">
        <v>0</v>
      </c>
      <c r="M387" s="6">
        <v>0</v>
      </c>
      <c r="N387" s="7">
        <v>1</v>
      </c>
      <c r="O387" t="s">
        <v>23</v>
      </c>
      <c r="P387" s="3" t="s">
        <v>23</v>
      </c>
      <c r="Q387" s="8" t="s">
        <v>23</v>
      </c>
    </row>
    <row r="388" spans="1:17" hidden="1" x14ac:dyDescent="0.55000000000000004">
      <c r="A388" s="3" t="s">
        <v>335</v>
      </c>
      <c r="B388" s="3" t="s">
        <v>533</v>
      </c>
      <c r="C388" t="s">
        <v>533</v>
      </c>
      <c r="D388" s="3" t="s">
        <v>7319</v>
      </c>
      <c r="E388" t="s">
        <v>534</v>
      </c>
      <c r="F388" s="3" t="s">
        <v>535</v>
      </c>
      <c r="G388" t="s">
        <v>24</v>
      </c>
      <c r="H388" s="3" t="s">
        <v>356</v>
      </c>
      <c r="I388" t="s">
        <v>313</v>
      </c>
      <c r="J388" s="3" t="s">
        <v>354</v>
      </c>
      <c r="K388" s="4">
        <v>1600</v>
      </c>
      <c r="L388" s="5">
        <v>0</v>
      </c>
      <c r="M388" s="6">
        <v>0</v>
      </c>
      <c r="N388" s="7">
        <v>1</v>
      </c>
      <c r="O388" t="s">
        <v>23</v>
      </c>
      <c r="P388" s="3" t="s">
        <v>23</v>
      </c>
      <c r="Q388" s="8" t="s">
        <v>23</v>
      </c>
    </row>
    <row r="389" spans="1:17" hidden="1" x14ac:dyDescent="0.55000000000000004">
      <c r="A389" s="3" t="s">
        <v>335</v>
      </c>
      <c r="B389" s="3" t="s">
        <v>533</v>
      </c>
      <c r="C389" t="s">
        <v>533</v>
      </c>
      <c r="D389" s="3" t="s">
        <v>7319</v>
      </c>
      <c r="E389" t="s">
        <v>534</v>
      </c>
      <c r="F389" s="3" t="s">
        <v>535</v>
      </c>
      <c r="G389" t="s">
        <v>24</v>
      </c>
      <c r="H389" s="3" t="s">
        <v>357</v>
      </c>
      <c r="I389" t="s">
        <v>315</v>
      </c>
      <c r="J389" s="3" t="s">
        <v>354</v>
      </c>
      <c r="K389" s="4">
        <v>1228</v>
      </c>
      <c r="L389" s="5">
        <v>0</v>
      </c>
      <c r="M389" s="6">
        <v>0</v>
      </c>
      <c r="N389" s="7">
        <v>1</v>
      </c>
      <c r="O389" t="s">
        <v>23</v>
      </c>
      <c r="P389" s="3" t="s">
        <v>23</v>
      </c>
      <c r="Q389" s="8" t="s">
        <v>23</v>
      </c>
    </row>
    <row r="390" spans="1:17" hidden="1" x14ac:dyDescent="0.55000000000000004">
      <c r="A390" s="3" t="s">
        <v>335</v>
      </c>
      <c r="B390" s="3" t="s">
        <v>533</v>
      </c>
      <c r="C390" t="s">
        <v>533</v>
      </c>
      <c r="D390" s="3" t="s">
        <v>7319</v>
      </c>
      <c r="E390" t="s">
        <v>534</v>
      </c>
      <c r="F390" s="3" t="s">
        <v>535</v>
      </c>
      <c r="G390" t="s">
        <v>24</v>
      </c>
      <c r="H390" s="3" t="s">
        <v>358</v>
      </c>
      <c r="I390" t="s">
        <v>317</v>
      </c>
      <c r="J390" s="3" t="s">
        <v>354</v>
      </c>
      <c r="K390" s="4">
        <v>1461</v>
      </c>
      <c r="L390" s="5">
        <v>0</v>
      </c>
      <c r="M390" s="6">
        <v>0</v>
      </c>
      <c r="N390" s="7">
        <v>1</v>
      </c>
      <c r="O390" t="s">
        <v>23</v>
      </c>
      <c r="P390" s="3" t="s">
        <v>23</v>
      </c>
      <c r="Q390" s="8" t="s">
        <v>23</v>
      </c>
    </row>
    <row r="391" spans="1:17" hidden="1" x14ac:dyDescent="0.55000000000000004">
      <c r="A391" s="3" t="s">
        <v>335</v>
      </c>
      <c r="B391" s="3" t="s">
        <v>7325</v>
      </c>
      <c r="C391" t="s">
        <v>544</v>
      </c>
      <c r="D391" s="3" t="s">
        <v>7319</v>
      </c>
      <c r="E391" t="s">
        <v>545</v>
      </c>
      <c r="F391" s="3" t="s">
        <v>546</v>
      </c>
      <c r="G391" t="s">
        <v>19</v>
      </c>
      <c r="H391" s="3" t="s">
        <v>547</v>
      </c>
      <c r="I391" t="s">
        <v>432</v>
      </c>
      <c r="J391" s="3" t="s">
        <v>548</v>
      </c>
      <c r="K391" s="4">
        <v>88</v>
      </c>
      <c r="L391" s="5">
        <v>19.170000000000002</v>
      </c>
      <c r="M391" s="6">
        <v>1</v>
      </c>
      <c r="N391" s="7">
        <v>1</v>
      </c>
      <c r="O391" t="s">
        <v>549</v>
      </c>
      <c r="P391" s="3" t="s">
        <v>403</v>
      </c>
      <c r="Q391" s="8">
        <v>1.0236E-2</v>
      </c>
    </row>
    <row r="392" spans="1:17" hidden="1" x14ac:dyDescent="0.55000000000000004">
      <c r="A392" s="3" t="s">
        <v>335</v>
      </c>
      <c r="B392" s="3" t="s">
        <v>7325</v>
      </c>
      <c r="C392" t="s">
        <v>544</v>
      </c>
      <c r="D392" s="3" t="s">
        <v>7319</v>
      </c>
      <c r="E392" t="s">
        <v>545</v>
      </c>
      <c r="F392" s="3" t="s">
        <v>546</v>
      </c>
      <c r="G392" t="s">
        <v>24</v>
      </c>
      <c r="H392" s="3" t="s">
        <v>550</v>
      </c>
      <c r="I392" t="s">
        <v>26</v>
      </c>
      <c r="J392" s="3" t="s">
        <v>551</v>
      </c>
      <c r="K392" s="4">
        <v>1367</v>
      </c>
      <c r="L392" s="5">
        <v>62.13</v>
      </c>
      <c r="M392" s="6">
        <v>1</v>
      </c>
      <c r="N392" s="7">
        <v>1</v>
      </c>
      <c r="O392" t="s">
        <v>552</v>
      </c>
      <c r="P392" s="3" t="s">
        <v>76</v>
      </c>
      <c r="Q392" s="8">
        <v>0.27083299999999999</v>
      </c>
    </row>
    <row r="393" spans="1:17" hidden="1" x14ac:dyDescent="0.55000000000000004">
      <c r="A393" s="3" t="s">
        <v>335</v>
      </c>
      <c r="B393" s="3" t="s">
        <v>384</v>
      </c>
      <c r="C393" t="s">
        <v>7323</v>
      </c>
      <c r="D393" s="3" t="s">
        <v>7319</v>
      </c>
      <c r="E393" t="s">
        <v>553</v>
      </c>
      <c r="F393" s="3" t="s">
        <v>554</v>
      </c>
      <c r="G393" t="s">
        <v>19</v>
      </c>
      <c r="H393" s="3" t="s">
        <v>555</v>
      </c>
      <c r="I393" t="s">
        <v>556</v>
      </c>
      <c r="J393" s="3" t="s">
        <v>557</v>
      </c>
      <c r="K393" s="4">
        <v>18</v>
      </c>
      <c r="L393" s="5">
        <v>4</v>
      </c>
      <c r="M393" s="6">
        <v>0</v>
      </c>
      <c r="N393" s="7">
        <v>0</v>
      </c>
      <c r="O393" t="s">
        <v>23</v>
      </c>
      <c r="P393" s="3" t="s">
        <v>23</v>
      </c>
      <c r="Q393" s="8" t="s">
        <v>23</v>
      </c>
    </row>
    <row r="394" spans="1:17" hidden="1" x14ac:dyDescent="0.55000000000000004">
      <c r="A394" s="3" t="s">
        <v>335</v>
      </c>
      <c r="B394" s="3" t="s">
        <v>384</v>
      </c>
      <c r="C394" t="s">
        <v>7323</v>
      </c>
      <c r="D394" s="3" t="s">
        <v>7319</v>
      </c>
      <c r="E394" t="s">
        <v>553</v>
      </c>
      <c r="F394" s="3" t="s">
        <v>554</v>
      </c>
      <c r="G394" t="s">
        <v>24</v>
      </c>
      <c r="H394" s="3" t="s">
        <v>558</v>
      </c>
      <c r="I394" t="s">
        <v>26</v>
      </c>
      <c r="J394" s="3" t="s">
        <v>559</v>
      </c>
      <c r="K394" s="4">
        <v>1753</v>
      </c>
      <c r="L394" s="5">
        <v>79.680000000000007</v>
      </c>
      <c r="M394" s="6">
        <v>1</v>
      </c>
      <c r="N394" s="7">
        <v>0</v>
      </c>
      <c r="O394" t="s">
        <v>560</v>
      </c>
      <c r="P394" s="3" t="s">
        <v>29</v>
      </c>
      <c r="Q394" s="8">
        <v>0.29083300000000001</v>
      </c>
    </row>
    <row r="395" spans="1:17" hidden="1" x14ac:dyDescent="0.55000000000000004">
      <c r="A395" s="3" t="s">
        <v>335</v>
      </c>
      <c r="B395" s="3" t="s">
        <v>384</v>
      </c>
      <c r="C395" t="s">
        <v>7323</v>
      </c>
      <c r="D395" s="3" t="s">
        <v>7319</v>
      </c>
      <c r="E395" t="s">
        <v>553</v>
      </c>
      <c r="F395" s="3" t="s">
        <v>554</v>
      </c>
      <c r="G395" t="s">
        <v>24</v>
      </c>
      <c r="H395" s="3" t="s">
        <v>390</v>
      </c>
      <c r="I395" t="s">
        <v>309</v>
      </c>
      <c r="J395" s="3" t="s">
        <v>391</v>
      </c>
      <c r="K395" s="4">
        <v>1723</v>
      </c>
      <c r="L395" s="5">
        <v>0</v>
      </c>
      <c r="M395" s="6">
        <v>0</v>
      </c>
      <c r="N395" s="7">
        <v>0</v>
      </c>
      <c r="O395" t="s">
        <v>23</v>
      </c>
      <c r="P395" s="3" t="s">
        <v>23</v>
      </c>
      <c r="Q395" s="8" t="s">
        <v>23</v>
      </c>
    </row>
    <row r="396" spans="1:17" hidden="1" x14ac:dyDescent="0.55000000000000004">
      <c r="A396" s="3" t="s">
        <v>335</v>
      </c>
      <c r="B396" s="3" t="s">
        <v>384</v>
      </c>
      <c r="C396" t="s">
        <v>7323</v>
      </c>
      <c r="D396" s="3" t="s">
        <v>7319</v>
      </c>
      <c r="E396" t="s">
        <v>553</v>
      </c>
      <c r="F396" s="3" t="s">
        <v>554</v>
      </c>
      <c r="G396" t="s">
        <v>24</v>
      </c>
      <c r="H396" s="3" t="s">
        <v>392</v>
      </c>
      <c r="I396" t="s">
        <v>218</v>
      </c>
      <c r="J396" s="3" t="s">
        <v>391</v>
      </c>
      <c r="K396" s="4">
        <v>1938</v>
      </c>
      <c r="L396" s="5">
        <v>0</v>
      </c>
      <c r="M396" s="6">
        <v>0</v>
      </c>
      <c r="N396" s="7">
        <v>0</v>
      </c>
      <c r="O396" t="s">
        <v>23</v>
      </c>
      <c r="P396" s="3" t="s">
        <v>23</v>
      </c>
      <c r="Q396" s="8" t="s">
        <v>23</v>
      </c>
    </row>
    <row r="397" spans="1:17" hidden="1" x14ac:dyDescent="0.55000000000000004">
      <c r="A397" s="3" t="s">
        <v>335</v>
      </c>
      <c r="B397" s="3" t="s">
        <v>384</v>
      </c>
      <c r="C397" t="s">
        <v>7323</v>
      </c>
      <c r="D397" s="3" t="s">
        <v>7319</v>
      </c>
      <c r="E397" t="s">
        <v>553</v>
      </c>
      <c r="F397" s="3" t="s">
        <v>554</v>
      </c>
      <c r="G397" t="s">
        <v>24</v>
      </c>
      <c r="H397" s="3" t="s">
        <v>393</v>
      </c>
      <c r="I397" t="s">
        <v>313</v>
      </c>
      <c r="J397" s="3" t="s">
        <v>391</v>
      </c>
      <c r="K397" s="4">
        <v>1657</v>
      </c>
      <c r="L397" s="5">
        <v>0</v>
      </c>
      <c r="M397" s="6">
        <v>0</v>
      </c>
      <c r="N397" s="7">
        <v>0</v>
      </c>
      <c r="O397" t="s">
        <v>23</v>
      </c>
      <c r="P397" s="3" t="s">
        <v>23</v>
      </c>
      <c r="Q397" s="8" t="s">
        <v>23</v>
      </c>
    </row>
    <row r="398" spans="1:17" hidden="1" x14ac:dyDescent="0.55000000000000004">
      <c r="A398" s="3" t="s">
        <v>335</v>
      </c>
      <c r="B398" s="3" t="s">
        <v>384</v>
      </c>
      <c r="C398" t="s">
        <v>7323</v>
      </c>
      <c r="D398" s="3" t="s">
        <v>7319</v>
      </c>
      <c r="E398" t="s">
        <v>553</v>
      </c>
      <c r="F398" s="3" t="s">
        <v>554</v>
      </c>
      <c r="G398" t="s">
        <v>24</v>
      </c>
      <c r="H398" s="3" t="s">
        <v>394</v>
      </c>
      <c r="I398" t="s">
        <v>315</v>
      </c>
      <c r="J398" s="3" t="s">
        <v>391</v>
      </c>
      <c r="K398" s="4">
        <v>1344</v>
      </c>
      <c r="L398" s="5">
        <v>0</v>
      </c>
      <c r="M398" s="6">
        <v>0</v>
      </c>
      <c r="N398" s="7">
        <v>0</v>
      </c>
      <c r="O398" t="s">
        <v>23</v>
      </c>
      <c r="P398" s="3" t="s">
        <v>23</v>
      </c>
      <c r="Q398" s="8" t="s">
        <v>23</v>
      </c>
    </row>
    <row r="399" spans="1:17" hidden="1" x14ac:dyDescent="0.55000000000000004">
      <c r="A399" s="3" t="s">
        <v>335</v>
      </c>
      <c r="B399" s="3" t="s">
        <v>384</v>
      </c>
      <c r="C399" t="s">
        <v>7323</v>
      </c>
      <c r="D399" s="3" t="s">
        <v>7319</v>
      </c>
      <c r="E399" t="s">
        <v>553</v>
      </c>
      <c r="F399" s="3" t="s">
        <v>554</v>
      </c>
      <c r="G399" t="s">
        <v>24</v>
      </c>
      <c r="H399" s="3" t="s">
        <v>395</v>
      </c>
      <c r="I399" t="s">
        <v>317</v>
      </c>
      <c r="J399" s="3" t="s">
        <v>391</v>
      </c>
      <c r="K399" s="4">
        <v>1550</v>
      </c>
      <c r="L399" s="5">
        <v>0</v>
      </c>
      <c r="M399" s="6">
        <v>0</v>
      </c>
      <c r="N399" s="7">
        <v>0</v>
      </c>
      <c r="O399" t="s">
        <v>23</v>
      </c>
      <c r="P399" s="3" t="s">
        <v>23</v>
      </c>
      <c r="Q399" s="8" t="s">
        <v>23</v>
      </c>
    </row>
    <row r="400" spans="1:17" hidden="1" x14ac:dyDescent="0.55000000000000004">
      <c r="A400" s="3" t="s">
        <v>335</v>
      </c>
      <c r="B400" s="3" t="s">
        <v>384</v>
      </c>
      <c r="C400" t="s">
        <v>7323</v>
      </c>
      <c r="D400" s="3" t="s">
        <v>7319</v>
      </c>
      <c r="E400" t="s">
        <v>561</v>
      </c>
      <c r="F400" s="3" t="s">
        <v>562</v>
      </c>
      <c r="G400" t="s">
        <v>24</v>
      </c>
      <c r="H400" s="3" t="s">
        <v>558</v>
      </c>
      <c r="I400" t="s">
        <v>26</v>
      </c>
      <c r="J400" s="3" t="s">
        <v>559</v>
      </c>
      <c r="K400" s="4">
        <v>1753</v>
      </c>
      <c r="L400" s="5">
        <v>79.680000000000007</v>
      </c>
      <c r="M400" s="6">
        <v>1</v>
      </c>
      <c r="N400" s="7">
        <v>0</v>
      </c>
      <c r="O400" t="s">
        <v>560</v>
      </c>
      <c r="P400" s="3" t="s">
        <v>29</v>
      </c>
      <c r="Q400" s="8">
        <v>0.29083300000000001</v>
      </c>
    </row>
    <row r="401" spans="1:17" hidden="1" x14ac:dyDescent="0.55000000000000004">
      <c r="A401" s="3" t="s">
        <v>335</v>
      </c>
      <c r="B401" s="3" t="s">
        <v>384</v>
      </c>
      <c r="C401" t="s">
        <v>7323</v>
      </c>
      <c r="D401" s="3" t="s">
        <v>7319</v>
      </c>
      <c r="E401" t="s">
        <v>561</v>
      </c>
      <c r="F401" s="3" t="s">
        <v>562</v>
      </c>
      <c r="G401" t="s">
        <v>24</v>
      </c>
      <c r="H401" s="3" t="s">
        <v>390</v>
      </c>
      <c r="I401" t="s">
        <v>309</v>
      </c>
      <c r="J401" s="3" t="s">
        <v>391</v>
      </c>
      <c r="K401" s="4">
        <v>1723</v>
      </c>
      <c r="L401" s="5">
        <v>0</v>
      </c>
      <c r="M401" s="6">
        <v>0</v>
      </c>
      <c r="N401" s="7">
        <v>0</v>
      </c>
      <c r="O401" t="s">
        <v>23</v>
      </c>
      <c r="P401" s="3" t="s">
        <v>23</v>
      </c>
      <c r="Q401" s="8" t="s">
        <v>23</v>
      </c>
    </row>
    <row r="402" spans="1:17" hidden="1" x14ac:dyDescent="0.55000000000000004">
      <c r="A402" s="3" t="s">
        <v>335</v>
      </c>
      <c r="B402" s="3" t="s">
        <v>384</v>
      </c>
      <c r="C402" t="s">
        <v>7323</v>
      </c>
      <c r="D402" s="3" t="s">
        <v>7319</v>
      </c>
      <c r="E402" t="s">
        <v>561</v>
      </c>
      <c r="F402" s="3" t="s">
        <v>562</v>
      </c>
      <c r="G402" t="s">
        <v>24</v>
      </c>
      <c r="H402" s="3" t="s">
        <v>392</v>
      </c>
      <c r="I402" t="s">
        <v>218</v>
      </c>
      <c r="J402" s="3" t="s">
        <v>391</v>
      </c>
      <c r="K402" s="4">
        <v>1938</v>
      </c>
      <c r="L402" s="5">
        <v>0</v>
      </c>
      <c r="M402" s="6">
        <v>0</v>
      </c>
      <c r="N402" s="7">
        <v>0</v>
      </c>
      <c r="O402" t="s">
        <v>23</v>
      </c>
      <c r="P402" s="3" t="s">
        <v>23</v>
      </c>
      <c r="Q402" s="8" t="s">
        <v>23</v>
      </c>
    </row>
    <row r="403" spans="1:17" hidden="1" x14ac:dyDescent="0.55000000000000004">
      <c r="A403" s="3" t="s">
        <v>335</v>
      </c>
      <c r="B403" s="3" t="s">
        <v>384</v>
      </c>
      <c r="C403" t="s">
        <v>7323</v>
      </c>
      <c r="D403" s="3" t="s">
        <v>7319</v>
      </c>
      <c r="E403" t="s">
        <v>561</v>
      </c>
      <c r="F403" s="3" t="s">
        <v>562</v>
      </c>
      <c r="G403" t="s">
        <v>24</v>
      </c>
      <c r="H403" s="3" t="s">
        <v>393</v>
      </c>
      <c r="I403" t="s">
        <v>313</v>
      </c>
      <c r="J403" s="3" t="s">
        <v>391</v>
      </c>
      <c r="K403" s="4">
        <v>1657</v>
      </c>
      <c r="L403" s="5">
        <v>0</v>
      </c>
      <c r="M403" s="6">
        <v>0</v>
      </c>
      <c r="N403" s="7">
        <v>0</v>
      </c>
      <c r="O403" t="s">
        <v>23</v>
      </c>
      <c r="P403" s="3" t="s">
        <v>23</v>
      </c>
      <c r="Q403" s="8" t="s">
        <v>23</v>
      </c>
    </row>
    <row r="404" spans="1:17" hidden="1" x14ac:dyDescent="0.55000000000000004">
      <c r="A404" s="3" t="s">
        <v>335</v>
      </c>
      <c r="B404" s="3" t="s">
        <v>384</v>
      </c>
      <c r="C404" t="s">
        <v>7323</v>
      </c>
      <c r="D404" s="3" t="s">
        <v>7319</v>
      </c>
      <c r="E404" t="s">
        <v>561</v>
      </c>
      <c r="F404" s="3" t="s">
        <v>562</v>
      </c>
      <c r="G404" t="s">
        <v>24</v>
      </c>
      <c r="H404" s="3" t="s">
        <v>394</v>
      </c>
      <c r="I404" t="s">
        <v>315</v>
      </c>
      <c r="J404" s="3" t="s">
        <v>391</v>
      </c>
      <c r="K404" s="4">
        <v>1344</v>
      </c>
      <c r="L404" s="5">
        <v>0</v>
      </c>
      <c r="M404" s="6">
        <v>0</v>
      </c>
      <c r="N404" s="7">
        <v>0</v>
      </c>
      <c r="O404" t="s">
        <v>23</v>
      </c>
      <c r="P404" s="3" t="s">
        <v>23</v>
      </c>
      <c r="Q404" s="8" t="s">
        <v>23</v>
      </c>
    </row>
    <row r="405" spans="1:17" hidden="1" x14ac:dyDescent="0.55000000000000004">
      <c r="A405" s="3" t="s">
        <v>335</v>
      </c>
      <c r="B405" s="3" t="s">
        <v>384</v>
      </c>
      <c r="C405" t="s">
        <v>7323</v>
      </c>
      <c r="D405" s="3" t="s">
        <v>7319</v>
      </c>
      <c r="E405" t="s">
        <v>561</v>
      </c>
      <c r="F405" s="3" t="s">
        <v>562</v>
      </c>
      <c r="G405" t="s">
        <v>24</v>
      </c>
      <c r="H405" s="3" t="s">
        <v>395</v>
      </c>
      <c r="I405" t="s">
        <v>317</v>
      </c>
      <c r="J405" s="3" t="s">
        <v>391</v>
      </c>
      <c r="K405" s="4">
        <v>1550</v>
      </c>
      <c r="L405" s="5">
        <v>0</v>
      </c>
      <c r="M405" s="6">
        <v>0</v>
      </c>
      <c r="N405" s="7">
        <v>0</v>
      </c>
      <c r="O405" t="s">
        <v>23</v>
      </c>
      <c r="P405" s="3" t="s">
        <v>23</v>
      </c>
      <c r="Q405" s="8" t="s">
        <v>23</v>
      </c>
    </row>
    <row r="406" spans="1:17" hidden="1" x14ac:dyDescent="0.55000000000000004">
      <c r="A406" s="3" t="s">
        <v>335</v>
      </c>
      <c r="B406" s="3" t="s">
        <v>384</v>
      </c>
      <c r="C406" t="s">
        <v>7323</v>
      </c>
      <c r="D406" s="3" t="s">
        <v>7319</v>
      </c>
      <c r="E406" t="s">
        <v>563</v>
      </c>
      <c r="F406" s="3" t="s">
        <v>564</v>
      </c>
      <c r="G406" t="s">
        <v>24</v>
      </c>
      <c r="H406" s="3" t="s">
        <v>558</v>
      </c>
      <c r="I406" t="s">
        <v>26</v>
      </c>
      <c r="J406" s="3" t="s">
        <v>559</v>
      </c>
      <c r="K406" s="4">
        <v>1753</v>
      </c>
      <c r="L406" s="5">
        <v>79.680000000000007</v>
      </c>
      <c r="M406" s="6">
        <v>1</v>
      </c>
      <c r="N406" s="7">
        <v>0</v>
      </c>
      <c r="O406" t="s">
        <v>560</v>
      </c>
      <c r="P406" s="3" t="s">
        <v>29</v>
      </c>
      <c r="Q406" s="8">
        <v>0.29083300000000001</v>
      </c>
    </row>
    <row r="407" spans="1:17" hidden="1" x14ac:dyDescent="0.55000000000000004">
      <c r="A407" s="3" t="s">
        <v>335</v>
      </c>
      <c r="B407" s="3" t="s">
        <v>384</v>
      </c>
      <c r="C407" t="s">
        <v>7323</v>
      </c>
      <c r="D407" s="3" t="s">
        <v>7319</v>
      </c>
      <c r="E407" t="s">
        <v>563</v>
      </c>
      <c r="F407" s="3" t="s">
        <v>564</v>
      </c>
      <c r="G407" t="s">
        <v>24</v>
      </c>
      <c r="H407" s="3" t="s">
        <v>390</v>
      </c>
      <c r="I407" t="s">
        <v>309</v>
      </c>
      <c r="J407" s="3" t="s">
        <v>391</v>
      </c>
      <c r="K407" s="4">
        <v>1723</v>
      </c>
      <c r="L407" s="5">
        <v>0</v>
      </c>
      <c r="M407" s="6">
        <v>0</v>
      </c>
      <c r="N407" s="7">
        <v>0</v>
      </c>
      <c r="O407" t="s">
        <v>23</v>
      </c>
      <c r="P407" s="3" t="s">
        <v>23</v>
      </c>
      <c r="Q407" s="8" t="s">
        <v>23</v>
      </c>
    </row>
    <row r="408" spans="1:17" hidden="1" x14ac:dyDescent="0.55000000000000004">
      <c r="A408" s="3" t="s">
        <v>335</v>
      </c>
      <c r="B408" s="3" t="s">
        <v>384</v>
      </c>
      <c r="C408" t="s">
        <v>7323</v>
      </c>
      <c r="D408" s="3" t="s">
        <v>7319</v>
      </c>
      <c r="E408" t="s">
        <v>563</v>
      </c>
      <c r="F408" s="3" t="s">
        <v>564</v>
      </c>
      <c r="G408" t="s">
        <v>24</v>
      </c>
      <c r="H408" s="3" t="s">
        <v>392</v>
      </c>
      <c r="I408" t="s">
        <v>218</v>
      </c>
      <c r="J408" s="3" t="s">
        <v>391</v>
      </c>
      <c r="K408" s="4">
        <v>1938</v>
      </c>
      <c r="L408" s="5">
        <v>0</v>
      </c>
      <c r="M408" s="6">
        <v>0</v>
      </c>
      <c r="N408" s="7">
        <v>0</v>
      </c>
      <c r="O408" t="s">
        <v>23</v>
      </c>
      <c r="P408" s="3" t="s">
        <v>23</v>
      </c>
      <c r="Q408" s="8" t="s">
        <v>23</v>
      </c>
    </row>
    <row r="409" spans="1:17" hidden="1" x14ac:dyDescent="0.55000000000000004">
      <c r="A409" s="3" t="s">
        <v>335</v>
      </c>
      <c r="B409" s="3" t="s">
        <v>384</v>
      </c>
      <c r="C409" t="s">
        <v>7323</v>
      </c>
      <c r="D409" s="3" t="s">
        <v>7319</v>
      </c>
      <c r="E409" t="s">
        <v>563</v>
      </c>
      <c r="F409" s="3" t="s">
        <v>564</v>
      </c>
      <c r="G409" t="s">
        <v>24</v>
      </c>
      <c r="H409" s="3" t="s">
        <v>393</v>
      </c>
      <c r="I409" t="s">
        <v>313</v>
      </c>
      <c r="J409" s="3" t="s">
        <v>391</v>
      </c>
      <c r="K409" s="4">
        <v>1657</v>
      </c>
      <c r="L409" s="5">
        <v>0</v>
      </c>
      <c r="M409" s="6">
        <v>0</v>
      </c>
      <c r="N409" s="7">
        <v>0</v>
      </c>
      <c r="O409" t="s">
        <v>23</v>
      </c>
      <c r="P409" s="3" t="s">
        <v>23</v>
      </c>
      <c r="Q409" s="8" t="s">
        <v>23</v>
      </c>
    </row>
    <row r="410" spans="1:17" hidden="1" x14ac:dyDescent="0.55000000000000004">
      <c r="A410" s="3" t="s">
        <v>335</v>
      </c>
      <c r="B410" s="3" t="s">
        <v>384</v>
      </c>
      <c r="C410" t="s">
        <v>7323</v>
      </c>
      <c r="D410" s="3" t="s">
        <v>7319</v>
      </c>
      <c r="E410" t="s">
        <v>563</v>
      </c>
      <c r="F410" s="3" t="s">
        <v>564</v>
      </c>
      <c r="G410" t="s">
        <v>24</v>
      </c>
      <c r="H410" s="3" t="s">
        <v>394</v>
      </c>
      <c r="I410" t="s">
        <v>315</v>
      </c>
      <c r="J410" s="3" t="s">
        <v>391</v>
      </c>
      <c r="K410" s="4">
        <v>1344</v>
      </c>
      <c r="L410" s="5">
        <v>0</v>
      </c>
      <c r="M410" s="6">
        <v>0</v>
      </c>
      <c r="N410" s="7">
        <v>0</v>
      </c>
      <c r="O410" t="s">
        <v>23</v>
      </c>
      <c r="P410" s="3" t="s">
        <v>23</v>
      </c>
      <c r="Q410" s="8" t="s">
        <v>23</v>
      </c>
    </row>
    <row r="411" spans="1:17" hidden="1" x14ac:dyDescent="0.55000000000000004">
      <c r="A411" s="3" t="s">
        <v>335</v>
      </c>
      <c r="B411" s="3" t="s">
        <v>384</v>
      </c>
      <c r="C411" t="s">
        <v>7323</v>
      </c>
      <c r="D411" s="3" t="s">
        <v>7319</v>
      </c>
      <c r="E411" t="s">
        <v>563</v>
      </c>
      <c r="F411" s="3" t="s">
        <v>564</v>
      </c>
      <c r="G411" t="s">
        <v>24</v>
      </c>
      <c r="H411" s="3" t="s">
        <v>395</v>
      </c>
      <c r="I411" t="s">
        <v>317</v>
      </c>
      <c r="J411" s="3" t="s">
        <v>391</v>
      </c>
      <c r="K411" s="4">
        <v>1550</v>
      </c>
      <c r="L411" s="5">
        <v>0</v>
      </c>
      <c r="M411" s="6">
        <v>0</v>
      </c>
      <c r="N411" s="7">
        <v>0</v>
      </c>
      <c r="O411" t="s">
        <v>23</v>
      </c>
      <c r="P411" s="3" t="s">
        <v>23</v>
      </c>
      <c r="Q411" s="8" t="s">
        <v>23</v>
      </c>
    </row>
    <row r="412" spans="1:17" hidden="1" x14ac:dyDescent="0.55000000000000004">
      <c r="A412" s="3" t="s">
        <v>335</v>
      </c>
      <c r="B412" s="3" t="s">
        <v>544</v>
      </c>
      <c r="C412" t="s">
        <v>544</v>
      </c>
      <c r="D412" s="3" t="s">
        <v>7319</v>
      </c>
      <c r="E412" t="s">
        <v>565</v>
      </c>
      <c r="F412" s="3" t="s">
        <v>566</v>
      </c>
      <c r="G412" t="s">
        <v>19</v>
      </c>
      <c r="H412" s="3" t="s">
        <v>567</v>
      </c>
      <c r="I412" t="s">
        <v>432</v>
      </c>
      <c r="J412" s="3" t="s">
        <v>568</v>
      </c>
      <c r="K412" s="4">
        <v>61</v>
      </c>
      <c r="L412" s="5">
        <v>13.28</v>
      </c>
      <c r="M412" s="6">
        <v>1</v>
      </c>
      <c r="N412" s="7">
        <v>1</v>
      </c>
      <c r="O412" t="s">
        <v>569</v>
      </c>
      <c r="P412" s="3" t="s">
        <v>403</v>
      </c>
      <c r="Q412" s="8">
        <v>1.0236E-2</v>
      </c>
    </row>
    <row r="413" spans="1:17" hidden="1" x14ac:dyDescent="0.55000000000000004">
      <c r="A413" s="3" t="s">
        <v>335</v>
      </c>
      <c r="B413" s="3" t="s">
        <v>544</v>
      </c>
      <c r="C413" t="s">
        <v>544</v>
      </c>
      <c r="D413" s="3" t="s">
        <v>7319</v>
      </c>
      <c r="E413" t="s">
        <v>565</v>
      </c>
      <c r="F413" s="3" t="s">
        <v>566</v>
      </c>
      <c r="G413" t="s">
        <v>24</v>
      </c>
      <c r="H413" s="3" t="s">
        <v>570</v>
      </c>
      <c r="I413" t="s">
        <v>52</v>
      </c>
      <c r="J413" s="3" t="s">
        <v>571</v>
      </c>
      <c r="K413" s="4">
        <v>1836</v>
      </c>
      <c r="L413" s="5">
        <v>83.46</v>
      </c>
      <c r="M413" s="6">
        <v>1</v>
      </c>
      <c r="N413" s="7">
        <v>1</v>
      </c>
      <c r="O413" t="s">
        <v>572</v>
      </c>
      <c r="P413" s="3" t="s">
        <v>55</v>
      </c>
      <c r="Q413" s="8">
        <v>0.29636099999999999</v>
      </c>
    </row>
    <row r="414" spans="1:17" hidden="1" x14ac:dyDescent="0.55000000000000004">
      <c r="A414" s="3" t="s">
        <v>335</v>
      </c>
      <c r="B414" s="3" t="s">
        <v>544</v>
      </c>
      <c r="C414" t="s">
        <v>544</v>
      </c>
      <c r="D414" s="3" t="s">
        <v>7319</v>
      </c>
      <c r="E414" t="s">
        <v>565</v>
      </c>
      <c r="F414" s="3" t="s">
        <v>566</v>
      </c>
      <c r="G414" t="s">
        <v>24</v>
      </c>
      <c r="H414" s="3" t="s">
        <v>573</v>
      </c>
      <c r="I414" t="s">
        <v>26</v>
      </c>
      <c r="J414" s="3" t="s">
        <v>574</v>
      </c>
      <c r="K414" s="4">
        <v>1669</v>
      </c>
      <c r="L414" s="5">
        <v>75.86</v>
      </c>
      <c r="M414" s="6">
        <v>0</v>
      </c>
      <c r="N414" s="7">
        <v>1</v>
      </c>
      <c r="O414" t="s">
        <v>575</v>
      </c>
      <c r="P414" s="3" t="s">
        <v>29</v>
      </c>
      <c r="Q414" s="8">
        <v>0.29083300000000001</v>
      </c>
    </row>
    <row r="415" spans="1:17" hidden="1" x14ac:dyDescent="0.55000000000000004">
      <c r="A415" s="3" t="s">
        <v>335</v>
      </c>
      <c r="B415" s="3" t="s">
        <v>544</v>
      </c>
      <c r="C415" t="s">
        <v>544</v>
      </c>
      <c r="D415" s="3" t="s">
        <v>7319</v>
      </c>
      <c r="E415" t="s">
        <v>576</v>
      </c>
      <c r="F415" s="3" t="s">
        <v>577</v>
      </c>
      <c r="G415" t="s">
        <v>19</v>
      </c>
      <c r="H415" s="3" t="s">
        <v>567</v>
      </c>
      <c r="I415" t="s">
        <v>432</v>
      </c>
      <c r="J415" s="3" t="s">
        <v>568</v>
      </c>
      <c r="K415" s="4">
        <v>61</v>
      </c>
      <c r="L415" s="5">
        <v>13.28</v>
      </c>
      <c r="M415" s="6">
        <v>1</v>
      </c>
      <c r="N415" s="7">
        <v>0</v>
      </c>
      <c r="O415" t="s">
        <v>569</v>
      </c>
      <c r="P415" s="3" t="s">
        <v>403</v>
      </c>
      <c r="Q415" s="8">
        <v>1.0236E-2</v>
      </c>
    </row>
    <row r="416" spans="1:17" hidden="1" x14ac:dyDescent="0.55000000000000004">
      <c r="A416" s="3" t="s">
        <v>335</v>
      </c>
      <c r="B416" s="3" t="s">
        <v>544</v>
      </c>
      <c r="C416" t="s">
        <v>544</v>
      </c>
      <c r="D416" s="3" t="s">
        <v>7319</v>
      </c>
      <c r="E416" t="s">
        <v>576</v>
      </c>
      <c r="F416" s="3" t="s">
        <v>577</v>
      </c>
      <c r="G416" t="s">
        <v>24</v>
      </c>
      <c r="H416" s="3" t="s">
        <v>570</v>
      </c>
      <c r="I416" t="s">
        <v>52</v>
      </c>
      <c r="J416" s="3" t="s">
        <v>571</v>
      </c>
      <c r="K416" s="4">
        <v>1836</v>
      </c>
      <c r="L416" s="5">
        <v>83.46</v>
      </c>
      <c r="M416" s="6">
        <v>1</v>
      </c>
      <c r="N416" s="7">
        <v>0</v>
      </c>
      <c r="O416" t="s">
        <v>572</v>
      </c>
      <c r="P416" s="3" t="s">
        <v>55</v>
      </c>
      <c r="Q416" s="8">
        <v>0.29636099999999999</v>
      </c>
    </row>
    <row r="417" spans="1:17" hidden="1" x14ac:dyDescent="0.55000000000000004">
      <c r="A417" s="3" t="s">
        <v>335</v>
      </c>
      <c r="B417" s="3" t="s">
        <v>544</v>
      </c>
      <c r="C417" t="s">
        <v>544</v>
      </c>
      <c r="D417" s="3" t="s">
        <v>7319</v>
      </c>
      <c r="E417" t="s">
        <v>576</v>
      </c>
      <c r="F417" s="3" t="s">
        <v>577</v>
      </c>
      <c r="G417" t="s">
        <v>24</v>
      </c>
      <c r="H417" s="3" t="s">
        <v>573</v>
      </c>
      <c r="I417" t="s">
        <v>26</v>
      </c>
      <c r="J417" s="3" t="s">
        <v>574</v>
      </c>
      <c r="K417" s="4">
        <v>1669</v>
      </c>
      <c r="L417" s="5">
        <v>75.86</v>
      </c>
      <c r="M417" s="6">
        <v>0</v>
      </c>
      <c r="N417" s="7">
        <v>0</v>
      </c>
      <c r="O417" t="s">
        <v>575</v>
      </c>
      <c r="P417" s="3" t="s">
        <v>29</v>
      </c>
      <c r="Q417" s="8">
        <v>0.29083300000000001</v>
      </c>
    </row>
    <row r="418" spans="1:17" hidden="1" x14ac:dyDescent="0.55000000000000004">
      <c r="A418" s="3" t="s">
        <v>335</v>
      </c>
      <c r="B418" s="3" t="s">
        <v>544</v>
      </c>
      <c r="C418" t="s">
        <v>544</v>
      </c>
      <c r="D418" s="3" t="s">
        <v>7319</v>
      </c>
      <c r="E418" t="s">
        <v>578</v>
      </c>
      <c r="F418" s="3" t="s">
        <v>579</v>
      </c>
      <c r="G418" t="s">
        <v>19</v>
      </c>
      <c r="H418" s="3" t="s">
        <v>567</v>
      </c>
      <c r="I418" t="s">
        <v>432</v>
      </c>
      <c r="J418" s="3" t="s">
        <v>568</v>
      </c>
      <c r="K418" s="4">
        <v>61</v>
      </c>
      <c r="L418" s="5">
        <v>13.28</v>
      </c>
      <c r="M418" s="6">
        <v>1</v>
      </c>
      <c r="N418" s="7">
        <v>0</v>
      </c>
      <c r="O418" t="s">
        <v>569</v>
      </c>
      <c r="P418" s="3" t="s">
        <v>403</v>
      </c>
      <c r="Q418" s="8">
        <v>1.0236E-2</v>
      </c>
    </row>
    <row r="419" spans="1:17" hidden="1" x14ac:dyDescent="0.55000000000000004">
      <c r="A419" s="3" t="s">
        <v>335</v>
      </c>
      <c r="B419" s="3" t="s">
        <v>544</v>
      </c>
      <c r="C419" t="s">
        <v>544</v>
      </c>
      <c r="D419" s="3" t="s">
        <v>7319</v>
      </c>
      <c r="E419" t="s">
        <v>578</v>
      </c>
      <c r="F419" s="3" t="s">
        <v>579</v>
      </c>
      <c r="G419" t="s">
        <v>24</v>
      </c>
      <c r="H419" s="3" t="s">
        <v>570</v>
      </c>
      <c r="I419" t="s">
        <v>52</v>
      </c>
      <c r="J419" s="3" t="s">
        <v>571</v>
      </c>
      <c r="K419" s="4">
        <v>1836</v>
      </c>
      <c r="L419" s="5">
        <v>83.46</v>
      </c>
      <c r="M419" s="6">
        <v>1</v>
      </c>
      <c r="N419" s="7">
        <v>0</v>
      </c>
      <c r="O419" t="s">
        <v>572</v>
      </c>
      <c r="P419" s="3" t="s">
        <v>55</v>
      </c>
      <c r="Q419" s="8">
        <v>0.29636099999999999</v>
      </c>
    </row>
    <row r="420" spans="1:17" hidden="1" x14ac:dyDescent="0.55000000000000004">
      <c r="A420" s="3" t="s">
        <v>335</v>
      </c>
      <c r="B420" s="3" t="s">
        <v>544</v>
      </c>
      <c r="C420" t="s">
        <v>544</v>
      </c>
      <c r="D420" s="3" t="s">
        <v>7319</v>
      </c>
      <c r="E420" t="s">
        <v>578</v>
      </c>
      <c r="F420" s="3" t="s">
        <v>579</v>
      </c>
      <c r="G420" t="s">
        <v>24</v>
      </c>
      <c r="H420" s="3" t="s">
        <v>573</v>
      </c>
      <c r="I420" t="s">
        <v>26</v>
      </c>
      <c r="J420" s="3" t="s">
        <v>574</v>
      </c>
      <c r="K420" s="4">
        <v>1669</v>
      </c>
      <c r="L420" s="5">
        <v>75.86</v>
      </c>
      <c r="M420" s="6">
        <v>0</v>
      </c>
      <c r="N420" s="7">
        <v>0</v>
      </c>
      <c r="O420" t="s">
        <v>575</v>
      </c>
      <c r="P420" s="3" t="s">
        <v>29</v>
      </c>
      <c r="Q420" s="8">
        <v>0.29083300000000001</v>
      </c>
    </row>
    <row r="421" spans="1:17" hidden="1" x14ac:dyDescent="0.55000000000000004">
      <c r="A421" s="3" t="s">
        <v>335</v>
      </c>
      <c r="B421" s="3" t="s">
        <v>580</v>
      </c>
      <c r="C421" t="s">
        <v>580</v>
      </c>
      <c r="D421" s="3" t="s">
        <v>7319</v>
      </c>
      <c r="E421" t="s">
        <v>581</v>
      </c>
      <c r="F421" s="3" t="s">
        <v>582</v>
      </c>
      <c r="G421" t="s">
        <v>19</v>
      </c>
      <c r="H421" s="3" t="s">
        <v>583</v>
      </c>
      <c r="I421" t="s">
        <v>289</v>
      </c>
      <c r="J421" s="3" t="s">
        <v>584</v>
      </c>
      <c r="K421" s="4">
        <v>118</v>
      </c>
      <c r="L421" s="5">
        <v>25.74</v>
      </c>
      <c r="M421" s="6">
        <v>1</v>
      </c>
      <c r="N421" s="7">
        <v>0</v>
      </c>
      <c r="O421" t="s">
        <v>585</v>
      </c>
      <c r="P421" s="3" t="s">
        <v>451</v>
      </c>
      <c r="Q421" s="8">
        <v>2.1101999999999999E-2</v>
      </c>
    </row>
    <row r="422" spans="1:17" hidden="1" x14ac:dyDescent="0.55000000000000004">
      <c r="A422" s="3" t="s">
        <v>335</v>
      </c>
      <c r="B422" s="3" t="s">
        <v>580</v>
      </c>
      <c r="C422" t="s">
        <v>580</v>
      </c>
      <c r="D422" s="3" t="s">
        <v>7319</v>
      </c>
      <c r="E422" t="s">
        <v>581</v>
      </c>
      <c r="F422" s="3" t="s">
        <v>582</v>
      </c>
      <c r="G422" t="s">
        <v>24</v>
      </c>
      <c r="H422" s="3" t="s">
        <v>586</v>
      </c>
      <c r="I422" t="s">
        <v>218</v>
      </c>
      <c r="J422" s="3" t="s">
        <v>587</v>
      </c>
      <c r="K422" s="4">
        <v>2309</v>
      </c>
      <c r="L422" s="5">
        <v>104.96</v>
      </c>
      <c r="M422" s="6">
        <v>0</v>
      </c>
      <c r="N422" s="7">
        <v>0</v>
      </c>
      <c r="O422" t="s">
        <v>588</v>
      </c>
      <c r="P422" s="3" t="s">
        <v>23</v>
      </c>
      <c r="Q422" s="8" t="s">
        <v>23</v>
      </c>
    </row>
    <row r="423" spans="1:17" hidden="1" x14ac:dyDescent="0.55000000000000004">
      <c r="A423" s="3" t="s">
        <v>335</v>
      </c>
      <c r="B423" s="3" t="s">
        <v>580</v>
      </c>
      <c r="C423" t="s">
        <v>580</v>
      </c>
      <c r="D423" s="3" t="s">
        <v>7319</v>
      </c>
      <c r="E423" t="s">
        <v>581</v>
      </c>
      <c r="F423" s="3" t="s">
        <v>582</v>
      </c>
      <c r="G423" t="s">
        <v>24</v>
      </c>
      <c r="H423" s="3" t="s">
        <v>589</v>
      </c>
      <c r="I423" t="s">
        <v>26</v>
      </c>
      <c r="J423" s="3" t="s">
        <v>587</v>
      </c>
      <c r="K423" s="4">
        <v>1877</v>
      </c>
      <c r="L423" s="5">
        <v>85.32</v>
      </c>
      <c r="M423" s="6">
        <v>1</v>
      </c>
      <c r="N423" s="7">
        <v>0</v>
      </c>
      <c r="O423" t="s">
        <v>590</v>
      </c>
      <c r="P423" s="3" t="s">
        <v>76</v>
      </c>
      <c r="Q423" s="8">
        <v>0.29749999999999999</v>
      </c>
    </row>
    <row r="424" spans="1:17" hidden="1" x14ac:dyDescent="0.55000000000000004">
      <c r="A424" s="3" t="s">
        <v>335</v>
      </c>
      <c r="B424" s="3" t="s">
        <v>7322</v>
      </c>
      <c r="C424" t="s">
        <v>580</v>
      </c>
      <c r="D424" s="3" t="s">
        <v>7319</v>
      </c>
      <c r="E424" t="s">
        <v>591</v>
      </c>
      <c r="F424" s="3" t="s">
        <v>592</v>
      </c>
      <c r="G424" t="s">
        <v>19</v>
      </c>
      <c r="H424" s="3" t="s">
        <v>593</v>
      </c>
      <c r="I424" t="s">
        <v>289</v>
      </c>
      <c r="J424" s="3" t="s">
        <v>594</v>
      </c>
      <c r="K424" s="4">
        <v>113</v>
      </c>
      <c r="L424" s="5">
        <v>24.54</v>
      </c>
      <c r="M424" s="6">
        <v>1</v>
      </c>
      <c r="N424" s="7">
        <v>1</v>
      </c>
      <c r="O424" t="s">
        <v>595</v>
      </c>
      <c r="P424" s="3" t="s">
        <v>451</v>
      </c>
      <c r="Q424" s="8">
        <v>2.0209999999999999E-2</v>
      </c>
    </row>
    <row r="425" spans="1:17" hidden="1" x14ac:dyDescent="0.55000000000000004">
      <c r="A425" s="3" t="s">
        <v>335</v>
      </c>
      <c r="B425" s="3" t="s">
        <v>7322</v>
      </c>
      <c r="C425" t="s">
        <v>580</v>
      </c>
      <c r="D425" s="3" t="s">
        <v>7319</v>
      </c>
      <c r="E425" t="s">
        <v>591</v>
      </c>
      <c r="F425" s="3" t="s">
        <v>592</v>
      </c>
      <c r="G425" t="s">
        <v>24</v>
      </c>
      <c r="H425" s="3" t="s">
        <v>586</v>
      </c>
      <c r="I425" t="s">
        <v>218</v>
      </c>
      <c r="J425" s="3" t="s">
        <v>587</v>
      </c>
      <c r="K425" s="4">
        <v>2309</v>
      </c>
      <c r="L425" s="5">
        <v>104.96</v>
      </c>
      <c r="M425" s="6">
        <v>0</v>
      </c>
      <c r="N425" s="7">
        <v>1</v>
      </c>
      <c r="O425" t="s">
        <v>588</v>
      </c>
      <c r="P425" s="3" t="s">
        <v>23</v>
      </c>
      <c r="Q425" s="8" t="s">
        <v>23</v>
      </c>
    </row>
    <row r="426" spans="1:17" hidden="1" x14ac:dyDescent="0.55000000000000004">
      <c r="A426" s="3" t="s">
        <v>335</v>
      </c>
      <c r="B426" s="3" t="s">
        <v>7322</v>
      </c>
      <c r="C426" t="s">
        <v>580</v>
      </c>
      <c r="D426" s="3" t="s">
        <v>7319</v>
      </c>
      <c r="E426" t="s">
        <v>591</v>
      </c>
      <c r="F426" s="3" t="s">
        <v>592</v>
      </c>
      <c r="G426" t="s">
        <v>24</v>
      </c>
      <c r="H426" s="3" t="s">
        <v>589</v>
      </c>
      <c r="I426" t="s">
        <v>26</v>
      </c>
      <c r="J426" s="3" t="s">
        <v>587</v>
      </c>
      <c r="K426" s="4">
        <v>1877</v>
      </c>
      <c r="L426" s="5">
        <v>85.32</v>
      </c>
      <c r="M426" s="6">
        <v>1</v>
      </c>
      <c r="N426" s="7">
        <v>1</v>
      </c>
      <c r="O426" t="s">
        <v>590</v>
      </c>
      <c r="P426" s="3" t="s">
        <v>76</v>
      </c>
      <c r="Q426" s="8">
        <v>0.29749999999999999</v>
      </c>
    </row>
    <row r="427" spans="1:17" hidden="1" x14ac:dyDescent="0.55000000000000004">
      <c r="A427" s="3" t="s">
        <v>335</v>
      </c>
      <c r="B427" s="3" t="s">
        <v>580</v>
      </c>
      <c r="C427" t="s">
        <v>580</v>
      </c>
      <c r="D427" s="3" t="s">
        <v>7319</v>
      </c>
      <c r="E427" t="s">
        <v>596</v>
      </c>
      <c r="F427" s="3" t="s">
        <v>597</v>
      </c>
      <c r="G427" t="s">
        <v>19</v>
      </c>
      <c r="H427" s="3" t="s">
        <v>583</v>
      </c>
      <c r="I427" t="s">
        <v>289</v>
      </c>
      <c r="J427" s="3" t="s">
        <v>584</v>
      </c>
      <c r="K427" s="4">
        <v>118</v>
      </c>
      <c r="L427" s="5">
        <v>25.74</v>
      </c>
      <c r="M427" s="6">
        <v>1</v>
      </c>
      <c r="N427" s="7">
        <v>0</v>
      </c>
      <c r="O427" t="s">
        <v>585</v>
      </c>
      <c r="P427" s="3" t="s">
        <v>451</v>
      </c>
      <c r="Q427" s="8">
        <v>2.1101999999999999E-2</v>
      </c>
    </row>
    <row r="428" spans="1:17" hidden="1" x14ac:dyDescent="0.55000000000000004">
      <c r="A428" s="3" t="s">
        <v>335</v>
      </c>
      <c r="B428" s="3" t="s">
        <v>580</v>
      </c>
      <c r="C428" t="s">
        <v>580</v>
      </c>
      <c r="D428" s="3" t="s">
        <v>7319</v>
      </c>
      <c r="E428" t="s">
        <v>596</v>
      </c>
      <c r="F428" s="3" t="s">
        <v>597</v>
      </c>
      <c r="G428" t="s">
        <v>24</v>
      </c>
      <c r="H428" s="3" t="s">
        <v>586</v>
      </c>
      <c r="I428" t="s">
        <v>218</v>
      </c>
      <c r="J428" s="3" t="s">
        <v>587</v>
      </c>
      <c r="K428" s="4">
        <v>2309</v>
      </c>
      <c r="L428" s="5">
        <v>104.96</v>
      </c>
      <c r="M428" s="6">
        <v>0</v>
      </c>
      <c r="N428" s="7">
        <v>0</v>
      </c>
      <c r="O428" t="s">
        <v>588</v>
      </c>
      <c r="P428" s="3" t="s">
        <v>23</v>
      </c>
      <c r="Q428" s="8" t="s">
        <v>23</v>
      </c>
    </row>
    <row r="429" spans="1:17" hidden="1" x14ac:dyDescent="0.55000000000000004">
      <c r="A429" s="3" t="s">
        <v>335</v>
      </c>
      <c r="B429" s="3" t="s">
        <v>580</v>
      </c>
      <c r="C429" t="s">
        <v>580</v>
      </c>
      <c r="D429" s="3" t="s">
        <v>7319</v>
      </c>
      <c r="E429" t="s">
        <v>596</v>
      </c>
      <c r="F429" s="3" t="s">
        <v>597</v>
      </c>
      <c r="G429" t="s">
        <v>24</v>
      </c>
      <c r="H429" s="3" t="s">
        <v>589</v>
      </c>
      <c r="I429" t="s">
        <v>26</v>
      </c>
      <c r="J429" s="3" t="s">
        <v>587</v>
      </c>
      <c r="K429" s="4">
        <v>1877</v>
      </c>
      <c r="L429" s="5">
        <v>85.32</v>
      </c>
      <c r="M429" s="6">
        <v>1</v>
      </c>
      <c r="N429" s="7">
        <v>0</v>
      </c>
      <c r="O429" t="s">
        <v>590</v>
      </c>
      <c r="P429" s="3" t="s">
        <v>76</v>
      </c>
      <c r="Q429" s="8">
        <v>0.29749999999999999</v>
      </c>
    </row>
    <row r="430" spans="1:17" hidden="1" x14ac:dyDescent="0.55000000000000004">
      <c r="A430" s="3" t="s">
        <v>335</v>
      </c>
      <c r="B430" s="3" t="s">
        <v>598</v>
      </c>
      <c r="C430" t="s">
        <v>598</v>
      </c>
      <c r="D430" s="3" t="s">
        <v>7319</v>
      </c>
      <c r="E430" t="s">
        <v>599</v>
      </c>
      <c r="F430" s="3" t="s">
        <v>600</v>
      </c>
      <c r="G430" t="s">
        <v>19</v>
      </c>
      <c r="H430" s="3" t="s">
        <v>601</v>
      </c>
      <c r="I430" t="s">
        <v>432</v>
      </c>
      <c r="J430" s="3" t="s">
        <v>602</v>
      </c>
      <c r="K430" s="4">
        <v>51</v>
      </c>
      <c r="L430" s="5">
        <v>11.09</v>
      </c>
      <c r="M430" s="6">
        <v>1</v>
      </c>
      <c r="N430" s="7">
        <v>0</v>
      </c>
      <c r="O430" t="s">
        <v>603</v>
      </c>
      <c r="P430" s="3" t="s">
        <v>403</v>
      </c>
      <c r="Q430" s="8">
        <v>7.3949999999999997E-3</v>
      </c>
    </row>
    <row r="431" spans="1:17" hidden="1" x14ac:dyDescent="0.55000000000000004">
      <c r="A431" s="3" t="s">
        <v>335</v>
      </c>
      <c r="B431" s="3" t="s">
        <v>598</v>
      </c>
      <c r="C431" t="s">
        <v>598</v>
      </c>
      <c r="D431" s="3" t="s">
        <v>7319</v>
      </c>
      <c r="E431" t="s">
        <v>599</v>
      </c>
      <c r="F431" s="3" t="s">
        <v>600</v>
      </c>
      <c r="G431" t="s">
        <v>24</v>
      </c>
      <c r="H431" s="3" t="s">
        <v>604</v>
      </c>
      <c r="I431" t="s">
        <v>309</v>
      </c>
      <c r="J431" s="3" t="s">
        <v>605</v>
      </c>
      <c r="K431" s="4">
        <v>1794</v>
      </c>
      <c r="L431" s="5">
        <v>81.55</v>
      </c>
      <c r="M431" s="6">
        <v>1</v>
      </c>
      <c r="N431" s="7">
        <v>0</v>
      </c>
      <c r="O431" t="s">
        <v>606</v>
      </c>
      <c r="P431" s="3" t="s">
        <v>76</v>
      </c>
      <c r="Q431" s="8">
        <v>0.29816700000000002</v>
      </c>
    </row>
    <row r="432" spans="1:17" hidden="1" x14ac:dyDescent="0.55000000000000004">
      <c r="A432" s="3" t="s">
        <v>335</v>
      </c>
      <c r="B432" s="3" t="s">
        <v>598</v>
      </c>
      <c r="C432" t="s">
        <v>598</v>
      </c>
      <c r="D432" s="3" t="s">
        <v>7319</v>
      </c>
      <c r="E432" t="s">
        <v>607</v>
      </c>
      <c r="F432" s="3" t="s">
        <v>608</v>
      </c>
      <c r="G432" t="s">
        <v>19</v>
      </c>
      <c r="H432" s="3" t="s">
        <v>601</v>
      </c>
      <c r="I432" t="s">
        <v>432</v>
      </c>
      <c r="J432" s="3" t="s">
        <v>602</v>
      </c>
      <c r="K432" s="4">
        <v>51</v>
      </c>
      <c r="L432" s="5">
        <v>11.09</v>
      </c>
      <c r="M432" s="6">
        <v>1</v>
      </c>
      <c r="N432" s="7">
        <v>0</v>
      </c>
      <c r="O432" t="s">
        <v>603</v>
      </c>
      <c r="P432" s="3" t="s">
        <v>403</v>
      </c>
      <c r="Q432" s="8">
        <v>7.3949999999999997E-3</v>
      </c>
    </row>
    <row r="433" spans="1:17" hidden="1" x14ac:dyDescent="0.55000000000000004">
      <c r="A433" s="3" t="s">
        <v>335</v>
      </c>
      <c r="B433" s="3" t="s">
        <v>598</v>
      </c>
      <c r="C433" t="s">
        <v>598</v>
      </c>
      <c r="D433" s="3" t="s">
        <v>7319</v>
      </c>
      <c r="E433" t="s">
        <v>607</v>
      </c>
      <c r="F433" s="3" t="s">
        <v>608</v>
      </c>
      <c r="G433" t="s">
        <v>24</v>
      </c>
      <c r="H433" s="3" t="s">
        <v>604</v>
      </c>
      <c r="I433" t="s">
        <v>309</v>
      </c>
      <c r="J433" s="3" t="s">
        <v>605</v>
      </c>
      <c r="K433" s="4">
        <v>1794</v>
      </c>
      <c r="L433" s="5">
        <v>81.55</v>
      </c>
      <c r="M433" s="6">
        <v>1</v>
      </c>
      <c r="N433" s="7">
        <v>0</v>
      </c>
      <c r="O433" t="s">
        <v>606</v>
      </c>
      <c r="P433" s="3" t="s">
        <v>76</v>
      </c>
      <c r="Q433" s="8">
        <v>0.29816700000000002</v>
      </c>
    </row>
    <row r="434" spans="1:17" hidden="1" x14ac:dyDescent="0.55000000000000004">
      <c r="A434" s="3" t="s">
        <v>335</v>
      </c>
      <c r="B434" s="3" t="s">
        <v>598</v>
      </c>
      <c r="C434" t="s">
        <v>598</v>
      </c>
      <c r="D434" s="3" t="s">
        <v>7319</v>
      </c>
      <c r="E434" t="s">
        <v>609</v>
      </c>
      <c r="F434" s="3" t="s">
        <v>610</v>
      </c>
      <c r="G434" t="s">
        <v>19</v>
      </c>
      <c r="H434" s="3" t="s">
        <v>601</v>
      </c>
      <c r="I434" t="s">
        <v>432</v>
      </c>
      <c r="J434" s="3" t="s">
        <v>602</v>
      </c>
      <c r="K434" s="4">
        <v>51</v>
      </c>
      <c r="L434" s="5">
        <v>11.09</v>
      </c>
      <c r="M434" s="6">
        <v>1</v>
      </c>
      <c r="N434" s="7">
        <v>0</v>
      </c>
      <c r="O434" t="s">
        <v>603</v>
      </c>
      <c r="P434" s="3" t="s">
        <v>403</v>
      </c>
      <c r="Q434" s="8">
        <v>7.3949999999999997E-3</v>
      </c>
    </row>
    <row r="435" spans="1:17" hidden="1" x14ac:dyDescent="0.55000000000000004">
      <c r="A435" s="3" t="s">
        <v>335</v>
      </c>
      <c r="B435" s="3" t="s">
        <v>598</v>
      </c>
      <c r="C435" t="s">
        <v>598</v>
      </c>
      <c r="D435" s="3" t="s">
        <v>7319</v>
      </c>
      <c r="E435" t="s">
        <v>609</v>
      </c>
      <c r="F435" s="3" t="s">
        <v>610</v>
      </c>
      <c r="G435" t="s">
        <v>24</v>
      </c>
      <c r="H435" s="3" t="s">
        <v>604</v>
      </c>
      <c r="I435" t="s">
        <v>309</v>
      </c>
      <c r="J435" s="3" t="s">
        <v>605</v>
      </c>
      <c r="K435" s="4">
        <v>1794</v>
      </c>
      <c r="L435" s="5">
        <v>81.55</v>
      </c>
      <c r="M435" s="6">
        <v>1</v>
      </c>
      <c r="N435" s="7">
        <v>0</v>
      </c>
      <c r="O435" t="s">
        <v>606</v>
      </c>
      <c r="P435" s="3" t="s">
        <v>76</v>
      </c>
      <c r="Q435" s="8">
        <v>0.29816700000000002</v>
      </c>
    </row>
    <row r="436" spans="1:17" hidden="1" x14ac:dyDescent="0.55000000000000004">
      <c r="A436" s="3" t="s">
        <v>335</v>
      </c>
      <c r="B436" s="3" t="s">
        <v>611</v>
      </c>
      <c r="C436" t="s">
        <v>337</v>
      </c>
      <c r="D436" s="3" t="s">
        <v>7319</v>
      </c>
      <c r="E436" t="s">
        <v>612</v>
      </c>
      <c r="F436" s="3" t="s">
        <v>613</v>
      </c>
      <c r="G436" t="s">
        <v>24</v>
      </c>
      <c r="H436" s="3" t="s">
        <v>343</v>
      </c>
      <c r="I436" t="s">
        <v>52</v>
      </c>
      <c r="J436" s="3" t="s">
        <v>344</v>
      </c>
      <c r="K436" s="4">
        <v>1393</v>
      </c>
      <c r="L436" s="5">
        <v>0</v>
      </c>
      <c r="M436" s="6">
        <v>0</v>
      </c>
      <c r="N436" s="7">
        <v>0</v>
      </c>
      <c r="O436" t="s">
        <v>23</v>
      </c>
      <c r="P436" s="3" t="s">
        <v>23</v>
      </c>
      <c r="Q436" s="8" t="s">
        <v>23</v>
      </c>
    </row>
    <row r="437" spans="1:17" hidden="1" x14ac:dyDescent="0.55000000000000004">
      <c r="A437" s="3" t="s">
        <v>335</v>
      </c>
      <c r="B437" s="3" t="s">
        <v>611</v>
      </c>
      <c r="C437" t="s">
        <v>337</v>
      </c>
      <c r="D437" s="3" t="s">
        <v>7319</v>
      </c>
      <c r="E437" t="s">
        <v>612</v>
      </c>
      <c r="F437" s="3" t="s">
        <v>613</v>
      </c>
      <c r="G437" t="s">
        <v>24</v>
      </c>
      <c r="H437" s="3" t="s">
        <v>345</v>
      </c>
      <c r="I437" t="s">
        <v>296</v>
      </c>
      <c r="J437" s="3" t="s">
        <v>344</v>
      </c>
      <c r="K437" s="4">
        <v>1246</v>
      </c>
      <c r="L437" s="5">
        <v>0</v>
      </c>
      <c r="M437" s="6">
        <v>0</v>
      </c>
      <c r="N437" s="7">
        <v>0</v>
      </c>
      <c r="O437" t="s">
        <v>23</v>
      </c>
      <c r="P437" s="3" t="s">
        <v>23</v>
      </c>
      <c r="Q437" s="8" t="s">
        <v>23</v>
      </c>
    </row>
    <row r="438" spans="1:17" hidden="1" x14ac:dyDescent="0.55000000000000004">
      <c r="A438" s="3" t="s">
        <v>335</v>
      </c>
      <c r="B438" s="3" t="s">
        <v>611</v>
      </c>
      <c r="C438" t="s">
        <v>337</v>
      </c>
      <c r="D438" s="3" t="s">
        <v>7319</v>
      </c>
      <c r="E438" t="s">
        <v>612</v>
      </c>
      <c r="F438" s="3" t="s">
        <v>613</v>
      </c>
      <c r="G438" t="s">
        <v>24</v>
      </c>
      <c r="H438" s="3" t="s">
        <v>346</v>
      </c>
      <c r="I438" t="s">
        <v>298</v>
      </c>
      <c r="J438" s="3" t="s">
        <v>344</v>
      </c>
      <c r="K438" s="4">
        <v>1677</v>
      </c>
      <c r="L438" s="5">
        <v>0</v>
      </c>
      <c r="M438" s="6">
        <v>0</v>
      </c>
      <c r="N438" s="7">
        <v>0</v>
      </c>
      <c r="O438" t="s">
        <v>23</v>
      </c>
      <c r="P438" s="3" t="s">
        <v>23</v>
      </c>
      <c r="Q438" s="8" t="s">
        <v>23</v>
      </c>
    </row>
    <row r="439" spans="1:17" hidden="1" x14ac:dyDescent="0.55000000000000004">
      <c r="A439" s="3" t="s">
        <v>335</v>
      </c>
      <c r="B439" s="3" t="s">
        <v>611</v>
      </c>
      <c r="C439" t="s">
        <v>337</v>
      </c>
      <c r="D439" s="3" t="s">
        <v>7319</v>
      </c>
      <c r="E439" t="s">
        <v>612</v>
      </c>
      <c r="F439" s="3" t="s">
        <v>613</v>
      </c>
      <c r="G439" t="s">
        <v>24</v>
      </c>
      <c r="H439" s="3" t="s">
        <v>347</v>
      </c>
      <c r="I439" t="s">
        <v>300</v>
      </c>
      <c r="J439" s="3" t="s">
        <v>344</v>
      </c>
      <c r="K439" s="4">
        <v>1374</v>
      </c>
      <c r="L439" s="5">
        <v>0</v>
      </c>
      <c r="M439" s="6">
        <v>0</v>
      </c>
      <c r="N439" s="7">
        <v>0</v>
      </c>
      <c r="O439" t="s">
        <v>23</v>
      </c>
      <c r="P439" s="3" t="s">
        <v>23</v>
      </c>
      <c r="Q439" s="8" t="s">
        <v>23</v>
      </c>
    </row>
    <row r="440" spans="1:17" hidden="1" x14ac:dyDescent="0.55000000000000004">
      <c r="A440" s="3" t="s">
        <v>335</v>
      </c>
      <c r="B440" s="3" t="s">
        <v>611</v>
      </c>
      <c r="C440" t="s">
        <v>337</v>
      </c>
      <c r="D440" s="3" t="s">
        <v>7319</v>
      </c>
      <c r="E440" t="s">
        <v>612</v>
      </c>
      <c r="F440" s="3" t="s">
        <v>613</v>
      </c>
      <c r="G440" t="s">
        <v>24</v>
      </c>
      <c r="H440" s="3" t="s">
        <v>348</v>
      </c>
      <c r="I440" t="s">
        <v>304</v>
      </c>
      <c r="J440" s="3" t="s">
        <v>344</v>
      </c>
      <c r="K440" s="4">
        <v>1834</v>
      </c>
      <c r="L440" s="5">
        <v>0</v>
      </c>
      <c r="M440" s="6">
        <v>0</v>
      </c>
      <c r="N440" s="7">
        <v>0</v>
      </c>
      <c r="O440" t="s">
        <v>23</v>
      </c>
      <c r="P440" s="3" t="s">
        <v>23</v>
      </c>
      <c r="Q440" s="8" t="s">
        <v>23</v>
      </c>
    </row>
    <row r="441" spans="1:17" hidden="1" x14ac:dyDescent="0.55000000000000004">
      <c r="A441" s="3" t="s">
        <v>335</v>
      </c>
      <c r="B441" s="3" t="s">
        <v>611</v>
      </c>
      <c r="C441" t="s">
        <v>337</v>
      </c>
      <c r="D441" s="3" t="s">
        <v>7319</v>
      </c>
      <c r="E441" t="s">
        <v>612</v>
      </c>
      <c r="F441" s="3" t="s">
        <v>613</v>
      </c>
      <c r="G441" t="s">
        <v>24</v>
      </c>
      <c r="H441" s="3" t="s">
        <v>349</v>
      </c>
      <c r="I441" t="s">
        <v>302</v>
      </c>
      <c r="J441" s="3" t="s">
        <v>344</v>
      </c>
      <c r="K441" s="4">
        <v>1611</v>
      </c>
      <c r="L441" s="5">
        <v>0</v>
      </c>
      <c r="M441" s="6">
        <v>0</v>
      </c>
      <c r="N441" s="7">
        <v>0</v>
      </c>
      <c r="O441" t="s">
        <v>23</v>
      </c>
      <c r="P441" s="3" t="s">
        <v>23</v>
      </c>
      <c r="Q441" s="8" t="s">
        <v>23</v>
      </c>
    </row>
    <row r="442" spans="1:17" hidden="1" x14ac:dyDescent="0.55000000000000004">
      <c r="A442" s="3" t="s">
        <v>335</v>
      </c>
      <c r="B442" s="3" t="s">
        <v>611</v>
      </c>
      <c r="C442" t="s">
        <v>337</v>
      </c>
      <c r="D442" s="3" t="s">
        <v>7319</v>
      </c>
      <c r="E442" t="s">
        <v>612</v>
      </c>
      <c r="F442" s="3" t="s">
        <v>613</v>
      </c>
      <c r="G442" t="s">
        <v>24</v>
      </c>
      <c r="H442" s="3" t="s">
        <v>353</v>
      </c>
      <c r="I442" t="s">
        <v>309</v>
      </c>
      <c r="J442" s="3" t="s">
        <v>354</v>
      </c>
      <c r="K442" s="4">
        <v>1615</v>
      </c>
      <c r="L442" s="5">
        <v>0</v>
      </c>
      <c r="M442" s="6">
        <v>0</v>
      </c>
      <c r="N442" s="7">
        <v>0</v>
      </c>
      <c r="O442" t="s">
        <v>23</v>
      </c>
      <c r="P442" s="3" t="s">
        <v>23</v>
      </c>
      <c r="Q442" s="8" t="s">
        <v>23</v>
      </c>
    </row>
    <row r="443" spans="1:17" hidden="1" x14ac:dyDescent="0.55000000000000004">
      <c r="A443" s="3" t="s">
        <v>335</v>
      </c>
      <c r="B443" s="3" t="s">
        <v>611</v>
      </c>
      <c r="C443" t="s">
        <v>337</v>
      </c>
      <c r="D443" s="3" t="s">
        <v>7319</v>
      </c>
      <c r="E443" t="s">
        <v>612</v>
      </c>
      <c r="F443" s="3" t="s">
        <v>613</v>
      </c>
      <c r="G443" t="s">
        <v>24</v>
      </c>
      <c r="H443" s="3" t="s">
        <v>355</v>
      </c>
      <c r="I443" t="s">
        <v>218</v>
      </c>
      <c r="J443" s="3" t="s">
        <v>354</v>
      </c>
      <c r="K443" s="4">
        <v>1825</v>
      </c>
      <c r="L443" s="5">
        <v>0</v>
      </c>
      <c r="M443" s="6">
        <v>0</v>
      </c>
      <c r="N443" s="7">
        <v>0</v>
      </c>
      <c r="O443" t="s">
        <v>23</v>
      </c>
      <c r="P443" s="3" t="s">
        <v>23</v>
      </c>
      <c r="Q443" s="8" t="s">
        <v>23</v>
      </c>
    </row>
    <row r="444" spans="1:17" hidden="1" x14ac:dyDescent="0.55000000000000004">
      <c r="A444" s="3" t="s">
        <v>335</v>
      </c>
      <c r="B444" s="3" t="s">
        <v>611</v>
      </c>
      <c r="C444" t="s">
        <v>337</v>
      </c>
      <c r="D444" s="3" t="s">
        <v>7319</v>
      </c>
      <c r="E444" t="s">
        <v>612</v>
      </c>
      <c r="F444" s="3" t="s">
        <v>613</v>
      </c>
      <c r="G444" t="s">
        <v>24</v>
      </c>
      <c r="H444" s="3" t="s">
        <v>356</v>
      </c>
      <c r="I444" t="s">
        <v>313</v>
      </c>
      <c r="J444" s="3" t="s">
        <v>354</v>
      </c>
      <c r="K444" s="4">
        <v>1600</v>
      </c>
      <c r="L444" s="5">
        <v>0</v>
      </c>
      <c r="M444" s="6">
        <v>0</v>
      </c>
      <c r="N444" s="7">
        <v>0</v>
      </c>
      <c r="O444" t="s">
        <v>23</v>
      </c>
      <c r="P444" s="3" t="s">
        <v>23</v>
      </c>
      <c r="Q444" s="8" t="s">
        <v>23</v>
      </c>
    </row>
    <row r="445" spans="1:17" hidden="1" x14ac:dyDescent="0.55000000000000004">
      <c r="A445" s="3" t="s">
        <v>335</v>
      </c>
      <c r="B445" s="3" t="s">
        <v>611</v>
      </c>
      <c r="C445" t="s">
        <v>337</v>
      </c>
      <c r="D445" s="3" t="s">
        <v>7319</v>
      </c>
      <c r="E445" t="s">
        <v>612</v>
      </c>
      <c r="F445" s="3" t="s">
        <v>613</v>
      </c>
      <c r="G445" t="s">
        <v>24</v>
      </c>
      <c r="H445" s="3" t="s">
        <v>357</v>
      </c>
      <c r="I445" t="s">
        <v>315</v>
      </c>
      <c r="J445" s="3" t="s">
        <v>354</v>
      </c>
      <c r="K445" s="4">
        <v>1228</v>
      </c>
      <c r="L445" s="5">
        <v>0</v>
      </c>
      <c r="M445" s="6">
        <v>0</v>
      </c>
      <c r="N445" s="7">
        <v>0</v>
      </c>
      <c r="O445" t="s">
        <v>23</v>
      </c>
      <c r="P445" s="3" t="s">
        <v>23</v>
      </c>
      <c r="Q445" s="8" t="s">
        <v>23</v>
      </c>
    </row>
    <row r="446" spans="1:17" hidden="1" x14ac:dyDescent="0.55000000000000004">
      <c r="A446" s="3" t="s">
        <v>335</v>
      </c>
      <c r="B446" s="3" t="s">
        <v>611</v>
      </c>
      <c r="C446" t="s">
        <v>337</v>
      </c>
      <c r="D446" s="3" t="s">
        <v>7319</v>
      </c>
      <c r="E446" t="s">
        <v>612</v>
      </c>
      <c r="F446" s="3" t="s">
        <v>613</v>
      </c>
      <c r="G446" t="s">
        <v>24</v>
      </c>
      <c r="H446" s="3" t="s">
        <v>358</v>
      </c>
      <c r="I446" t="s">
        <v>317</v>
      </c>
      <c r="J446" s="3" t="s">
        <v>354</v>
      </c>
      <c r="K446" s="4">
        <v>1461</v>
      </c>
      <c r="L446" s="5">
        <v>0</v>
      </c>
      <c r="M446" s="6">
        <v>0</v>
      </c>
      <c r="N446" s="7">
        <v>0</v>
      </c>
      <c r="O446" t="s">
        <v>23</v>
      </c>
      <c r="P446" s="3" t="s">
        <v>23</v>
      </c>
      <c r="Q446" s="8" t="s">
        <v>23</v>
      </c>
    </row>
    <row r="447" spans="1:17" hidden="1" x14ac:dyDescent="0.55000000000000004">
      <c r="A447" s="3" t="s">
        <v>335</v>
      </c>
      <c r="B447" s="3" t="s">
        <v>611</v>
      </c>
      <c r="C447" t="s">
        <v>337</v>
      </c>
      <c r="D447" s="3" t="s">
        <v>7319</v>
      </c>
      <c r="E447" t="s">
        <v>612</v>
      </c>
      <c r="F447" s="3" t="s">
        <v>613</v>
      </c>
      <c r="G447" t="s">
        <v>24</v>
      </c>
      <c r="H447" s="3" t="s">
        <v>614</v>
      </c>
      <c r="I447" t="s">
        <v>26</v>
      </c>
      <c r="J447" s="3" t="s">
        <v>615</v>
      </c>
      <c r="K447" s="4">
        <v>1324</v>
      </c>
      <c r="L447" s="5">
        <v>60.18</v>
      </c>
      <c r="M447" s="6">
        <v>1</v>
      </c>
      <c r="N447" s="7">
        <v>0</v>
      </c>
      <c r="O447" t="s">
        <v>616</v>
      </c>
      <c r="P447" s="3" t="s">
        <v>76</v>
      </c>
      <c r="Q447" s="8">
        <v>0.29416700000000001</v>
      </c>
    </row>
    <row r="448" spans="1:17" hidden="1" x14ac:dyDescent="0.55000000000000004">
      <c r="A448" s="3" t="s">
        <v>335</v>
      </c>
      <c r="B448" s="3" t="s">
        <v>617</v>
      </c>
      <c r="C448" t="s">
        <v>337</v>
      </c>
      <c r="D448" s="3" t="s">
        <v>7319</v>
      </c>
      <c r="E448" t="s">
        <v>618</v>
      </c>
      <c r="F448" s="3" t="s">
        <v>619</v>
      </c>
      <c r="G448" t="s">
        <v>24</v>
      </c>
      <c r="H448" s="3" t="s">
        <v>343</v>
      </c>
      <c r="I448" t="s">
        <v>52</v>
      </c>
      <c r="J448" s="3" t="s">
        <v>344</v>
      </c>
      <c r="K448" s="4">
        <v>1393</v>
      </c>
      <c r="L448" s="5">
        <v>0</v>
      </c>
      <c r="M448" s="6">
        <v>0</v>
      </c>
      <c r="N448" s="7">
        <v>0</v>
      </c>
      <c r="O448" t="s">
        <v>23</v>
      </c>
      <c r="P448" s="3" t="s">
        <v>23</v>
      </c>
      <c r="Q448" s="8" t="s">
        <v>23</v>
      </c>
    </row>
    <row r="449" spans="1:17" hidden="1" x14ac:dyDescent="0.55000000000000004">
      <c r="A449" s="3" t="s">
        <v>335</v>
      </c>
      <c r="B449" s="3" t="s">
        <v>617</v>
      </c>
      <c r="C449" t="s">
        <v>337</v>
      </c>
      <c r="D449" s="3" t="s">
        <v>7319</v>
      </c>
      <c r="E449" t="s">
        <v>618</v>
      </c>
      <c r="F449" s="3" t="s">
        <v>619</v>
      </c>
      <c r="G449" t="s">
        <v>24</v>
      </c>
      <c r="H449" s="3" t="s">
        <v>345</v>
      </c>
      <c r="I449" t="s">
        <v>296</v>
      </c>
      <c r="J449" s="3" t="s">
        <v>344</v>
      </c>
      <c r="K449" s="4">
        <v>1246</v>
      </c>
      <c r="L449" s="5">
        <v>0</v>
      </c>
      <c r="M449" s="6">
        <v>0</v>
      </c>
      <c r="N449" s="7">
        <v>0</v>
      </c>
      <c r="O449" t="s">
        <v>23</v>
      </c>
      <c r="P449" s="3" t="s">
        <v>23</v>
      </c>
      <c r="Q449" s="8" t="s">
        <v>23</v>
      </c>
    </row>
    <row r="450" spans="1:17" hidden="1" x14ac:dyDescent="0.55000000000000004">
      <c r="A450" s="3" t="s">
        <v>335</v>
      </c>
      <c r="B450" s="3" t="s">
        <v>617</v>
      </c>
      <c r="C450" t="s">
        <v>337</v>
      </c>
      <c r="D450" s="3" t="s">
        <v>7319</v>
      </c>
      <c r="E450" t="s">
        <v>618</v>
      </c>
      <c r="F450" s="3" t="s">
        <v>619</v>
      </c>
      <c r="G450" t="s">
        <v>24</v>
      </c>
      <c r="H450" s="3" t="s">
        <v>346</v>
      </c>
      <c r="I450" t="s">
        <v>298</v>
      </c>
      <c r="J450" s="3" t="s">
        <v>344</v>
      </c>
      <c r="K450" s="4">
        <v>1677</v>
      </c>
      <c r="L450" s="5">
        <v>0</v>
      </c>
      <c r="M450" s="6">
        <v>0</v>
      </c>
      <c r="N450" s="7">
        <v>0</v>
      </c>
      <c r="O450" t="s">
        <v>23</v>
      </c>
      <c r="P450" s="3" t="s">
        <v>23</v>
      </c>
      <c r="Q450" s="8" t="s">
        <v>23</v>
      </c>
    </row>
    <row r="451" spans="1:17" hidden="1" x14ac:dyDescent="0.55000000000000004">
      <c r="A451" s="3" t="s">
        <v>335</v>
      </c>
      <c r="B451" s="3" t="s">
        <v>617</v>
      </c>
      <c r="C451" t="s">
        <v>337</v>
      </c>
      <c r="D451" s="3" t="s">
        <v>7319</v>
      </c>
      <c r="E451" t="s">
        <v>618</v>
      </c>
      <c r="F451" s="3" t="s">
        <v>619</v>
      </c>
      <c r="G451" t="s">
        <v>24</v>
      </c>
      <c r="H451" s="3" t="s">
        <v>347</v>
      </c>
      <c r="I451" t="s">
        <v>300</v>
      </c>
      <c r="J451" s="3" t="s">
        <v>344</v>
      </c>
      <c r="K451" s="4">
        <v>1374</v>
      </c>
      <c r="L451" s="5">
        <v>0</v>
      </c>
      <c r="M451" s="6">
        <v>0</v>
      </c>
      <c r="N451" s="7">
        <v>0</v>
      </c>
      <c r="O451" t="s">
        <v>23</v>
      </c>
      <c r="P451" s="3" t="s">
        <v>23</v>
      </c>
      <c r="Q451" s="8" t="s">
        <v>23</v>
      </c>
    </row>
    <row r="452" spans="1:17" hidden="1" x14ac:dyDescent="0.55000000000000004">
      <c r="A452" s="3" t="s">
        <v>335</v>
      </c>
      <c r="B452" s="3" t="s">
        <v>617</v>
      </c>
      <c r="C452" t="s">
        <v>337</v>
      </c>
      <c r="D452" s="3" t="s">
        <v>7319</v>
      </c>
      <c r="E452" t="s">
        <v>618</v>
      </c>
      <c r="F452" s="3" t="s">
        <v>619</v>
      </c>
      <c r="G452" t="s">
        <v>24</v>
      </c>
      <c r="H452" s="3" t="s">
        <v>348</v>
      </c>
      <c r="I452" t="s">
        <v>304</v>
      </c>
      <c r="J452" s="3" t="s">
        <v>344</v>
      </c>
      <c r="K452" s="4">
        <v>1834</v>
      </c>
      <c r="L452" s="5">
        <v>0</v>
      </c>
      <c r="M452" s="6">
        <v>0</v>
      </c>
      <c r="N452" s="7">
        <v>0</v>
      </c>
      <c r="O452" t="s">
        <v>23</v>
      </c>
      <c r="P452" s="3" t="s">
        <v>23</v>
      </c>
      <c r="Q452" s="8" t="s">
        <v>23</v>
      </c>
    </row>
    <row r="453" spans="1:17" hidden="1" x14ac:dyDescent="0.55000000000000004">
      <c r="A453" s="3" t="s">
        <v>335</v>
      </c>
      <c r="B453" s="3" t="s">
        <v>617</v>
      </c>
      <c r="C453" t="s">
        <v>337</v>
      </c>
      <c r="D453" s="3" t="s">
        <v>7319</v>
      </c>
      <c r="E453" t="s">
        <v>618</v>
      </c>
      <c r="F453" s="3" t="s">
        <v>619</v>
      </c>
      <c r="G453" t="s">
        <v>24</v>
      </c>
      <c r="H453" s="3" t="s">
        <v>349</v>
      </c>
      <c r="I453" t="s">
        <v>302</v>
      </c>
      <c r="J453" s="3" t="s">
        <v>344</v>
      </c>
      <c r="K453" s="4">
        <v>1611</v>
      </c>
      <c r="L453" s="5">
        <v>0</v>
      </c>
      <c r="M453" s="6">
        <v>0</v>
      </c>
      <c r="N453" s="7">
        <v>0</v>
      </c>
      <c r="O453" t="s">
        <v>23</v>
      </c>
      <c r="P453" s="3" t="s">
        <v>23</v>
      </c>
      <c r="Q453" s="8" t="s">
        <v>23</v>
      </c>
    </row>
    <row r="454" spans="1:17" hidden="1" x14ac:dyDescent="0.55000000000000004">
      <c r="A454" s="3" t="s">
        <v>335</v>
      </c>
      <c r="B454" s="3" t="s">
        <v>617</v>
      </c>
      <c r="C454" t="s">
        <v>337</v>
      </c>
      <c r="D454" s="3" t="s">
        <v>7319</v>
      </c>
      <c r="E454" t="s">
        <v>618</v>
      </c>
      <c r="F454" s="3" t="s">
        <v>619</v>
      </c>
      <c r="G454" t="s">
        <v>24</v>
      </c>
      <c r="H454" s="3" t="s">
        <v>353</v>
      </c>
      <c r="I454" t="s">
        <v>309</v>
      </c>
      <c r="J454" s="3" t="s">
        <v>354</v>
      </c>
      <c r="K454" s="4">
        <v>1615</v>
      </c>
      <c r="L454" s="5">
        <v>0</v>
      </c>
      <c r="M454" s="6">
        <v>0</v>
      </c>
      <c r="N454" s="7">
        <v>0</v>
      </c>
      <c r="O454" t="s">
        <v>23</v>
      </c>
      <c r="P454" s="3" t="s">
        <v>23</v>
      </c>
      <c r="Q454" s="8" t="s">
        <v>23</v>
      </c>
    </row>
    <row r="455" spans="1:17" hidden="1" x14ac:dyDescent="0.55000000000000004">
      <c r="A455" s="3" t="s">
        <v>335</v>
      </c>
      <c r="B455" s="3" t="s">
        <v>617</v>
      </c>
      <c r="C455" t="s">
        <v>337</v>
      </c>
      <c r="D455" s="3" t="s">
        <v>7319</v>
      </c>
      <c r="E455" t="s">
        <v>618</v>
      </c>
      <c r="F455" s="3" t="s">
        <v>619</v>
      </c>
      <c r="G455" t="s">
        <v>24</v>
      </c>
      <c r="H455" s="3" t="s">
        <v>355</v>
      </c>
      <c r="I455" t="s">
        <v>218</v>
      </c>
      <c r="J455" s="3" t="s">
        <v>354</v>
      </c>
      <c r="K455" s="4">
        <v>1825</v>
      </c>
      <c r="L455" s="5">
        <v>0</v>
      </c>
      <c r="M455" s="6">
        <v>0</v>
      </c>
      <c r="N455" s="7">
        <v>0</v>
      </c>
      <c r="O455" t="s">
        <v>23</v>
      </c>
      <c r="P455" s="3" t="s">
        <v>23</v>
      </c>
      <c r="Q455" s="8" t="s">
        <v>23</v>
      </c>
    </row>
    <row r="456" spans="1:17" hidden="1" x14ac:dyDescent="0.55000000000000004">
      <c r="A456" s="3" t="s">
        <v>335</v>
      </c>
      <c r="B456" s="3" t="s">
        <v>617</v>
      </c>
      <c r="C456" t="s">
        <v>337</v>
      </c>
      <c r="D456" s="3" t="s">
        <v>7319</v>
      </c>
      <c r="E456" t="s">
        <v>618</v>
      </c>
      <c r="F456" s="3" t="s">
        <v>619</v>
      </c>
      <c r="G456" t="s">
        <v>24</v>
      </c>
      <c r="H456" s="3" t="s">
        <v>356</v>
      </c>
      <c r="I456" t="s">
        <v>313</v>
      </c>
      <c r="J456" s="3" t="s">
        <v>354</v>
      </c>
      <c r="K456" s="4">
        <v>1600</v>
      </c>
      <c r="L456" s="5">
        <v>0</v>
      </c>
      <c r="M456" s="6">
        <v>0</v>
      </c>
      <c r="N456" s="7">
        <v>0</v>
      </c>
      <c r="O456" t="s">
        <v>23</v>
      </c>
      <c r="P456" s="3" t="s">
        <v>23</v>
      </c>
      <c r="Q456" s="8" t="s">
        <v>23</v>
      </c>
    </row>
    <row r="457" spans="1:17" hidden="1" x14ac:dyDescent="0.55000000000000004">
      <c r="A457" s="3" t="s">
        <v>335</v>
      </c>
      <c r="B457" s="3" t="s">
        <v>617</v>
      </c>
      <c r="C457" t="s">
        <v>337</v>
      </c>
      <c r="D457" s="3" t="s">
        <v>7319</v>
      </c>
      <c r="E457" t="s">
        <v>618</v>
      </c>
      <c r="F457" s="3" t="s">
        <v>619</v>
      </c>
      <c r="G457" t="s">
        <v>24</v>
      </c>
      <c r="H457" s="3" t="s">
        <v>357</v>
      </c>
      <c r="I457" t="s">
        <v>315</v>
      </c>
      <c r="J457" s="3" t="s">
        <v>354</v>
      </c>
      <c r="K457" s="4">
        <v>1228</v>
      </c>
      <c r="L457" s="5">
        <v>0</v>
      </c>
      <c r="M457" s="6">
        <v>0</v>
      </c>
      <c r="N457" s="7">
        <v>0</v>
      </c>
      <c r="O457" t="s">
        <v>23</v>
      </c>
      <c r="P457" s="3" t="s">
        <v>23</v>
      </c>
      <c r="Q457" s="8" t="s">
        <v>23</v>
      </c>
    </row>
    <row r="458" spans="1:17" hidden="1" x14ac:dyDescent="0.55000000000000004">
      <c r="A458" s="3" t="s">
        <v>335</v>
      </c>
      <c r="B458" s="3" t="s">
        <v>617</v>
      </c>
      <c r="C458" t="s">
        <v>337</v>
      </c>
      <c r="D458" s="3" t="s">
        <v>7319</v>
      </c>
      <c r="E458" t="s">
        <v>618</v>
      </c>
      <c r="F458" s="3" t="s">
        <v>619</v>
      </c>
      <c r="G458" t="s">
        <v>24</v>
      </c>
      <c r="H458" s="3" t="s">
        <v>358</v>
      </c>
      <c r="I458" t="s">
        <v>317</v>
      </c>
      <c r="J458" s="3" t="s">
        <v>354</v>
      </c>
      <c r="K458" s="4">
        <v>1461</v>
      </c>
      <c r="L458" s="5">
        <v>0</v>
      </c>
      <c r="M458" s="6">
        <v>0</v>
      </c>
      <c r="N458" s="7">
        <v>0</v>
      </c>
      <c r="O458" t="s">
        <v>23</v>
      </c>
      <c r="P458" s="3" t="s">
        <v>23</v>
      </c>
      <c r="Q458" s="8" t="s">
        <v>23</v>
      </c>
    </row>
    <row r="459" spans="1:17" hidden="1" x14ac:dyDescent="0.55000000000000004">
      <c r="A459" s="3" t="s">
        <v>335</v>
      </c>
      <c r="B459" s="3" t="s">
        <v>617</v>
      </c>
      <c r="C459" t="s">
        <v>337</v>
      </c>
      <c r="D459" s="3" t="s">
        <v>7319</v>
      </c>
      <c r="E459" t="s">
        <v>618</v>
      </c>
      <c r="F459" s="3" t="s">
        <v>619</v>
      </c>
      <c r="G459" t="s">
        <v>24</v>
      </c>
      <c r="H459" s="3" t="s">
        <v>620</v>
      </c>
      <c r="I459" t="s">
        <v>52</v>
      </c>
      <c r="J459" s="3" t="s">
        <v>621</v>
      </c>
      <c r="K459" s="4">
        <v>1773</v>
      </c>
      <c r="L459" s="5">
        <v>80.599999999999994</v>
      </c>
      <c r="M459" s="6">
        <v>1</v>
      </c>
      <c r="N459" s="7">
        <v>0</v>
      </c>
      <c r="O459" t="s">
        <v>622</v>
      </c>
      <c r="P459" s="3" t="s">
        <v>55</v>
      </c>
      <c r="Q459" s="8">
        <v>0.29572500000000002</v>
      </c>
    </row>
    <row r="460" spans="1:17" hidden="1" x14ac:dyDescent="0.55000000000000004">
      <c r="A460" s="3" t="s">
        <v>335</v>
      </c>
      <c r="B460" s="3" t="s">
        <v>617</v>
      </c>
      <c r="C460" t="s">
        <v>337</v>
      </c>
      <c r="D460" s="3" t="s">
        <v>7319</v>
      </c>
      <c r="E460" t="s">
        <v>618</v>
      </c>
      <c r="F460" s="3" t="s">
        <v>619</v>
      </c>
      <c r="G460" t="s">
        <v>24</v>
      </c>
      <c r="H460" s="3" t="s">
        <v>623</v>
      </c>
      <c r="I460" t="s">
        <v>26</v>
      </c>
      <c r="J460" s="3" t="s">
        <v>624</v>
      </c>
      <c r="K460" s="4">
        <v>1799</v>
      </c>
      <c r="L460" s="5">
        <v>81.77</v>
      </c>
      <c r="M460" s="6">
        <v>0</v>
      </c>
      <c r="N460" s="7">
        <v>0</v>
      </c>
      <c r="O460" t="s">
        <v>625</v>
      </c>
      <c r="P460" s="3" t="s">
        <v>29</v>
      </c>
      <c r="Q460" s="8">
        <v>0.29416700000000001</v>
      </c>
    </row>
    <row r="461" spans="1:17" hidden="1" x14ac:dyDescent="0.55000000000000004">
      <c r="A461" s="3" t="s">
        <v>335</v>
      </c>
      <c r="B461" s="3" t="s">
        <v>626</v>
      </c>
      <c r="C461" t="s">
        <v>626</v>
      </c>
      <c r="D461" s="3" t="s">
        <v>7319</v>
      </c>
      <c r="E461" t="s">
        <v>627</v>
      </c>
      <c r="F461" s="3" t="s">
        <v>628</v>
      </c>
      <c r="G461" t="s">
        <v>19</v>
      </c>
      <c r="H461" s="3" t="s">
        <v>629</v>
      </c>
      <c r="I461" t="s">
        <v>432</v>
      </c>
      <c r="J461" s="3" t="s">
        <v>630</v>
      </c>
      <c r="K461" s="4">
        <v>42</v>
      </c>
      <c r="L461" s="5">
        <v>9.24</v>
      </c>
      <c r="M461" s="6">
        <v>1</v>
      </c>
      <c r="N461" s="7">
        <v>1</v>
      </c>
      <c r="O461" t="s">
        <v>631</v>
      </c>
      <c r="P461" s="3" t="s">
        <v>403</v>
      </c>
      <c r="Q461" s="8">
        <v>9.3329999999999993E-3</v>
      </c>
    </row>
    <row r="462" spans="1:17" hidden="1" x14ac:dyDescent="0.55000000000000004">
      <c r="A462" s="3" t="s">
        <v>335</v>
      </c>
      <c r="B462" s="3" t="s">
        <v>626</v>
      </c>
      <c r="C462" t="s">
        <v>626</v>
      </c>
      <c r="D462" s="3" t="s">
        <v>7319</v>
      </c>
      <c r="E462" t="s">
        <v>627</v>
      </c>
      <c r="F462" s="3" t="s">
        <v>628</v>
      </c>
      <c r="G462" t="s">
        <v>24</v>
      </c>
      <c r="H462" s="3" t="s">
        <v>632</v>
      </c>
      <c r="I462" t="s">
        <v>52</v>
      </c>
      <c r="J462" s="3" t="s">
        <v>633</v>
      </c>
      <c r="K462" s="4">
        <v>1839</v>
      </c>
      <c r="L462" s="5">
        <v>83.57</v>
      </c>
      <c r="M462" s="6">
        <v>1</v>
      </c>
      <c r="N462" s="7">
        <v>1</v>
      </c>
      <c r="O462" t="s">
        <v>634</v>
      </c>
      <c r="P462" s="3" t="s">
        <v>55</v>
      </c>
      <c r="Q462" s="8">
        <v>0.29638500000000001</v>
      </c>
    </row>
    <row r="463" spans="1:17" hidden="1" x14ac:dyDescent="0.55000000000000004">
      <c r="A463" s="3" t="s">
        <v>335</v>
      </c>
      <c r="B463" s="3" t="s">
        <v>626</v>
      </c>
      <c r="C463" t="s">
        <v>626</v>
      </c>
      <c r="D463" s="3" t="s">
        <v>7319</v>
      </c>
      <c r="E463" t="s">
        <v>627</v>
      </c>
      <c r="F463" s="3" t="s">
        <v>628</v>
      </c>
      <c r="G463" t="s">
        <v>24</v>
      </c>
      <c r="H463" s="3" t="s">
        <v>635</v>
      </c>
      <c r="I463" t="s">
        <v>26</v>
      </c>
      <c r="J463" s="3" t="s">
        <v>636</v>
      </c>
      <c r="K463" s="4">
        <v>1716</v>
      </c>
      <c r="L463" s="5">
        <v>78</v>
      </c>
      <c r="M463" s="6">
        <v>0</v>
      </c>
      <c r="N463" s="7">
        <v>1</v>
      </c>
      <c r="O463" t="s">
        <v>637</v>
      </c>
      <c r="P463" s="3" t="s">
        <v>29</v>
      </c>
      <c r="Q463" s="8">
        <v>0.29083300000000001</v>
      </c>
    </row>
    <row r="464" spans="1:17" hidden="1" x14ac:dyDescent="0.55000000000000004">
      <c r="A464" s="3" t="s">
        <v>335</v>
      </c>
      <c r="B464" s="3" t="s">
        <v>626</v>
      </c>
      <c r="C464" t="s">
        <v>626</v>
      </c>
      <c r="D464" s="3" t="s">
        <v>7319</v>
      </c>
      <c r="E464" t="s">
        <v>638</v>
      </c>
      <c r="F464" s="3" t="s">
        <v>639</v>
      </c>
      <c r="G464" t="s">
        <v>19</v>
      </c>
      <c r="H464" s="3" t="s">
        <v>629</v>
      </c>
      <c r="I464" t="s">
        <v>432</v>
      </c>
      <c r="J464" s="3" t="s">
        <v>630</v>
      </c>
      <c r="K464" s="4">
        <v>42</v>
      </c>
      <c r="L464" s="5">
        <v>9.24</v>
      </c>
      <c r="M464" s="6">
        <v>1</v>
      </c>
      <c r="N464" s="7">
        <v>0</v>
      </c>
      <c r="O464" t="s">
        <v>631</v>
      </c>
      <c r="P464" s="3" t="s">
        <v>403</v>
      </c>
      <c r="Q464" s="8">
        <v>9.3329999999999993E-3</v>
      </c>
    </row>
    <row r="465" spans="1:17" hidden="1" x14ac:dyDescent="0.55000000000000004">
      <c r="A465" s="3" t="s">
        <v>335</v>
      </c>
      <c r="B465" s="3" t="s">
        <v>626</v>
      </c>
      <c r="C465" t="s">
        <v>626</v>
      </c>
      <c r="D465" s="3" t="s">
        <v>7319</v>
      </c>
      <c r="E465" t="s">
        <v>638</v>
      </c>
      <c r="F465" s="3" t="s">
        <v>639</v>
      </c>
      <c r="G465" t="s">
        <v>24</v>
      </c>
      <c r="H465" s="3" t="s">
        <v>632</v>
      </c>
      <c r="I465" t="s">
        <v>52</v>
      </c>
      <c r="J465" s="3" t="s">
        <v>633</v>
      </c>
      <c r="K465" s="4">
        <v>1839</v>
      </c>
      <c r="L465" s="5">
        <v>83.57</v>
      </c>
      <c r="M465" s="6">
        <v>1</v>
      </c>
      <c r="N465" s="7">
        <v>0</v>
      </c>
      <c r="O465" t="s">
        <v>634</v>
      </c>
      <c r="P465" s="3" t="s">
        <v>55</v>
      </c>
      <c r="Q465" s="8">
        <v>0.29638500000000001</v>
      </c>
    </row>
    <row r="466" spans="1:17" hidden="1" x14ac:dyDescent="0.55000000000000004">
      <c r="A466" s="3" t="s">
        <v>335</v>
      </c>
      <c r="B466" s="3" t="s">
        <v>626</v>
      </c>
      <c r="C466" t="s">
        <v>626</v>
      </c>
      <c r="D466" s="3" t="s">
        <v>7319</v>
      </c>
      <c r="E466" t="s">
        <v>638</v>
      </c>
      <c r="F466" s="3" t="s">
        <v>639</v>
      </c>
      <c r="G466" t="s">
        <v>24</v>
      </c>
      <c r="H466" s="3" t="s">
        <v>635</v>
      </c>
      <c r="I466" t="s">
        <v>26</v>
      </c>
      <c r="J466" s="3" t="s">
        <v>636</v>
      </c>
      <c r="K466" s="4">
        <v>1716</v>
      </c>
      <c r="L466" s="5">
        <v>78</v>
      </c>
      <c r="M466" s="6">
        <v>0</v>
      </c>
      <c r="N466" s="7">
        <v>0</v>
      </c>
      <c r="O466" t="s">
        <v>637</v>
      </c>
      <c r="P466" s="3" t="s">
        <v>29</v>
      </c>
      <c r="Q466" s="8">
        <v>0.29083300000000001</v>
      </c>
    </row>
    <row r="467" spans="1:17" hidden="1" x14ac:dyDescent="0.55000000000000004">
      <c r="A467" s="3" t="s">
        <v>335</v>
      </c>
      <c r="B467" s="3" t="s">
        <v>626</v>
      </c>
      <c r="C467" t="s">
        <v>626</v>
      </c>
      <c r="D467" s="3" t="s">
        <v>7319</v>
      </c>
      <c r="E467" t="s">
        <v>640</v>
      </c>
      <c r="F467" s="3" t="s">
        <v>641</v>
      </c>
      <c r="G467" t="s">
        <v>19</v>
      </c>
      <c r="H467" s="3" t="s">
        <v>629</v>
      </c>
      <c r="I467" t="s">
        <v>432</v>
      </c>
      <c r="J467" s="3" t="s">
        <v>630</v>
      </c>
      <c r="K467" s="4">
        <v>42</v>
      </c>
      <c r="L467" s="5">
        <v>9.24</v>
      </c>
      <c r="M467" s="6">
        <v>1</v>
      </c>
      <c r="N467" s="7">
        <v>0</v>
      </c>
      <c r="O467" t="s">
        <v>631</v>
      </c>
      <c r="P467" s="3" t="s">
        <v>403</v>
      </c>
      <c r="Q467" s="8">
        <v>9.3329999999999993E-3</v>
      </c>
    </row>
    <row r="468" spans="1:17" hidden="1" x14ac:dyDescent="0.55000000000000004">
      <c r="A468" s="3" t="s">
        <v>335</v>
      </c>
      <c r="B468" s="3" t="s">
        <v>626</v>
      </c>
      <c r="C468" t="s">
        <v>626</v>
      </c>
      <c r="D468" s="3" t="s">
        <v>7319</v>
      </c>
      <c r="E468" t="s">
        <v>640</v>
      </c>
      <c r="F468" s="3" t="s">
        <v>641</v>
      </c>
      <c r="G468" t="s">
        <v>24</v>
      </c>
      <c r="H468" s="3" t="s">
        <v>632</v>
      </c>
      <c r="I468" t="s">
        <v>52</v>
      </c>
      <c r="J468" s="3" t="s">
        <v>633</v>
      </c>
      <c r="K468" s="4">
        <v>1839</v>
      </c>
      <c r="L468" s="5">
        <v>83.57</v>
      </c>
      <c r="M468" s="6">
        <v>1</v>
      </c>
      <c r="N468" s="7">
        <v>0</v>
      </c>
      <c r="O468" t="s">
        <v>634</v>
      </c>
      <c r="P468" s="3" t="s">
        <v>55</v>
      </c>
      <c r="Q468" s="8">
        <v>0.29638500000000001</v>
      </c>
    </row>
    <row r="469" spans="1:17" hidden="1" x14ac:dyDescent="0.55000000000000004">
      <c r="A469" s="3" t="s">
        <v>335</v>
      </c>
      <c r="B469" s="3" t="s">
        <v>626</v>
      </c>
      <c r="C469" t="s">
        <v>626</v>
      </c>
      <c r="D469" s="3" t="s">
        <v>7319</v>
      </c>
      <c r="E469" t="s">
        <v>640</v>
      </c>
      <c r="F469" s="3" t="s">
        <v>641</v>
      </c>
      <c r="G469" t="s">
        <v>24</v>
      </c>
      <c r="H469" s="3" t="s">
        <v>635</v>
      </c>
      <c r="I469" t="s">
        <v>26</v>
      </c>
      <c r="J469" s="3" t="s">
        <v>636</v>
      </c>
      <c r="K469" s="4">
        <v>1716</v>
      </c>
      <c r="L469" s="5">
        <v>78</v>
      </c>
      <c r="M469" s="6">
        <v>0</v>
      </c>
      <c r="N469" s="7">
        <v>0</v>
      </c>
      <c r="O469" t="s">
        <v>637</v>
      </c>
      <c r="P469" s="3" t="s">
        <v>29</v>
      </c>
      <c r="Q469" s="8">
        <v>0.29083300000000001</v>
      </c>
    </row>
    <row r="470" spans="1:17" hidden="1" x14ac:dyDescent="0.55000000000000004">
      <c r="A470" s="3" t="s">
        <v>335</v>
      </c>
      <c r="B470" s="3" t="s">
        <v>626</v>
      </c>
      <c r="C470" t="s">
        <v>626</v>
      </c>
      <c r="D470" s="3" t="s">
        <v>7319</v>
      </c>
      <c r="E470" t="s">
        <v>642</v>
      </c>
      <c r="F470" s="3" t="s">
        <v>643</v>
      </c>
      <c r="G470" t="s">
        <v>19</v>
      </c>
      <c r="H470" s="3" t="s">
        <v>629</v>
      </c>
      <c r="I470" t="s">
        <v>432</v>
      </c>
      <c r="J470" s="3" t="s">
        <v>630</v>
      </c>
      <c r="K470" s="4">
        <v>42</v>
      </c>
      <c r="L470" s="5">
        <v>9.24</v>
      </c>
      <c r="M470" s="6">
        <v>1</v>
      </c>
      <c r="N470" s="7">
        <v>0</v>
      </c>
      <c r="O470" t="s">
        <v>631</v>
      </c>
      <c r="P470" s="3" t="s">
        <v>403</v>
      </c>
      <c r="Q470" s="8">
        <v>9.3329999999999993E-3</v>
      </c>
    </row>
    <row r="471" spans="1:17" hidden="1" x14ac:dyDescent="0.55000000000000004">
      <c r="A471" s="3" t="s">
        <v>335</v>
      </c>
      <c r="B471" s="3" t="s">
        <v>626</v>
      </c>
      <c r="C471" t="s">
        <v>626</v>
      </c>
      <c r="D471" s="3" t="s">
        <v>7319</v>
      </c>
      <c r="E471" t="s">
        <v>642</v>
      </c>
      <c r="F471" s="3" t="s">
        <v>643</v>
      </c>
      <c r="G471" t="s">
        <v>24</v>
      </c>
      <c r="H471" s="3" t="s">
        <v>632</v>
      </c>
      <c r="I471" t="s">
        <v>52</v>
      </c>
      <c r="J471" s="3" t="s">
        <v>633</v>
      </c>
      <c r="K471" s="4">
        <v>1839</v>
      </c>
      <c r="L471" s="5">
        <v>83.57</v>
      </c>
      <c r="M471" s="6">
        <v>1</v>
      </c>
      <c r="N471" s="7">
        <v>0</v>
      </c>
      <c r="O471" t="s">
        <v>634</v>
      </c>
      <c r="P471" s="3" t="s">
        <v>55</v>
      </c>
      <c r="Q471" s="8">
        <v>0.29638500000000001</v>
      </c>
    </row>
    <row r="472" spans="1:17" hidden="1" x14ac:dyDescent="0.55000000000000004">
      <c r="A472" s="3" t="s">
        <v>335</v>
      </c>
      <c r="B472" s="3" t="s">
        <v>626</v>
      </c>
      <c r="C472" t="s">
        <v>626</v>
      </c>
      <c r="D472" s="3" t="s">
        <v>7319</v>
      </c>
      <c r="E472" t="s">
        <v>642</v>
      </c>
      <c r="F472" s="3" t="s">
        <v>643</v>
      </c>
      <c r="G472" t="s">
        <v>24</v>
      </c>
      <c r="H472" s="3" t="s">
        <v>635</v>
      </c>
      <c r="I472" t="s">
        <v>26</v>
      </c>
      <c r="J472" s="3" t="s">
        <v>636</v>
      </c>
      <c r="K472" s="4">
        <v>1716</v>
      </c>
      <c r="L472" s="5">
        <v>78</v>
      </c>
      <c r="M472" s="6">
        <v>0</v>
      </c>
      <c r="N472" s="7">
        <v>0</v>
      </c>
      <c r="O472" t="s">
        <v>637</v>
      </c>
      <c r="P472" s="3" t="s">
        <v>29</v>
      </c>
      <c r="Q472" s="8">
        <v>0.29083300000000001</v>
      </c>
    </row>
    <row r="473" spans="1:17" hidden="1" x14ac:dyDescent="0.55000000000000004">
      <c r="A473" s="3" t="s">
        <v>335</v>
      </c>
      <c r="B473" s="3" t="s">
        <v>7324</v>
      </c>
      <c r="C473" t="s">
        <v>626</v>
      </c>
      <c r="D473" s="3" t="s">
        <v>7319</v>
      </c>
      <c r="E473" t="s">
        <v>644</v>
      </c>
      <c r="F473" s="3" t="s">
        <v>645</v>
      </c>
      <c r="G473" t="s">
        <v>24</v>
      </c>
      <c r="H473" s="3" t="s">
        <v>646</v>
      </c>
      <c r="I473" t="s">
        <v>26</v>
      </c>
      <c r="J473" s="3" t="s">
        <v>647</v>
      </c>
      <c r="K473" s="4">
        <v>1369</v>
      </c>
      <c r="L473" s="5">
        <v>62.23</v>
      </c>
      <c r="M473" s="6">
        <v>1</v>
      </c>
      <c r="N473" s="7">
        <v>0</v>
      </c>
      <c r="O473" t="s">
        <v>648</v>
      </c>
      <c r="P473" s="3" t="s">
        <v>76</v>
      </c>
      <c r="Q473" s="8">
        <v>0.27083299999999999</v>
      </c>
    </row>
    <row r="474" spans="1:17" hidden="1" x14ac:dyDescent="0.55000000000000004">
      <c r="A474" s="3" t="s">
        <v>335</v>
      </c>
      <c r="B474" s="3" t="s">
        <v>649</v>
      </c>
      <c r="C474" t="s">
        <v>337</v>
      </c>
      <c r="D474" s="3" t="s">
        <v>7319</v>
      </c>
      <c r="E474" t="s">
        <v>650</v>
      </c>
      <c r="F474" s="3" t="s">
        <v>651</v>
      </c>
      <c r="G474" t="s">
        <v>19</v>
      </c>
      <c r="H474" s="3" t="s">
        <v>652</v>
      </c>
      <c r="I474" t="s">
        <v>653</v>
      </c>
      <c r="J474" s="3" t="s">
        <v>654</v>
      </c>
      <c r="K474" s="4">
        <v>30</v>
      </c>
      <c r="L474" s="5">
        <v>6.61</v>
      </c>
      <c r="M474" s="6">
        <v>1</v>
      </c>
      <c r="N474" s="7">
        <v>1</v>
      </c>
      <c r="O474" t="s">
        <v>655</v>
      </c>
      <c r="P474" s="3" t="s">
        <v>656</v>
      </c>
      <c r="Q474" s="8">
        <v>1.5211000000000001E-2</v>
      </c>
    </row>
    <row r="475" spans="1:17" hidden="1" x14ac:dyDescent="0.55000000000000004">
      <c r="A475" s="3" t="s">
        <v>335</v>
      </c>
      <c r="B475" s="3" t="s">
        <v>649</v>
      </c>
      <c r="C475" t="s">
        <v>337</v>
      </c>
      <c r="D475" s="3" t="s">
        <v>7319</v>
      </c>
      <c r="E475" t="s">
        <v>650</v>
      </c>
      <c r="F475" s="3" t="s">
        <v>651</v>
      </c>
      <c r="G475" t="s">
        <v>24</v>
      </c>
      <c r="H475" s="3" t="s">
        <v>343</v>
      </c>
      <c r="I475" t="s">
        <v>52</v>
      </c>
      <c r="J475" s="3" t="s">
        <v>344</v>
      </c>
      <c r="K475" s="4">
        <v>1393</v>
      </c>
      <c r="L475" s="5">
        <v>0</v>
      </c>
      <c r="M475" s="6">
        <v>0</v>
      </c>
      <c r="N475" s="7">
        <v>1</v>
      </c>
      <c r="O475" t="s">
        <v>23</v>
      </c>
      <c r="P475" s="3" t="s">
        <v>23</v>
      </c>
      <c r="Q475" s="8" t="s">
        <v>23</v>
      </c>
    </row>
    <row r="476" spans="1:17" hidden="1" x14ac:dyDescent="0.55000000000000004">
      <c r="A476" s="3" t="s">
        <v>335</v>
      </c>
      <c r="B476" s="3" t="s">
        <v>649</v>
      </c>
      <c r="C476" t="s">
        <v>337</v>
      </c>
      <c r="D476" s="3" t="s">
        <v>7319</v>
      </c>
      <c r="E476" t="s">
        <v>650</v>
      </c>
      <c r="F476" s="3" t="s">
        <v>651</v>
      </c>
      <c r="G476" t="s">
        <v>24</v>
      </c>
      <c r="H476" s="3" t="s">
        <v>345</v>
      </c>
      <c r="I476" t="s">
        <v>296</v>
      </c>
      <c r="J476" s="3" t="s">
        <v>344</v>
      </c>
      <c r="K476" s="4">
        <v>1246</v>
      </c>
      <c r="L476" s="5">
        <v>0</v>
      </c>
      <c r="M476" s="6">
        <v>0</v>
      </c>
      <c r="N476" s="7">
        <v>1</v>
      </c>
      <c r="O476" t="s">
        <v>23</v>
      </c>
      <c r="P476" s="3" t="s">
        <v>23</v>
      </c>
      <c r="Q476" s="8" t="s">
        <v>23</v>
      </c>
    </row>
    <row r="477" spans="1:17" hidden="1" x14ac:dyDescent="0.55000000000000004">
      <c r="A477" s="3" t="s">
        <v>335</v>
      </c>
      <c r="B477" s="3" t="s">
        <v>649</v>
      </c>
      <c r="C477" t="s">
        <v>337</v>
      </c>
      <c r="D477" s="3" t="s">
        <v>7319</v>
      </c>
      <c r="E477" t="s">
        <v>650</v>
      </c>
      <c r="F477" s="3" t="s">
        <v>651</v>
      </c>
      <c r="G477" t="s">
        <v>24</v>
      </c>
      <c r="H477" s="3" t="s">
        <v>346</v>
      </c>
      <c r="I477" t="s">
        <v>298</v>
      </c>
      <c r="J477" s="3" t="s">
        <v>344</v>
      </c>
      <c r="K477" s="4">
        <v>1677</v>
      </c>
      <c r="L477" s="5">
        <v>0</v>
      </c>
      <c r="M477" s="6">
        <v>0</v>
      </c>
      <c r="N477" s="7">
        <v>1</v>
      </c>
      <c r="O477" t="s">
        <v>23</v>
      </c>
      <c r="P477" s="3" t="s">
        <v>23</v>
      </c>
      <c r="Q477" s="8" t="s">
        <v>23</v>
      </c>
    </row>
    <row r="478" spans="1:17" hidden="1" x14ac:dyDescent="0.55000000000000004">
      <c r="A478" s="3" t="s">
        <v>335</v>
      </c>
      <c r="B478" s="3" t="s">
        <v>649</v>
      </c>
      <c r="C478" t="s">
        <v>337</v>
      </c>
      <c r="D478" s="3" t="s">
        <v>7319</v>
      </c>
      <c r="E478" t="s">
        <v>650</v>
      </c>
      <c r="F478" s="3" t="s">
        <v>651</v>
      </c>
      <c r="G478" t="s">
        <v>24</v>
      </c>
      <c r="H478" s="3" t="s">
        <v>347</v>
      </c>
      <c r="I478" t="s">
        <v>300</v>
      </c>
      <c r="J478" s="3" t="s">
        <v>344</v>
      </c>
      <c r="K478" s="4">
        <v>1374</v>
      </c>
      <c r="L478" s="5">
        <v>0</v>
      </c>
      <c r="M478" s="6">
        <v>0</v>
      </c>
      <c r="N478" s="7">
        <v>1</v>
      </c>
      <c r="O478" t="s">
        <v>23</v>
      </c>
      <c r="P478" s="3" t="s">
        <v>23</v>
      </c>
      <c r="Q478" s="8" t="s">
        <v>23</v>
      </c>
    </row>
    <row r="479" spans="1:17" hidden="1" x14ac:dyDescent="0.55000000000000004">
      <c r="A479" s="3" t="s">
        <v>335</v>
      </c>
      <c r="B479" s="3" t="s">
        <v>649</v>
      </c>
      <c r="C479" t="s">
        <v>337</v>
      </c>
      <c r="D479" s="3" t="s">
        <v>7319</v>
      </c>
      <c r="E479" t="s">
        <v>650</v>
      </c>
      <c r="F479" s="3" t="s">
        <v>651</v>
      </c>
      <c r="G479" t="s">
        <v>24</v>
      </c>
      <c r="H479" s="3" t="s">
        <v>348</v>
      </c>
      <c r="I479" t="s">
        <v>304</v>
      </c>
      <c r="J479" s="3" t="s">
        <v>344</v>
      </c>
      <c r="K479" s="4">
        <v>1834</v>
      </c>
      <c r="L479" s="5">
        <v>0</v>
      </c>
      <c r="M479" s="6">
        <v>0</v>
      </c>
      <c r="N479" s="7">
        <v>1</v>
      </c>
      <c r="O479" t="s">
        <v>23</v>
      </c>
      <c r="P479" s="3" t="s">
        <v>23</v>
      </c>
      <c r="Q479" s="8" t="s">
        <v>23</v>
      </c>
    </row>
    <row r="480" spans="1:17" hidden="1" x14ac:dyDescent="0.55000000000000004">
      <c r="A480" s="3" t="s">
        <v>335</v>
      </c>
      <c r="B480" s="3" t="s">
        <v>649</v>
      </c>
      <c r="C480" t="s">
        <v>337</v>
      </c>
      <c r="D480" s="3" t="s">
        <v>7319</v>
      </c>
      <c r="E480" t="s">
        <v>650</v>
      </c>
      <c r="F480" s="3" t="s">
        <v>651</v>
      </c>
      <c r="G480" t="s">
        <v>24</v>
      </c>
      <c r="H480" s="3" t="s">
        <v>349</v>
      </c>
      <c r="I480" t="s">
        <v>302</v>
      </c>
      <c r="J480" s="3" t="s">
        <v>344</v>
      </c>
      <c r="K480" s="4">
        <v>1611</v>
      </c>
      <c r="L480" s="5">
        <v>0</v>
      </c>
      <c r="M480" s="6">
        <v>0</v>
      </c>
      <c r="N480" s="7">
        <v>1</v>
      </c>
      <c r="O480" t="s">
        <v>23</v>
      </c>
      <c r="P480" s="3" t="s">
        <v>23</v>
      </c>
      <c r="Q480" s="8" t="s">
        <v>23</v>
      </c>
    </row>
    <row r="481" spans="1:17" hidden="1" x14ac:dyDescent="0.55000000000000004">
      <c r="A481" s="3" t="s">
        <v>335</v>
      </c>
      <c r="B481" s="3" t="s">
        <v>649</v>
      </c>
      <c r="C481" t="s">
        <v>337</v>
      </c>
      <c r="D481" s="3" t="s">
        <v>7319</v>
      </c>
      <c r="E481" t="s">
        <v>650</v>
      </c>
      <c r="F481" s="3" t="s">
        <v>651</v>
      </c>
      <c r="G481" t="s">
        <v>24</v>
      </c>
      <c r="H481" s="3" t="s">
        <v>353</v>
      </c>
      <c r="I481" t="s">
        <v>309</v>
      </c>
      <c r="J481" s="3" t="s">
        <v>354</v>
      </c>
      <c r="K481" s="4">
        <v>1615</v>
      </c>
      <c r="L481" s="5">
        <v>0</v>
      </c>
      <c r="M481" s="6">
        <v>0</v>
      </c>
      <c r="N481" s="7">
        <v>1</v>
      </c>
      <c r="O481" t="s">
        <v>23</v>
      </c>
      <c r="P481" s="3" t="s">
        <v>23</v>
      </c>
      <c r="Q481" s="8" t="s">
        <v>23</v>
      </c>
    </row>
    <row r="482" spans="1:17" hidden="1" x14ac:dyDescent="0.55000000000000004">
      <c r="A482" s="3" t="s">
        <v>335</v>
      </c>
      <c r="B482" s="3" t="s">
        <v>649</v>
      </c>
      <c r="C482" t="s">
        <v>337</v>
      </c>
      <c r="D482" s="3" t="s">
        <v>7319</v>
      </c>
      <c r="E482" t="s">
        <v>650</v>
      </c>
      <c r="F482" s="3" t="s">
        <v>651</v>
      </c>
      <c r="G482" t="s">
        <v>24</v>
      </c>
      <c r="H482" s="3" t="s">
        <v>355</v>
      </c>
      <c r="I482" t="s">
        <v>218</v>
      </c>
      <c r="J482" s="3" t="s">
        <v>354</v>
      </c>
      <c r="K482" s="4">
        <v>1825</v>
      </c>
      <c r="L482" s="5">
        <v>0</v>
      </c>
      <c r="M482" s="6">
        <v>0</v>
      </c>
      <c r="N482" s="7">
        <v>1</v>
      </c>
      <c r="O482" t="s">
        <v>23</v>
      </c>
      <c r="P482" s="3" t="s">
        <v>23</v>
      </c>
      <c r="Q482" s="8" t="s">
        <v>23</v>
      </c>
    </row>
    <row r="483" spans="1:17" hidden="1" x14ac:dyDescent="0.55000000000000004">
      <c r="A483" s="3" t="s">
        <v>335</v>
      </c>
      <c r="B483" s="3" t="s">
        <v>649</v>
      </c>
      <c r="C483" t="s">
        <v>337</v>
      </c>
      <c r="D483" s="3" t="s">
        <v>7319</v>
      </c>
      <c r="E483" t="s">
        <v>650</v>
      </c>
      <c r="F483" s="3" t="s">
        <v>651</v>
      </c>
      <c r="G483" t="s">
        <v>24</v>
      </c>
      <c r="H483" s="3" t="s">
        <v>356</v>
      </c>
      <c r="I483" t="s">
        <v>313</v>
      </c>
      <c r="J483" s="3" t="s">
        <v>354</v>
      </c>
      <c r="K483" s="4">
        <v>1600</v>
      </c>
      <c r="L483" s="5">
        <v>0</v>
      </c>
      <c r="M483" s="6">
        <v>0</v>
      </c>
      <c r="N483" s="7">
        <v>1</v>
      </c>
      <c r="O483" t="s">
        <v>23</v>
      </c>
      <c r="P483" s="3" t="s">
        <v>23</v>
      </c>
      <c r="Q483" s="8" t="s">
        <v>23</v>
      </c>
    </row>
    <row r="484" spans="1:17" hidden="1" x14ac:dyDescent="0.55000000000000004">
      <c r="A484" s="3" t="s">
        <v>335</v>
      </c>
      <c r="B484" s="3" t="s">
        <v>649</v>
      </c>
      <c r="C484" t="s">
        <v>337</v>
      </c>
      <c r="D484" s="3" t="s">
        <v>7319</v>
      </c>
      <c r="E484" t="s">
        <v>650</v>
      </c>
      <c r="F484" s="3" t="s">
        <v>651</v>
      </c>
      <c r="G484" t="s">
        <v>24</v>
      </c>
      <c r="H484" s="3" t="s">
        <v>357</v>
      </c>
      <c r="I484" t="s">
        <v>315</v>
      </c>
      <c r="J484" s="3" t="s">
        <v>354</v>
      </c>
      <c r="K484" s="4">
        <v>1228</v>
      </c>
      <c r="L484" s="5">
        <v>0</v>
      </c>
      <c r="M484" s="6">
        <v>0</v>
      </c>
      <c r="N484" s="7">
        <v>1</v>
      </c>
      <c r="O484" t="s">
        <v>23</v>
      </c>
      <c r="P484" s="3" t="s">
        <v>23</v>
      </c>
      <c r="Q484" s="8" t="s">
        <v>23</v>
      </c>
    </row>
    <row r="485" spans="1:17" hidden="1" x14ac:dyDescent="0.55000000000000004">
      <c r="A485" s="3" t="s">
        <v>335</v>
      </c>
      <c r="B485" s="3" t="s">
        <v>649</v>
      </c>
      <c r="C485" t="s">
        <v>337</v>
      </c>
      <c r="D485" s="3" t="s">
        <v>7319</v>
      </c>
      <c r="E485" t="s">
        <v>650</v>
      </c>
      <c r="F485" s="3" t="s">
        <v>651</v>
      </c>
      <c r="G485" t="s">
        <v>24</v>
      </c>
      <c r="H485" s="3" t="s">
        <v>358</v>
      </c>
      <c r="I485" t="s">
        <v>317</v>
      </c>
      <c r="J485" s="3" t="s">
        <v>354</v>
      </c>
      <c r="K485" s="4">
        <v>1461</v>
      </c>
      <c r="L485" s="5">
        <v>0</v>
      </c>
      <c r="M485" s="6">
        <v>0</v>
      </c>
      <c r="N485" s="7">
        <v>1</v>
      </c>
      <c r="O485" t="s">
        <v>23</v>
      </c>
      <c r="P485" s="3" t="s">
        <v>23</v>
      </c>
      <c r="Q485" s="8" t="s">
        <v>23</v>
      </c>
    </row>
    <row r="486" spans="1:17" hidden="1" x14ac:dyDescent="0.55000000000000004">
      <c r="A486" s="3" t="s">
        <v>335</v>
      </c>
      <c r="B486" s="3" t="s">
        <v>649</v>
      </c>
      <c r="C486" t="s">
        <v>337</v>
      </c>
      <c r="D486" s="3" t="s">
        <v>7319</v>
      </c>
      <c r="E486" t="s">
        <v>650</v>
      </c>
      <c r="F486" s="3" t="s">
        <v>651</v>
      </c>
      <c r="G486" t="s">
        <v>24</v>
      </c>
      <c r="H486" s="3" t="s">
        <v>657</v>
      </c>
      <c r="I486" t="s">
        <v>26</v>
      </c>
      <c r="J486" s="3" t="s">
        <v>658</v>
      </c>
      <c r="K486" s="4">
        <v>1323</v>
      </c>
      <c r="L486" s="5">
        <v>60.16</v>
      </c>
      <c r="M486" s="6">
        <v>1</v>
      </c>
      <c r="N486" s="7">
        <v>1</v>
      </c>
      <c r="O486" t="s">
        <v>659</v>
      </c>
      <c r="P486" s="3" t="s">
        <v>76</v>
      </c>
      <c r="Q486" s="8">
        <v>0.29416700000000001</v>
      </c>
    </row>
    <row r="487" spans="1:17" hidden="1" x14ac:dyDescent="0.55000000000000004">
      <c r="A487" s="3" t="s">
        <v>335</v>
      </c>
      <c r="B487" s="3" t="s">
        <v>649</v>
      </c>
      <c r="C487" t="s">
        <v>337</v>
      </c>
      <c r="D487" s="3" t="s">
        <v>7319</v>
      </c>
      <c r="E487" t="s">
        <v>660</v>
      </c>
      <c r="F487" s="3" t="s">
        <v>661</v>
      </c>
      <c r="G487" t="s">
        <v>24</v>
      </c>
      <c r="H487" s="3" t="s">
        <v>343</v>
      </c>
      <c r="I487" t="s">
        <v>52</v>
      </c>
      <c r="J487" s="3" t="s">
        <v>344</v>
      </c>
      <c r="K487" s="4">
        <v>1393</v>
      </c>
      <c r="L487" s="5">
        <v>0</v>
      </c>
      <c r="M487" s="6">
        <v>0</v>
      </c>
      <c r="N487" s="7">
        <v>0</v>
      </c>
      <c r="O487" t="s">
        <v>23</v>
      </c>
      <c r="P487" s="3" t="s">
        <v>23</v>
      </c>
      <c r="Q487" s="8" t="s">
        <v>23</v>
      </c>
    </row>
    <row r="488" spans="1:17" hidden="1" x14ac:dyDescent="0.55000000000000004">
      <c r="A488" s="3" t="s">
        <v>335</v>
      </c>
      <c r="B488" s="3" t="s">
        <v>649</v>
      </c>
      <c r="C488" t="s">
        <v>337</v>
      </c>
      <c r="D488" s="3" t="s">
        <v>7319</v>
      </c>
      <c r="E488" t="s">
        <v>660</v>
      </c>
      <c r="F488" s="3" t="s">
        <v>661</v>
      </c>
      <c r="G488" t="s">
        <v>24</v>
      </c>
      <c r="H488" s="3" t="s">
        <v>345</v>
      </c>
      <c r="I488" t="s">
        <v>296</v>
      </c>
      <c r="J488" s="3" t="s">
        <v>344</v>
      </c>
      <c r="K488" s="4">
        <v>1246</v>
      </c>
      <c r="L488" s="5">
        <v>0</v>
      </c>
      <c r="M488" s="6">
        <v>0</v>
      </c>
      <c r="N488" s="7">
        <v>0</v>
      </c>
      <c r="O488" t="s">
        <v>23</v>
      </c>
      <c r="P488" s="3" t="s">
        <v>23</v>
      </c>
      <c r="Q488" s="8" t="s">
        <v>23</v>
      </c>
    </row>
    <row r="489" spans="1:17" hidden="1" x14ac:dyDescent="0.55000000000000004">
      <c r="A489" s="3" t="s">
        <v>335</v>
      </c>
      <c r="B489" s="3" t="s">
        <v>649</v>
      </c>
      <c r="C489" t="s">
        <v>337</v>
      </c>
      <c r="D489" s="3" t="s">
        <v>7319</v>
      </c>
      <c r="E489" t="s">
        <v>660</v>
      </c>
      <c r="F489" s="3" t="s">
        <v>661</v>
      </c>
      <c r="G489" t="s">
        <v>24</v>
      </c>
      <c r="H489" s="3" t="s">
        <v>346</v>
      </c>
      <c r="I489" t="s">
        <v>298</v>
      </c>
      <c r="J489" s="3" t="s">
        <v>344</v>
      </c>
      <c r="K489" s="4">
        <v>1677</v>
      </c>
      <c r="L489" s="5">
        <v>0</v>
      </c>
      <c r="M489" s="6">
        <v>0</v>
      </c>
      <c r="N489" s="7">
        <v>0</v>
      </c>
      <c r="O489" t="s">
        <v>23</v>
      </c>
      <c r="P489" s="3" t="s">
        <v>23</v>
      </c>
      <c r="Q489" s="8" t="s">
        <v>23</v>
      </c>
    </row>
    <row r="490" spans="1:17" hidden="1" x14ac:dyDescent="0.55000000000000004">
      <c r="A490" s="3" t="s">
        <v>335</v>
      </c>
      <c r="B490" s="3" t="s">
        <v>649</v>
      </c>
      <c r="C490" t="s">
        <v>337</v>
      </c>
      <c r="D490" s="3" t="s">
        <v>7319</v>
      </c>
      <c r="E490" t="s">
        <v>660</v>
      </c>
      <c r="F490" s="3" t="s">
        <v>661</v>
      </c>
      <c r="G490" t="s">
        <v>24</v>
      </c>
      <c r="H490" s="3" t="s">
        <v>347</v>
      </c>
      <c r="I490" t="s">
        <v>300</v>
      </c>
      <c r="J490" s="3" t="s">
        <v>344</v>
      </c>
      <c r="K490" s="4">
        <v>1374</v>
      </c>
      <c r="L490" s="5">
        <v>0</v>
      </c>
      <c r="M490" s="6">
        <v>0</v>
      </c>
      <c r="N490" s="7">
        <v>0</v>
      </c>
      <c r="O490" t="s">
        <v>23</v>
      </c>
      <c r="P490" s="3" t="s">
        <v>23</v>
      </c>
      <c r="Q490" s="8" t="s">
        <v>23</v>
      </c>
    </row>
    <row r="491" spans="1:17" hidden="1" x14ac:dyDescent="0.55000000000000004">
      <c r="A491" s="3" t="s">
        <v>335</v>
      </c>
      <c r="B491" s="3" t="s">
        <v>649</v>
      </c>
      <c r="C491" t="s">
        <v>337</v>
      </c>
      <c r="D491" s="3" t="s">
        <v>7319</v>
      </c>
      <c r="E491" t="s">
        <v>660</v>
      </c>
      <c r="F491" s="3" t="s">
        <v>661</v>
      </c>
      <c r="G491" t="s">
        <v>24</v>
      </c>
      <c r="H491" s="3" t="s">
        <v>348</v>
      </c>
      <c r="I491" t="s">
        <v>304</v>
      </c>
      <c r="J491" s="3" t="s">
        <v>344</v>
      </c>
      <c r="K491" s="4">
        <v>1834</v>
      </c>
      <c r="L491" s="5">
        <v>0</v>
      </c>
      <c r="M491" s="6">
        <v>0</v>
      </c>
      <c r="N491" s="7">
        <v>0</v>
      </c>
      <c r="O491" t="s">
        <v>23</v>
      </c>
      <c r="P491" s="3" t="s">
        <v>23</v>
      </c>
      <c r="Q491" s="8" t="s">
        <v>23</v>
      </c>
    </row>
    <row r="492" spans="1:17" hidden="1" x14ac:dyDescent="0.55000000000000004">
      <c r="A492" s="3" t="s">
        <v>335</v>
      </c>
      <c r="B492" s="3" t="s">
        <v>649</v>
      </c>
      <c r="C492" t="s">
        <v>337</v>
      </c>
      <c r="D492" s="3" t="s">
        <v>7319</v>
      </c>
      <c r="E492" t="s">
        <v>660</v>
      </c>
      <c r="F492" s="3" t="s">
        <v>661</v>
      </c>
      <c r="G492" t="s">
        <v>24</v>
      </c>
      <c r="H492" s="3" t="s">
        <v>349</v>
      </c>
      <c r="I492" t="s">
        <v>302</v>
      </c>
      <c r="J492" s="3" t="s">
        <v>344</v>
      </c>
      <c r="K492" s="4">
        <v>1611</v>
      </c>
      <c r="L492" s="5">
        <v>0</v>
      </c>
      <c r="M492" s="6">
        <v>0</v>
      </c>
      <c r="N492" s="7">
        <v>0</v>
      </c>
      <c r="O492" t="s">
        <v>23</v>
      </c>
      <c r="P492" s="3" t="s">
        <v>23</v>
      </c>
      <c r="Q492" s="8" t="s">
        <v>23</v>
      </c>
    </row>
    <row r="493" spans="1:17" hidden="1" x14ac:dyDescent="0.55000000000000004">
      <c r="A493" s="3" t="s">
        <v>335</v>
      </c>
      <c r="B493" s="3" t="s">
        <v>649</v>
      </c>
      <c r="C493" t="s">
        <v>337</v>
      </c>
      <c r="D493" s="3" t="s">
        <v>7319</v>
      </c>
      <c r="E493" t="s">
        <v>660</v>
      </c>
      <c r="F493" s="3" t="s">
        <v>661</v>
      </c>
      <c r="G493" t="s">
        <v>24</v>
      </c>
      <c r="H493" s="3" t="s">
        <v>353</v>
      </c>
      <c r="I493" t="s">
        <v>309</v>
      </c>
      <c r="J493" s="3" t="s">
        <v>354</v>
      </c>
      <c r="K493" s="4">
        <v>1615</v>
      </c>
      <c r="L493" s="5">
        <v>0</v>
      </c>
      <c r="M493" s="6">
        <v>0</v>
      </c>
      <c r="N493" s="7">
        <v>0</v>
      </c>
      <c r="O493" t="s">
        <v>23</v>
      </c>
      <c r="P493" s="3" t="s">
        <v>23</v>
      </c>
      <c r="Q493" s="8" t="s">
        <v>23</v>
      </c>
    </row>
    <row r="494" spans="1:17" hidden="1" x14ac:dyDescent="0.55000000000000004">
      <c r="A494" s="3" t="s">
        <v>335</v>
      </c>
      <c r="B494" s="3" t="s">
        <v>649</v>
      </c>
      <c r="C494" t="s">
        <v>337</v>
      </c>
      <c r="D494" s="3" t="s">
        <v>7319</v>
      </c>
      <c r="E494" t="s">
        <v>660</v>
      </c>
      <c r="F494" s="3" t="s">
        <v>661</v>
      </c>
      <c r="G494" t="s">
        <v>24</v>
      </c>
      <c r="H494" s="3" t="s">
        <v>355</v>
      </c>
      <c r="I494" t="s">
        <v>218</v>
      </c>
      <c r="J494" s="3" t="s">
        <v>354</v>
      </c>
      <c r="K494" s="4">
        <v>1825</v>
      </c>
      <c r="L494" s="5">
        <v>0</v>
      </c>
      <c r="M494" s="6">
        <v>0</v>
      </c>
      <c r="N494" s="7">
        <v>0</v>
      </c>
      <c r="O494" t="s">
        <v>23</v>
      </c>
      <c r="P494" s="3" t="s">
        <v>23</v>
      </c>
      <c r="Q494" s="8" t="s">
        <v>23</v>
      </c>
    </row>
    <row r="495" spans="1:17" hidden="1" x14ac:dyDescent="0.55000000000000004">
      <c r="A495" s="3" t="s">
        <v>335</v>
      </c>
      <c r="B495" s="3" t="s">
        <v>649</v>
      </c>
      <c r="C495" t="s">
        <v>337</v>
      </c>
      <c r="D495" s="3" t="s">
        <v>7319</v>
      </c>
      <c r="E495" t="s">
        <v>660</v>
      </c>
      <c r="F495" s="3" t="s">
        <v>661</v>
      </c>
      <c r="G495" t="s">
        <v>24</v>
      </c>
      <c r="H495" s="3" t="s">
        <v>356</v>
      </c>
      <c r="I495" t="s">
        <v>313</v>
      </c>
      <c r="J495" s="3" t="s">
        <v>354</v>
      </c>
      <c r="K495" s="4">
        <v>1600</v>
      </c>
      <c r="L495" s="5">
        <v>0</v>
      </c>
      <c r="M495" s="6">
        <v>0</v>
      </c>
      <c r="N495" s="7">
        <v>0</v>
      </c>
      <c r="O495" t="s">
        <v>23</v>
      </c>
      <c r="P495" s="3" t="s">
        <v>23</v>
      </c>
      <c r="Q495" s="8" t="s">
        <v>23</v>
      </c>
    </row>
    <row r="496" spans="1:17" hidden="1" x14ac:dyDescent="0.55000000000000004">
      <c r="A496" s="3" t="s">
        <v>335</v>
      </c>
      <c r="B496" s="3" t="s">
        <v>649</v>
      </c>
      <c r="C496" t="s">
        <v>337</v>
      </c>
      <c r="D496" s="3" t="s">
        <v>7319</v>
      </c>
      <c r="E496" t="s">
        <v>660</v>
      </c>
      <c r="F496" s="3" t="s">
        <v>661</v>
      </c>
      <c r="G496" t="s">
        <v>24</v>
      </c>
      <c r="H496" s="3" t="s">
        <v>357</v>
      </c>
      <c r="I496" t="s">
        <v>315</v>
      </c>
      <c r="J496" s="3" t="s">
        <v>354</v>
      </c>
      <c r="K496" s="4">
        <v>1228</v>
      </c>
      <c r="L496" s="5">
        <v>0</v>
      </c>
      <c r="M496" s="6">
        <v>0</v>
      </c>
      <c r="N496" s="7">
        <v>0</v>
      </c>
      <c r="O496" t="s">
        <v>23</v>
      </c>
      <c r="P496" s="3" t="s">
        <v>23</v>
      </c>
      <c r="Q496" s="8" t="s">
        <v>23</v>
      </c>
    </row>
    <row r="497" spans="1:17" hidden="1" x14ac:dyDescent="0.55000000000000004">
      <c r="A497" s="3" t="s">
        <v>335</v>
      </c>
      <c r="B497" s="3" t="s">
        <v>649</v>
      </c>
      <c r="C497" t="s">
        <v>337</v>
      </c>
      <c r="D497" s="3" t="s">
        <v>7319</v>
      </c>
      <c r="E497" t="s">
        <v>660</v>
      </c>
      <c r="F497" s="3" t="s">
        <v>661</v>
      </c>
      <c r="G497" t="s">
        <v>24</v>
      </c>
      <c r="H497" s="3" t="s">
        <v>358</v>
      </c>
      <c r="I497" t="s">
        <v>317</v>
      </c>
      <c r="J497" s="3" t="s">
        <v>354</v>
      </c>
      <c r="K497" s="4">
        <v>1461</v>
      </c>
      <c r="L497" s="5">
        <v>0</v>
      </c>
      <c r="M497" s="6">
        <v>0</v>
      </c>
      <c r="N497" s="7">
        <v>0</v>
      </c>
      <c r="O497" t="s">
        <v>23</v>
      </c>
      <c r="P497" s="3" t="s">
        <v>23</v>
      </c>
      <c r="Q497" s="8" t="s">
        <v>23</v>
      </c>
    </row>
    <row r="498" spans="1:17" hidden="1" x14ac:dyDescent="0.55000000000000004">
      <c r="A498" s="3" t="s">
        <v>335</v>
      </c>
      <c r="B498" s="3" t="s">
        <v>649</v>
      </c>
      <c r="C498" t="s">
        <v>337</v>
      </c>
      <c r="D498" s="3" t="s">
        <v>7319</v>
      </c>
      <c r="E498" t="s">
        <v>660</v>
      </c>
      <c r="F498" s="3" t="s">
        <v>661</v>
      </c>
      <c r="G498" t="s">
        <v>24</v>
      </c>
      <c r="H498" s="3" t="s">
        <v>657</v>
      </c>
      <c r="I498" t="s">
        <v>26</v>
      </c>
      <c r="J498" s="3" t="s">
        <v>658</v>
      </c>
      <c r="K498" s="4">
        <v>1323</v>
      </c>
      <c r="L498" s="5">
        <v>60.16</v>
      </c>
      <c r="M498" s="6">
        <v>1</v>
      </c>
      <c r="N498" s="7">
        <v>0</v>
      </c>
      <c r="O498" t="s">
        <v>659</v>
      </c>
      <c r="P498" s="3" t="s">
        <v>76</v>
      </c>
      <c r="Q498" s="8">
        <v>0.29416700000000001</v>
      </c>
    </row>
    <row r="499" spans="1:17" hidden="1" x14ac:dyDescent="0.55000000000000004">
      <c r="A499" s="3" t="s">
        <v>335</v>
      </c>
      <c r="B499" s="3" t="s">
        <v>662</v>
      </c>
      <c r="C499" t="s">
        <v>337</v>
      </c>
      <c r="D499" s="3" t="s">
        <v>7319</v>
      </c>
      <c r="E499" t="s">
        <v>663</v>
      </c>
      <c r="F499" s="3" t="s">
        <v>664</v>
      </c>
      <c r="G499" t="s">
        <v>24</v>
      </c>
      <c r="H499" s="3" t="s">
        <v>343</v>
      </c>
      <c r="I499" t="s">
        <v>52</v>
      </c>
      <c r="J499" s="3" t="s">
        <v>344</v>
      </c>
      <c r="K499" s="4">
        <v>1393</v>
      </c>
      <c r="L499" s="5">
        <v>0</v>
      </c>
      <c r="M499" s="6">
        <v>0</v>
      </c>
      <c r="N499" s="7">
        <v>0</v>
      </c>
      <c r="O499" t="s">
        <v>23</v>
      </c>
      <c r="P499" s="3" t="s">
        <v>23</v>
      </c>
      <c r="Q499" s="8" t="s">
        <v>23</v>
      </c>
    </row>
    <row r="500" spans="1:17" hidden="1" x14ac:dyDescent="0.55000000000000004">
      <c r="A500" s="3" t="s">
        <v>335</v>
      </c>
      <c r="B500" s="3" t="s">
        <v>662</v>
      </c>
      <c r="C500" t="s">
        <v>337</v>
      </c>
      <c r="D500" s="3" t="s">
        <v>7319</v>
      </c>
      <c r="E500" t="s">
        <v>663</v>
      </c>
      <c r="F500" s="3" t="s">
        <v>664</v>
      </c>
      <c r="G500" t="s">
        <v>24</v>
      </c>
      <c r="H500" s="3" t="s">
        <v>345</v>
      </c>
      <c r="I500" t="s">
        <v>296</v>
      </c>
      <c r="J500" s="3" t="s">
        <v>344</v>
      </c>
      <c r="K500" s="4">
        <v>1246</v>
      </c>
      <c r="L500" s="5">
        <v>0</v>
      </c>
      <c r="M500" s="6">
        <v>0</v>
      </c>
      <c r="N500" s="7">
        <v>0</v>
      </c>
      <c r="O500" t="s">
        <v>23</v>
      </c>
      <c r="P500" s="3" t="s">
        <v>23</v>
      </c>
      <c r="Q500" s="8" t="s">
        <v>23</v>
      </c>
    </row>
    <row r="501" spans="1:17" hidden="1" x14ac:dyDescent="0.55000000000000004">
      <c r="A501" s="3" t="s">
        <v>335</v>
      </c>
      <c r="B501" s="3" t="s">
        <v>662</v>
      </c>
      <c r="C501" t="s">
        <v>337</v>
      </c>
      <c r="D501" s="3" t="s">
        <v>7319</v>
      </c>
      <c r="E501" t="s">
        <v>663</v>
      </c>
      <c r="F501" s="3" t="s">
        <v>664</v>
      </c>
      <c r="G501" t="s">
        <v>24</v>
      </c>
      <c r="H501" s="3" t="s">
        <v>346</v>
      </c>
      <c r="I501" t="s">
        <v>298</v>
      </c>
      <c r="J501" s="3" t="s">
        <v>344</v>
      </c>
      <c r="K501" s="4">
        <v>1677</v>
      </c>
      <c r="L501" s="5">
        <v>0</v>
      </c>
      <c r="M501" s="6">
        <v>0</v>
      </c>
      <c r="N501" s="7">
        <v>0</v>
      </c>
      <c r="O501" t="s">
        <v>23</v>
      </c>
      <c r="P501" s="3" t="s">
        <v>23</v>
      </c>
      <c r="Q501" s="8" t="s">
        <v>23</v>
      </c>
    </row>
    <row r="502" spans="1:17" hidden="1" x14ac:dyDescent="0.55000000000000004">
      <c r="A502" s="3" t="s">
        <v>335</v>
      </c>
      <c r="B502" s="3" t="s">
        <v>662</v>
      </c>
      <c r="C502" t="s">
        <v>337</v>
      </c>
      <c r="D502" s="3" t="s">
        <v>7319</v>
      </c>
      <c r="E502" t="s">
        <v>663</v>
      </c>
      <c r="F502" s="3" t="s">
        <v>664</v>
      </c>
      <c r="G502" t="s">
        <v>24</v>
      </c>
      <c r="H502" s="3" t="s">
        <v>347</v>
      </c>
      <c r="I502" t="s">
        <v>300</v>
      </c>
      <c r="J502" s="3" t="s">
        <v>344</v>
      </c>
      <c r="K502" s="4">
        <v>1374</v>
      </c>
      <c r="L502" s="5">
        <v>0</v>
      </c>
      <c r="M502" s="6">
        <v>0</v>
      </c>
      <c r="N502" s="7">
        <v>0</v>
      </c>
      <c r="O502" t="s">
        <v>23</v>
      </c>
      <c r="P502" s="3" t="s">
        <v>23</v>
      </c>
      <c r="Q502" s="8" t="s">
        <v>23</v>
      </c>
    </row>
    <row r="503" spans="1:17" hidden="1" x14ac:dyDescent="0.55000000000000004">
      <c r="A503" s="3" t="s">
        <v>335</v>
      </c>
      <c r="B503" s="3" t="s">
        <v>662</v>
      </c>
      <c r="C503" t="s">
        <v>337</v>
      </c>
      <c r="D503" s="3" t="s">
        <v>7319</v>
      </c>
      <c r="E503" t="s">
        <v>663</v>
      </c>
      <c r="F503" s="3" t="s">
        <v>664</v>
      </c>
      <c r="G503" t="s">
        <v>24</v>
      </c>
      <c r="H503" s="3" t="s">
        <v>348</v>
      </c>
      <c r="I503" t="s">
        <v>304</v>
      </c>
      <c r="J503" s="3" t="s">
        <v>344</v>
      </c>
      <c r="K503" s="4">
        <v>1834</v>
      </c>
      <c r="L503" s="5">
        <v>0</v>
      </c>
      <c r="M503" s="6">
        <v>0</v>
      </c>
      <c r="N503" s="7">
        <v>0</v>
      </c>
      <c r="O503" t="s">
        <v>23</v>
      </c>
      <c r="P503" s="3" t="s">
        <v>23</v>
      </c>
      <c r="Q503" s="8" t="s">
        <v>23</v>
      </c>
    </row>
    <row r="504" spans="1:17" hidden="1" x14ac:dyDescent="0.55000000000000004">
      <c r="A504" s="3" t="s">
        <v>335</v>
      </c>
      <c r="B504" s="3" t="s">
        <v>662</v>
      </c>
      <c r="C504" t="s">
        <v>337</v>
      </c>
      <c r="D504" s="3" t="s">
        <v>7319</v>
      </c>
      <c r="E504" t="s">
        <v>663</v>
      </c>
      <c r="F504" s="3" t="s">
        <v>664</v>
      </c>
      <c r="G504" t="s">
        <v>24</v>
      </c>
      <c r="H504" s="3" t="s">
        <v>349</v>
      </c>
      <c r="I504" t="s">
        <v>302</v>
      </c>
      <c r="J504" s="3" t="s">
        <v>344</v>
      </c>
      <c r="K504" s="4">
        <v>1611</v>
      </c>
      <c r="L504" s="5">
        <v>0</v>
      </c>
      <c r="M504" s="6">
        <v>0</v>
      </c>
      <c r="N504" s="7">
        <v>0</v>
      </c>
      <c r="O504" t="s">
        <v>23</v>
      </c>
      <c r="P504" s="3" t="s">
        <v>23</v>
      </c>
      <c r="Q504" s="8" t="s">
        <v>23</v>
      </c>
    </row>
    <row r="505" spans="1:17" hidden="1" x14ac:dyDescent="0.55000000000000004">
      <c r="A505" s="3" t="s">
        <v>335</v>
      </c>
      <c r="B505" s="3" t="s">
        <v>662</v>
      </c>
      <c r="C505" t="s">
        <v>337</v>
      </c>
      <c r="D505" s="3" t="s">
        <v>7319</v>
      </c>
      <c r="E505" t="s">
        <v>663</v>
      </c>
      <c r="F505" s="3" t="s">
        <v>664</v>
      </c>
      <c r="G505" t="s">
        <v>24</v>
      </c>
      <c r="H505" s="3" t="s">
        <v>353</v>
      </c>
      <c r="I505" t="s">
        <v>309</v>
      </c>
      <c r="J505" s="3" t="s">
        <v>354</v>
      </c>
      <c r="K505" s="4">
        <v>1615</v>
      </c>
      <c r="L505" s="5">
        <v>0</v>
      </c>
      <c r="M505" s="6">
        <v>0</v>
      </c>
      <c r="N505" s="7">
        <v>0</v>
      </c>
      <c r="O505" t="s">
        <v>23</v>
      </c>
      <c r="P505" s="3" t="s">
        <v>23</v>
      </c>
      <c r="Q505" s="8" t="s">
        <v>23</v>
      </c>
    </row>
    <row r="506" spans="1:17" hidden="1" x14ac:dyDescent="0.55000000000000004">
      <c r="A506" s="3" t="s">
        <v>335</v>
      </c>
      <c r="B506" s="3" t="s">
        <v>662</v>
      </c>
      <c r="C506" t="s">
        <v>337</v>
      </c>
      <c r="D506" s="3" t="s">
        <v>7319</v>
      </c>
      <c r="E506" t="s">
        <v>663</v>
      </c>
      <c r="F506" s="3" t="s">
        <v>664</v>
      </c>
      <c r="G506" t="s">
        <v>24</v>
      </c>
      <c r="H506" s="3" t="s">
        <v>355</v>
      </c>
      <c r="I506" t="s">
        <v>218</v>
      </c>
      <c r="J506" s="3" t="s">
        <v>354</v>
      </c>
      <c r="K506" s="4">
        <v>1825</v>
      </c>
      <c r="L506" s="5">
        <v>0</v>
      </c>
      <c r="M506" s="6">
        <v>0</v>
      </c>
      <c r="N506" s="7">
        <v>0</v>
      </c>
      <c r="O506" t="s">
        <v>23</v>
      </c>
      <c r="P506" s="3" t="s">
        <v>23</v>
      </c>
      <c r="Q506" s="8" t="s">
        <v>23</v>
      </c>
    </row>
    <row r="507" spans="1:17" hidden="1" x14ac:dyDescent="0.55000000000000004">
      <c r="A507" s="3" t="s">
        <v>335</v>
      </c>
      <c r="B507" s="3" t="s">
        <v>662</v>
      </c>
      <c r="C507" t="s">
        <v>337</v>
      </c>
      <c r="D507" s="3" t="s">
        <v>7319</v>
      </c>
      <c r="E507" t="s">
        <v>663</v>
      </c>
      <c r="F507" s="3" t="s">
        <v>664</v>
      </c>
      <c r="G507" t="s">
        <v>24</v>
      </c>
      <c r="H507" s="3" t="s">
        <v>356</v>
      </c>
      <c r="I507" t="s">
        <v>313</v>
      </c>
      <c r="J507" s="3" t="s">
        <v>354</v>
      </c>
      <c r="K507" s="4">
        <v>1600</v>
      </c>
      <c r="L507" s="5">
        <v>0</v>
      </c>
      <c r="M507" s="6">
        <v>0</v>
      </c>
      <c r="N507" s="7">
        <v>0</v>
      </c>
      <c r="O507" t="s">
        <v>23</v>
      </c>
      <c r="P507" s="3" t="s">
        <v>23</v>
      </c>
      <c r="Q507" s="8" t="s">
        <v>23</v>
      </c>
    </row>
    <row r="508" spans="1:17" hidden="1" x14ac:dyDescent="0.55000000000000004">
      <c r="A508" s="3" t="s">
        <v>335</v>
      </c>
      <c r="B508" s="3" t="s">
        <v>662</v>
      </c>
      <c r="C508" t="s">
        <v>337</v>
      </c>
      <c r="D508" s="3" t="s">
        <v>7319</v>
      </c>
      <c r="E508" t="s">
        <v>663</v>
      </c>
      <c r="F508" s="3" t="s">
        <v>664</v>
      </c>
      <c r="G508" t="s">
        <v>24</v>
      </c>
      <c r="H508" s="3" t="s">
        <v>357</v>
      </c>
      <c r="I508" t="s">
        <v>315</v>
      </c>
      <c r="J508" s="3" t="s">
        <v>354</v>
      </c>
      <c r="K508" s="4">
        <v>1228</v>
      </c>
      <c r="L508" s="5">
        <v>0</v>
      </c>
      <c r="M508" s="6">
        <v>0</v>
      </c>
      <c r="N508" s="7">
        <v>0</v>
      </c>
      <c r="O508" t="s">
        <v>23</v>
      </c>
      <c r="P508" s="3" t="s">
        <v>23</v>
      </c>
      <c r="Q508" s="8" t="s">
        <v>23</v>
      </c>
    </row>
    <row r="509" spans="1:17" hidden="1" x14ac:dyDescent="0.55000000000000004">
      <c r="A509" s="3" t="s">
        <v>335</v>
      </c>
      <c r="B509" s="3" t="s">
        <v>662</v>
      </c>
      <c r="C509" t="s">
        <v>337</v>
      </c>
      <c r="D509" s="3" t="s">
        <v>7319</v>
      </c>
      <c r="E509" t="s">
        <v>663</v>
      </c>
      <c r="F509" s="3" t="s">
        <v>664</v>
      </c>
      <c r="G509" t="s">
        <v>24</v>
      </c>
      <c r="H509" s="3" t="s">
        <v>358</v>
      </c>
      <c r="I509" t="s">
        <v>317</v>
      </c>
      <c r="J509" s="3" t="s">
        <v>354</v>
      </c>
      <c r="K509" s="4">
        <v>1461</v>
      </c>
      <c r="L509" s="5">
        <v>0</v>
      </c>
      <c r="M509" s="6">
        <v>0</v>
      </c>
      <c r="N509" s="7">
        <v>0</v>
      </c>
      <c r="O509" t="s">
        <v>23</v>
      </c>
      <c r="P509" s="3" t="s">
        <v>23</v>
      </c>
      <c r="Q509" s="8" t="s">
        <v>23</v>
      </c>
    </row>
    <row r="510" spans="1:17" hidden="1" x14ac:dyDescent="0.55000000000000004">
      <c r="A510" s="3" t="s">
        <v>335</v>
      </c>
      <c r="B510" s="3" t="s">
        <v>662</v>
      </c>
      <c r="C510" t="s">
        <v>337</v>
      </c>
      <c r="D510" s="3" t="s">
        <v>7319</v>
      </c>
      <c r="E510" t="s">
        <v>663</v>
      </c>
      <c r="F510" s="3" t="s">
        <v>664</v>
      </c>
      <c r="G510" t="s">
        <v>24</v>
      </c>
      <c r="H510" s="3" t="s">
        <v>665</v>
      </c>
      <c r="I510" t="s">
        <v>52</v>
      </c>
      <c r="J510" s="3" t="s">
        <v>666</v>
      </c>
      <c r="K510" s="4">
        <v>1773</v>
      </c>
      <c r="L510" s="5">
        <v>80.569999999999993</v>
      </c>
      <c r="M510" s="6">
        <v>1</v>
      </c>
      <c r="N510" s="7">
        <v>0</v>
      </c>
      <c r="O510" t="s">
        <v>667</v>
      </c>
      <c r="P510" s="3" t="s">
        <v>55</v>
      </c>
      <c r="Q510" s="8">
        <v>0.29571900000000001</v>
      </c>
    </row>
    <row r="511" spans="1:17" hidden="1" x14ac:dyDescent="0.55000000000000004">
      <c r="A511" s="3" t="s">
        <v>335</v>
      </c>
      <c r="B511" s="3" t="s">
        <v>662</v>
      </c>
      <c r="C511" t="s">
        <v>337</v>
      </c>
      <c r="D511" s="3" t="s">
        <v>7319</v>
      </c>
      <c r="E511" t="s">
        <v>663</v>
      </c>
      <c r="F511" s="3" t="s">
        <v>664</v>
      </c>
      <c r="G511" t="s">
        <v>24</v>
      </c>
      <c r="H511" s="3" t="s">
        <v>668</v>
      </c>
      <c r="I511" t="s">
        <v>26</v>
      </c>
      <c r="J511" s="3" t="s">
        <v>669</v>
      </c>
      <c r="K511" s="4">
        <v>1792</v>
      </c>
      <c r="L511" s="5">
        <v>81.45</v>
      </c>
      <c r="M511" s="6">
        <v>0</v>
      </c>
      <c r="N511" s="7">
        <v>0</v>
      </c>
      <c r="O511" t="s">
        <v>670</v>
      </c>
      <c r="P511" s="3" t="s">
        <v>29</v>
      </c>
      <c r="Q511" s="8">
        <v>0.29416700000000001</v>
      </c>
    </row>
    <row r="512" spans="1:17" hidden="1" x14ac:dyDescent="0.55000000000000004">
      <c r="A512" s="3" t="s">
        <v>335</v>
      </c>
      <c r="B512" s="3" t="s">
        <v>7321</v>
      </c>
      <c r="C512" t="s">
        <v>337</v>
      </c>
      <c r="D512" s="3" t="s">
        <v>7319</v>
      </c>
      <c r="E512" t="s">
        <v>672</v>
      </c>
      <c r="F512" s="3" t="s">
        <v>673</v>
      </c>
      <c r="G512" t="s">
        <v>24</v>
      </c>
      <c r="H512" s="3" t="s">
        <v>343</v>
      </c>
      <c r="I512" t="s">
        <v>52</v>
      </c>
      <c r="J512" s="3" t="s">
        <v>344</v>
      </c>
      <c r="K512" s="4">
        <v>1393</v>
      </c>
      <c r="L512" s="5">
        <v>0</v>
      </c>
      <c r="M512" s="6">
        <v>0</v>
      </c>
      <c r="N512" s="7">
        <v>0</v>
      </c>
      <c r="O512" t="s">
        <v>23</v>
      </c>
      <c r="P512" s="3" t="s">
        <v>23</v>
      </c>
      <c r="Q512" s="8" t="s">
        <v>23</v>
      </c>
    </row>
    <row r="513" spans="1:17" hidden="1" x14ac:dyDescent="0.55000000000000004">
      <c r="A513" s="3" t="s">
        <v>335</v>
      </c>
      <c r="B513" s="3" t="s">
        <v>7321</v>
      </c>
      <c r="C513" t="s">
        <v>337</v>
      </c>
      <c r="D513" s="3" t="s">
        <v>7319</v>
      </c>
      <c r="E513" t="s">
        <v>672</v>
      </c>
      <c r="F513" s="3" t="s">
        <v>673</v>
      </c>
      <c r="G513" t="s">
        <v>24</v>
      </c>
      <c r="H513" s="3" t="s">
        <v>345</v>
      </c>
      <c r="I513" t="s">
        <v>296</v>
      </c>
      <c r="J513" s="3" t="s">
        <v>344</v>
      </c>
      <c r="K513" s="4">
        <v>1246</v>
      </c>
      <c r="L513" s="5">
        <v>0</v>
      </c>
      <c r="M513" s="6">
        <v>0</v>
      </c>
      <c r="N513" s="7">
        <v>0</v>
      </c>
      <c r="O513" t="s">
        <v>23</v>
      </c>
      <c r="P513" s="3" t="s">
        <v>23</v>
      </c>
      <c r="Q513" s="8" t="s">
        <v>23</v>
      </c>
    </row>
    <row r="514" spans="1:17" hidden="1" x14ac:dyDescent="0.55000000000000004">
      <c r="A514" s="3" t="s">
        <v>335</v>
      </c>
      <c r="B514" s="3" t="s">
        <v>7321</v>
      </c>
      <c r="C514" t="s">
        <v>337</v>
      </c>
      <c r="D514" s="3" t="s">
        <v>7319</v>
      </c>
      <c r="E514" t="s">
        <v>672</v>
      </c>
      <c r="F514" s="3" t="s">
        <v>673</v>
      </c>
      <c r="G514" t="s">
        <v>24</v>
      </c>
      <c r="H514" s="3" t="s">
        <v>346</v>
      </c>
      <c r="I514" t="s">
        <v>298</v>
      </c>
      <c r="J514" s="3" t="s">
        <v>344</v>
      </c>
      <c r="K514" s="4">
        <v>1677</v>
      </c>
      <c r="L514" s="5">
        <v>0</v>
      </c>
      <c r="M514" s="6">
        <v>0</v>
      </c>
      <c r="N514" s="7">
        <v>0</v>
      </c>
      <c r="O514" t="s">
        <v>23</v>
      </c>
      <c r="P514" s="3" t="s">
        <v>23</v>
      </c>
      <c r="Q514" s="8" t="s">
        <v>23</v>
      </c>
    </row>
    <row r="515" spans="1:17" hidden="1" x14ac:dyDescent="0.55000000000000004">
      <c r="A515" s="3" t="s">
        <v>335</v>
      </c>
      <c r="B515" s="3" t="s">
        <v>7321</v>
      </c>
      <c r="C515" t="s">
        <v>337</v>
      </c>
      <c r="D515" s="3" t="s">
        <v>7319</v>
      </c>
      <c r="E515" t="s">
        <v>672</v>
      </c>
      <c r="F515" s="3" t="s">
        <v>673</v>
      </c>
      <c r="G515" t="s">
        <v>24</v>
      </c>
      <c r="H515" s="3" t="s">
        <v>347</v>
      </c>
      <c r="I515" t="s">
        <v>300</v>
      </c>
      <c r="J515" s="3" t="s">
        <v>344</v>
      </c>
      <c r="K515" s="4">
        <v>1374</v>
      </c>
      <c r="L515" s="5">
        <v>0</v>
      </c>
      <c r="M515" s="6">
        <v>0</v>
      </c>
      <c r="N515" s="7">
        <v>0</v>
      </c>
      <c r="O515" t="s">
        <v>23</v>
      </c>
      <c r="P515" s="3" t="s">
        <v>23</v>
      </c>
      <c r="Q515" s="8" t="s">
        <v>23</v>
      </c>
    </row>
    <row r="516" spans="1:17" hidden="1" x14ac:dyDescent="0.55000000000000004">
      <c r="A516" s="3" t="s">
        <v>335</v>
      </c>
      <c r="B516" s="3" t="s">
        <v>7321</v>
      </c>
      <c r="C516" t="s">
        <v>337</v>
      </c>
      <c r="D516" s="3" t="s">
        <v>7319</v>
      </c>
      <c r="E516" t="s">
        <v>672</v>
      </c>
      <c r="F516" s="3" t="s">
        <v>673</v>
      </c>
      <c r="G516" t="s">
        <v>24</v>
      </c>
      <c r="H516" s="3" t="s">
        <v>348</v>
      </c>
      <c r="I516" t="s">
        <v>304</v>
      </c>
      <c r="J516" s="3" t="s">
        <v>344</v>
      </c>
      <c r="K516" s="4">
        <v>1834</v>
      </c>
      <c r="L516" s="5">
        <v>0</v>
      </c>
      <c r="M516" s="6">
        <v>0</v>
      </c>
      <c r="N516" s="7">
        <v>0</v>
      </c>
      <c r="O516" t="s">
        <v>23</v>
      </c>
      <c r="P516" s="3" t="s">
        <v>23</v>
      </c>
      <c r="Q516" s="8" t="s">
        <v>23</v>
      </c>
    </row>
    <row r="517" spans="1:17" hidden="1" x14ac:dyDescent="0.55000000000000004">
      <c r="A517" s="3" t="s">
        <v>335</v>
      </c>
      <c r="B517" s="3" t="s">
        <v>7321</v>
      </c>
      <c r="C517" t="s">
        <v>337</v>
      </c>
      <c r="D517" s="3" t="s">
        <v>7319</v>
      </c>
      <c r="E517" t="s">
        <v>672</v>
      </c>
      <c r="F517" s="3" t="s">
        <v>673</v>
      </c>
      <c r="G517" t="s">
        <v>24</v>
      </c>
      <c r="H517" s="3" t="s">
        <v>349</v>
      </c>
      <c r="I517" t="s">
        <v>302</v>
      </c>
      <c r="J517" s="3" t="s">
        <v>344</v>
      </c>
      <c r="K517" s="4">
        <v>1611</v>
      </c>
      <c r="L517" s="5">
        <v>0</v>
      </c>
      <c r="M517" s="6">
        <v>0</v>
      </c>
      <c r="N517" s="7">
        <v>0</v>
      </c>
      <c r="O517" t="s">
        <v>23</v>
      </c>
      <c r="P517" s="3" t="s">
        <v>23</v>
      </c>
      <c r="Q517" s="8" t="s">
        <v>23</v>
      </c>
    </row>
    <row r="518" spans="1:17" hidden="1" x14ac:dyDescent="0.55000000000000004">
      <c r="A518" s="3" t="s">
        <v>335</v>
      </c>
      <c r="B518" s="3" t="s">
        <v>7321</v>
      </c>
      <c r="C518" t="s">
        <v>337</v>
      </c>
      <c r="D518" s="3" t="s">
        <v>7319</v>
      </c>
      <c r="E518" t="s">
        <v>672</v>
      </c>
      <c r="F518" s="3" t="s">
        <v>673</v>
      </c>
      <c r="G518" t="s">
        <v>24</v>
      </c>
      <c r="H518" s="3" t="s">
        <v>353</v>
      </c>
      <c r="I518" t="s">
        <v>309</v>
      </c>
      <c r="J518" s="3" t="s">
        <v>354</v>
      </c>
      <c r="K518" s="4">
        <v>1615</v>
      </c>
      <c r="L518" s="5">
        <v>0</v>
      </c>
      <c r="M518" s="6">
        <v>0</v>
      </c>
      <c r="N518" s="7">
        <v>0</v>
      </c>
      <c r="O518" t="s">
        <v>23</v>
      </c>
      <c r="P518" s="3" t="s">
        <v>23</v>
      </c>
      <c r="Q518" s="8" t="s">
        <v>23</v>
      </c>
    </row>
    <row r="519" spans="1:17" hidden="1" x14ac:dyDescent="0.55000000000000004">
      <c r="A519" s="3" t="s">
        <v>335</v>
      </c>
      <c r="B519" s="3" t="s">
        <v>7321</v>
      </c>
      <c r="C519" t="s">
        <v>337</v>
      </c>
      <c r="D519" s="3" t="s">
        <v>7319</v>
      </c>
      <c r="E519" t="s">
        <v>672</v>
      </c>
      <c r="F519" s="3" t="s">
        <v>673</v>
      </c>
      <c r="G519" t="s">
        <v>24</v>
      </c>
      <c r="H519" s="3" t="s">
        <v>355</v>
      </c>
      <c r="I519" t="s">
        <v>218</v>
      </c>
      <c r="J519" s="3" t="s">
        <v>354</v>
      </c>
      <c r="K519" s="4">
        <v>1825</v>
      </c>
      <c r="L519" s="5">
        <v>0</v>
      </c>
      <c r="M519" s="6">
        <v>0</v>
      </c>
      <c r="N519" s="7">
        <v>0</v>
      </c>
      <c r="O519" t="s">
        <v>23</v>
      </c>
      <c r="P519" s="3" t="s">
        <v>23</v>
      </c>
      <c r="Q519" s="8" t="s">
        <v>23</v>
      </c>
    </row>
    <row r="520" spans="1:17" hidden="1" x14ac:dyDescent="0.55000000000000004">
      <c r="A520" s="3" t="s">
        <v>335</v>
      </c>
      <c r="B520" s="3" t="s">
        <v>7321</v>
      </c>
      <c r="C520" t="s">
        <v>337</v>
      </c>
      <c r="D520" s="3" t="s">
        <v>7319</v>
      </c>
      <c r="E520" t="s">
        <v>672</v>
      </c>
      <c r="F520" s="3" t="s">
        <v>673</v>
      </c>
      <c r="G520" t="s">
        <v>24</v>
      </c>
      <c r="H520" s="3" t="s">
        <v>356</v>
      </c>
      <c r="I520" t="s">
        <v>313</v>
      </c>
      <c r="J520" s="3" t="s">
        <v>354</v>
      </c>
      <c r="K520" s="4">
        <v>1600</v>
      </c>
      <c r="L520" s="5">
        <v>0</v>
      </c>
      <c r="M520" s="6">
        <v>0</v>
      </c>
      <c r="N520" s="7">
        <v>0</v>
      </c>
      <c r="O520" t="s">
        <v>23</v>
      </c>
      <c r="P520" s="3" t="s">
        <v>23</v>
      </c>
      <c r="Q520" s="8" t="s">
        <v>23</v>
      </c>
    </row>
    <row r="521" spans="1:17" hidden="1" x14ac:dyDescent="0.55000000000000004">
      <c r="A521" s="3" t="s">
        <v>335</v>
      </c>
      <c r="B521" s="3" t="s">
        <v>7321</v>
      </c>
      <c r="C521" t="s">
        <v>337</v>
      </c>
      <c r="D521" s="3" t="s">
        <v>7319</v>
      </c>
      <c r="E521" t="s">
        <v>672</v>
      </c>
      <c r="F521" s="3" t="s">
        <v>673</v>
      </c>
      <c r="G521" t="s">
        <v>24</v>
      </c>
      <c r="H521" s="3" t="s">
        <v>357</v>
      </c>
      <c r="I521" t="s">
        <v>315</v>
      </c>
      <c r="J521" s="3" t="s">
        <v>354</v>
      </c>
      <c r="K521" s="4">
        <v>1228</v>
      </c>
      <c r="L521" s="5">
        <v>0</v>
      </c>
      <c r="M521" s="6">
        <v>0</v>
      </c>
      <c r="N521" s="7">
        <v>0</v>
      </c>
      <c r="O521" t="s">
        <v>23</v>
      </c>
      <c r="P521" s="3" t="s">
        <v>23</v>
      </c>
      <c r="Q521" s="8" t="s">
        <v>23</v>
      </c>
    </row>
    <row r="522" spans="1:17" hidden="1" x14ac:dyDescent="0.55000000000000004">
      <c r="A522" s="3" t="s">
        <v>335</v>
      </c>
      <c r="B522" s="3" t="s">
        <v>7321</v>
      </c>
      <c r="C522" t="s">
        <v>337</v>
      </c>
      <c r="D522" s="3" t="s">
        <v>7319</v>
      </c>
      <c r="E522" t="s">
        <v>672</v>
      </c>
      <c r="F522" s="3" t="s">
        <v>673</v>
      </c>
      <c r="G522" t="s">
        <v>24</v>
      </c>
      <c r="H522" s="3" t="s">
        <v>358</v>
      </c>
      <c r="I522" t="s">
        <v>317</v>
      </c>
      <c r="J522" s="3" t="s">
        <v>354</v>
      </c>
      <c r="K522" s="4">
        <v>1461</v>
      </c>
      <c r="L522" s="5">
        <v>0</v>
      </c>
      <c r="M522" s="6">
        <v>0</v>
      </c>
      <c r="N522" s="7">
        <v>0</v>
      </c>
      <c r="O522" t="s">
        <v>23</v>
      </c>
      <c r="P522" s="3" t="s">
        <v>23</v>
      </c>
      <c r="Q522" s="8" t="s">
        <v>23</v>
      </c>
    </row>
    <row r="523" spans="1:17" hidden="1" x14ac:dyDescent="0.55000000000000004">
      <c r="A523" s="3" t="s">
        <v>335</v>
      </c>
      <c r="B523" s="3" t="s">
        <v>7321</v>
      </c>
      <c r="C523" t="s">
        <v>337</v>
      </c>
      <c r="D523" s="3" t="s">
        <v>7319</v>
      </c>
      <c r="E523" t="s">
        <v>672</v>
      </c>
      <c r="F523" s="3" t="s">
        <v>673</v>
      </c>
      <c r="G523" t="s">
        <v>24</v>
      </c>
      <c r="H523" s="3" t="s">
        <v>422</v>
      </c>
      <c r="I523" t="s">
        <v>52</v>
      </c>
      <c r="J523" s="3" t="s">
        <v>423</v>
      </c>
      <c r="K523" s="4">
        <v>1785</v>
      </c>
      <c r="L523" s="5">
        <v>81.12</v>
      </c>
      <c r="M523" s="6">
        <v>1</v>
      </c>
      <c r="N523" s="7">
        <v>0</v>
      </c>
      <c r="O523" t="s">
        <v>424</v>
      </c>
      <c r="P523" s="3" t="s">
        <v>55</v>
      </c>
      <c r="Q523" s="8">
        <v>0.29584100000000002</v>
      </c>
    </row>
    <row r="524" spans="1:17" hidden="1" x14ac:dyDescent="0.55000000000000004">
      <c r="A524" s="3" t="s">
        <v>335</v>
      </c>
      <c r="B524" s="3" t="s">
        <v>7321</v>
      </c>
      <c r="C524" t="s">
        <v>337</v>
      </c>
      <c r="D524" s="3" t="s">
        <v>7319</v>
      </c>
      <c r="E524" t="s">
        <v>672</v>
      </c>
      <c r="F524" s="3" t="s">
        <v>673</v>
      </c>
      <c r="G524" t="s">
        <v>24</v>
      </c>
      <c r="H524" s="3" t="s">
        <v>425</v>
      </c>
      <c r="I524" t="s">
        <v>26</v>
      </c>
      <c r="J524" s="3" t="s">
        <v>426</v>
      </c>
      <c r="K524" s="4">
        <v>1810</v>
      </c>
      <c r="L524" s="5">
        <v>82.27</v>
      </c>
      <c r="M524" s="6">
        <v>0</v>
      </c>
      <c r="N524" s="7">
        <v>0</v>
      </c>
      <c r="O524" t="s">
        <v>427</v>
      </c>
      <c r="P524" s="3" t="s">
        <v>29</v>
      </c>
      <c r="Q524" s="8">
        <v>0.29416700000000001</v>
      </c>
    </row>
    <row r="525" spans="1:17" hidden="1" x14ac:dyDescent="0.55000000000000004">
      <c r="A525" s="3" t="s">
        <v>335</v>
      </c>
      <c r="B525" s="3" t="s">
        <v>671</v>
      </c>
      <c r="C525" t="s">
        <v>337</v>
      </c>
      <c r="D525" s="3" t="s">
        <v>7319</v>
      </c>
      <c r="E525" t="s">
        <v>674</v>
      </c>
      <c r="F525" s="3" t="s">
        <v>675</v>
      </c>
      <c r="G525" t="s">
        <v>24</v>
      </c>
      <c r="H525" s="3" t="s">
        <v>343</v>
      </c>
      <c r="I525" t="s">
        <v>52</v>
      </c>
      <c r="J525" s="3" t="s">
        <v>344</v>
      </c>
      <c r="K525" s="4">
        <v>1393</v>
      </c>
      <c r="L525" s="5">
        <v>0</v>
      </c>
      <c r="M525" s="6">
        <v>0</v>
      </c>
      <c r="N525" s="7">
        <v>0</v>
      </c>
      <c r="O525" t="s">
        <v>23</v>
      </c>
      <c r="P525" s="3" t="s">
        <v>23</v>
      </c>
      <c r="Q525" s="8" t="s">
        <v>23</v>
      </c>
    </row>
    <row r="526" spans="1:17" hidden="1" x14ac:dyDescent="0.55000000000000004">
      <c r="A526" s="3" t="s">
        <v>335</v>
      </c>
      <c r="B526" s="3" t="s">
        <v>671</v>
      </c>
      <c r="C526" t="s">
        <v>337</v>
      </c>
      <c r="D526" s="3" t="s">
        <v>7319</v>
      </c>
      <c r="E526" t="s">
        <v>674</v>
      </c>
      <c r="F526" s="3" t="s">
        <v>675</v>
      </c>
      <c r="G526" t="s">
        <v>24</v>
      </c>
      <c r="H526" s="3" t="s">
        <v>345</v>
      </c>
      <c r="I526" t="s">
        <v>296</v>
      </c>
      <c r="J526" s="3" t="s">
        <v>344</v>
      </c>
      <c r="K526" s="4">
        <v>1246</v>
      </c>
      <c r="L526" s="5">
        <v>0</v>
      </c>
      <c r="M526" s="6">
        <v>0</v>
      </c>
      <c r="N526" s="7">
        <v>0</v>
      </c>
      <c r="O526" t="s">
        <v>23</v>
      </c>
      <c r="P526" s="3" t="s">
        <v>23</v>
      </c>
      <c r="Q526" s="8" t="s">
        <v>23</v>
      </c>
    </row>
    <row r="527" spans="1:17" hidden="1" x14ac:dyDescent="0.55000000000000004">
      <c r="A527" s="3" t="s">
        <v>335</v>
      </c>
      <c r="B527" s="3" t="s">
        <v>671</v>
      </c>
      <c r="C527" t="s">
        <v>337</v>
      </c>
      <c r="D527" s="3" t="s">
        <v>7319</v>
      </c>
      <c r="E527" t="s">
        <v>674</v>
      </c>
      <c r="F527" s="3" t="s">
        <v>675</v>
      </c>
      <c r="G527" t="s">
        <v>24</v>
      </c>
      <c r="H527" s="3" t="s">
        <v>346</v>
      </c>
      <c r="I527" t="s">
        <v>298</v>
      </c>
      <c r="J527" s="3" t="s">
        <v>344</v>
      </c>
      <c r="K527" s="4">
        <v>1677</v>
      </c>
      <c r="L527" s="5">
        <v>0</v>
      </c>
      <c r="M527" s="6">
        <v>0</v>
      </c>
      <c r="N527" s="7">
        <v>0</v>
      </c>
      <c r="O527" t="s">
        <v>23</v>
      </c>
      <c r="P527" s="3" t="s">
        <v>23</v>
      </c>
      <c r="Q527" s="8" t="s">
        <v>23</v>
      </c>
    </row>
    <row r="528" spans="1:17" hidden="1" x14ac:dyDescent="0.55000000000000004">
      <c r="A528" s="3" t="s">
        <v>335</v>
      </c>
      <c r="B528" s="3" t="s">
        <v>671</v>
      </c>
      <c r="C528" t="s">
        <v>337</v>
      </c>
      <c r="D528" s="3" t="s">
        <v>7319</v>
      </c>
      <c r="E528" t="s">
        <v>674</v>
      </c>
      <c r="F528" s="3" t="s">
        <v>675</v>
      </c>
      <c r="G528" t="s">
        <v>24</v>
      </c>
      <c r="H528" s="3" t="s">
        <v>347</v>
      </c>
      <c r="I528" t="s">
        <v>300</v>
      </c>
      <c r="J528" s="3" t="s">
        <v>344</v>
      </c>
      <c r="K528" s="4">
        <v>1374</v>
      </c>
      <c r="L528" s="5">
        <v>0</v>
      </c>
      <c r="M528" s="6">
        <v>0</v>
      </c>
      <c r="N528" s="7">
        <v>0</v>
      </c>
      <c r="O528" t="s">
        <v>23</v>
      </c>
      <c r="P528" s="3" t="s">
        <v>23</v>
      </c>
      <c r="Q528" s="8" t="s">
        <v>23</v>
      </c>
    </row>
    <row r="529" spans="1:17" hidden="1" x14ac:dyDescent="0.55000000000000004">
      <c r="A529" s="3" t="s">
        <v>335</v>
      </c>
      <c r="B529" s="3" t="s">
        <v>671</v>
      </c>
      <c r="C529" t="s">
        <v>337</v>
      </c>
      <c r="D529" s="3" t="s">
        <v>7319</v>
      </c>
      <c r="E529" t="s">
        <v>674</v>
      </c>
      <c r="F529" s="3" t="s">
        <v>675</v>
      </c>
      <c r="G529" t="s">
        <v>24</v>
      </c>
      <c r="H529" s="3" t="s">
        <v>348</v>
      </c>
      <c r="I529" t="s">
        <v>304</v>
      </c>
      <c r="J529" s="3" t="s">
        <v>344</v>
      </c>
      <c r="K529" s="4">
        <v>1834</v>
      </c>
      <c r="L529" s="5">
        <v>0</v>
      </c>
      <c r="M529" s="6">
        <v>0</v>
      </c>
      <c r="N529" s="7">
        <v>0</v>
      </c>
      <c r="O529" t="s">
        <v>23</v>
      </c>
      <c r="P529" s="3" t="s">
        <v>23</v>
      </c>
      <c r="Q529" s="8" t="s">
        <v>23</v>
      </c>
    </row>
    <row r="530" spans="1:17" hidden="1" x14ac:dyDescent="0.55000000000000004">
      <c r="A530" s="3" t="s">
        <v>335</v>
      </c>
      <c r="B530" s="3" t="s">
        <v>671</v>
      </c>
      <c r="C530" t="s">
        <v>337</v>
      </c>
      <c r="D530" s="3" t="s">
        <v>7319</v>
      </c>
      <c r="E530" t="s">
        <v>674</v>
      </c>
      <c r="F530" s="3" t="s">
        <v>675</v>
      </c>
      <c r="G530" t="s">
        <v>24</v>
      </c>
      <c r="H530" s="3" t="s">
        <v>349</v>
      </c>
      <c r="I530" t="s">
        <v>302</v>
      </c>
      <c r="J530" s="3" t="s">
        <v>344</v>
      </c>
      <c r="K530" s="4">
        <v>1611</v>
      </c>
      <c r="L530" s="5">
        <v>0</v>
      </c>
      <c r="M530" s="6">
        <v>0</v>
      </c>
      <c r="N530" s="7">
        <v>0</v>
      </c>
      <c r="O530" t="s">
        <v>23</v>
      </c>
      <c r="P530" s="3" t="s">
        <v>23</v>
      </c>
      <c r="Q530" s="8" t="s">
        <v>23</v>
      </c>
    </row>
    <row r="531" spans="1:17" hidden="1" x14ac:dyDescent="0.55000000000000004">
      <c r="A531" s="3" t="s">
        <v>335</v>
      </c>
      <c r="B531" s="3" t="s">
        <v>671</v>
      </c>
      <c r="C531" t="s">
        <v>337</v>
      </c>
      <c r="D531" s="3" t="s">
        <v>7319</v>
      </c>
      <c r="E531" t="s">
        <v>674</v>
      </c>
      <c r="F531" s="3" t="s">
        <v>675</v>
      </c>
      <c r="G531" t="s">
        <v>24</v>
      </c>
      <c r="H531" s="3" t="s">
        <v>353</v>
      </c>
      <c r="I531" t="s">
        <v>309</v>
      </c>
      <c r="J531" s="3" t="s">
        <v>354</v>
      </c>
      <c r="K531" s="4">
        <v>1615</v>
      </c>
      <c r="L531" s="5">
        <v>0</v>
      </c>
      <c r="M531" s="6">
        <v>0</v>
      </c>
      <c r="N531" s="7">
        <v>0</v>
      </c>
      <c r="O531" t="s">
        <v>23</v>
      </c>
      <c r="P531" s="3" t="s">
        <v>23</v>
      </c>
      <c r="Q531" s="8" t="s">
        <v>23</v>
      </c>
    </row>
    <row r="532" spans="1:17" hidden="1" x14ac:dyDescent="0.55000000000000004">
      <c r="A532" s="3" t="s">
        <v>335</v>
      </c>
      <c r="B532" s="3" t="s">
        <v>671</v>
      </c>
      <c r="C532" t="s">
        <v>337</v>
      </c>
      <c r="D532" s="3" t="s">
        <v>7319</v>
      </c>
      <c r="E532" t="s">
        <v>674</v>
      </c>
      <c r="F532" s="3" t="s">
        <v>675</v>
      </c>
      <c r="G532" t="s">
        <v>24</v>
      </c>
      <c r="H532" s="3" t="s">
        <v>355</v>
      </c>
      <c r="I532" t="s">
        <v>218</v>
      </c>
      <c r="J532" s="3" t="s">
        <v>354</v>
      </c>
      <c r="K532" s="4">
        <v>1825</v>
      </c>
      <c r="L532" s="5">
        <v>0</v>
      </c>
      <c r="M532" s="6">
        <v>0</v>
      </c>
      <c r="N532" s="7">
        <v>0</v>
      </c>
      <c r="O532" t="s">
        <v>23</v>
      </c>
      <c r="P532" s="3" t="s">
        <v>23</v>
      </c>
      <c r="Q532" s="8" t="s">
        <v>23</v>
      </c>
    </row>
    <row r="533" spans="1:17" hidden="1" x14ac:dyDescent="0.55000000000000004">
      <c r="A533" s="3" t="s">
        <v>335</v>
      </c>
      <c r="B533" s="3" t="s">
        <v>671</v>
      </c>
      <c r="C533" t="s">
        <v>337</v>
      </c>
      <c r="D533" s="3" t="s">
        <v>7319</v>
      </c>
      <c r="E533" t="s">
        <v>674</v>
      </c>
      <c r="F533" s="3" t="s">
        <v>675</v>
      </c>
      <c r="G533" t="s">
        <v>24</v>
      </c>
      <c r="H533" s="3" t="s">
        <v>356</v>
      </c>
      <c r="I533" t="s">
        <v>313</v>
      </c>
      <c r="J533" s="3" t="s">
        <v>354</v>
      </c>
      <c r="K533" s="4">
        <v>1600</v>
      </c>
      <c r="L533" s="5">
        <v>0</v>
      </c>
      <c r="M533" s="6">
        <v>0</v>
      </c>
      <c r="N533" s="7">
        <v>0</v>
      </c>
      <c r="O533" t="s">
        <v>23</v>
      </c>
      <c r="P533" s="3" t="s">
        <v>23</v>
      </c>
      <c r="Q533" s="8" t="s">
        <v>23</v>
      </c>
    </row>
    <row r="534" spans="1:17" hidden="1" x14ac:dyDescent="0.55000000000000004">
      <c r="A534" s="3" t="s">
        <v>335</v>
      </c>
      <c r="B534" s="3" t="s">
        <v>671</v>
      </c>
      <c r="C534" t="s">
        <v>337</v>
      </c>
      <c r="D534" s="3" t="s">
        <v>7319</v>
      </c>
      <c r="E534" t="s">
        <v>674</v>
      </c>
      <c r="F534" s="3" t="s">
        <v>675</v>
      </c>
      <c r="G534" t="s">
        <v>24</v>
      </c>
      <c r="H534" s="3" t="s">
        <v>357</v>
      </c>
      <c r="I534" t="s">
        <v>315</v>
      </c>
      <c r="J534" s="3" t="s">
        <v>354</v>
      </c>
      <c r="K534" s="4">
        <v>1228</v>
      </c>
      <c r="L534" s="5">
        <v>0</v>
      </c>
      <c r="M534" s="6">
        <v>0</v>
      </c>
      <c r="N534" s="7">
        <v>0</v>
      </c>
      <c r="O534" t="s">
        <v>23</v>
      </c>
      <c r="P534" s="3" t="s">
        <v>23</v>
      </c>
      <c r="Q534" s="8" t="s">
        <v>23</v>
      </c>
    </row>
    <row r="535" spans="1:17" hidden="1" x14ac:dyDescent="0.55000000000000004">
      <c r="A535" s="3" t="s">
        <v>335</v>
      </c>
      <c r="B535" s="3" t="s">
        <v>671</v>
      </c>
      <c r="C535" t="s">
        <v>337</v>
      </c>
      <c r="D535" s="3" t="s">
        <v>7319</v>
      </c>
      <c r="E535" t="s">
        <v>674</v>
      </c>
      <c r="F535" s="3" t="s">
        <v>675</v>
      </c>
      <c r="G535" t="s">
        <v>24</v>
      </c>
      <c r="H535" s="3" t="s">
        <v>358</v>
      </c>
      <c r="I535" t="s">
        <v>317</v>
      </c>
      <c r="J535" s="3" t="s">
        <v>354</v>
      </c>
      <c r="K535" s="4">
        <v>1461</v>
      </c>
      <c r="L535" s="5">
        <v>0</v>
      </c>
      <c r="M535" s="6">
        <v>0</v>
      </c>
      <c r="N535" s="7">
        <v>0</v>
      </c>
      <c r="O535" t="s">
        <v>23</v>
      </c>
      <c r="P535" s="3" t="s">
        <v>23</v>
      </c>
      <c r="Q535" s="8" t="s">
        <v>23</v>
      </c>
    </row>
    <row r="536" spans="1:17" hidden="1" x14ac:dyDescent="0.55000000000000004">
      <c r="A536" s="3" t="s">
        <v>335</v>
      </c>
      <c r="B536" s="3" t="s">
        <v>671</v>
      </c>
      <c r="C536" t="s">
        <v>337</v>
      </c>
      <c r="D536" s="3" t="s">
        <v>7319</v>
      </c>
      <c r="E536" t="s">
        <v>674</v>
      </c>
      <c r="F536" s="3" t="s">
        <v>675</v>
      </c>
      <c r="G536" t="s">
        <v>24</v>
      </c>
      <c r="H536" s="3" t="s">
        <v>422</v>
      </c>
      <c r="I536" t="s">
        <v>52</v>
      </c>
      <c r="J536" s="3" t="s">
        <v>423</v>
      </c>
      <c r="K536" s="4">
        <v>1785</v>
      </c>
      <c r="L536" s="5">
        <v>81.12</v>
      </c>
      <c r="M536" s="6">
        <v>1</v>
      </c>
      <c r="N536" s="7">
        <v>0</v>
      </c>
      <c r="O536" t="s">
        <v>424</v>
      </c>
      <c r="P536" s="3" t="s">
        <v>55</v>
      </c>
      <c r="Q536" s="8">
        <v>0.29584100000000002</v>
      </c>
    </row>
    <row r="537" spans="1:17" hidden="1" x14ac:dyDescent="0.55000000000000004">
      <c r="A537" s="3" t="s">
        <v>335</v>
      </c>
      <c r="B537" s="3" t="s">
        <v>671</v>
      </c>
      <c r="C537" t="s">
        <v>337</v>
      </c>
      <c r="D537" s="3" t="s">
        <v>7319</v>
      </c>
      <c r="E537" t="s">
        <v>674</v>
      </c>
      <c r="F537" s="3" t="s">
        <v>675</v>
      </c>
      <c r="G537" t="s">
        <v>24</v>
      </c>
      <c r="H537" s="3" t="s">
        <v>425</v>
      </c>
      <c r="I537" t="s">
        <v>26</v>
      </c>
      <c r="J537" s="3" t="s">
        <v>426</v>
      </c>
      <c r="K537" s="4">
        <v>1810</v>
      </c>
      <c r="L537" s="5">
        <v>82.27</v>
      </c>
      <c r="M537" s="6">
        <v>0</v>
      </c>
      <c r="N537" s="7">
        <v>0</v>
      </c>
      <c r="O537" t="s">
        <v>427</v>
      </c>
      <c r="P537" s="3" t="s">
        <v>29</v>
      </c>
      <c r="Q537" s="8">
        <v>0.29416700000000001</v>
      </c>
    </row>
    <row r="538" spans="1:17" hidden="1" x14ac:dyDescent="0.55000000000000004">
      <c r="A538" s="3" t="s">
        <v>335</v>
      </c>
      <c r="B538" s="3" t="s">
        <v>671</v>
      </c>
      <c r="C538" t="s">
        <v>337</v>
      </c>
      <c r="D538" s="3" t="s">
        <v>7319</v>
      </c>
      <c r="E538" t="s">
        <v>676</v>
      </c>
      <c r="F538" s="3" t="s">
        <v>677</v>
      </c>
      <c r="G538" t="s">
        <v>24</v>
      </c>
      <c r="H538" s="3" t="s">
        <v>343</v>
      </c>
      <c r="I538" t="s">
        <v>52</v>
      </c>
      <c r="J538" s="3" t="s">
        <v>344</v>
      </c>
      <c r="K538" s="4">
        <v>1393</v>
      </c>
      <c r="L538" s="5">
        <v>0</v>
      </c>
      <c r="M538" s="6">
        <v>0</v>
      </c>
      <c r="N538" s="7">
        <v>0</v>
      </c>
      <c r="O538" t="s">
        <v>23</v>
      </c>
      <c r="P538" s="3" t="s">
        <v>23</v>
      </c>
      <c r="Q538" s="8" t="s">
        <v>23</v>
      </c>
    </row>
    <row r="539" spans="1:17" hidden="1" x14ac:dyDescent="0.55000000000000004">
      <c r="A539" s="3" t="s">
        <v>335</v>
      </c>
      <c r="B539" s="3" t="s">
        <v>671</v>
      </c>
      <c r="C539" t="s">
        <v>337</v>
      </c>
      <c r="D539" s="3" t="s">
        <v>7319</v>
      </c>
      <c r="E539" t="s">
        <v>676</v>
      </c>
      <c r="F539" s="3" t="s">
        <v>677</v>
      </c>
      <c r="G539" t="s">
        <v>24</v>
      </c>
      <c r="H539" s="3" t="s">
        <v>345</v>
      </c>
      <c r="I539" t="s">
        <v>296</v>
      </c>
      <c r="J539" s="3" t="s">
        <v>344</v>
      </c>
      <c r="K539" s="4">
        <v>1246</v>
      </c>
      <c r="L539" s="5">
        <v>0</v>
      </c>
      <c r="M539" s="6">
        <v>0</v>
      </c>
      <c r="N539" s="7">
        <v>0</v>
      </c>
      <c r="O539" t="s">
        <v>23</v>
      </c>
      <c r="P539" s="3" t="s">
        <v>23</v>
      </c>
      <c r="Q539" s="8" t="s">
        <v>23</v>
      </c>
    </row>
    <row r="540" spans="1:17" hidden="1" x14ac:dyDescent="0.55000000000000004">
      <c r="A540" s="3" t="s">
        <v>335</v>
      </c>
      <c r="B540" s="3" t="s">
        <v>671</v>
      </c>
      <c r="C540" t="s">
        <v>337</v>
      </c>
      <c r="D540" s="3" t="s">
        <v>7319</v>
      </c>
      <c r="E540" t="s">
        <v>676</v>
      </c>
      <c r="F540" s="3" t="s">
        <v>677</v>
      </c>
      <c r="G540" t="s">
        <v>24</v>
      </c>
      <c r="H540" s="3" t="s">
        <v>346</v>
      </c>
      <c r="I540" t="s">
        <v>298</v>
      </c>
      <c r="J540" s="3" t="s">
        <v>344</v>
      </c>
      <c r="K540" s="4">
        <v>1677</v>
      </c>
      <c r="L540" s="5">
        <v>0</v>
      </c>
      <c r="M540" s="6">
        <v>0</v>
      </c>
      <c r="N540" s="7">
        <v>0</v>
      </c>
      <c r="O540" t="s">
        <v>23</v>
      </c>
      <c r="P540" s="3" t="s">
        <v>23</v>
      </c>
      <c r="Q540" s="8" t="s">
        <v>23</v>
      </c>
    </row>
    <row r="541" spans="1:17" hidden="1" x14ac:dyDescent="0.55000000000000004">
      <c r="A541" s="3" t="s">
        <v>335</v>
      </c>
      <c r="B541" s="3" t="s">
        <v>671</v>
      </c>
      <c r="C541" t="s">
        <v>337</v>
      </c>
      <c r="D541" s="3" t="s">
        <v>7319</v>
      </c>
      <c r="E541" t="s">
        <v>676</v>
      </c>
      <c r="F541" s="3" t="s">
        <v>677</v>
      </c>
      <c r="G541" t="s">
        <v>24</v>
      </c>
      <c r="H541" s="3" t="s">
        <v>347</v>
      </c>
      <c r="I541" t="s">
        <v>300</v>
      </c>
      <c r="J541" s="3" t="s">
        <v>344</v>
      </c>
      <c r="K541" s="4">
        <v>1374</v>
      </c>
      <c r="L541" s="5">
        <v>0</v>
      </c>
      <c r="M541" s="6">
        <v>0</v>
      </c>
      <c r="N541" s="7">
        <v>0</v>
      </c>
      <c r="O541" t="s">
        <v>23</v>
      </c>
      <c r="P541" s="3" t="s">
        <v>23</v>
      </c>
      <c r="Q541" s="8" t="s">
        <v>23</v>
      </c>
    </row>
    <row r="542" spans="1:17" hidden="1" x14ac:dyDescent="0.55000000000000004">
      <c r="A542" s="3" t="s">
        <v>335</v>
      </c>
      <c r="B542" s="3" t="s">
        <v>671</v>
      </c>
      <c r="C542" t="s">
        <v>337</v>
      </c>
      <c r="D542" s="3" t="s">
        <v>7319</v>
      </c>
      <c r="E542" t="s">
        <v>676</v>
      </c>
      <c r="F542" s="3" t="s">
        <v>677</v>
      </c>
      <c r="G542" t="s">
        <v>24</v>
      </c>
      <c r="H542" s="3" t="s">
        <v>348</v>
      </c>
      <c r="I542" t="s">
        <v>304</v>
      </c>
      <c r="J542" s="3" t="s">
        <v>344</v>
      </c>
      <c r="K542" s="4">
        <v>1834</v>
      </c>
      <c r="L542" s="5">
        <v>0</v>
      </c>
      <c r="M542" s="6">
        <v>0</v>
      </c>
      <c r="N542" s="7">
        <v>0</v>
      </c>
      <c r="O542" t="s">
        <v>23</v>
      </c>
      <c r="P542" s="3" t="s">
        <v>23</v>
      </c>
      <c r="Q542" s="8" t="s">
        <v>23</v>
      </c>
    </row>
    <row r="543" spans="1:17" hidden="1" x14ac:dyDescent="0.55000000000000004">
      <c r="A543" s="3" t="s">
        <v>335</v>
      </c>
      <c r="B543" s="3" t="s">
        <v>671</v>
      </c>
      <c r="C543" t="s">
        <v>337</v>
      </c>
      <c r="D543" s="3" t="s">
        <v>7319</v>
      </c>
      <c r="E543" t="s">
        <v>676</v>
      </c>
      <c r="F543" s="3" t="s">
        <v>677</v>
      </c>
      <c r="G543" t="s">
        <v>24</v>
      </c>
      <c r="H543" s="3" t="s">
        <v>349</v>
      </c>
      <c r="I543" t="s">
        <v>302</v>
      </c>
      <c r="J543" s="3" t="s">
        <v>344</v>
      </c>
      <c r="K543" s="4">
        <v>1611</v>
      </c>
      <c r="L543" s="5">
        <v>0</v>
      </c>
      <c r="M543" s="6">
        <v>0</v>
      </c>
      <c r="N543" s="7">
        <v>0</v>
      </c>
      <c r="O543" t="s">
        <v>23</v>
      </c>
      <c r="P543" s="3" t="s">
        <v>23</v>
      </c>
      <c r="Q543" s="8" t="s">
        <v>23</v>
      </c>
    </row>
    <row r="544" spans="1:17" hidden="1" x14ac:dyDescent="0.55000000000000004">
      <c r="A544" s="3" t="s">
        <v>335</v>
      </c>
      <c r="B544" s="3" t="s">
        <v>671</v>
      </c>
      <c r="C544" t="s">
        <v>337</v>
      </c>
      <c r="D544" s="3" t="s">
        <v>7319</v>
      </c>
      <c r="E544" t="s">
        <v>676</v>
      </c>
      <c r="F544" s="3" t="s">
        <v>677</v>
      </c>
      <c r="G544" t="s">
        <v>24</v>
      </c>
      <c r="H544" s="3" t="s">
        <v>353</v>
      </c>
      <c r="I544" t="s">
        <v>309</v>
      </c>
      <c r="J544" s="3" t="s">
        <v>354</v>
      </c>
      <c r="K544" s="4">
        <v>1615</v>
      </c>
      <c r="L544" s="5">
        <v>0</v>
      </c>
      <c r="M544" s="6">
        <v>0</v>
      </c>
      <c r="N544" s="7">
        <v>0</v>
      </c>
      <c r="O544" t="s">
        <v>23</v>
      </c>
      <c r="P544" s="3" t="s">
        <v>23</v>
      </c>
      <c r="Q544" s="8" t="s">
        <v>23</v>
      </c>
    </row>
    <row r="545" spans="1:17" hidden="1" x14ac:dyDescent="0.55000000000000004">
      <c r="A545" s="3" t="s">
        <v>335</v>
      </c>
      <c r="B545" s="3" t="s">
        <v>671</v>
      </c>
      <c r="C545" t="s">
        <v>337</v>
      </c>
      <c r="D545" s="3" t="s">
        <v>7319</v>
      </c>
      <c r="E545" t="s">
        <v>676</v>
      </c>
      <c r="F545" s="3" t="s">
        <v>677</v>
      </c>
      <c r="G545" t="s">
        <v>24</v>
      </c>
      <c r="H545" s="3" t="s">
        <v>355</v>
      </c>
      <c r="I545" t="s">
        <v>218</v>
      </c>
      <c r="J545" s="3" t="s">
        <v>354</v>
      </c>
      <c r="K545" s="4">
        <v>1825</v>
      </c>
      <c r="L545" s="5">
        <v>0</v>
      </c>
      <c r="M545" s="6">
        <v>0</v>
      </c>
      <c r="N545" s="7">
        <v>0</v>
      </c>
      <c r="O545" t="s">
        <v>23</v>
      </c>
      <c r="P545" s="3" t="s">
        <v>23</v>
      </c>
      <c r="Q545" s="8" t="s">
        <v>23</v>
      </c>
    </row>
    <row r="546" spans="1:17" hidden="1" x14ac:dyDescent="0.55000000000000004">
      <c r="A546" s="3" t="s">
        <v>335</v>
      </c>
      <c r="B546" s="3" t="s">
        <v>671</v>
      </c>
      <c r="C546" t="s">
        <v>337</v>
      </c>
      <c r="D546" s="3" t="s">
        <v>7319</v>
      </c>
      <c r="E546" t="s">
        <v>676</v>
      </c>
      <c r="F546" s="3" t="s">
        <v>677</v>
      </c>
      <c r="G546" t="s">
        <v>24</v>
      </c>
      <c r="H546" s="3" t="s">
        <v>356</v>
      </c>
      <c r="I546" t="s">
        <v>313</v>
      </c>
      <c r="J546" s="3" t="s">
        <v>354</v>
      </c>
      <c r="K546" s="4">
        <v>1600</v>
      </c>
      <c r="L546" s="5">
        <v>0</v>
      </c>
      <c r="M546" s="6">
        <v>0</v>
      </c>
      <c r="N546" s="7">
        <v>0</v>
      </c>
      <c r="O546" t="s">
        <v>23</v>
      </c>
      <c r="P546" s="3" t="s">
        <v>23</v>
      </c>
      <c r="Q546" s="8" t="s">
        <v>23</v>
      </c>
    </row>
    <row r="547" spans="1:17" hidden="1" x14ac:dyDescent="0.55000000000000004">
      <c r="A547" s="3" t="s">
        <v>335</v>
      </c>
      <c r="B547" s="3" t="s">
        <v>671</v>
      </c>
      <c r="C547" t="s">
        <v>337</v>
      </c>
      <c r="D547" s="3" t="s">
        <v>7319</v>
      </c>
      <c r="E547" t="s">
        <v>676</v>
      </c>
      <c r="F547" s="3" t="s">
        <v>677</v>
      </c>
      <c r="G547" t="s">
        <v>24</v>
      </c>
      <c r="H547" s="3" t="s">
        <v>357</v>
      </c>
      <c r="I547" t="s">
        <v>315</v>
      </c>
      <c r="J547" s="3" t="s">
        <v>354</v>
      </c>
      <c r="K547" s="4">
        <v>1228</v>
      </c>
      <c r="L547" s="5">
        <v>0</v>
      </c>
      <c r="M547" s="6">
        <v>0</v>
      </c>
      <c r="N547" s="7">
        <v>0</v>
      </c>
      <c r="O547" t="s">
        <v>23</v>
      </c>
      <c r="P547" s="3" t="s">
        <v>23</v>
      </c>
      <c r="Q547" s="8" t="s">
        <v>23</v>
      </c>
    </row>
    <row r="548" spans="1:17" hidden="1" x14ac:dyDescent="0.55000000000000004">
      <c r="A548" s="3" t="s">
        <v>335</v>
      </c>
      <c r="B548" s="3" t="s">
        <v>671</v>
      </c>
      <c r="C548" t="s">
        <v>337</v>
      </c>
      <c r="D548" s="3" t="s">
        <v>7319</v>
      </c>
      <c r="E548" t="s">
        <v>676</v>
      </c>
      <c r="F548" s="3" t="s">
        <v>677</v>
      </c>
      <c r="G548" t="s">
        <v>24</v>
      </c>
      <c r="H548" s="3" t="s">
        <v>358</v>
      </c>
      <c r="I548" t="s">
        <v>317</v>
      </c>
      <c r="J548" s="3" t="s">
        <v>354</v>
      </c>
      <c r="K548" s="4">
        <v>1461</v>
      </c>
      <c r="L548" s="5">
        <v>0</v>
      </c>
      <c r="M548" s="6">
        <v>0</v>
      </c>
      <c r="N548" s="7">
        <v>0</v>
      </c>
      <c r="O548" t="s">
        <v>23</v>
      </c>
      <c r="P548" s="3" t="s">
        <v>23</v>
      </c>
      <c r="Q548" s="8" t="s">
        <v>23</v>
      </c>
    </row>
    <row r="549" spans="1:17" hidden="1" x14ac:dyDescent="0.55000000000000004">
      <c r="A549" s="3" t="s">
        <v>335</v>
      </c>
      <c r="B549" s="3" t="s">
        <v>671</v>
      </c>
      <c r="C549" t="s">
        <v>337</v>
      </c>
      <c r="D549" s="3" t="s">
        <v>7319</v>
      </c>
      <c r="E549" t="s">
        <v>676</v>
      </c>
      <c r="F549" s="3" t="s">
        <v>677</v>
      </c>
      <c r="G549" t="s">
        <v>24</v>
      </c>
      <c r="H549" s="3" t="s">
        <v>422</v>
      </c>
      <c r="I549" t="s">
        <v>52</v>
      </c>
      <c r="J549" s="3" t="s">
        <v>423</v>
      </c>
      <c r="K549" s="4">
        <v>1785</v>
      </c>
      <c r="L549" s="5">
        <v>81.12</v>
      </c>
      <c r="M549" s="6">
        <v>1</v>
      </c>
      <c r="N549" s="7">
        <v>0</v>
      </c>
      <c r="O549" t="s">
        <v>424</v>
      </c>
      <c r="P549" s="3" t="s">
        <v>55</v>
      </c>
      <c r="Q549" s="8">
        <v>0.29584100000000002</v>
      </c>
    </row>
    <row r="550" spans="1:17" hidden="1" x14ac:dyDescent="0.55000000000000004">
      <c r="A550" s="3" t="s">
        <v>335</v>
      </c>
      <c r="B550" s="3" t="s">
        <v>671</v>
      </c>
      <c r="C550" t="s">
        <v>337</v>
      </c>
      <c r="D550" s="3" t="s">
        <v>7319</v>
      </c>
      <c r="E550" t="s">
        <v>676</v>
      </c>
      <c r="F550" s="3" t="s">
        <v>677</v>
      </c>
      <c r="G550" t="s">
        <v>24</v>
      </c>
      <c r="H550" s="3" t="s">
        <v>425</v>
      </c>
      <c r="I550" t="s">
        <v>26</v>
      </c>
      <c r="J550" s="3" t="s">
        <v>426</v>
      </c>
      <c r="K550" s="4">
        <v>1810</v>
      </c>
      <c r="L550" s="5">
        <v>82.27</v>
      </c>
      <c r="M550" s="6">
        <v>0</v>
      </c>
      <c r="N550" s="7">
        <v>0</v>
      </c>
      <c r="O550" t="s">
        <v>427</v>
      </c>
      <c r="P550" s="3" t="s">
        <v>29</v>
      </c>
      <c r="Q550" s="8">
        <v>0.29416700000000001</v>
      </c>
    </row>
    <row r="551" spans="1:17" hidden="1" x14ac:dyDescent="0.55000000000000004">
      <c r="A551" s="3" t="s">
        <v>335</v>
      </c>
      <c r="B551" s="3" t="s">
        <v>671</v>
      </c>
      <c r="C551" t="s">
        <v>337</v>
      </c>
      <c r="D551" s="3" t="s">
        <v>7319</v>
      </c>
      <c r="E551" t="s">
        <v>678</v>
      </c>
      <c r="F551" s="3" t="s">
        <v>679</v>
      </c>
      <c r="G551" t="s">
        <v>24</v>
      </c>
      <c r="H551" s="3" t="s">
        <v>343</v>
      </c>
      <c r="I551" t="s">
        <v>52</v>
      </c>
      <c r="J551" s="3" t="s">
        <v>344</v>
      </c>
      <c r="K551" s="4">
        <v>1393</v>
      </c>
      <c r="L551" s="5">
        <v>0</v>
      </c>
      <c r="M551" s="6">
        <v>0</v>
      </c>
      <c r="N551" s="7">
        <v>0</v>
      </c>
      <c r="O551" t="s">
        <v>23</v>
      </c>
      <c r="P551" s="3" t="s">
        <v>23</v>
      </c>
      <c r="Q551" s="8" t="s">
        <v>23</v>
      </c>
    </row>
    <row r="552" spans="1:17" hidden="1" x14ac:dyDescent="0.55000000000000004">
      <c r="A552" s="3" t="s">
        <v>335</v>
      </c>
      <c r="B552" s="3" t="s">
        <v>671</v>
      </c>
      <c r="C552" t="s">
        <v>337</v>
      </c>
      <c r="D552" s="3" t="s">
        <v>7319</v>
      </c>
      <c r="E552" t="s">
        <v>678</v>
      </c>
      <c r="F552" s="3" t="s">
        <v>679</v>
      </c>
      <c r="G552" t="s">
        <v>24</v>
      </c>
      <c r="H552" s="3" t="s">
        <v>345</v>
      </c>
      <c r="I552" t="s">
        <v>296</v>
      </c>
      <c r="J552" s="3" t="s">
        <v>344</v>
      </c>
      <c r="K552" s="4">
        <v>1246</v>
      </c>
      <c r="L552" s="5">
        <v>0</v>
      </c>
      <c r="M552" s="6">
        <v>0</v>
      </c>
      <c r="N552" s="7">
        <v>0</v>
      </c>
      <c r="O552" t="s">
        <v>23</v>
      </c>
      <c r="P552" s="3" t="s">
        <v>23</v>
      </c>
      <c r="Q552" s="8" t="s">
        <v>23</v>
      </c>
    </row>
    <row r="553" spans="1:17" hidden="1" x14ac:dyDescent="0.55000000000000004">
      <c r="A553" s="3" t="s">
        <v>335</v>
      </c>
      <c r="B553" s="3" t="s">
        <v>671</v>
      </c>
      <c r="C553" t="s">
        <v>337</v>
      </c>
      <c r="D553" s="3" t="s">
        <v>7319</v>
      </c>
      <c r="E553" t="s">
        <v>678</v>
      </c>
      <c r="F553" s="3" t="s">
        <v>679</v>
      </c>
      <c r="G553" t="s">
        <v>24</v>
      </c>
      <c r="H553" s="3" t="s">
        <v>346</v>
      </c>
      <c r="I553" t="s">
        <v>298</v>
      </c>
      <c r="J553" s="3" t="s">
        <v>344</v>
      </c>
      <c r="K553" s="4">
        <v>1677</v>
      </c>
      <c r="L553" s="5">
        <v>0</v>
      </c>
      <c r="M553" s="6">
        <v>0</v>
      </c>
      <c r="N553" s="7">
        <v>0</v>
      </c>
      <c r="O553" t="s">
        <v>23</v>
      </c>
      <c r="P553" s="3" t="s">
        <v>23</v>
      </c>
      <c r="Q553" s="8" t="s">
        <v>23</v>
      </c>
    </row>
    <row r="554" spans="1:17" hidden="1" x14ac:dyDescent="0.55000000000000004">
      <c r="A554" s="3" t="s">
        <v>335</v>
      </c>
      <c r="B554" s="3" t="s">
        <v>671</v>
      </c>
      <c r="C554" t="s">
        <v>337</v>
      </c>
      <c r="D554" s="3" t="s">
        <v>7319</v>
      </c>
      <c r="E554" t="s">
        <v>678</v>
      </c>
      <c r="F554" s="3" t="s">
        <v>679</v>
      </c>
      <c r="G554" t="s">
        <v>24</v>
      </c>
      <c r="H554" s="3" t="s">
        <v>347</v>
      </c>
      <c r="I554" t="s">
        <v>300</v>
      </c>
      <c r="J554" s="3" t="s">
        <v>344</v>
      </c>
      <c r="K554" s="4">
        <v>1374</v>
      </c>
      <c r="L554" s="5">
        <v>0</v>
      </c>
      <c r="M554" s="6">
        <v>0</v>
      </c>
      <c r="N554" s="7">
        <v>0</v>
      </c>
      <c r="O554" t="s">
        <v>23</v>
      </c>
      <c r="P554" s="3" t="s">
        <v>23</v>
      </c>
      <c r="Q554" s="8" t="s">
        <v>23</v>
      </c>
    </row>
    <row r="555" spans="1:17" hidden="1" x14ac:dyDescent="0.55000000000000004">
      <c r="A555" s="3" t="s">
        <v>335</v>
      </c>
      <c r="B555" s="3" t="s">
        <v>671</v>
      </c>
      <c r="C555" t="s">
        <v>337</v>
      </c>
      <c r="D555" s="3" t="s">
        <v>7319</v>
      </c>
      <c r="E555" t="s">
        <v>678</v>
      </c>
      <c r="F555" s="3" t="s">
        <v>679</v>
      </c>
      <c r="G555" t="s">
        <v>24</v>
      </c>
      <c r="H555" s="3" t="s">
        <v>348</v>
      </c>
      <c r="I555" t="s">
        <v>304</v>
      </c>
      <c r="J555" s="3" t="s">
        <v>344</v>
      </c>
      <c r="K555" s="4">
        <v>1834</v>
      </c>
      <c r="L555" s="5">
        <v>0</v>
      </c>
      <c r="M555" s="6">
        <v>0</v>
      </c>
      <c r="N555" s="7">
        <v>0</v>
      </c>
      <c r="O555" t="s">
        <v>23</v>
      </c>
      <c r="P555" s="3" t="s">
        <v>23</v>
      </c>
      <c r="Q555" s="8" t="s">
        <v>23</v>
      </c>
    </row>
    <row r="556" spans="1:17" hidden="1" x14ac:dyDescent="0.55000000000000004">
      <c r="A556" s="3" t="s">
        <v>335</v>
      </c>
      <c r="B556" s="3" t="s">
        <v>671</v>
      </c>
      <c r="C556" t="s">
        <v>337</v>
      </c>
      <c r="D556" s="3" t="s">
        <v>7319</v>
      </c>
      <c r="E556" t="s">
        <v>678</v>
      </c>
      <c r="F556" s="3" t="s">
        <v>679</v>
      </c>
      <c r="G556" t="s">
        <v>24</v>
      </c>
      <c r="H556" s="3" t="s">
        <v>349</v>
      </c>
      <c r="I556" t="s">
        <v>302</v>
      </c>
      <c r="J556" s="3" t="s">
        <v>344</v>
      </c>
      <c r="K556" s="4">
        <v>1611</v>
      </c>
      <c r="L556" s="5">
        <v>0</v>
      </c>
      <c r="M556" s="6">
        <v>0</v>
      </c>
      <c r="N556" s="7">
        <v>0</v>
      </c>
      <c r="O556" t="s">
        <v>23</v>
      </c>
      <c r="P556" s="3" t="s">
        <v>23</v>
      </c>
      <c r="Q556" s="8" t="s">
        <v>23</v>
      </c>
    </row>
    <row r="557" spans="1:17" hidden="1" x14ac:dyDescent="0.55000000000000004">
      <c r="A557" s="3" t="s">
        <v>335</v>
      </c>
      <c r="B557" s="3" t="s">
        <v>671</v>
      </c>
      <c r="C557" t="s">
        <v>337</v>
      </c>
      <c r="D557" s="3" t="s">
        <v>7319</v>
      </c>
      <c r="E557" t="s">
        <v>678</v>
      </c>
      <c r="F557" s="3" t="s">
        <v>679</v>
      </c>
      <c r="G557" t="s">
        <v>24</v>
      </c>
      <c r="H557" s="3" t="s">
        <v>353</v>
      </c>
      <c r="I557" t="s">
        <v>309</v>
      </c>
      <c r="J557" s="3" t="s">
        <v>354</v>
      </c>
      <c r="K557" s="4">
        <v>1615</v>
      </c>
      <c r="L557" s="5">
        <v>0</v>
      </c>
      <c r="M557" s="6">
        <v>0</v>
      </c>
      <c r="N557" s="7">
        <v>0</v>
      </c>
      <c r="O557" t="s">
        <v>23</v>
      </c>
      <c r="P557" s="3" t="s">
        <v>23</v>
      </c>
      <c r="Q557" s="8" t="s">
        <v>23</v>
      </c>
    </row>
    <row r="558" spans="1:17" hidden="1" x14ac:dyDescent="0.55000000000000004">
      <c r="A558" s="3" t="s">
        <v>335</v>
      </c>
      <c r="B558" s="3" t="s">
        <v>671</v>
      </c>
      <c r="C558" t="s">
        <v>337</v>
      </c>
      <c r="D558" s="3" t="s">
        <v>7319</v>
      </c>
      <c r="E558" t="s">
        <v>678</v>
      </c>
      <c r="F558" s="3" t="s">
        <v>679</v>
      </c>
      <c r="G558" t="s">
        <v>24</v>
      </c>
      <c r="H558" s="3" t="s">
        <v>355</v>
      </c>
      <c r="I558" t="s">
        <v>218</v>
      </c>
      <c r="J558" s="3" t="s">
        <v>354</v>
      </c>
      <c r="K558" s="4">
        <v>1825</v>
      </c>
      <c r="L558" s="5">
        <v>0</v>
      </c>
      <c r="M558" s="6">
        <v>0</v>
      </c>
      <c r="N558" s="7">
        <v>0</v>
      </c>
      <c r="O558" t="s">
        <v>23</v>
      </c>
      <c r="P558" s="3" t="s">
        <v>23</v>
      </c>
      <c r="Q558" s="8" t="s">
        <v>23</v>
      </c>
    </row>
    <row r="559" spans="1:17" hidden="1" x14ac:dyDescent="0.55000000000000004">
      <c r="A559" s="3" t="s">
        <v>335</v>
      </c>
      <c r="B559" s="3" t="s">
        <v>671</v>
      </c>
      <c r="C559" t="s">
        <v>337</v>
      </c>
      <c r="D559" s="3" t="s">
        <v>7319</v>
      </c>
      <c r="E559" t="s">
        <v>678</v>
      </c>
      <c r="F559" s="3" t="s">
        <v>679</v>
      </c>
      <c r="G559" t="s">
        <v>24</v>
      </c>
      <c r="H559" s="3" t="s">
        <v>356</v>
      </c>
      <c r="I559" t="s">
        <v>313</v>
      </c>
      <c r="J559" s="3" t="s">
        <v>354</v>
      </c>
      <c r="K559" s="4">
        <v>1600</v>
      </c>
      <c r="L559" s="5">
        <v>0</v>
      </c>
      <c r="M559" s="6">
        <v>0</v>
      </c>
      <c r="N559" s="7">
        <v>0</v>
      </c>
      <c r="O559" t="s">
        <v>23</v>
      </c>
      <c r="P559" s="3" t="s">
        <v>23</v>
      </c>
      <c r="Q559" s="8" t="s">
        <v>23</v>
      </c>
    </row>
    <row r="560" spans="1:17" hidden="1" x14ac:dyDescent="0.55000000000000004">
      <c r="A560" s="3" t="s">
        <v>335</v>
      </c>
      <c r="B560" s="3" t="s">
        <v>671</v>
      </c>
      <c r="C560" t="s">
        <v>337</v>
      </c>
      <c r="D560" s="3" t="s">
        <v>7319</v>
      </c>
      <c r="E560" t="s">
        <v>678</v>
      </c>
      <c r="F560" s="3" t="s">
        <v>679</v>
      </c>
      <c r="G560" t="s">
        <v>24</v>
      </c>
      <c r="H560" s="3" t="s">
        <v>357</v>
      </c>
      <c r="I560" t="s">
        <v>315</v>
      </c>
      <c r="J560" s="3" t="s">
        <v>354</v>
      </c>
      <c r="K560" s="4">
        <v>1228</v>
      </c>
      <c r="L560" s="5">
        <v>0</v>
      </c>
      <c r="M560" s="6">
        <v>0</v>
      </c>
      <c r="N560" s="7">
        <v>0</v>
      </c>
      <c r="O560" t="s">
        <v>23</v>
      </c>
      <c r="P560" s="3" t="s">
        <v>23</v>
      </c>
      <c r="Q560" s="8" t="s">
        <v>23</v>
      </c>
    </row>
    <row r="561" spans="1:17" hidden="1" x14ac:dyDescent="0.55000000000000004">
      <c r="A561" s="3" t="s">
        <v>335</v>
      </c>
      <c r="B561" s="3" t="s">
        <v>671</v>
      </c>
      <c r="C561" t="s">
        <v>337</v>
      </c>
      <c r="D561" s="3" t="s">
        <v>7319</v>
      </c>
      <c r="E561" t="s">
        <v>678</v>
      </c>
      <c r="F561" s="3" t="s">
        <v>679</v>
      </c>
      <c r="G561" t="s">
        <v>24</v>
      </c>
      <c r="H561" s="3" t="s">
        <v>358</v>
      </c>
      <c r="I561" t="s">
        <v>317</v>
      </c>
      <c r="J561" s="3" t="s">
        <v>354</v>
      </c>
      <c r="K561" s="4">
        <v>1461</v>
      </c>
      <c r="L561" s="5">
        <v>0</v>
      </c>
      <c r="M561" s="6">
        <v>0</v>
      </c>
      <c r="N561" s="7">
        <v>0</v>
      </c>
      <c r="O561" t="s">
        <v>23</v>
      </c>
      <c r="P561" s="3" t="s">
        <v>23</v>
      </c>
      <c r="Q561" s="8" t="s">
        <v>23</v>
      </c>
    </row>
    <row r="562" spans="1:17" hidden="1" x14ac:dyDescent="0.55000000000000004">
      <c r="A562" s="3" t="s">
        <v>335</v>
      </c>
      <c r="B562" s="3" t="s">
        <v>671</v>
      </c>
      <c r="C562" t="s">
        <v>337</v>
      </c>
      <c r="D562" s="3" t="s">
        <v>7319</v>
      </c>
      <c r="E562" t="s">
        <v>678</v>
      </c>
      <c r="F562" s="3" t="s">
        <v>679</v>
      </c>
      <c r="G562" t="s">
        <v>24</v>
      </c>
      <c r="H562" s="3" t="s">
        <v>422</v>
      </c>
      <c r="I562" t="s">
        <v>52</v>
      </c>
      <c r="J562" s="3" t="s">
        <v>423</v>
      </c>
      <c r="K562" s="4">
        <v>1785</v>
      </c>
      <c r="L562" s="5">
        <v>81.12</v>
      </c>
      <c r="M562" s="6">
        <v>1</v>
      </c>
      <c r="N562" s="7">
        <v>0</v>
      </c>
      <c r="O562" t="s">
        <v>424</v>
      </c>
      <c r="P562" s="3" t="s">
        <v>55</v>
      </c>
      <c r="Q562" s="8">
        <v>0.29584100000000002</v>
      </c>
    </row>
    <row r="563" spans="1:17" hidden="1" x14ac:dyDescent="0.55000000000000004">
      <c r="A563" s="9" t="s">
        <v>335</v>
      </c>
      <c r="B563" s="3" t="s">
        <v>671</v>
      </c>
      <c r="C563" t="s">
        <v>337</v>
      </c>
      <c r="D563" s="3" t="s">
        <v>7319</v>
      </c>
      <c r="E563" t="s">
        <v>678</v>
      </c>
      <c r="F563" s="3" t="s">
        <v>679</v>
      </c>
      <c r="G563" t="s">
        <v>24</v>
      </c>
      <c r="H563" s="3" t="s">
        <v>425</v>
      </c>
      <c r="I563" t="s">
        <v>26</v>
      </c>
      <c r="J563" s="3" t="s">
        <v>426</v>
      </c>
      <c r="K563" s="4">
        <v>1810</v>
      </c>
      <c r="L563" s="5">
        <v>82.27</v>
      </c>
      <c r="M563" s="6">
        <v>0</v>
      </c>
      <c r="N563" s="7">
        <v>0</v>
      </c>
      <c r="O563" t="s">
        <v>427</v>
      </c>
      <c r="P563" s="3" t="s">
        <v>29</v>
      </c>
      <c r="Q563" s="8">
        <v>0.29416700000000001</v>
      </c>
    </row>
    <row r="564" spans="1:17" hidden="1" x14ac:dyDescent="0.55000000000000004">
      <c r="A564" s="3" t="s">
        <v>680</v>
      </c>
      <c r="B564" s="3" t="s">
        <v>681</v>
      </c>
      <c r="C564" t="s">
        <v>682</v>
      </c>
      <c r="D564" s="3" t="s">
        <v>7326</v>
      </c>
      <c r="E564" t="s">
        <v>683</v>
      </c>
      <c r="F564" s="3" t="s">
        <v>684</v>
      </c>
      <c r="G564" t="s">
        <v>19</v>
      </c>
      <c r="H564" s="3" t="s">
        <v>685</v>
      </c>
      <c r="I564" t="s">
        <v>686</v>
      </c>
      <c r="J564" s="3" t="s">
        <v>687</v>
      </c>
      <c r="K564" s="4">
        <v>473</v>
      </c>
      <c r="L564" s="5">
        <v>102.89</v>
      </c>
      <c r="M564" s="6">
        <v>1</v>
      </c>
      <c r="N564" s="7">
        <v>1</v>
      </c>
      <c r="O564" t="s">
        <v>688</v>
      </c>
      <c r="P564" s="3" t="s">
        <v>689</v>
      </c>
      <c r="Q564" s="8">
        <v>5.5683000000000003E-2</v>
      </c>
    </row>
    <row r="565" spans="1:17" hidden="1" x14ac:dyDescent="0.55000000000000004">
      <c r="A565" s="3" t="s">
        <v>680</v>
      </c>
      <c r="B565" s="3" t="s">
        <v>681</v>
      </c>
      <c r="C565" t="s">
        <v>682</v>
      </c>
      <c r="D565" s="3" t="s">
        <v>7326</v>
      </c>
      <c r="E565" t="s">
        <v>683</v>
      </c>
      <c r="F565" s="3" t="s">
        <v>684</v>
      </c>
      <c r="G565" t="s">
        <v>19</v>
      </c>
      <c r="H565" s="3" t="s">
        <v>690</v>
      </c>
      <c r="I565" t="s">
        <v>691</v>
      </c>
      <c r="J565" s="3" t="s">
        <v>687</v>
      </c>
      <c r="K565" s="4">
        <v>265</v>
      </c>
      <c r="L565" s="5">
        <v>57.52</v>
      </c>
      <c r="M565" s="6">
        <v>0</v>
      </c>
      <c r="N565" s="7">
        <v>1</v>
      </c>
      <c r="O565" t="s">
        <v>692</v>
      </c>
      <c r="P565" s="3" t="s">
        <v>693</v>
      </c>
      <c r="Q565" s="8">
        <v>5.2825999999999998E-2</v>
      </c>
    </row>
    <row r="566" spans="1:17" hidden="1" x14ac:dyDescent="0.55000000000000004">
      <c r="A566" s="3" t="s">
        <v>680</v>
      </c>
      <c r="B566" s="3" t="s">
        <v>681</v>
      </c>
      <c r="C566" t="s">
        <v>682</v>
      </c>
      <c r="D566" s="3" t="s">
        <v>7326</v>
      </c>
      <c r="E566" t="s">
        <v>683</v>
      </c>
      <c r="F566" s="3" t="s">
        <v>684</v>
      </c>
      <c r="G566" t="s">
        <v>19</v>
      </c>
      <c r="H566" s="3" t="s">
        <v>694</v>
      </c>
      <c r="I566" t="s">
        <v>695</v>
      </c>
      <c r="J566" s="3" t="s">
        <v>687</v>
      </c>
      <c r="K566" s="4">
        <v>100</v>
      </c>
      <c r="L566" s="5">
        <v>21.78</v>
      </c>
      <c r="M566" s="6">
        <v>0</v>
      </c>
      <c r="N566" s="7">
        <v>1</v>
      </c>
      <c r="O566" t="s">
        <v>696</v>
      </c>
      <c r="P566" s="3" t="s">
        <v>693</v>
      </c>
      <c r="Q566" s="8">
        <v>3.1392999999999997E-2</v>
      </c>
    </row>
    <row r="567" spans="1:17" hidden="1" x14ac:dyDescent="0.55000000000000004">
      <c r="A567" s="3" t="s">
        <v>680</v>
      </c>
      <c r="B567" s="3" t="s">
        <v>681</v>
      </c>
      <c r="C567" t="s">
        <v>682</v>
      </c>
      <c r="D567" s="3" t="s">
        <v>7326</v>
      </c>
      <c r="E567" t="s">
        <v>683</v>
      </c>
      <c r="F567" s="3" t="s">
        <v>684</v>
      </c>
      <c r="G567" t="s">
        <v>24</v>
      </c>
      <c r="H567" s="3" t="s">
        <v>697</v>
      </c>
      <c r="I567" t="s">
        <v>304</v>
      </c>
      <c r="J567" s="3" t="s">
        <v>698</v>
      </c>
      <c r="K567" s="4">
        <v>959</v>
      </c>
      <c r="L567" s="5">
        <v>0</v>
      </c>
      <c r="M567" s="6">
        <v>0</v>
      </c>
      <c r="N567" s="7">
        <v>1</v>
      </c>
      <c r="O567" t="s">
        <v>23</v>
      </c>
      <c r="P567" s="3" t="s">
        <v>23</v>
      </c>
      <c r="Q567" s="8" t="s">
        <v>23</v>
      </c>
    </row>
    <row r="568" spans="1:17" hidden="1" x14ac:dyDescent="0.55000000000000004">
      <c r="A568" s="3" t="s">
        <v>680</v>
      </c>
      <c r="B568" s="3" t="s">
        <v>681</v>
      </c>
      <c r="C568" t="s">
        <v>682</v>
      </c>
      <c r="D568" s="3" t="s">
        <v>7326</v>
      </c>
      <c r="E568" t="s">
        <v>683</v>
      </c>
      <c r="F568" s="3" t="s">
        <v>684</v>
      </c>
      <c r="G568" t="s">
        <v>24</v>
      </c>
      <c r="H568" s="3" t="s">
        <v>699</v>
      </c>
      <c r="I568" t="s">
        <v>296</v>
      </c>
      <c r="J568" s="3" t="s">
        <v>698</v>
      </c>
      <c r="K568" s="4">
        <v>370</v>
      </c>
      <c r="L568" s="5">
        <v>0</v>
      </c>
      <c r="M568" s="6">
        <v>0</v>
      </c>
      <c r="N568" s="7">
        <v>1</v>
      </c>
      <c r="O568" t="s">
        <v>23</v>
      </c>
      <c r="P568" s="3" t="s">
        <v>23</v>
      </c>
      <c r="Q568" s="8" t="s">
        <v>23</v>
      </c>
    </row>
    <row r="569" spans="1:17" hidden="1" x14ac:dyDescent="0.55000000000000004">
      <c r="A569" s="3" t="s">
        <v>680</v>
      </c>
      <c r="B569" s="3" t="s">
        <v>681</v>
      </c>
      <c r="C569" t="s">
        <v>682</v>
      </c>
      <c r="D569" s="3" t="s">
        <v>7326</v>
      </c>
      <c r="E569" t="s">
        <v>683</v>
      </c>
      <c r="F569" s="3" t="s">
        <v>684</v>
      </c>
      <c r="G569" t="s">
        <v>24</v>
      </c>
      <c r="H569" s="3" t="s">
        <v>700</v>
      </c>
      <c r="I569" t="s">
        <v>298</v>
      </c>
      <c r="J569" s="3" t="s">
        <v>698</v>
      </c>
      <c r="K569" s="4">
        <v>802</v>
      </c>
      <c r="L569" s="5">
        <v>0</v>
      </c>
      <c r="M569" s="6">
        <v>0</v>
      </c>
      <c r="N569" s="7">
        <v>1</v>
      </c>
      <c r="O569" t="s">
        <v>23</v>
      </c>
      <c r="P569" s="3" t="s">
        <v>23</v>
      </c>
      <c r="Q569" s="8" t="s">
        <v>23</v>
      </c>
    </row>
    <row r="570" spans="1:17" hidden="1" x14ac:dyDescent="0.55000000000000004">
      <c r="A570" s="3" t="s">
        <v>680</v>
      </c>
      <c r="B570" s="3" t="s">
        <v>681</v>
      </c>
      <c r="C570" t="s">
        <v>682</v>
      </c>
      <c r="D570" s="3" t="s">
        <v>7326</v>
      </c>
      <c r="E570" t="s">
        <v>683</v>
      </c>
      <c r="F570" s="3" t="s">
        <v>684</v>
      </c>
      <c r="G570" t="s">
        <v>24</v>
      </c>
      <c r="H570" s="3" t="s">
        <v>701</v>
      </c>
      <c r="I570" t="s">
        <v>300</v>
      </c>
      <c r="J570" s="3" t="s">
        <v>698</v>
      </c>
      <c r="K570" s="4">
        <v>495</v>
      </c>
      <c r="L570" s="5">
        <v>0</v>
      </c>
      <c r="M570" s="6">
        <v>0</v>
      </c>
      <c r="N570" s="7">
        <v>1</v>
      </c>
      <c r="O570" t="s">
        <v>23</v>
      </c>
      <c r="P570" s="3" t="s">
        <v>23</v>
      </c>
      <c r="Q570" s="8" t="s">
        <v>23</v>
      </c>
    </row>
    <row r="571" spans="1:17" hidden="1" x14ac:dyDescent="0.55000000000000004">
      <c r="A571" s="3" t="s">
        <v>680</v>
      </c>
      <c r="B571" s="3" t="s">
        <v>681</v>
      </c>
      <c r="C571" t="s">
        <v>682</v>
      </c>
      <c r="D571" s="3" t="s">
        <v>7326</v>
      </c>
      <c r="E571" t="s">
        <v>683</v>
      </c>
      <c r="F571" s="3" t="s">
        <v>684</v>
      </c>
      <c r="G571" t="s">
        <v>24</v>
      </c>
      <c r="H571" s="3" t="s">
        <v>702</v>
      </c>
      <c r="I571" t="s">
        <v>302</v>
      </c>
      <c r="J571" s="3" t="s">
        <v>698</v>
      </c>
      <c r="K571" s="4">
        <v>733</v>
      </c>
      <c r="L571" s="5">
        <v>0</v>
      </c>
      <c r="M571" s="6">
        <v>0</v>
      </c>
      <c r="N571" s="7">
        <v>1</v>
      </c>
      <c r="O571" t="s">
        <v>23</v>
      </c>
      <c r="P571" s="3" t="s">
        <v>23</v>
      </c>
      <c r="Q571" s="8" t="s">
        <v>23</v>
      </c>
    </row>
    <row r="572" spans="1:17" hidden="1" x14ac:dyDescent="0.55000000000000004">
      <c r="A572" s="3" t="s">
        <v>680</v>
      </c>
      <c r="B572" s="3" t="s">
        <v>681</v>
      </c>
      <c r="C572" t="s">
        <v>682</v>
      </c>
      <c r="D572" s="3" t="s">
        <v>7326</v>
      </c>
      <c r="E572" t="s">
        <v>683</v>
      </c>
      <c r="F572" s="3" t="s">
        <v>684</v>
      </c>
      <c r="G572" t="s">
        <v>24</v>
      </c>
      <c r="H572" s="3" t="s">
        <v>703</v>
      </c>
      <c r="I572" t="s">
        <v>52</v>
      </c>
      <c r="J572" s="3" t="s">
        <v>698</v>
      </c>
      <c r="K572" s="4">
        <v>515</v>
      </c>
      <c r="L572" s="5">
        <v>0</v>
      </c>
      <c r="M572" s="6">
        <v>0</v>
      </c>
      <c r="N572" s="7">
        <v>1</v>
      </c>
      <c r="O572" t="s">
        <v>23</v>
      </c>
      <c r="P572" s="3" t="s">
        <v>23</v>
      </c>
      <c r="Q572" s="8" t="s">
        <v>23</v>
      </c>
    </row>
    <row r="573" spans="1:17" hidden="1" x14ac:dyDescent="0.55000000000000004">
      <c r="A573" s="3" t="s">
        <v>680</v>
      </c>
      <c r="B573" s="3" t="s">
        <v>681</v>
      </c>
      <c r="C573" t="s">
        <v>682</v>
      </c>
      <c r="D573" s="3" t="s">
        <v>7326</v>
      </c>
      <c r="E573" t="s">
        <v>683</v>
      </c>
      <c r="F573" s="3" t="s">
        <v>684</v>
      </c>
      <c r="G573" t="s">
        <v>24</v>
      </c>
      <c r="H573" s="3" t="s">
        <v>704</v>
      </c>
      <c r="I573" t="s">
        <v>26</v>
      </c>
      <c r="J573" s="3" t="s">
        <v>705</v>
      </c>
      <c r="K573" s="4">
        <v>667</v>
      </c>
      <c r="L573" s="5">
        <v>30.3</v>
      </c>
      <c r="M573" s="6">
        <v>1</v>
      </c>
      <c r="N573" s="7">
        <v>1</v>
      </c>
      <c r="O573" t="s">
        <v>706</v>
      </c>
      <c r="P573" s="3" t="s">
        <v>76</v>
      </c>
      <c r="Q573" s="8">
        <v>0.216667</v>
      </c>
    </row>
    <row r="574" spans="1:17" hidden="1" x14ac:dyDescent="0.55000000000000004">
      <c r="A574" s="3" t="s">
        <v>680</v>
      </c>
      <c r="B574" s="3" t="s">
        <v>681</v>
      </c>
      <c r="C574" t="s">
        <v>682</v>
      </c>
      <c r="D574" s="3" t="s">
        <v>7326</v>
      </c>
      <c r="E574" t="s">
        <v>683</v>
      </c>
      <c r="F574" s="3" t="s">
        <v>684</v>
      </c>
      <c r="G574" t="s">
        <v>24</v>
      </c>
      <c r="H574" s="3" t="s">
        <v>707</v>
      </c>
      <c r="I574" t="s">
        <v>218</v>
      </c>
      <c r="J574" s="3" t="s">
        <v>705</v>
      </c>
      <c r="K574" s="4">
        <v>1227</v>
      </c>
      <c r="L574" s="5">
        <v>55.77</v>
      </c>
      <c r="M574" s="6">
        <v>0</v>
      </c>
      <c r="N574" s="7">
        <v>1</v>
      </c>
      <c r="O574" t="s">
        <v>708</v>
      </c>
      <c r="P574" s="3" t="s">
        <v>23</v>
      </c>
      <c r="Q574" s="8" t="s">
        <v>23</v>
      </c>
    </row>
    <row r="575" spans="1:17" hidden="1" x14ac:dyDescent="0.55000000000000004">
      <c r="A575" s="3" t="s">
        <v>680</v>
      </c>
      <c r="B575" s="3" t="s">
        <v>709</v>
      </c>
      <c r="C575" t="s">
        <v>7327</v>
      </c>
      <c r="D575" s="3" t="s">
        <v>7326</v>
      </c>
      <c r="E575" t="s">
        <v>711</v>
      </c>
      <c r="F575" s="3" t="s">
        <v>712</v>
      </c>
      <c r="G575" t="s">
        <v>24</v>
      </c>
      <c r="H575" s="3" t="s">
        <v>713</v>
      </c>
      <c r="I575" t="s">
        <v>52</v>
      </c>
      <c r="J575" s="3" t="s">
        <v>714</v>
      </c>
      <c r="K575" s="4">
        <v>693</v>
      </c>
      <c r="L575" s="5">
        <v>31.52</v>
      </c>
      <c r="M575" s="6">
        <v>1</v>
      </c>
      <c r="N575" s="7">
        <v>0</v>
      </c>
      <c r="O575" t="s">
        <v>715</v>
      </c>
      <c r="P575" s="3" t="s">
        <v>55</v>
      </c>
      <c r="Q575" s="8">
        <v>0.18496199999999999</v>
      </c>
    </row>
    <row r="576" spans="1:17" hidden="1" x14ac:dyDescent="0.55000000000000004">
      <c r="A576" s="3" t="s">
        <v>680</v>
      </c>
      <c r="B576" s="3" t="s">
        <v>709</v>
      </c>
      <c r="C576" t="s">
        <v>7327</v>
      </c>
      <c r="D576" s="3" t="s">
        <v>7326</v>
      </c>
      <c r="E576" t="s">
        <v>711</v>
      </c>
      <c r="F576" s="3" t="s">
        <v>712</v>
      </c>
      <c r="G576" t="s">
        <v>24</v>
      </c>
      <c r="H576" s="3" t="s">
        <v>716</v>
      </c>
      <c r="I576" t="s">
        <v>26</v>
      </c>
      <c r="J576" s="3" t="s">
        <v>717</v>
      </c>
      <c r="K576" s="4">
        <v>688</v>
      </c>
      <c r="L576" s="5">
        <v>31.27</v>
      </c>
      <c r="M576" s="6">
        <v>0</v>
      </c>
      <c r="N576" s="7">
        <v>0</v>
      </c>
      <c r="O576" t="s">
        <v>718</v>
      </c>
      <c r="P576" s="3" t="s">
        <v>29</v>
      </c>
      <c r="Q576" s="8">
        <v>0.216667</v>
      </c>
    </row>
    <row r="577" spans="1:17" hidden="1" x14ac:dyDescent="0.55000000000000004">
      <c r="A577" s="3" t="s">
        <v>680</v>
      </c>
      <c r="B577" s="3" t="s">
        <v>719</v>
      </c>
      <c r="C577" t="s">
        <v>682</v>
      </c>
      <c r="D577" s="3" t="s">
        <v>7326</v>
      </c>
      <c r="E577" t="s">
        <v>720</v>
      </c>
      <c r="F577" s="3" t="s">
        <v>721</v>
      </c>
      <c r="G577" t="s">
        <v>24</v>
      </c>
      <c r="H577" s="3" t="s">
        <v>722</v>
      </c>
      <c r="I577" t="s">
        <v>52</v>
      </c>
      <c r="J577" s="3" t="s">
        <v>723</v>
      </c>
      <c r="K577" s="4">
        <v>671</v>
      </c>
      <c r="L577" s="5">
        <v>30.51</v>
      </c>
      <c r="M577" s="6">
        <v>1</v>
      </c>
      <c r="N577" s="7">
        <v>0</v>
      </c>
      <c r="O577" t="s">
        <v>724</v>
      </c>
      <c r="P577" s="3" t="s">
        <v>55</v>
      </c>
      <c r="Q577" s="8">
        <v>0.18473999999999999</v>
      </c>
    </row>
    <row r="578" spans="1:17" hidden="1" x14ac:dyDescent="0.55000000000000004">
      <c r="A578" s="3" t="s">
        <v>680</v>
      </c>
      <c r="B578" s="3" t="s">
        <v>719</v>
      </c>
      <c r="C578" t="s">
        <v>682</v>
      </c>
      <c r="D578" s="3" t="s">
        <v>7326</v>
      </c>
      <c r="E578" t="s">
        <v>720</v>
      </c>
      <c r="F578" s="3" t="s">
        <v>721</v>
      </c>
      <c r="G578" t="s">
        <v>24</v>
      </c>
      <c r="H578" s="3" t="s">
        <v>697</v>
      </c>
      <c r="I578" t="s">
        <v>304</v>
      </c>
      <c r="J578" s="3" t="s">
        <v>698</v>
      </c>
      <c r="K578" s="4">
        <v>959</v>
      </c>
      <c r="L578" s="5">
        <v>0</v>
      </c>
      <c r="M578" s="6">
        <v>0</v>
      </c>
      <c r="N578" s="7">
        <v>0</v>
      </c>
      <c r="O578" t="s">
        <v>23</v>
      </c>
      <c r="P578" s="3" t="s">
        <v>23</v>
      </c>
      <c r="Q578" s="8" t="s">
        <v>23</v>
      </c>
    </row>
    <row r="579" spans="1:17" hidden="1" x14ac:dyDescent="0.55000000000000004">
      <c r="A579" s="3" t="s">
        <v>680</v>
      </c>
      <c r="B579" s="3" t="s">
        <v>719</v>
      </c>
      <c r="C579" t="s">
        <v>682</v>
      </c>
      <c r="D579" s="3" t="s">
        <v>7326</v>
      </c>
      <c r="E579" t="s">
        <v>720</v>
      </c>
      <c r="F579" s="3" t="s">
        <v>721</v>
      </c>
      <c r="G579" t="s">
        <v>24</v>
      </c>
      <c r="H579" s="3" t="s">
        <v>699</v>
      </c>
      <c r="I579" t="s">
        <v>296</v>
      </c>
      <c r="J579" s="3" t="s">
        <v>698</v>
      </c>
      <c r="K579" s="4">
        <v>370</v>
      </c>
      <c r="L579" s="5">
        <v>0</v>
      </c>
      <c r="M579" s="6">
        <v>0</v>
      </c>
      <c r="N579" s="7">
        <v>0</v>
      </c>
      <c r="O579" t="s">
        <v>23</v>
      </c>
      <c r="P579" s="3" t="s">
        <v>23</v>
      </c>
      <c r="Q579" s="8" t="s">
        <v>23</v>
      </c>
    </row>
    <row r="580" spans="1:17" hidden="1" x14ac:dyDescent="0.55000000000000004">
      <c r="A580" s="3" t="s">
        <v>680</v>
      </c>
      <c r="B580" s="3" t="s">
        <v>719</v>
      </c>
      <c r="C580" t="s">
        <v>682</v>
      </c>
      <c r="D580" s="3" t="s">
        <v>7326</v>
      </c>
      <c r="E580" t="s">
        <v>720</v>
      </c>
      <c r="F580" s="3" t="s">
        <v>721</v>
      </c>
      <c r="G580" t="s">
        <v>24</v>
      </c>
      <c r="H580" s="3" t="s">
        <v>700</v>
      </c>
      <c r="I580" t="s">
        <v>298</v>
      </c>
      <c r="J580" s="3" t="s">
        <v>698</v>
      </c>
      <c r="K580" s="4">
        <v>802</v>
      </c>
      <c r="L580" s="5">
        <v>0</v>
      </c>
      <c r="M580" s="6">
        <v>0</v>
      </c>
      <c r="N580" s="7">
        <v>0</v>
      </c>
      <c r="O580" t="s">
        <v>23</v>
      </c>
      <c r="P580" s="3" t="s">
        <v>23</v>
      </c>
      <c r="Q580" s="8" t="s">
        <v>23</v>
      </c>
    </row>
    <row r="581" spans="1:17" hidden="1" x14ac:dyDescent="0.55000000000000004">
      <c r="A581" s="3" t="s">
        <v>680</v>
      </c>
      <c r="B581" s="3" t="s">
        <v>719</v>
      </c>
      <c r="C581" t="s">
        <v>682</v>
      </c>
      <c r="D581" s="3" t="s">
        <v>7326</v>
      </c>
      <c r="E581" t="s">
        <v>720</v>
      </c>
      <c r="F581" s="3" t="s">
        <v>721</v>
      </c>
      <c r="G581" t="s">
        <v>24</v>
      </c>
      <c r="H581" s="3" t="s">
        <v>701</v>
      </c>
      <c r="I581" t="s">
        <v>300</v>
      </c>
      <c r="J581" s="3" t="s">
        <v>698</v>
      </c>
      <c r="K581" s="4">
        <v>495</v>
      </c>
      <c r="L581" s="5">
        <v>0</v>
      </c>
      <c r="M581" s="6">
        <v>0</v>
      </c>
      <c r="N581" s="7">
        <v>0</v>
      </c>
      <c r="O581" t="s">
        <v>23</v>
      </c>
      <c r="P581" s="3" t="s">
        <v>23</v>
      </c>
      <c r="Q581" s="8" t="s">
        <v>23</v>
      </c>
    </row>
    <row r="582" spans="1:17" hidden="1" x14ac:dyDescent="0.55000000000000004">
      <c r="A582" s="3" t="s">
        <v>680</v>
      </c>
      <c r="B582" s="3" t="s">
        <v>719</v>
      </c>
      <c r="C582" t="s">
        <v>682</v>
      </c>
      <c r="D582" s="3" t="s">
        <v>7326</v>
      </c>
      <c r="E582" t="s">
        <v>720</v>
      </c>
      <c r="F582" s="3" t="s">
        <v>721</v>
      </c>
      <c r="G582" t="s">
        <v>24</v>
      </c>
      <c r="H582" s="3" t="s">
        <v>702</v>
      </c>
      <c r="I582" t="s">
        <v>302</v>
      </c>
      <c r="J582" s="3" t="s">
        <v>698</v>
      </c>
      <c r="K582" s="4">
        <v>733</v>
      </c>
      <c r="L582" s="5">
        <v>0</v>
      </c>
      <c r="M582" s="6">
        <v>0</v>
      </c>
      <c r="N582" s="7">
        <v>0</v>
      </c>
      <c r="O582" t="s">
        <v>23</v>
      </c>
      <c r="P582" s="3" t="s">
        <v>23</v>
      </c>
      <c r="Q582" s="8" t="s">
        <v>23</v>
      </c>
    </row>
    <row r="583" spans="1:17" hidden="1" x14ac:dyDescent="0.55000000000000004">
      <c r="A583" s="3" t="s">
        <v>680</v>
      </c>
      <c r="B583" s="3" t="s">
        <v>719</v>
      </c>
      <c r="C583" t="s">
        <v>682</v>
      </c>
      <c r="D583" s="3" t="s">
        <v>7326</v>
      </c>
      <c r="E583" t="s">
        <v>720</v>
      </c>
      <c r="F583" s="3" t="s">
        <v>721</v>
      </c>
      <c r="G583" t="s">
        <v>24</v>
      </c>
      <c r="H583" s="3" t="s">
        <v>703</v>
      </c>
      <c r="I583" t="s">
        <v>52</v>
      </c>
      <c r="J583" s="3" t="s">
        <v>698</v>
      </c>
      <c r="K583" s="4">
        <v>515</v>
      </c>
      <c r="L583" s="5">
        <v>0</v>
      </c>
      <c r="M583" s="6">
        <v>0</v>
      </c>
      <c r="N583" s="7">
        <v>0</v>
      </c>
      <c r="O583" t="s">
        <v>23</v>
      </c>
      <c r="P583" s="3" t="s">
        <v>23</v>
      </c>
      <c r="Q583" s="8" t="s">
        <v>23</v>
      </c>
    </row>
    <row r="584" spans="1:17" hidden="1" x14ac:dyDescent="0.55000000000000004">
      <c r="A584" s="3" t="s">
        <v>680</v>
      </c>
      <c r="B584" s="3" t="s">
        <v>719</v>
      </c>
      <c r="C584" t="s">
        <v>682</v>
      </c>
      <c r="D584" s="3" t="s">
        <v>7326</v>
      </c>
      <c r="E584" t="s">
        <v>720</v>
      </c>
      <c r="F584" s="3" t="s">
        <v>721</v>
      </c>
      <c r="G584" t="s">
        <v>24</v>
      </c>
      <c r="H584" s="3" t="s">
        <v>725</v>
      </c>
      <c r="I584" t="s">
        <v>26</v>
      </c>
      <c r="J584" s="3" t="s">
        <v>726</v>
      </c>
      <c r="K584" s="4">
        <v>609</v>
      </c>
      <c r="L584" s="5">
        <v>27.68</v>
      </c>
      <c r="M584" s="6">
        <v>0</v>
      </c>
      <c r="N584" s="7">
        <v>0</v>
      </c>
      <c r="O584" t="s">
        <v>727</v>
      </c>
      <c r="P584" s="3" t="s">
        <v>29</v>
      </c>
      <c r="Q584" s="8">
        <v>0.216667</v>
      </c>
    </row>
    <row r="585" spans="1:17" hidden="1" x14ac:dyDescent="0.55000000000000004">
      <c r="A585" s="3" t="s">
        <v>680</v>
      </c>
      <c r="B585" s="3" t="s">
        <v>719</v>
      </c>
      <c r="C585" t="s">
        <v>682</v>
      </c>
      <c r="D585" s="3" t="s">
        <v>7326</v>
      </c>
      <c r="E585" t="s">
        <v>728</v>
      </c>
      <c r="F585" s="3" t="s">
        <v>729</v>
      </c>
      <c r="G585" t="s">
        <v>24</v>
      </c>
      <c r="H585" s="3" t="s">
        <v>722</v>
      </c>
      <c r="I585" t="s">
        <v>52</v>
      </c>
      <c r="J585" s="3" t="s">
        <v>723</v>
      </c>
      <c r="K585" s="4">
        <v>671</v>
      </c>
      <c r="L585" s="5">
        <v>30.51</v>
      </c>
      <c r="M585" s="6">
        <v>1</v>
      </c>
      <c r="N585" s="7">
        <v>0</v>
      </c>
      <c r="O585" t="s">
        <v>724</v>
      </c>
      <c r="P585" s="3" t="s">
        <v>55</v>
      </c>
      <c r="Q585" s="8">
        <v>0.18473999999999999</v>
      </c>
    </row>
    <row r="586" spans="1:17" hidden="1" x14ac:dyDescent="0.55000000000000004">
      <c r="A586" s="3" t="s">
        <v>680</v>
      </c>
      <c r="B586" s="3" t="s">
        <v>719</v>
      </c>
      <c r="C586" t="s">
        <v>682</v>
      </c>
      <c r="D586" s="3" t="s">
        <v>7326</v>
      </c>
      <c r="E586" t="s">
        <v>728</v>
      </c>
      <c r="F586" s="3" t="s">
        <v>729</v>
      </c>
      <c r="G586" t="s">
        <v>24</v>
      </c>
      <c r="H586" s="3" t="s">
        <v>697</v>
      </c>
      <c r="I586" t="s">
        <v>304</v>
      </c>
      <c r="J586" s="3" t="s">
        <v>698</v>
      </c>
      <c r="K586" s="4">
        <v>959</v>
      </c>
      <c r="L586" s="5">
        <v>0</v>
      </c>
      <c r="M586" s="6">
        <v>0</v>
      </c>
      <c r="N586" s="7">
        <v>0</v>
      </c>
      <c r="O586" t="s">
        <v>23</v>
      </c>
      <c r="P586" s="3" t="s">
        <v>23</v>
      </c>
      <c r="Q586" s="8" t="s">
        <v>23</v>
      </c>
    </row>
    <row r="587" spans="1:17" hidden="1" x14ac:dyDescent="0.55000000000000004">
      <c r="A587" s="3" t="s">
        <v>680</v>
      </c>
      <c r="B587" s="3" t="s">
        <v>719</v>
      </c>
      <c r="C587" t="s">
        <v>682</v>
      </c>
      <c r="D587" s="3" t="s">
        <v>7326</v>
      </c>
      <c r="E587" t="s">
        <v>728</v>
      </c>
      <c r="F587" s="3" t="s">
        <v>729</v>
      </c>
      <c r="G587" t="s">
        <v>24</v>
      </c>
      <c r="H587" s="3" t="s">
        <v>699</v>
      </c>
      <c r="I587" t="s">
        <v>296</v>
      </c>
      <c r="J587" s="3" t="s">
        <v>698</v>
      </c>
      <c r="K587" s="4">
        <v>370</v>
      </c>
      <c r="L587" s="5">
        <v>0</v>
      </c>
      <c r="M587" s="6">
        <v>0</v>
      </c>
      <c r="N587" s="7">
        <v>0</v>
      </c>
      <c r="O587" t="s">
        <v>23</v>
      </c>
      <c r="P587" s="3" t="s">
        <v>23</v>
      </c>
      <c r="Q587" s="8" t="s">
        <v>23</v>
      </c>
    </row>
    <row r="588" spans="1:17" hidden="1" x14ac:dyDescent="0.55000000000000004">
      <c r="A588" s="3" t="s">
        <v>680</v>
      </c>
      <c r="B588" s="3" t="s">
        <v>719</v>
      </c>
      <c r="C588" t="s">
        <v>682</v>
      </c>
      <c r="D588" s="3" t="s">
        <v>7326</v>
      </c>
      <c r="E588" t="s">
        <v>728</v>
      </c>
      <c r="F588" s="3" t="s">
        <v>729</v>
      </c>
      <c r="G588" t="s">
        <v>24</v>
      </c>
      <c r="H588" s="3" t="s">
        <v>700</v>
      </c>
      <c r="I588" t="s">
        <v>298</v>
      </c>
      <c r="J588" s="3" t="s">
        <v>698</v>
      </c>
      <c r="K588" s="4">
        <v>802</v>
      </c>
      <c r="L588" s="5">
        <v>0</v>
      </c>
      <c r="M588" s="6">
        <v>0</v>
      </c>
      <c r="N588" s="7">
        <v>0</v>
      </c>
      <c r="O588" t="s">
        <v>23</v>
      </c>
      <c r="P588" s="3" t="s">
        <v>23</v>
      </c>
      <c r="Q588" s="8" t="s">
        <v>23</v>
      </c>
    </row>
    <row r="589" spans="1:17" hidden="1" x14ac:dyDescent="0.55000000000000004">
      <c r="A589" s="3" t="s">
        <v>680</v>
      </c>
      <c r="B589" s="3" t="s">
        <v>719</v>
      </c>
      <c r="C589" t="s">
        <v>682</v>
      </c>
      <c r="D589" s="3" t="s">
        <v>7326</v>
      </c>
      <c r="E589" t="s">
        <v>728</v>
      </c>
      <c r="F589" s="3" t="s">
        <v>729</v>
      </c>
      <c r="G589" t="s">
        <v>24</v>
      </c>
      <c r="H589" s="3" t="s">
        <v>701</v>
      </c>
      <c r="I589" t="s">
        <v>300</v>
      </c>
      <c r="J589" s="3" t="s">
        <v>698</v>
      </c>
      <c r="K589" s="4">
        <v>495</v>
      </c>
      <c r="L589" s="5">
        <v>0</v>
      </c>
      <c r="M589" s="6">
        <v>0</v>
      </c>
      <c r="N589" s="7">
        <v>0</v>
      </c>
      <c r="O589" t="s">
        <v>23</v>
      </c>
      <c r="P589" s="3" t="s">
        <v>23</v>
      </c>
      <c r="Q589" s="8" t="s">
        <v>23</v>
      </c>
    </row>
    <row r="590" spans="1:17" hidden="1" x14ac:dyDescent="0.55000000000000004">
      <c r="A590" s="3" t="s">
        <v>680</v>
      </c>
      <c r="B590" s="3" t="s">
        <v>719</v>
      </c>
      <c r="C590" t="s">
        <v>682</v>
      </c>
      <c r="D590" s="3" t="s">
        <v>7326</v>
      </c>
      <c r="E590" t="s">
        <v>728</v>
      </c>
      <c r="F590" s="3" t="s">
        <v>729</v>
      </c>
      <c r="G590" t="s">
        <v>24</v>
      </c>
      <c r="H590" s="3" t="s">
        <v>702</v>
      </c>
      <c r="I590" t="s">
        <v>302</v>
      </c>
      <c r="J590" s="3" t="s">
        <v>698</v>
      </c>
      <c r="K590" s="4">
        <v>733</v>
      </c>
      <c r="L590" s="5">
        <v>0</v>
      </c>
      <c r="M590" s="6">
        <v>0</v>
      </c>
      <c r="N590" s="7">
        <v>0</v>
      </c>
      <c r="O590" t="s">
        <v>23</v>
      </c>
      <c r="P590" s="3" t="s">
        <v>23</v>
      </c>
      <c r="Q590" s="8" t="s">
        <v>23</v>
      </c>
    </row>
    <row r="591" spans="1:17" hidden="1" x14ac:dyDescent="0.55000000000000004">
      <c r="A591" s="3" t="s">
        <v>680</v>
      </c>
      <c r="B591" s="3" t="s">
        <v>719</v>
      </c>
      <c r="C591" t="s">
        <v>682</v>
      </c>
      <c r="D591" s="3" t="s">
        <v>7326</v>
      </c>
      <c r="E591" t="s">
        <v>728</v>
      </c>
      <c r="F591" s="3" t="s">
        <v>729</v>
      </c>
      <c r="G591" t="s">
        <v>24</v>
      </c>
      <c r="H591" s="3" t="s">
        <v>703</v>
      </c>
      <c r="I591" t="s">
        <v>52</v>
      </c>
      <c r="J591" s="3" t="s">
        <v>698</v>
      </c>
      <c r="K591" s="4">
        <v>515</v>
      </c>
      <c r="L591" s="5">
        <v>0</v>
      </c>
      <c r="M591" s="6">
        <v>0</v>
      </c>
      <c r="N591" s="7">
        <v>0</v>
      </c>
      <c r="O591" t="s">
        <v>23</v>
      </c>
      <c r="P591" s="3" t="s">
        <v>23</v>
      </c>
      <c r="Q591" s="8" t="s">
        <v>23</v>
      </c>
    </row>
    <row r="592" spans="1:17" hidden="1" x14ac:dyDescent="0.55000000000000004">
      <c r="A592" s="3" t="s">
        <v>680</v>
      </c>
      <c r="B592" s="3" t="s">
        <v>719</v>
      </c>
      <c r="C592" t="s">
        <v>682</v>
      </c>
      <c r="D592" s="3" t="s">
        <v>7326</v>
      </c>
      <c r="E592" t="s">
        <v>728</v>
      </c>
      <c r="F592" s="3" t="s">
        <v>729</v>
      </c>
      <c r="G592" t="s">
        <v>24</v>
      </c>
      <c r="H592" s="3" t="s">
        <v>725</v>
      </c>
      <c r="I592" t="s">
        <v>26</v>
      </c>
      <c r="J592" s="3" t="s">
        <v>726</v>
      </c>
      <c r="K592" s="4">
        <v>609</v>
      </c>
      <c r="L592" s="5">
        <v>27.68</v>
      </c>
      <c r="M592" s="6">
        <v>0</v>
      </c>
      <c r="N592" s="7">
        <v>0</v>
      </c>
      <c r="O592" t="s">
        <v>727</v>
      </c>
      <c r="P592" s="3" t="s">
        <v>29</v>
      </c>
      <c r="Q592" s="8">
        <v>0.216667</v>
      </c>
    </row>
    <row r="593" spans="1:17" hidden="1" x14ac:dyDescent="0.55000000000000004">
      <c r="A593" s="3" t="s">
        <v>680</v>
      </c>
      <c r="B593" s="3" t="s">
        <v>719</v>
      </c>
      <c r="C593" t="s">
        <v>682</v>
      </c>
      <c r="D593" s="3" t="s">
        <v>7326</v>
      </c>
      <c r="E593" t="s">
        <v>730</v>
      </c>
      <c r="F593" s="3" t="s">
        <v>731</v>
      </c>
      <c r="G593" t="s">
        <v>24</v>
      </c>
      <c r="H593" s="3" t="s">
        <v>722</v>
      </c>
      <c r="I593" t="s">
        <v>52</v>
      </c>
      <c r="J593" s="3" t="s">
        <v>723</v>
      </c>
      <c r="K593" s="4">
        <v>671</v>
      </c>
      <c r="L593" s="5">
        <v>30.51</v>
      </c>
      <c r="M593" s="6">
        <v>1</v>
      </c>
      <c r="N593" s="7">
        <v>0</v>
      </c>
      <c r="O593" t="s">
        <v>724</v>
      </c>
      <c r="P593" s="3" t="s">
        <v>55</v>
      </c>
      <c r="Q593" s="8">
        <v>0.18473999999999999</v>
      </c>
    </row>
    <row r="594" spans="1:17" hidden="1" x14ac:dyDescent="0.55000000000000004">
      <c r="A594" s="3" t="s">
        <v>680</v>
      </c>
      <c r="B594" s="3" t="s">
        <v>719</v>
      </c>
      <c r="C594" t="s">
        <v>682</v>
      </c>
      <c r="D594" s="3" t="s">
        <v>7326</v>
      </c>
      <c r="E594" t="s">
        <v>730</v>
      </c>
      <c r="F594" s="3" t="s">
        <v>731</v>
      </c>
      <c r="G594" t="s">
        <v>24</v>
      </c>
      <c r="H594" s="3" t="s">
        <v>697</v>
      </c>
      <c r="I594" t="s">
        <v>304</v>
      </c>
      <c r="J594" s="3" t="s">
        <v>698</v>
      </c>
      <c r="K594" s="4">
        <v>959</v>
      </c>
      <c r="L594" s="5">
        <v>0</v>
      </c>
      <c r="M594" s="6">
        <v>0</v>
      </c>
      <c r="N594" s="7">
        <v>0</v>
      </c>
      <c r="O594" t="s">
        <v>23</v>
      </c>
      <c r="P594" s="3" t="s">
        <v>23</v>
      </c>
      <c r="Q594" s="8" t="s">
        <v>23</v>
      </c>
    </row>
    <row r="595" spans="1:17" hidden="1" x14ac:dyDescent="0.55000000000000004">
      <c r="A595" s="3" t="s">
        <v>680</v>
      </c>
      <c r="B595" s="3" t="s">
        <v>719</v>
      </c>
      <c r="C595" t="s">
        <v>682</v>
      </c>
      <c r="D595" s="3" t="s">
        <v>7326</v>
      </c>
      <c r="E595" t="s">
        <v>730</v>
      </c>
      <c r="F595" s="3" t="s">
        <v>731</v>
      </c>
      <c r="G595" t="s">
        <v>24</v>
      </c>
      <c r="H595" s="3" t="s">
        <v>699</v>
      </c>
      <c r="I595" t="s">
        <v>296</v>
      </c>
      <c r="J595" s="3" t="s">
        <v>698</v>
      </c>
      <c r="K595" s="4">
        <v>370</v>
      </c>
      <c r="L595" s="5">
        <v>0</v>
      </c>
      <c r="M595" s="6">
        <v>0</v>
      </c>
      <c r="N595" s="7">
        <v>0</v>
      </c>
      <c r="O595" t="s">
        <v>23</v>
      </c>
      <c r="P595" s="3" t="s">
        <v>23</v>
      </c>
      <c r="Q595" s="8" t="s">
        <v>23</v>
      </c>
    </row>
    <row r="596" spans="1:17" hidden="1" x14ac:dyDescent="0.55000000000000004">
      <c r="A596" s="3" t="s">
        <v>680</v>
      </c>
      <c r="B596" s="3" t="s">
        <v>719</v>
      </c>
      <c r="C596" t="s">
        <v>682</v>
      </c>
      <c r="D596" s="3" t="s">
        <v>7326</v>
      </c>
      <c r="E596" t="s">
        <v>730</v>
      </c>
      <c r="F596" s="3" t="s">
        <v>731</v>
      </c>
      <c r="G596" t="s">
        <v>24</v>
      </c>
      <c r="H596" s="3" t="s">
        <v>700</v>
      </c>
      <c r="I596" t="s">
        <v>298</v>
      </c>
      <c r="J596" s="3" t="s">
        <v>698</v>
      </c>
      <c r="K596" s="4">
        <v>802</v>
      </c>
      <c r="L596" s="5">
        <v>0</v>
      </c>
      <c r="M596" s="6">
        <v>0</v>
      </c>
      <c r="N596" s="7">
        <v>0</v>
      </c>
      <c r="O596" t="s">
        <v>23</v>
      </c>
      <c r="P596" s="3" t="s">
        <v>23</v>
      </c>
      <c r="Q596" s="8" t="s">
        <v>23</v>
      </c>
    </row>
    <row r="597" spans="1:17" hidden="1" x14ac:dyDescent="0.55000000000000004">
      <c r="A597" s="3" t="s">
        <v>680</v>
      </c>
      <c r="B597" s="3" t="s">
        <v>719</v>
      </c>
      <c r="C597" t="s">
        <v>682</v>
      </c>
      <c r="D597" s="3" t="s">
        <v>7326</v>
      </c>
      <c r="E597" t="s">
        <v>730</v>
      </c>
      <c r="F597" s="3" t="s">
        <v>731</v>
      </c>
      <c r="G597" t="s">
        <v>24</v>
      </c>
      <c r="H597" s="3" t="s">
        <v>701</v>
      </c>
      <c r="I597" t="s">
        <v>300</v>
      </c>
      <c r="J597" s="3" t="s">
        <v>698</v>
      </c>
      <c r="K597" s="4">
        <v>495</v>
      </c>
      <c r="L597" s="5">
        <v>0</v>
      </c>
      <c r="M597" s="6">
        <v>0</v>
      </c>
      <c r="N597" s="7">
        <v>0</v>
      </c>
      <c r="O597" t="s">
        <v>23</v>
      </c>
      <c r="P597" s="3" t="s">
        <v>23</v>
      </c>
      <c r="Q597" s="8" t="s">
        <v>23</v>
      </c>
    </row>
    <row r="598" spans="1:17" hidden="1" x14ac:dyDescent="0.55000000000000004">
      <c r="A598" s="3" t="s">
        <v>680</v>
      </c>
      <c r="B598" s="3" t="s">
        <v>719</v>
      </c>
      <c r="C598" t="s">
        <v>682</v>
      </c>
      <c r="D598" s="3" t="s">
        <v>7326</v>
      </c>
      <c r="E598" t="s">
        <v>730</v>
      </c>
      <c r="F598" s="3" t="s">
        <v>731</v>
      </c>
      <c r="G598" t="s">
        <v>24</v>
      </c>
      <c r="H598" s="3" t="s">
        <v>702</v>
      </c>
      <c r="I598" t="s">
        <v>302</v>
      </c>
      <c r="J598" s="3" t="s">
        <v>698</v>
      </c>
      <c r="K598" s="4">
        <v>733</v>
      </c>
      <c r="L598" s="5">
        <v>0</v>
      </c>
      <c r="M598" s="6">
        <v>0</v>
      </c>
      <c r="N598" s="7">
        <v>0</v>
      </c>
      <c r="O598" t="s">
        <v>23</v>
      </c>
      <c r="P598" s="3" t="s">
        <v>23</v>
      </c>
      <c r="Q598" s="8" t="s">
        <v>23</v>
      </c>
    </row>
    <row r="599" spans="1:17" hidden="1" x14ac:dyDescent="0.55000000000000004">
      <c r="A599" s="3" t="s">
        <v>680</v>
      </c>
      <c r="B599" s="3" t="s">
        <v>719</v>
      </c>
      <c r="C599" t="s">
        <v>682</v>
      </c>
      <c r="D599" s="3" t="s">
        <v>7326</v>
      </c>
      <c r="E599" t="s">
        <v>730</v>
      </c>
      <c r="F599" s="3" t="s">
        <v>731</v>
      </c>
      <c r="G599" t="s">
        <v>24</v>
      </c>
      <c r="H599" s="3" t="s">
        <v>703</v>
      </c>
      <c r="I599" t="s">
        <v>52</v>
      </c>
      <c r="J599" s="3" t="s">
        <v>698</v>
      </c>
      <c r="K599" s="4">
        <v>515</v>
      </c>
      <c r="L599" s="5">
        <v>0</v>
      </c>
      <c r="M599" s="6">
        <v>0</v>
      </c>
      <c r="N599" s="7">
        <v>0</v>
      </c>
      <c r="O599" t="s">
        <v>23</v>
      </c>
      <c r="P599" s="3" t="s">
        <v>23</v>
      </c>
      <c r="Q599" s="8" t="s">
        <v>23</v>
      </c>
    </row>
    <row r="600" spans="1:17" hidden="1" x14ac:dyDescent="0.55000000000000004">
      <c r="A600" s="3" t="s">
        <v>680</v>
      </c>
      <c r="B600" s="3" t="s">
        <v>719</v>
      </c>
      <c r="C600" t="s">
        <v>682</v>
      </c>
      <c r="D600" s="3" t="s">
        <v>7326</v>
      </c>
      <c r="E600" t="s">
        <v>730</v>
      </c>
      <c r="F600" s="3" t="s">
        <v>731</v>
      </c>
      <c r="G600" t="s">
        <v>24</v>
      </c>
      <c r="H600" s="3" t="s">
        <v>725</v>
      </c>
      <c r="I600" t="s">
        <v>26</v>
      </c>
      <c r="J600" s="3" t="s">
        <v>726</v>
      </c>
      <c r="K600" s="4">
        <v>609</v>
      </c>
      <c r="L600" s="5">
        <v>27.68</v>
      </c>
      <c r="M600" s="6">
        <v>0</v>
      </c>
      <c r="N600" s="7">
        <v>0</v>
      </c>
      <c r="O600" t="s">
        <v>727</v>
      </c>
      <c r="P600" s="3" t="s">
        <v>29</v>
      </c>
      <c r="Q600" s="8">
        <v>0.216667</v>
      </c>
    </row>
    <row r="601" spans="1:17" hidden="1" x14ac:dyDescent="0.55000000000000004">
      <c r="A601" s="3" t="s">
        <v>680</v>
      </c>
      <c r="B601" s="3" t="s">
        <v>719</v>
      </c>
      <c r="C601" t="s">
        <v>682</v>
      </c>
      <c r="D601" s="3" t="s">
        <v>7326</v>
      </c>
      <c r="E601" t="s">
        <v>732</v>
      </c>
      <c r="F601" s="3" t="s">
        <v>733</v>
      </c>
      <c r="G601" t="s">
        <v>24</v>
      </c>
      <c r="H601" s="3" t="s">
        <v>722</v>
      </c>
      <c r="I601" t="s">
        <v>52</v>
      </c>
      <c r="J601" s="3" t="s">
        <v>723</v>
      </c>
      <c r="K601" s="4">
        <v>671</v>
      </c>
      <c r="L601" s="5">
        <v>30.51</v>
      </c>
      <c r="M601" s="6">
        <v>1</v>
      </c>
      <c r="N601" s="7">
        <v>0</v>
      </c>
      <c r="O601" t="s">
        <v>724</v>
      </c>
      <c r="P601" s="3" t="s">
        <v>55</v>
      </c>
      <c r="Q601" s="8">
        <v>0.18473999999999999</v>
      </c>
    </row>
    <row r="602" spans="1:17" hidden="1" x14ac:dyDescent="0.55000000000000004">
      <c r="A602" s="3" t="s">
        <v>680</v>
      </c>
      <c r="B602" s="3" t="s">
        <v>719</v>
      </c>
      <c r="C602" t="s">
        <v>682</v>
      </c>
      <c r="D602" s="3" t="s">
        <v>7326</v>
      </c>
      <c r="E602" t="s">
        <v>732</v>
      </c>
      <c r="F602" s="3" t="s">
        <v>733</v>
      </c>
      <c r="G602" t="s">
        <v>24</v>
      </c>
      <c r="H602" s="3" t="s">
        <v>697</v>
      </c>
      <c r="I602" t="s">
        <v>304</v>
      </c>
      <c r="J602" s="3" t="s">
        <v>698</v>
      </c>
      <c r="K602" s="4">
        <v>959</v>
      </c>
      <c r="L602" s="5">
        <v>0</v>
      </c>
      <c r="M602" s="6">
        <v>0</v>
      </c>
      <c r="N602" s="7">
        <v>0</v>
      </c>
      <c r="O602" t="s">
        <v>23</v>
      </c>
      <c r="P602" s="3" t="s">
        <v>23</v>
      </c>
      <c r="Q602" s="8" t="s">
        <v>23</v>
      </c>
    </row>
    <row r="603" spans="1:17" hidden="1" x14ac:dyDescent="0.55000000000000004">
      <c r="A603" s="3" t="s">
        <v>680</v>
      </c>
      <c r="B603" s="3" t="s">
        <v>719</v>
      </c>
      <c r="C603" t="s">
        <v>682</v>
      </c>
      <c r="D603" s="3" t="s">
        <v>7326</v>
      </c>
      <c r="E603" t="s">
        <v>732</v>
      </c>
      <c r="F603" s="3" t="s">
        <v>733</v>
      </c>
      <c r="G603" t="s">
        <v>24</v>
      </c>
      <c r="H603" s="3" t="s">
        <v>699</v>
      </c>
      <c r="I603" t="s">
        <v>296</v>
      </c>
      <c r="J603" s="3" t="s">
        <v>698</v>
      </c>
      <c r="K603" s="4">
        <v>370</v>
      </c>
      <c r="L603" s="5">
        <v>0</v>
      </c>
      <c r="M603" s="6">
        <v>0</v>
      </c>
      <c r="N603" s="7">
        <v>0</v>
      </c>
      <c r="O603" t="s">
        <v>23</v>
      </c>
      <c r="P603" s="3" t="s">
        <v>23</v>
      </c>
      <c r="Q603" s="8" t="s">
        <v>23</v>
      </c>
    </row>
    <row r="604" spans="1:17" hidden="1" x14ac:dyDescent="0.55000000000000004">
      <c r="A604" s="3" t="s">
        <v>680</v>
      </c>
      <c r="B604" s="3" t="s">
        <v>719</v>
      </c>
      <c r="C604" t="s">
        <v>682</v>
      </c>
      <c r="D604" s="3" t="s">
        <v>7326</v>
      </c>
      <c r="E604" t="s">
        <v>732</v>
      </c>
      <c r="F604" s="3" t="s">
        <v>733</v>
      </c>
      <c r="G604" t="s">
        <v>24</v>
      </c>
      <c r="H604" s="3" t="s">
        <v>700</v>
      </c>
      <c r="I604" t="s">
        <v>298</v>
      </c>
      <c r="J604" s="3" t="s">
        <v>698</v>
      </c>
      <c r="K604" s="4">
        <v>802</v>
      </c>
      <c r="L604" s="5">
        <v>0</v>
      </c>
      <c r="M604" s="6">
        <v>0</v>
      </c>
      <c r="N604" s="7">
        <v>0</v>
      </c>
      <c r="O604" t="s">
        <v>23</v>
      </c>
      <c r="P604" s="3" t="s">
        <v>23</v>
      </c>
      <c r="Q604" s="8" t="s">
        <v>23</v>
      </c>
    </row>
    <row r="605" spans="1:17" hidden="1" x14ac:dyDescent="0.55000000000000004">
      <c r="A605" s="3" t="s">
        <v>680</v>
      </c>
      <c r="B605" s="3" t="s">
        <v>719</v>
      </c>
      <c r="C605" t="s">
        <v>682</v>
      </c>
      <c r="D605" s="3" t="s">
        <v>7326</v>
      </c>
      <c r="E605" t="s">
        <v>732</v>
      </c>
      <c r="F605" s="3" t="s">
        <v>733</v>
      </c>
      <c r="G605" t="s">
        <v>24</v>
      </c>
      <c r="H605" s="3" t="s">
        <v>701</v>
      </c>
      <c r="I605" t="s">
        <v>300</v>
      </c>
      <c r="J605" s="3" t="s">
        <v>698</v>
      </c>
      <c r="K605" s="4">
        <v>495</v>
      </c>
      <c r="L605" s="5">
        <v>0</v>
      </c>
      <c r="M605" s="6">
        <v>0</v>
      </c>
      <c r="N605" s="7">
        <v>0</v>
      </c>
      <c r="O605" t="s">
        <v>23</v>
      </c>
      <c r="P605" s="3" t="s">
        <v>23</v>
      </c>
      <c r="Q605" s="8" t="s">
        <v>23</v>
      </c>
    </row>
    <row r="606" spans="1:17" hidden="1" x14ac:dyDescent="0.55000000000000004">
      <c r="A606" s="3" t="s">
        <v>680</v>
      </c>
      <c r="B606" s="3" t="s">
        <v>719</v>
      </c>
      <c r="C606" t="s">
        <v>682</v>
      </c>
      <c r="D606" s="3" t="s">
        <v>7326</v>
      </c>
      <c r="E606" t="s">
        <v>732</v>
      </c>
      <c r="F606" s="3" t="s">
        <v>733</v>
      </c>
      <c r="G606" t="s">
        <v>24</v>
      </c>
      <c r="H606" s="3" t="s">
        <v>702</v>
      </c>
      <c r="I606" t="s">
        <v>302</v>
      </c>
      <c r="J606" s="3" t="s">
        <v>698</v>
      </c>
      <c r="K606" s="4">
        <v>733</v>
      </c>
      <c r="L606" s="5">
        <v>0</v>
      </c>
      <c r="M606" s="6">
        <v>0</v>
      </c>
      <c r="N606" s="7">
        <v>0</v>
      </c>
      <c r="O606" t="s">
        <v>23</v>
      </c>
      <c r="P606" s="3" t="s">
        <v>23</v>
      </c>
      <c r="Q606" s="8" t="s">
        <v>23</v>
      </c>
    </row>
    <row r="607" spans="1:17" hidden="1" x14ac:dyDescent="0.55000000000000004">
      <c r="A607" s="3" t="s">
        <v>680</v>
      </c>
      <c r="B607" s="3" t="s">
        <v>719</v>
      </c>
      <c r="C607" t="s">
        <v>682</v>
      </c>
      <c r="D607" s="3" t="s">
        <v>7326</v>
      </c>
      <c r="E607" t="s">
        <v>732</v>
      </c>
      <c r="F607" s="3" t="s">
        <v>733</v>
      </c>
      <c r="G607" t="s">
        <v>24</v>
      </c>
      <c r="H607" s="3" t="s">
        <v>703</v>
      </c>
      <c r="I607" t="s">
        <v>52</v>
      </c>
      <c r="J607" s="3" t="s">
        <v>698</v>
      </c>
      <c r="K607" s="4">
        <v>515</v>
      </c>
      <c r="L607" s="5">
        <v>0</v>
      </c>
      <c r="M607" s="6">
        <v>0</v>
      </c>
      <c r="N607" s="7">
        <v>0</v>
      </c>
      <c r="O607" t="s">
        <v>23</v>
      </c>
      <c r="P607" s="3" t="s">
        <v>23</v>
      </c>
      <c r="Q607" s="8" t="s">
        <v>23</v>
      </c>
    </row>
    <row r="608" spans="1:17" hidden="1" x14ac:dyDescent="0.55000000000000004">
      <c r="A608" s="3" t="s">
        <v>680</v>
      </c>
      <c r="B608" s="3" t="s">
        <v>719</v>
      </c>
      <c r="C608" t="s">
        <v>682</v>
      </c>
      <c r="D608" s="3" t="s">
        <v>7326</v>
      </c>
      <c r="E608" t="s">
        <v>732</v>
      </c>
      <c r="F608" s="3" t="s">
        <v>733</v>
      </c>
      <c r="G608" t="s">
        <v>24</v>
      </c>
      <c r="H608" s="3" t="s">
        <v>725</v>
      </c>
      <c r="I608" t="s">
        <v>26</v>
      </c>
      <c r="J608" s="3" t="s">
        <v>726</v>
      </c>
      <c r="K608" s="4">
        <v>609</v>
      </c>
      <c r="L608" s="5">
        <v>27.68</v>
      </c>
      <c r="M608" s="6">
        <v>0</v>
      </c>
      <c r="N608" s="7">
        <v>0</v>
      </c>
      <c r="O608" t="s">
        <v>727</v>
      </c>
      <c r="P608" s="3" t="s">
        <v>29</v>
      </c>
      <c r="Q608" s="8">
        <v>0.216667</v>
      </c>
    </row>
    <row r="609" spans="1:17" hidden="1" x14ac:dyDescent="0.55000000000000004">
      <c r="A609" s="3" t="s">
        <v>680</v>
      </c>
      <c r="B609" s="3" t="s">
        <v>734</v>
      </c>
      <c r="C609" t="s">
        <v>682</v>
      </c>
      <c r="D609" s="3" t="s">
        <v>7326</v>
      </c>
      <c r="E609" t="s">
        <v>735</v>
      </c>
      <c r="F609" s="3" t="s">
        <v>736</v>
      </c>
      <c r="G609" t="s">
        <v>19</v>
      </c>
      <c r="H609" s="3" t="s">
        <v>737</v>
      </c>
      <c r="I609" t="s">
        <v>695</v>
      </c>
      <c r="J609" s="3" t="s">
        <v>738</v>
      </c>
      <c r="K609" s="4">
        <v>92</v>
      </c>
      <c r="L609" s="5">
        <v>19.93</v>
      </c>
      <c r="M609" s="6">
        <v>0</v>
      </c>
      <c r="N609" s="7">
        <v>1</v>
      </c>
      <c r="O609" t="s">
        <v>739</v>
      </c>
      <c r="P609" s="3" t="s">
        <v>693</v>
      </c>
      <c r="Q609" s="8">
        <v>2.9012E-2</v>
      </c>
    </row>
    <row r="610" spans="1:17" hidden="1" x14ac:dyDescent="0.55000000000000004">
      <c r="A610" s="3" t="s">
        <v>680</v>
      </c>
      <c r="B610" s="3" t="s">
        <v>734</v>
      </c>
      <c r="C610" t="s">
        <v>682</v>
      </c>
      <c r="D610" s="3" t="s">
        <v>7326</v>
      </c>
      <c r="E610" t="s">
        <v>735</v>
      </c>
      <c r="F610" s="3" t="s">
        <v>736</v>
      </c>
      <c r="G610" t="s">
        <v>19</v>
      </c>
      <c r="H610" s="3" t="s">
        <v>740</v>
      </c>
      <c r="I610" t="s">
        <v>686</v>
      </c>
      <c r="J610" s="3" t="s">
        <v>738</v>
      </c>
      <c r="K610" s="4">
        <v>482</v>
      </c>
      <c r="L610" s="5">
        <v>104.74</v>
      </c>
      <c r="M610" s="6">
        <v>1</v>
      </c>
      <c r="N610" s="7">
        <v>1</v>
      </c>
      <c r="O610" t="s">
        <v>741</v>
      </c>
      <c r="P610" s="3" t="s">
        <v>689</v>
      </c>
      <c r="Q610" s="8">
        <v>5.8666999999999997E-2</v>
      </c>
    </row>
    <row r="611" spans="1:17" hidden="1" x14ac:dyDescent="0.55000000000000004">
      <c r="A611" s="3" t="s">
        <v>680</v>
      </c>
      <c r="B611" s="3" t="s">
        <v>734</v>
      </c>
      <c r="C611" t="s">
        <v>682</v>
      </c>
      <c r="D611" s="3" t="s">
        <v>7326</v>
      </c>
      <c r="E611" t="s">
        <v>735</v>
      </c>
      <c r="F611" s="3" t="s">
        <v>736</v>
      </c>
      <c r="G611" t="s">
        <v>19</v>
      </c>
      <c r="H611" s="3" t="s">
        <v>742</v>
      </c>
      <c r="I611" t="s">
        <v>691</v>
      </c>
      <c r="J611" s="3" t="s">
        <v>738</v>
      </c>
      <c r="K611" s="4">
        <v>256</v>
      </c>
      <c r="L611" s="5">
        <v>55.67</v>
      </c>
      <c r="M611" s="6">
        <v>0</v>
      </c>
      <c r="N611" s="7">
        <v>1</v>
      </c>
      <c r="O611" t="s">
        <v>743</v>
      </c>
      <c r="P611" s="3" t="s">
        <v>693</v>
      </c>
      <c r="Q611" s="8">
        <v>5.0444999999999997E-2</v>
      </c>
    </row>
    <row r="612" spans="1:17" hidden="1" x14ac:dyDescent="0.55000000000000004">
      <c r="A612" s="3" t="s">
        <v>680</v>
      </c>
      <c r="B612" s="3" t="s">
        <v>734</v>
      </c>
      <c r="C612" t="s">
        <v>682</v>
      </c>
      <c r="D612" s="3" t="s">
        <v>7326</v>
      </c>
      <c r="E612" t="s">
        <v>735</v>
      </c>
      <c r="F612" s="3" t="s">
        <v>736</v>
      </c>
      <c r="G612" t="s">
        <v>24</v>
      </c>
      <c r="H612" s="3" t="s">
        <v>697</v>
      </c>
      <c r="I612" t="s">
        <v>304</v>
      </c>
      <c r="J612" s="3" t="s">
        <v>698</v>
      </c>
      <c r="K612" s="4">
        <v>959</v>
      </c>
      <c r="L612" s="5">
        <v>0</v>
      </c>
      <c r="M612" s="6">
        <v>0</v>
      </c>
      <c r="N612" s="7">
        <v>1</v>
      </c>
      <c r="O612" t="s">
        <v>23</v>
      </c>
      <c r="P612" s="3" t="s">
        <v>23</v>
      </c>
      <c r="Q612" s="8" t="s">
        <v>23</v>
      </c>
    </row>
    <row r="613" spans="1:17" hidden="1" x14ac:dyDescent="0.55000000000000004">
      <c r="A613" s="3" t="s">
        <v>680</v>
      </c>
      <c r="B613" s="3" t="s">
        <v>734</v>
      </c>
      <c r="C613" t="s">
        <v>682</v>
      </c>
      <c r="D613" s="3" t="s">
        <v>7326</v>
      </c>
      <c r="E613" t="s">
        <v>735</v>
      </c>
      <c r="F613" s="3" t="s">
        <v>736</v>
      </c>
      <c r="G613" t="s">
        <v>24</v>
      </c>
      <c r="H613" s="3" t="s">
        <v>699</v>
      </c>
      <c r="I613" t="s">
        <v>296</v>
      </c>
      <c r="J613" s="3" t="s">
        <v>698</v>
      </c>
      <c r="K613" s="4">
        <v>370</v>
      </c>
      <c r="L613" s="5">
        <v>0</v>
      </c>
      <c r="M613" s="6">
        <v>0</v>
      </c>
      <c r="N613" s="7">
        <v>1</v>
      </c>
      <c r="O613" t="s">
        <v>23</v>
      </c>
      <c r="P613" s="3" t="s">
        <v>23</v>
      </c>
      <c r="Q613" s="8" t="s">
        <v>23</v>
      </c>
    </row>
    <row r="614" spans="1:17" hidden="1" x14ac:dyDescent="0.55000000000000004">
      <c r="A614" s="3" t="s">
        <v>680</v>
      </c>
      <c r="B614" s="3" t="s">
        <v>734</v>
      </c>
      <c r="C614" t="s">
        <v>682</v>
      </c>
      <c r="D614" s="3" t="s">
        <v>7326</v>
      </c>
      <c r="E614" t="s">
        <v>735</v>
      </c>
      <c r="F614" s="3" t="s">
        <v>736</v>
      </c>
      <c r="G614" t="s">
        <v>24</v>
      </c>
      <c r="H614" s="3" t="s">
        <v>700</v>
      </c>
      <c r="I614" t="s">
        <v>298</v>
      </c>
      <c r="J614" s="3" t="s">
        <v>698</v>
      </c>
      <c r="K614" s="4">
        <v>802</v>
      </c>
      <c r="L614" s="5">
        <v>0</v>
      </c>
      <c r="M614" s="6">
        <v>0</v>
      </c>
      <c r="N614" s="7">
        <v>1</v>
      </c>
      <c r="O614" t="s">
        <v>23</v>
      </c>
      <c r="P614" s="3" t="s">
        <v>23</v>
      </c>
      <c r="Q614" s="8" t="s">
        <v>23</v>
      </c>
    </row>
    <row r="615" spans="1:17" hidden="1" x14ac:dyDescent="0.55000000000000004">
      <c r="A615" s="3" t="s">
        <v>680</v>
      </c>
      <c r="B615" s="3" t="s">
        <v>734</v>
      </c>
      <c r="C615" t="s">
        <v>682</v>
      </c>
      <c r="D615" s="3" t="s">
        <v>7326</v>
      </c>
      <c r="E615" t="s">
        <v>735</v>
      </c>
      <c r="F615" s="3" t="s">
        <v>736</v>
      </c>
      <c r="G615" t="s">
        <v>24</v>
      </c>
      <c r="H615" s="3" t="s">
        <v>701</v>
      </c>
      <c r="I615" t="s">
        <v>300</v>
      </c>
      <c r="J615" s="3" t="s">
        <v>698</v>
      </c>
      <c r="K615" s="4">
        <v>495</v>
      </c>
      <c r="L615" s="5">
        <v>0</v>
      </c>
      <c r="M615" s="6">
        <v>0</v>
      </c>
      <c r="N615" s="7">
        <v>1</v>
      </c>
      <c r="O615" t="s">
        <v>23</v>
      </c>
      <c r="P615" s="3" t="s">
        <v>23</v>
      </c>
      <c r="Q615" s="8" t="s">
        <v>23</v>
      </c>
    </row>
    <row r="616" spans="1:17" hidden="1" x14ac:dyDescent="0.55000000000000004">
      <c r="A616" s="3" t="s">
        <v>680</v>
      </c>
      <c r="B616" s="3" t="s">
        <v>734</v>
      </c>
      <c r="C616" t="s">
        <v>682</v>
      </c>
      <c r="D616" s="3" t="s">
        <v>7326</v>
      </c>
      <c r="E616" t="s">
        <v>735</v>
      </c>
      <c r="F616" s="3" t="s">
        <v>736</v>
      </c>
      <c r="G616" t="s">
        <v>24</v>
      </c>
      <c r="H616" s="3" t="s">
        <v>702</v>
      </c>
      <c r="I616" t="s">
        <v>302</v>
      </c>
      <c r="J616" s="3" t="s">
        <v>698</v>
      </c>
      <c r="K616" s="4">
        <v>733</v>
      </c>
      <c r="L616" s="5">
        <v>0</v>
      </c>
      <c r="M616" s="6">
        <v>0</v>
      </c>
      <c r="N616" s="7">
        <v>1</v>
      </c>
      <c r="O616" t="s">
        <v>23</v>
      </c>
      <c r="P616" s="3" t="s">
        <v>23</v>
      </c>
      <c r="Q616" s="8" t="s">
        <v>23</v>
      </c>
    </row>
    <row r="617" spans="1:17" hidden="1" x14ac:dyDescent="0.55000000000000004">
      <c r="A617" s="3" t="s">
        <v>680</v>
      </c>
      <c r="B617" s="3" t="s">
        <v>734</v>
      </c>
      <c r="C617" t="s">
        <v>682</v>
      </c>
      <c r="D617" s="3" t="s">
        <v>7326</v>
      </c>
      <c r="E617" t="s">
        <v>735</v>
      </c>
      <c r="F617" s="3" t="s">
        <v>736</v>
      </c>
      <c r="G617" t="s">
        <v>24</v>
      </c>
      <c r="H617" s="3" t="s">
        <v>703</v>
      </c>
      <c r="I617" t="s">
        <v>52</v>
      </c>
      <c r="J617" s="3" t="s">
        <v>698</v>
      </c>
      <c r="K617" s="4">
        <v>515</v>
      </c>
      <c r="L617" s="5">
        <v>0</v>
      </c>
      <c r="M617" s="6">
        <v>0</v>
      </c>
      <c r="N617" s="7">
        <v>1</v>
      </c>
      <c r="O617" t="s">
        <v>23</v>
      </c>
      <c r="P617" s="3" t="s">
        <v>23</v>
      </c>
      <c r="Q617" s="8" t="s">
        <v>23</v>
      </c>
    </row>
    <row r="618" spans="1:17" hidden="1" x14ac:dyDescent="0.55000000000000004">
      <c r="A618" s="3" t="s">
        <v>680</v>
      </c>
      <c r="B618" s="3" t="s">
        <v>734</v>
      </c>
      <c r="C618" t="s">
        <v>682</v>
      </c>
      <c r="D618" s="3" t="s">
        <v>7326</v>
      </c>
      <c r="E618" t="s">
        <v>735</v>
      </c>
      <c r="F618" s="3" t="s">
        <v>736</v>
      </c>
      <c r="G618" t="s">
        <v>24</v>
      </c>
      <c r="H618" s="3" t="s">
        <v>744</v>
      </c>
      <c r="I618" t="s">
        <v>218</v>
      </c>
      <c r="J618" s="3" t="s">
        <v>745</v>
      </c>
      <c r="K618" s="4">
        <v>1232</v>
      </c>
      <c r="L618" s="5">
        <v>55.99</v>
      </c>
      <c r="M618" s="6">
        <v>0</v>
      </c>
      <c r="N618" s="7">
        <v>1</v>
      </c>
      <c r="O618" t="s">
        <v>746</v>
      </c>
      <c r="P618" s="3" t="s">
        <v>23</v>
      </c>
      <c r="Q618" s="8" t="s">
        <v>23</v>
      </c>
    </row>
    <row r="619" spans="1:17" hidden="1" x14ac:dyDescent="0.55000000000000004">
      <c r="A619" s="3" t="s">
        <v>680</v>
      </c>
      <c r="B619" s="3" t="s">
        <v>734</v>
      </c>
      <c r="C619" t="s">
        <v>682</v>
      </c>
      <c r="D619" s="3" t="s">
        <v>7326</v>
      </c>
      <c r="E619" t="s">
        <v>735</v>
      </c>
      <c r="F619" s="3" t="s">
        <v>736</v>
      </c>
      <c r="G619" t="s">
        <v>24</v>
      </c>
      <c r="H619" s="3" t="s">
        <v>747</v>
      </c>
      <c r="I619" t="s">
        <v>26</v>
      </c>
      <c r="J619" s="3" t="s">
        <v>745</v>
      </c>
      <c r="K619" s="4">
        <v>605</v>
      </c>
      <c r="L619" s="5">
        <v>27.5</v>
      </c>
      <c r="M619" s="6">
        <v>1</v>
      </c>
      <c r="N619" s="7">
        <v>1</v>
      </c>
      <c r="O619" t="s">
        <v>748</v>
      </c>
      <c r="P619" s="3" t="s">
        <v>76</v>
      </c>
      <c r="Q619" s="8">
        <v>0.216667</v>
      </c>
    </row>
    <row r="620" spans="1:17" hidden="1" x14ac:dyDescent="0.55000000000000004">
      <c r="A620" s="3" t="s">
        <v>680</v>
      </c>
      <c r="B620" s="3" t="s">
        <v>710</v>
      </c>
      <c r="C620" t="s">
        <v>710</v>
      </c>
      <c r="D620" s="3" t="s">
        <v>7326</v>
      </c>
      <c r="E620" t="s">
        <v>749</v>
      </c>
      <c r="F620" s="3" t="s">
        <v>750</v>
      </c>
      <c r="G620" t="s">
        <v>19</v>
      </c>
      <c r="H620" s="3" t="s">
        <v>751</v>
      </c>
      <c r="I620" t="s">
        <v>695</v>
      </c>
      <c r="J620" s="3" t="s">
        <v>752</v>
      </c>
      <c r="K620" s="4">
        <v>180</v>
      </c>
      <c r="L620" s="5">
        <v>39.11</v>
      </c>
      <c r="M620" s="6">
        <v>0</v>
      </c>
      <c r="N620" s="7">
        <v>1</v>
      </c>
      <c r="O620" t="s">
        <v>753</v>
      </c>
      <c r="P620" s="3" t="s">
        <v>693</v>
      </c>
      <c r="Q620" s="8">
        <v>5.79E-2</v>
      </c>
    </row>
    <row r="621" spans="1:17" hidden="1" x14ac:dyDescent="0.55000000000000004">
      <c r="A621" s="3" t="s">
        <v>680</v>
      </c>
      <c r="B621" s="3" t="s">
        <v>710</v>
      </c>
      <c r="C621" t="s">
        <v>710</v>
      </c>
      <c r="D621" s="3" t="s">
        <v>7326</v>
      </c>
      <c r="E621" t="s">
        <v>749</v>
      </c>
      <c r="F621" s="3" t="s">
        <v>750</v>
      </c>
      <c r="G621" t="s">
        <v>19</v>
      </c>
      <c r="H621" s="3" t="s">
        <v>754</v>
      </c>
      <c r="I621" t="s">
        <v>686</v>
      </c>
      <c r="J621" s="3" t="s">
        <v>752</v>
      </c>
      <c r="K621" s="4">
        <v>553</v>
      </c>
      <c r="L621" s="5">
        <v>120.22</v>
      </c>
      <c r="M621" s="6">
        <v>1</v>
      </c>
      <c r="N621" s="7">
        <v>1</v>
      </c>
      <c r="O621" t="s">
        <v>755</v>
      </c>
      <c r="P621" s="3" t="s">
        <v>689</v>
      </c>
      <c r="Q621" s="8">
        <v>7.8301999999999997E-2</v>
      </c>
    </row>
    <row r="622" spans="1:17" hidden="1" x14ac:dyDescent="0.55000000000000004">
      <c r="A622" s="3" t="s">
        <v>680</v>
      </c>
      <c r="B622" s="3" t="s">
        <v>710</v>
      </c>
      <c r="C622" t="s">
        <v>710</v>
      </c>
      <c r="D622" s="3" t="s">
        <v>7326</v>
      </c>
      <c r="E622" t="s">
        <v>749</v>
      </c>
      <c r="F622" s="3" t="s">
        <v>750</v>
      </c>
      <c r="G622" t="s">
        <v>19</v>
      </c>
      <c r="H622" s="3" t="s">
        <v>756</v>
      </c>
      <c r="I622" t="s">
        <v>691</v>
      </c>
      <c r="J622" s="3" t="s">
        <v>752</v>
      </c>
      <c r="K622" s="4">
        <v>344</v>
      </c>
      <c r="L622" s="5">
        <v>74.849999999999994</v>
      </c>
      <c r="M622" s="6">
        <v>0</v>
      </c>
      <c r="N622" s="7">
        <v>1</v>
      </c>
      <c r="O622" t="s">
        <v>757</v>
      </c>
      <c r="P622" s="3" t="s">
        <v>693</v>
      </c>
      <c r="Q622" s="8">
        <v>7.639E-2</v>
      </c>
    </row>
    <row r="623" spans="1:17" hidden="1" x14ac:dyDescent="0.55000000000000004">
      <c r="A623" s="3" t="s">
        <v>680</v>
      </c>
      <c r="B623" s="3" t="s">
        <v>710</v>
      </c>
      <c r="C623" t="s">
        <v>710</v>
      </c>
      <c r="D623" s="3" t="s">
        <v>7326</v>
      </c>
      <c r="E623" t="s">
        <v>749</v>
      </c>
      <c r="F623" s="3" t="s">
        <v>750</v>
      </c>
      <c r="G623" t="s">
        <v>24</v>
      </c>
      <c r="H623" s="3" t="s">
        <v>758</v>
      </c>
      <c r="I623" t="s">
        <v>26</v>
      </c>
      <c r="J623" s="3" t="s">
        <v>759</v>
      </c>
      <c r="K623" s="4">
        <v>701</v>
      </c>
      <c r="L623" s="5">
        <v>31.86</v>
      </c>
      <c r="M623" s="6">
        <v>1</v>
      </c>
      <c r="N623" s="7">
        <v>1</v>
      </c>
      <c r="O623" t="s">
        <v>760</v>
      </c>
      <c r="P623" s="3" t="s">
        <v>76</v>
      </c>
      <c r="Q623" s="8">
        <v>0.216667</v>
      </c>
    </row>
    <row r="624" spans="1:17" hidden="1" x14ac:dyDescent="0.55000000000000004">
      <c r="A624" s="3" t="s">
        <v>680</v>
      </c>
      <c r="B624" s="3" t="s">
        <v>710</v>
      </c>
      <c r="C624" t="s">
        <v>710</v>
      </c>
      <c r="D624" s="3" t="s">
        <v>7326</v>
      </c>
      <c r="E624" t="s">
        <v>749</v>
      </c>
      <c r="F624" s="3" t="s">
        <v>750</v>
      </c>
      <c r="G624" t="s">
        <v>24</v>
      </c>
      <c r="H624" s="3" t="s">
        <v>761</v>
      </c>
      <c r="I624" t="s">
        <v>218</v>
      </c>
      <c r="J624" s="3" t="s">
        <v>759</v>
      </c>
      <c r="K624" s="4">
        <v>1248</v>
      </c>
      <c r="L624" s="5">
        <v>56.75</v>
      </c>
      <c r="M624" s="6">
        <v>0</v>
      </c>
      <c r="N624" s="7">
        <v>1</v>
      </c>
      <c r="O624" t="s">
        <v>762</v>
      </c>
      <c r="P624" s="3" t="s">
        <v>23</v>
      </c>
      <c r="Q624" s="8" t="s">
        <v>23</v>
      </c>
    </row>
    <row r="625" spans="1:17" hidden="1" x14ac:dyDescent="0.55000000000000004">
      <c r="A625" s="3" t="s">
        <v>680</v>
      </c>
      <c r="B625" s="3" t="s">
        <v>763</v>
      </c>
      <c r="C625" t="s">
        <v>763</v>
      </c>
      <c r="D625" s="3" t="s">
        <v>7326</v>
      </c>
      <c r="E625" t="s">
        <v>764</v>
      </c>
      <c r="F625" s="3" t="s">
        <v>765</v>
      </c>
      <c r="G625" t="s">
        <v>24</v>
      </c>
      <c r="H625" s="3" t="s">
        <v>766</v>
      </c>
      <c r="I625" t="s">
        <v>52</v>
      </c>
      <c r="J625" s="3" t="s">
        <v>767</v>
      </c>
      <c r="K625" s="4">
        <v>938</v>
      </c>
      <c r="L625" s="5">
        <v>42.64</v>
      </c>
      <c r="M625" s="6">
        <v>0</v>
      </c>
      <c r="N625" s="7">
        <v>0</v>
      </c>
      <c r="O625" t="s">
        <v>768</v>
      </c>
      <c r="P625" s="3" t="s">
        <v>55</v>
      </c>
      <c r="Q625" s="8">
        <v>0.21954899999999999</v>
      </c>
    </row>
    <row r="626" spans="1:17" hidden="1" x14ac:dyDescent="0.55000000000000004">
      <c r="A626" s="3" t="s">
        <v>680</v>
      </c>
      <c r="B626" s="3" t="s">
        <v>763</v>
      </c>
      <c r="C626" t="s">
        <v>763</v>
      </c>
      <c r="D626" s="3" t="s">
        <v>7326</v>
      </c>
      <c r="E626" t="s">
        <v>764</v>
      </c>
      <c r="F626" s="3" t="s">
        <v>765</v>
      </c>
      <c r="G626" t="s">
        <v>24</v>
      </c>
      <c r="H626" s="3" t="s">
        <v>769</v>
      </c>
      <c r="I626" t="s">
        <v>26</v>
      </c>
      <c r="J626" s="3" t="s">
        <v>770</v>
      </c>
      <c r="K626" s="4">
        <v>688</v>
      </c>
      <c r="L626" s="5">
        <v>31.26</v>
      </c>
      <c r="M626" s="6">
        <v>1</v>
      </c>
      <c r="N626" s="7">
        <v>0</v>
      </c>
      <c r="O626" t="s">
        <v>771</v>
      </c>
      <c r="P626" s="3" t="s">
        <v>76</v>
      </c>
      <c r="Q626" s="8">
        <v>0.248333</v>
      </c>
    </row>
    <row r="627" spans="1:17" hidden="1" x14ac:dyDescent="0.55000000000000004">
      <c r="A627" s="3" t="s">
        <v>680</v>
      </c>
      <c r="B627" s="3" t="s">
        <v>772</v>
      </c>
      <c r="C627" t="s">
        <v>682</v>
      </c>
      <c r="D627" s="3" t="s">
        <v>7326</v>
      </c>
      <c r="E627" t="s">
        <v>773</v>
      </c>
      <c r="F627" s="3" t="s">
        <v>774</v>
      </c>
      <c r="G627" t="s">
        <v>24</v>
      </c>
      <c r="H627" s="3" t="s">
        <v>775</v>
      </c>
      <c r="I627" t="s">
        <v>52</v>
      </c>
      <c r="J627" s="3" t="s">
        <v>776</v>
      </c>
      <c r="K627" s="4">
        <v>666</v>
      </c>
      <c r="L627" s="5">
        <v>30.27</v>
      </c>
      <c r="M627" s="6">
        <v>0</v>
      </c>
      <c r="N627" s="7">
        <v>0</v>
      </c>
      <c r="O627" t="s">
        <v>777</v>
      </c>
      <c r="P627" s="3" t="s">
        <v>55</v>
      </c>
      <c r="Q627" s="8">
        <v>0.18468899999999999</v>
      </c>
    </row>
    <row r="628" spans="1:17" hidden="1" x14ac:dyDescent="0.55000000000000004">
      <c r="A628" s="3" t="s">
        <v>680</v>
      </c>
      <c r="B628" s="3" t="s">
        <v>772</v>
      </c>
      <c r="C628" t="s">
        <v>682</v>
      </c>
      <c r="D628" s="3" t="s">
        <v>7326</v>
      </c>
      <c r="E628" t="s">
        <v>773</v>
      </c>
      <c r="F628" s="3" t="s">
        <v>774</v>
      </c>
      <c r="G628" t="s">
        <v>24</v>
      </c>
      <c r="H628" s="3" t="s">
        <v>697</v>
      </c>
      <c r="I628" t="s">
        <v>304</v>
      </c>
      <c r="J628" s="3" t="s">
        <v>698</v>
      </c>
      <c r="K628" s="4">
        <v>959</v>
      </c>
      <c r="L628" s="5">
        <v>0</v>
      </c>
      <c r="M628" s="6">
        <v>0</v>
      </c>
      <c r="N628" s="7">
        <v>0</v>
      </c>
      <c r="O628" t="s">
        <v>23</v>
      </c>
      <c r="P628" s="3" t="s">
        <v>23</v>
      </c>
      <c r="Q628" s="8" t="s">
        <v>23</v>
      </c>
    </row>
    <row r="629" spans="1:17" hidden="1" x14ac:dyDescent="0.55000000000000004">
      <c r="A629" s="3" t="s">
        <v>680</v>
      </c>
      <c r="B629" s="3" t="s">
        <v>772</v>
      </c>
      <c r="C629" t="s">
        <v>682</v>
      </c>
      <c r="D629" s="3" t="s">
        <v>7326</v>
      </c>
      <c r="E629" t="s">
        <v>773</v>
      </c>
      <c r="F629" s="3" t="s">
        <v>774</v>
      </c>
      <c r="G629" t="s">
        <v>24</v>
      </c>
      <c r="H629" s="3" t="s">
        <v>699</v>
      </c>
      <c r="I629" t="s">
        <v>296</v>
      </c>
      <c r="J629" s="3" t="s">
        <v>698</v>
      </c>
      <c r="K629" s="4">
        <v>370</v>
      </c>
      <c r="L629" s="5">
        <v>0</v>
      </c>
      <c r="M629" s="6">
        <v>0</v>
      </c>
      <c r="N629" s="7">
        <v>0</v>
      </c>
      <c r="O629" t="s">
        <v>23</v>
      </c>
      <c r="P629" s="3" t="s">
        <v>23</v>
      </c>
      <c r="Q629" s="8" t="s">
        <v>23</v>
      </c>
    </row>
    <row r="630" spans="1:17" hidden="1" x14ac:dyDescent="0.55000000000000004">
      <c r="A630" s="3" t="s">
        <v>680</v>
      </c>
      <c r="B630" s="3" t="s">
        <v>772</v>
      </c>
      <c r="C630" t="s">
        <v>682</v>
      </c>
      <c r="D630" s="3" t="s">
        <v>7326</v>
      </c>
      <c r="E630" t="s">
        <v>773</v>
      </c>
      <c r="F630" s="3" t="s">
        <v>774</v>
      </c>
      <c r="G630" t="s">
        <v>24</v>
      </c>
      <c r="H630" s="3" t="s">
        <v>700</v>
      </c>
      <c r="I630" t="s">
        <v>298</v>
      </c>
      <c r="J630" s="3" t="s">
        <v>698</v>
      </c>
      <c r="K630" s="4">
        <v>802</v>
      </c>
      <c r="L630" s="5">
        <v>0</v>
      </c>
      <c r="M630" s="6">
        <v>0</v>
      </c>
      <c r="N630" s="7">
        <v>0</v>
      </c>
      <c r="O630" t="s">
        <v>23</v>
      </c>
      <c r="P630" s="3" t="s">
        <v>23</v>
      </c>
      <c r="Q630" s="8" t="s">
        <v>23</v>
      </c>
    </row>
    <row r="631" spans="1:17" hidden="1" x14ac:dyDescent="0.55000000000000004">
      <c r="A631" s="3" t="s">
        <v>680</v>
      </c>
      <c r="B631" s="3" t="s">
        <v>772</v>
      </c>
      <c r="C631" t="s">
        <v>682</v>
      </c>
      <c r="D631" s="3" t="s">
        <v>7326</v>
      </c>
      <c r="E631" t="s">
        <v>773</v>
      </c>
      <c r="F631" s="3" t="s">
        <v>774</v>
      </c>
      <c r="G631" t="s">
        <v>24</v>
      </c>
      <c r="H631" s="3" t="s">
        <v>701</v>
      </c>
      <c r="I631" t="s">
        <v>300</v>
      </c>
      <c r="J631" s="3" t="s">
        <v>698</v>
      </c>
      <c r="K631" s="4">
        <v>495</v>
      </c>
      <c r="L631" s="5">
        <v>0</v>
      </c>
      <c r="M631" s="6">
        <v>0</v>
      </c>
      <c r="N631" s="7">
        <v>0</v>
      </c>
      <c r="O631" t="s">
        <v>23</v>
      </c>
      <c r="P631" s="3" t="s">
        <v>23</v>
      </c>
      <c r="Q631" s="8" t="s">
        <v>23</v>
      </c>
    </row>
    <row r="632" spans="1:17" hidden="1" x14ac:dyDescent="0.55000000000000004">
      <c r="A632" s="3" t="s">
        <v>680</v>
      </c>
      <c r="B632" s="3" t="s">
        <v>772</v>
      </c>
      <c r="C632" t="s">
        <v>682</v>
      </c>
      <c r="D632" s="3" t="s">
        <v>7326</v>
      </c>
      <c r="E632" t="s">
        <v>773</v>
      </c>
      <c r="F632" s="3" t="s">
        <v>774</v>
      </c>
      <c r="G632" t="s">
        <v>24</v>
      </c>
      <c r="H632" s="3" t="s">
        <v>702</v>
      </c>
      <c r="I632" t="s">
        <v>302</v>
      </c>
      <c r="J632" s="3" t="s">
        <v>698</v>
      </c>
      <c r="K632" s="4">
        <v>733</v>
      </c>
      <c r="L632" s="5">
        <v>0</v>
      </c>
      <c r="M632" s="6">
        <v>0</v>
      </c>
      <c r="N632" s="7">
        <v>0</v>
      </c>
      <c r="O632" t="s">
        <v>23</v>
      </c>
      <c r="P632" s="3" t="s">
        <v>23</v>
      </c>
      <c r="Q632" s="8" t="s">
        <v>23</v>
      </c>
    </row>
    <row r="633" spans="1:17" hidden="1" x14ac:dyDescent="0.55000000000000004">
      <c r="A633" s="3" t="s">
        <v>680</v>
      </c>
      <c r="B633" s="3" t="s">
        <v>772</v>
      </c>
      <c r="C633" t="s">
        <v>682</v>
      </c>
      <c r="D633" s="3" t="s">
        <v>7326</v>
      </c>
      <c r="E633" t="s">
        <v>773</v>
      </c>
      <c r="F633" s="3" t="s">
        <v>774</v>
      </c>
      <c r="G633" t="s">
        <v>24</v>
      </c>
      <c r="H633" s="3" t="s">
        <v>703</v>
      </c>
      <c r="I633" t="s">
        <v>52</v>
      </c>
      <c r="J633" s="3" t="s">
        <v>698</v>
      </c>
      <c r="K633" s="4">
        <v>515</v>
      </c>
      <c r="L633" s="5">
        <v>0</v>
      </c>
      <c r="M633" s="6">
        <v>0</v>
      </c>
      <c r="N633" s="7">
        <v>0</v>
      </c>
      <c r="O633" t="s">
        <v>23</v>
      </c>
      <c r="P633" s="3" t="s">
        <v>23</v>
      </c>
      <c r="Q633" s="8" t="s">
        <v>23</v>
      </c>
    </row>
    <row r="634" spans="1:17" hidden="1" x14ac:dyDescent="0.55000000000000004">
      <c r="A634" s="3" t="s">
        <v>680</v>
      </c>
      <c r="B634" s="3" t="s">
        <v>772</v>
      </c>
      <c r="C634" t="s">
        <v>682</v>
      </c>
      <c r="D634" s="3" t="s">
        <v>7326</v>
      </c>
      <c r="E634" t="s">
        <v>773</v>
      </c>
      <c r="F634" s="3" t="s">
        <v>774</v>
      </c>
      <c r="G634" t="s">
        <v>24</v>
      </c>
      <c r="H634" s="3" t="s">
        <v>778</v>
      </c>
      <c r="I634" t="s">
        <v>26</v>
      </c>
      <c r="J634" s="3" t="s">
        <v>779</v>
      </c>
      <c r="K634" s="4">
        <v>482</v>
      </c>
      <c r="L634" s="5">
        <v>21.91</v>
      </c>
      <c r="M634" s="6">
        <v>1</v>
      </c>
      <c r="N634" s="7">
        <v>0</v>
      </c>
      <c r="O634" t="s">
        <v>780</v>
      </c>
      <c r="P634" s="3" t="s">
        <v>76</v>
      </c>
      <c r="Q634" s="8">
        <v>0.216667</v>
      </c>
    </row>
    <row r="635" spans="1:17" hidden="1" x14ac:dyDescent="0.55000000000000004">
      <c r="A635" s="9" t="s">
        <v>680</v>
      </c>
      <c r="B635" s="3" t="s">
        <v>781</v>
      </c>
      <c r="C635" t="s">
        <v>781</v>
      </c>
      <c r="D635" s="3" t="s">
        <v>7326</v>
      </c>
      <c r="E635" t="s">
        <v>782</v>
      </c>
      <c r="F635" s="3" t="s">
        <v>783</v>
      </c>
      <c r="G635" t="s">
        <v>24</v>
      </c>
      <c r="H635" s="3" t="s">
        <v>784</v>
      </c>
      <c r="I635" t="s">
        <v>52</v>
      </c>
      <c r="J635" s="3" t="s">
        <v>785</v>
      </c>
      <c r="K635" s="4">
        <v>647</v>
      </c>
      <c r="L635" s="5">
        <v>29.42</v>
      </c>
      <c r="M635" s="6">
        <v>1</v>
      </c>
      <c r="N635" s="7">
        <v>0</v>
      </c>
      <c r="O635" t="s">
        <v>786</v>
      </c>
      <c r="P635" s="3" t="s">
        <v>55</v>
      </c>
      <c r="Q635" s="8">
        <v>0.1845</v>
      </c>
    </row>
    <row r="636" spans="1:17" hidden="1" x14ac:dyDescent="0.55000000000000004">
      <c r="A636" s="3" t="s">
        <v>787</v>
      </c>
      <c r="B636" s="3" t="s">
        <v>788</v>
      </c>
      <c r="C636" t="s">
        <v>789</v>
      </c>
      <c r="D636" s="3" t="s">
        <v>7329</v>
      </c>
      <c r="E636" t="s">
        <v>790</v>
      </c>
      <c r="F636" s="3" t="s">
        <v>791</v>
      </c>
      <c r="G636" t="s">
        <v>24</v>
      </c>
      <c r="H636" s="3" t="s">
        <v>792</v>
      </c>
      <c r="I636" t="s">
        <v>37</v>
      </c>
      <c r="J636" s="3" t="s">
        <v>793</v>
      </c>
      <c r="K636" s="4">
        <v>1018</v>
      </c>
      <c r="L636" s="5">
        <v>46.26</v>
      </c>
      <c r="M636" s="6">
        <v>1</v>
      </c>
      <c r="N636" s="7">
        <v>0</v>
      </c>
      <c r="O636" t="s">
        <v>794</v>
      </c>
      <c r="P636" s="3" t="s">
        <v>40</v>
      </c>
      <c r="Q636" s="8">
        <v>0.25765199999999999</v>
      </c>
    </row>
    <row r="637" spans="1:17" hidden="1" x14ac:dyDescent="0.55000000000000004">
      <c r="A637" s="3" t="s">
        <v>787</v>
      </c>
      <c r="B637" s="3" t="s">
        <v>788</v>
      </c>
      <c r="C637" t="s">
        <v>789</v>
      </c>
      <c r="D637" s="3" t="s">
        <v>7329</v>
      </c>
      <c r="E637" t="s">
        <v>795</v>
      </c>
      <c r="F637" s="3" t="s">
        <v>796</v>
      </c>
      <c r="G637" t="s">
        <v>24</v>
      </c>
      <c r="H637" s="3" t="s">
        <v>792</v>
      </c>
      <c r="I637" t="s">
        <v>37</v>
      </c>
      <c r="J637" s="3" t="s">
        <v>793</v>
      </c>
      <c r="K637" s="4">
        <v>1018</v>
      </c>
      <c r="L637" s="5">
        <v>46.26</v>
      </c>
      <c r="M637" s="6">
        <v>1</v>
      </c>
      <c r="N637" s="7">
        <v>0</v>
      </c>
      <c r="O637" t="s">
        <v>794</v>
      </c>
      <c r="P637" s="3" t="s">
        <v>40</v>
      </c>
      <c r="Q637" s="8">
        <v>0.25765199999999999</v>
      </c>
    </row>
    <row r="638" spans="1:17" hidden="1" x14ac:dyDescent="0.55000000000000004">
      <c r="A638" s="3" t="s">
        <v>787</v>
      </c>
      <c r="B638" s="3" t="s">
        <v>797</v>
      </c>
      <c r="C638" t="s">
        <v>789</v>
      </c>
      <c r="D638" s="3" t="s">
        <v>7329</v>
      </c>
      <c r="E638" t="s">
        <v>798</v>
      </c>
      <c r="F638" s="3" t="s">
        <v>799</v>
      </c>
      <c r="G638" t="s">
        <v>19</v>
      </c>
      <c r="H638" s="3" t="s">
        <v>23</v>
      </c>
      <c r="I638" t="s">
        <v>67</v>
      </c>
      <c r="J638" s="3" t="s">
        <v>67</v>
      </c>
      <c r="K638" s="4" t="s">
        <v>23</v>
      </c>
      <c r="L638" s="5" t="s">
        <v>23</v>
      </c>
      <c r="M638" s="6">
        <v>0</v>
      </c>
      <c r="N638" s="7">
        <v>0</v>
      </c>
      <c r="O638" t="s">
        <v>23</v>
      </c>
      <c r="P638" s="3" t="s">
        <v>23</v>
      </c>
      <c r="Q638" s="8" t="s">
        <v>23</v>
      </c>
    </row>
    <row r="639" spans="1:17" hidden="1" x14ac:dyDescent="0.55000000000000004">
      <c r="A639" s="3" t="s">
        <v>787</v>
      </c>
      <c r="B639" s="3" t="s">
        <v>800</v>
      </c>
      <c r="C639" t="s">
        <v>7328</v>
      </c>
      <c r="D639" s="3" t="s">
        <v>7329</v>
      </c>
      <c r="E639" t="s">
        <v>801</v>
      </c>
      <c r="F639" s="3" t="s">
        <v>802</v>
      </c>
      <c r="G639" t="s">
        <v>19</v>
      </c>
      <c r="H639" s="3" t="s">
        <v>803</v>
      </c>
      <c r="I639" t="s">
        <v>804</v>
      </c>
      <c r="J639" s="3" t="s">
        <v>805</v>
      </c>
      <c r="K639" s="4">
        <v>39</v>
      </c>
      <c r="L639" s="5">
        <v>8.52</v>
      </c>
      <c r="M639" s="6">
        <v>1</v>
      </c>
      <c r="N639" s="7">
        <v>0</v>
      </c>
      <c r="O639" t="s">
        <v>806</v>
      </c>
      <c r="P639" s="3" t="s">
        <v>807</v>
      </c>
      <c r="Q639" s="8">
        <v>1.5398E-2</v>
      </c>
    </row>
    <row r="640" spans="1:17" hidden="1" x14ac:dyDescent="0.55000000000000004">
      <c r="A640" s="3" t="s">
        <v>787</v>
      </c>
      <c r="B640" s="3" t="s">
        <v>789</v>
      </c>
      <c r="C640" t="s">
        <v>789</v>
      </c>
      <c r="D640" s="3" t="s">
        <v>7329</v>
      </c>
      <c r="E640" t="s">
        <v>808</v>
      </c>
      <c r="F640" s="3" t="s">
        <v>809</v>
      </c>
      <c r="G640" t="s">
        <v>24</v>
      </c>
      <c r="H640" s="3" t="s">
        <v>810</v>
      </c>
      <c r="I640" t="s">
        <v>37</v>
      </c>
      <c r="J640" s="3" t="s">
        <v>811</v>
      </c>
      <c r="K640" s="4">
        <v>1034</v>
      </c>
      <c r="L640" s="5">
        <v>47</v>
      </c>
      <c r="M640" s="6">
        <v>1</v>
      </c>
      <c r="N640" s="7">
        <v>0</v>
      </c>
      <c r="O640" t="s">
        <v>812</v>
      </c>
      <c r="P640" s="3" t="s">
        <v>40</v>
      </c>
      <c r="Q640" s="8">
        <v>0.25783899999999998</v>
      </c>
    </row>
    <row r="641" spans="1:17" hidden="1" x14ac:dyDescent="0.55000000000000004">
      <c r="A641" s="3" t="s">
        <v>787</v>
      </c>
      <c r="B641" s="3" t="s">
        <v>789</v>
      </c>
      <c r="C641" t="s">
        <v>789</v>
      </c>
      <c r="D641" s="3" t="s">
        <v>7329</v>
      </c>
      <c r="E641" t="s">
        <v>813</v>
      </c>
      <c r="F641" s="3" t="s">
        <v>814</v>
      </c>
      <c r="G641" t="s">
        <v>24</v>
      </c>
      <c r="H641" s="3" t="s">
        <v>810</v>
      </c>
      <c r="I641" t="s">
        <v>37</v>
      </c>
      <c r="J641" s="3" t="s">
        <v>811</v>
      </c>
      <c r="K641" s="4">
        <v>1034</v>
      </c>
      <c r="L641" s="5">
        <v>47</v>
      </c>
      <c r="M641" s="6">
        <v>1</v>
      </c>
      <c r="N641" s="7">
        <v>0</v>
      </c>
      <c r="O641" t="s">
        <v>812</v>
      </c>
      <c r="P641" s="3" t="s">
        <v>40</v>
      </c>
      <c r="Q641" s="8">
        <v>0.25783899999999998</v>
      </c>
    </row>
    <row r="642" spans="1:17" hidden="1" x14ac:dyDescent="0.55000000000000004">
      <c r="A642" s="3" t="s">
        <v>787</v>
      </c>
      <c r="B642" s="3" t="s">
        <v>789</v>
      </c>
      <c r="C642" t="s">
        <v>789</v>
      </c>
      <c r="D642" s="3" t="s">
        <v>7329</v>
      </c>
      <c r="E642" t="s">
        <v>815</v>
      </c>
      <c r="F642" s="3" t="s">
        <v>816</v>
      </c>
      <c r="G642" t="s">
        <v>24</v>
      </c>
      <c r="H642" s="3" t="s">
        <v>810</v>
      </c>
      <c r="I642" t="s">
        <v>37</v>
      </c>
      <c r="J642" s="3" t="s">
        <v>811</v>
      </c>
      <c r="K642" s="4">
        <v>1034</v>
      </c>
      <c r="L642" s="5">
        <v>47</v>
      </c>
      <c r="M642" s="6">
        <v>1</v>
      </c>
      <c r="N642" s="7">
        <v>0</v>
      </c>
      <c r="O642" t="s">
        <v>812</v>
      </c>
      <c r="P642" s="3" t="s">
        <v>40</v>
      </c>
      <c r="Q642" s="8">
        <v>0.25783899999999998</v>
      </c>
    </row>
    <row r="643" spans="1:17" hidden="1" x14ac:dyDescent="0.55000000000000004">
      <c r="A643" s="3" t="s">
        <v>787</v>
      </c>
      <c r="B643" s="3" t="s">
        <v>789</v>
      </c>
      <c r="C643" t="s">
        <v>789</v>
      </c>
      <c r="D643" s="3" t="s">
        <v>7329</v>
      </c>
      <c r="E643" t="s">
        <v>817</v>
      </c>
      <c r="F643" s="3" t="s">
        <v>818</v>
      </c>
      <c r="G643" t="s">
        <v>24</v>
      </c>
      <c r="H643" s="3" t="s">
        <v>810</v>
      </c>
      <c r="I643" t="s">
        <v>37</v>
      </c>
      <c r="J643" s="3" t="s">
        <v>811</v>
      </c>
      <c r="K643" s="4">
        <v>1034</v>
      </c>
      <c r="L643" s="5">
        <v>47</v>
      </c>
      <c r="M643" s="6">
        <v>1</v>
      </c>
      <c r="N643" s="7">
        <v>0</v>
      </c>
      <c r="O643" t="s">
        <v>812</v>
      </c>
      <c r="P643" s="3" t="s">
        <v>40</v>
      </c>
      <c r="Q643" s="8">
        <v>0.25783899999999998</v>
      </c>
    </row>
    <row r="644" spans="1:17" hidden="1" x14ac:dyDescent="0.55000000000000004">
      <c r="A644" s="3" t="s">
        <v>787</v>
      </c>
      <c r="B644" s="3" t="s">
        <v>789</v>
      </c>
      <c r="C644" t="s">
        <v>789</v>
      </c>
      <c r="D644" s="3" t="s">
        <v>7329</v>
      </c>
      <c r="E644" t="s">
        <v>819</v>
      </c>
      <c r="F644" s="3" t="s">
        <v>820</v>
      </c>
      <c r="G644" t="s">
        <v>24</v>
      </c>
      <c r="H644" s="3" t="s">
        <v>810</v>
      </c>
      <c r="I644" t="s">
        <v>37</v>
      </c>
      <c r="J644" s="3" t="s">
        <v>811</v>
      </c>
      <c r="K644" s="4">
        <v>1034</v>
      </c>
      <c r="L644" s="5">
        <v>47</v>
      </c>
      <c r="M644" s="6">
        <v>1</v>
      </c>
      <c r="N644" s="7">
        <v>0</v>
      </c>
      <c r="O644" t="s">
        <v>812</v>
      </c>
      <c r="P644" s="3" t="s">
        <v>40</v>
      </c>
      <c r="Q644" s="8">
        <v>0.25783899999999998</v>
      </c>
    </row>
    <row r="645" spans="1:17" hidden="1" x14ac:dyDescent="0.55000000000000004">
      <c r="A645" s="3" t="s">
        <v>787</v>
      </c>
      <c r="B645" s="3" t="s">
        <v>789</v>
      </c>
      <c r="C645" t="s">
        <v>789</v>
      </c>
      <c r="D645" s="3" t="s">
        <v>7329</v>
      </c>
      <c r="E645" t="s">
        <v>821</v>
      </c>
      <c r="F645" s="3" t="s">
        <v>822</v>
      </c>
      <c r="G645" t="s">
        <v>24</v>
      </c>
      <c r="H645" s="3" t="s">
        <v>810</v>
      </c>
      <c r="I645" t="s">
        <v>37</v>
      </c>
      <c r="J645" s="3" t="s">
        <v>811</v>
      </c>
      <c r="K645" s="4">
        <v>1034</v>
      </c>
      <c r="L645" s="5">
        <v>47</v>
      </c>
      <c r="M645" s="6">
        <v>1</v>
      </c>
      <c r="N645" s="7">
        <v>0</v>
      </c>
      <c r="O645" t="s">
        <v>812</v>
      </c>
      <c r="P645" s="3" t="s">
        <v>40</v>
      </c>
      <c r="Q645" s="8">
        <v>0.25783899999999998</v>
      </c>
    </row>
    <row r="646" spans="1:17" hidden="1" x14ac:dyDescent="0.55000000000000004">
      <c r="A646" s="3" t="s">
        <v>787</v>
      </c>
      <c r="B646" s="3" t="s">
        <v>789</v>
      </c>
      <c r="C646" t="s">
        <v>789</v>
      </c>
      <c r="D646" s="3" t="s">
        <v>7329</v>
      </c>
      <c r="E646" t="s">
        <v>823</v>
      </c>
      <c r="F646" s="3" t="s">
        <v>824</v>
      </c>
      <c r="G646" t="s">
        <v>24</v>
      </c>
      <c r="H646" s="3" t="s">
        <v>810</v>
      </c>
      <c r="I646" t="s">
        <v>37</v>
      </c>
      <c r="J646" s="3" t="s">
        <v>811</v>
      </c>
      <c r="K646" s="4">
        <v>1034</v>
      </c>
      <c r="L646" s="5">
        <v>47</v>
      </c>
      <c r="M646" s="6">
        <v>1</v>
      </c>
      <c r="N646" s="7">
        <v>0</v>
      </c>
      <c r="O646" t="s">
        <v>812</v>
      </c>
      <c r="P646" s="3" t="s">
        <v>40</v>
      </c>
      <c r="Q646" s="8">
        <v>0.25783899999999998</v>
      </c>
    </row>
    <row r="647" spans="1:17" hidden="1" x14ac:dyDescent="0.55000000000000004">
      <c r="A647" s="3" t="s">
        <v>787</v>
      </c>
      <c r="B647" s="3" t="s">
        <v>825</v>
      </c>
      <c r="C647" t="s">
        <v>7328</v>
      </c>
      <c r="D647" s="3" t="s">
        <v>7329</v>
      </c>
      <c r="E647" t="s">
        <v>826</v>
      </c>
      <c r="F647" s="3" t="s">
        <v>827</v>
      </c>
      <c r="G647" t="s">
        <v>19</v>
      </c>
      <c r="H647" s="3" t="s">
        <v>828</v>
      </c>
      <c r="I647" t="s">
        <v>804</v>
      </c>
      <c r="J647" s="3" t="s">
        <v>829</v>
      </c>
      <c r="K647" s="4">
        <v>24</v>
      </c>
      <c r="L647" s="5">
        <v>5.3</v>
      </c>
      <c r="M647" s="6">
        <v>1</v>
      </c>
      <c r="N647" s="7">
        <v>0</v>
      </c>
      <c r="O647" t="s">
        <v>830</v>
      </c>
      <c r="P647" s="3" t="s">
        <v>807</v>
      </c>
      <c r="Q647" s="8">
        <v>1.2362E-2</v>
      </c>
    </row>
    <row r="648" spans="1:17" hidden="1" x14ac:dyDescent="0.55000000000000004">
      <c r="A648" s="3" t="s">
        <v>787</v>
      </c>
      <c r="B648" s="3" t="s">
        <v>831</v>
      </c>
      <c r="C648" t="s">
        <v>7328</v>
      </c>
      <c r="D648" s="3" t="s">
        <v>7329</v>
      </c>
      <c r="E648" t="s">
        <v>832</v>
      </c>
      <c r="F648" s="3" t="s">
        <v>833</v>
      </c>
      <c r="G648" t="s">
        <v>19</v>
      </c>
      <c r="H648" s="3" t="s">
        <v>834</v>
      </c>
      <c r="I648" t="s">
        <v>804</v>
      </c>
      <c r="J648" s="3" t="s">
        <v>835</v>
      </c>
      <c r="K648" s="4">
        <v>30</v>
      </c>
      <c r="L648" s="5">
        <v>6.59</v>
      </c>
      <c r="M648" s="6">
        <v>1</v>
      </c>
      <c r="N648" s="7">
        <v>0</v>
      </c>
      <c r="O648" t="s">
        <v>836</v>
      </c>
      <c r="P648" s="3" t="s">
        <v>807</v>
      </c>
      <c r="Q648" s="8">
        <v>1.5398E-2</v>
      </c>
    </row>
    <row r="649" spans="1:17" hidden="1" x14ac:dyDescent="0.55000000000000004">
      <c r="A649" s="3" t="s">
        <v>787</v>
      </c>
      <c r="B649" s="3" t="s">
        <v>837</v>
      </c>
      <c r="C649" t="s">
        <v>7328</v>
      </c>
      <c r="D649" s="3" t="s">
        <v>7329</v>
      </c>
      <c r="E649" t="s">
        <v>838</v>
      </c>
      <c r="F649" s="3" t="s">
        <v>839</v>
      </c>
      <c r="G649" t="s">
        <v>19</v>
      </c>
      <c r="H649" s="3" t="s">
        <v>840</v>
      </c>
      <c r="I649" t="s">
        <v>804</v>
      </c>
      <c r="J649" s="3" t="s">
        <v>841</v>
      </c>
      <c r="K649" s="4">
        <v>38</v>
      </c>
      <c r="L649" s="5">
        <v>8.3699999999999992</v>
      </c>
      <c r="M649" s="6">
        <v>1</v>
      </c>
      <c r="N649" s="7">
        <v>1</v>
      </c>
      <c r="O649" t="s">
        <v>842</v>
      </c>
      <c r="P649" s="3" t="s">
        <v>807</v>
      </c>
      <c r="Q649" s="8">
        <v>1.5398E-2</v>
      </c>
    </row>
    <row r="650" spans="1:17" hidden="1" x14ac:dyDescent="0.55000000000000004">
      <c r="A650" s="9" t="s">
        <v>787</v>
      </c>
      <c r="B650" s="3" t="s">
        <v>837</v>
      </c>
      <c r="C650" t="s">
        <v>7328</v>
      </c>
      <c r="D650" s="3" t="s">
        <v>7329</v>
      </c>
      <c r="E650" t="s">
        <v>843</v>
      </c>
      <c r="F650" s="3" t="s">
        <v>844</v>
      </c>
      <c r="G650" t="s">
        <v>19</v>
      </c>
      <c r="H650" s="3" t="s">
        <v>840</v>
      </c>
      <c r="I650" t="s">
        <v>804</v>
      </c>
      <c r="J650" s="3" t="s">
        <v>841</v>
      </c>
      <c r="K650" s="4">
        <v>38</v>
      </c>
      <c r="L650" s="5">
        <v>8.3699999999999992</v>
      </c>
      <c r="M650" s="6">
        <v>1</v>
      </c>
      <c r="N650" s="7">
        <v>0</v>
      </c>
      <c r="O650" t="s">
        <v>842</v>
      </c>
      <c r="P650" s="3" t="s">
        <v>807</v>
      </c>
      <c r="Q650" s="8">
        <v>1.5398E-2</v>
      </c>
    </row>
    <row r="651" spans="1:17" hidden="1" x14ac:dyDescent="0.55000000000000004">
      <c r="A651" s="3" t="s">
        <v>845</v>
      </c>
      <c r="B651" s="3" t="s">
        <v>846</v>
      </c>
      <c r="C651" t="s">
        <v>855</v>
      </c>
      <c r="D651" s="3" t="s">
        <v>7329</v>
      </c>
      <c r="E651" t="s">
        <v>847</v>
      </c>
      <c r="F651" s="3" t="s">
        <v>848</v>
      </c>
      <c r="G651" t="s">
        <v>24</v>
      </c>
      <c r="H651" s="3" t="s">
        <v>849</v>
      </c>
      <c r="I651" t="s">
        <v>43</v>
      </c>
      <c r="J651" s="3" t="s">
        <v>850</v>
      </c>
      <c r="K651" s="4">
        <v>718</v>
      </c>
      <c r="L651" s="5">
        <v>32.630000000000003</v>
      </c>
      <c r="M651" s="6">
        <v>1</v>
      </c>
      <c r="N651" s="7">
        <v>0</v>
      </c>
      <c r="O651" t="s">
        <v>851</v>
      </c>
      <c r="P651" s="3" t="s">
        <v>138</v>
      </c>
      <c r="Q651" s="8">
        <v>0.25719700000000001</v>
      </c>
    </row>
    <row r="652" spans="1:17" hidden="1" x14ac:dyDescent="0.55000000000000004">
      <c r="A652" s="3" t="s">
        <v>845</v>
      </c>
      <c r="B652" s="3" t="s">
        <v>846</v>
      </c>
      <c r="C652" t="s">
        <v>855</v>
      </c>
      <c r="D652" s="3" t="s">
        <v>7329</v>
      </c>
      <c r="E652" t="s">
        <v>847</v>
      </c>
      <c r="F652" s="3" t="s">
        <v>848</v>
      </c>
      <c r="G652" t="s">
        <v>24</v>
      </c>
      <c r="H652" s="3" t="s">
        <v>852</v>
      </c>
      <c r="I652" t="s">
        <v>114</v>
      </c>
      <c r="J652" s="3" t="s">
        <v>853</v>
      </c>
      <c r="K652" s="4">
        <v>608</v>
      </c>
      <c r="L652" s="5">
        <v>0</v>
      </c>
      <c r="M652" s="6">
        <v>0</v>
      </c>
      <c r="N652" s="7">
        <v>0</v>
      </c>
      <c r="O652" t="s">
        <v>23</v>
      </c>
      <c r="P652" s="3" t="s">
        <v>23</v>
      </c>
      <c r="Q652" s="8" t="s">
        <v>23</v>
      </c>
    </row>
    <row r="653" spans="1:17" hidden="1" x14ac:dyDescent="0.55000000000000004">
      <c r="A653" s="3" t="s">
        <v>845</v>
      </c>
      <c r="B653" s="3" t="s">
        <v>846</v>
      </c>
      <c r="C653" t="s">
        <v>855</v>
      </c>
      <c r="D653" s="3" t="s">
        <v>7329</v>
      </c>
      <c r="E653" t="s">
        <v>847</v>
      </c>
      <c r="F653" s="3" t="s">
        <v>848</v>
      </c>
      <c r="G653" t="s">
        <v>24</v>
      </c>
      <c r="H653" s="3" t="s">
        <v>854</v>
      </c>
      <c r="I653" t="s">
        <v>48</v>
      </c>
      <c r="J653" s="3" t="s">
        <v>853</v>
      </c>
      <c r="K653" s="4">
        <v>678</v>
      </c>
      <c r="L653" s="5">
        <v>0</v>
      </c>
      <c r="M653" s="6">
        <v>0</v>
      </c>
      <c r="N653" s="7">
        <v>0</v>
      </c>
      <c r="O653" t="s">
        <v>23</v>
      </c>
      <c r="P653" s="3" t="s">
        <v>23</v>
      </c>
      <c r="Q653" s="8" t="s">
        <v>23</v>
      </c>
    </row>
    <row r="654" spans="1:17" hidden="1" x14ac:dyDescent="0.55000000000000004">
      <c r="A654" s="3" t="s">
        <v>845</v>
      </c>
      <c r="B654" s="3" t="s">
        <v>855</v>
      </c>
      <c r="C654" t="s">
        <v>855</v>
      </c>
      <c r="D654" s="3" t="s">
        <v>7329</v>
      </c>
      <c r="E654" t="s">
        <v>856</v>
      </c>
      <c r="F654" s="3" t="s">
        <v>857</v>
      </c>
      <c r="G654" t="s">
        <v>24</v>
      </c>
      <c r="H654" s="3" t="s">
        <v>852</v>
      </c>
      <c r="I654" t="s">
        <v>114</v>
      </c>
      <c r="J654" s="3" t="s">
        <v>853</v>
      </c>
      <c r="K654" s="4">
        <v>608</v>
      </c>
      <c r="L654" s="5">
        <v>0</v>
      </c>
      <c r="M654" s="6">
        <v>0</v>
      </c>
      <c r="N654" s="7">
        <v>0</v>
      </c>
      <c r="O654" t="s">
        <v>23</v>
      </c>
      <c r="P654" s="3" t="s">
        <v>23</v>
      </c>
      <c r="Q654" s="8" t="s">
        <v>23</v>
      </c>
    </row>
    <row r="655" spans="1:17" hidden="1" x14ac:dyDescent="0.55000000000000004">
      <c r="A655" s="3" t="s">
        <v>845</v>
      </c>
      <c r="B655" s="3" t="s">
        <v>855</v>
      </c>
      <c r="C655" t="s">
        <v>855</v>
      </c>
      <c r="D655" s="3" t="s">
        <v>7329</v>
      </c>
      <c r="E655" t="s">
        <v>856</v>
      </c>
      <c r="F655" s="3" t="s">
        <v>857</v>
      </c>
      <c r="G655" t="s">
        <v>24</v>
      </c>
      <c r="H655" s="3" t="s">
        <v>854</v>
      </c>
      <c r="I655" t="s">
        <v>48</v>
      </c>
      <c r="J655" s="3" t="s">
        <v>853</v>
      </c>
      <c r="K655" s="4">
        <v>678</v>
      </c>
      <c r="L655" s="5">
        <v>0</v>
      </c>
      <c r="M655" s="6">
        <v>0</v>
      </c>
      <c r="N655" s="7">
        <v>0</v>
      </c>
      <c r="O655" t="s">
        <v>23</v>
      </c>
      <c r="P655" s="3" t="s">
        <v>23</v>
      </c>
      <c r="Q655" s="8" t="s">
        <v>23</v>
      </c>
    </row>
    <row r="656" spans="1:17" hidden="1" x14ac:dyDescent="0.55000000000000004">
      <c r="A656" s="9" t="s">
        <v>845</v>
      </c>
      <c r="B656" s="3" t="s">
        <v>855</v>
      </c>
      <c r="C656" t="s">
        <v>855</v>
      </c>
      <c r="D656" s="3" t="s">
        <v>7329</v>
      </c>
      <c r="E656" t="s">
        <v>856</v>
      </c>
      <c r="F656" s="3" t="s">
        <v>857</v>
      </c>
      <c r="G656" t="s">
        <v>24</v>
      </c>
      <c r="H656" s="3" t="s">
        <v>858</v>
      </c>
      <c r="I656" t="s">
        <v>43</v>
      </c>
      <c r="J656" s="3" t="s">
        <v>859</v>
      </c>
      <c r="K656" s="4">
        <v>970</v>
      </c>
      <c r="L656" s="5">
        <v>44.07</v>
      </c>
      <c r="M656" s="6">
        <v>1</v>
      </c>
      <c r="N656" s="7">
        <v>0</v>
      </c>
      <c r="O656" t="s">
        <v>860</v>
      </c>
      <c r="P656" s="3" t="s">
        <v>138</v>
      </c>
      <c r="Q656" s="8">
        <v>0.20219999999999999</v>
      </c>
    </row>
    <row r="657" spans="1:17" hidden="1" x14ac:dyDescent="0.55000000000000004">
      <c r="A657" s="3" t="s">
        <v>861</v>
      </c>
      <c r="B657" s="3" t="s">
        <v>862</v>
      </c>
      <c r="C657" t="s">
        <v>930</v>
      </c>
      <c r="D657" s="3" t="s">
        <v>7329</v>
      </c>
      <c r="E657" t="s">
        <v>863</v>
      </c>
      <c r="F657" s="3" t="s">
        <v>864</v>
      </c>
      <c r="G657" t="s">
        <v>24</v>
      </c>
      <c r="H657" s="3" t="s">
        <v>865</v>
      </c>
      <c r="I657" t="s">
        <v>37</v>
      </c>
      <c r="J657" s="3" t="s">
        <v>866</v>
      </c>
      <c r="K657" s="4">
        <v>1368</v>
      </c>
      <c r="L657" s="5">
        <v>62.18</v>
      </c>
      <c r="M657" s="6">
        <v>1</v>
      </c>
      <c r="N657" s="7">
        <v>0</v>
      </c>
      <c r="O657" t="s">
        <v>867</v>
      </c>
      <c r="P657" s="3" t="s">
        <v>40</v>
      </c>
      <c r="Q657" s="8">
        <v>0.261656</v>
      </c>
    </row>
    <row r="658" spans="1:17" hidden="1" x14ac:dyDescent="0.55000000000000004">
      <c r="A658" s="3" t="s">
        <v>861</v>
      </c>
      <c r="B658" s="3" t="s">
        <v>862</v>
      </c>
      <c r="C658" t="s">
        <v>930</v>
      </c>
      <c r="D658" s="3" t="s">
        <v>7329</v>
      </c>
      <c r="E658" t="s">
        <v>863</v>
      </c>
      <c r="F658" s="3" t="s">
        <v>864</v>
      </c>
      <c r="G658" t="s">
        <v>24</v>
      </c>
      <c r="H658" s="3" t="s">
        <v>868</v>
      </c>
      <c r="I658" t="s">
        <v>43</v>
      </c>
      <c r="J658" s="3" t="s">
        <v>869</v>
      </c>
      <c r="K658" s="4">
        <v>1224</v>
      </c>
      <c r="L658" s="5">
        <v>55.66</v>
      </c>
      <c r="M658" s="6">
        <v>0</v>
      </c>
      <c r="N658" s="7">
        <v>0</v>
      </c>
      <c r="O658" t="s">
        <v>870</v>
      </c>
      <c r="P658" s="3" t="s">
        <v>138</v>
      </c>
      <c r="Q658" s="8">
        <v>0.25193300000000002</v>
      </c>
    </row>
    <row r="659" spans="1:17" hidden="1" x14ac:dyDescent="0.55000000000000004">
      <c r="A659" s="3" t="s">
        <v>861</v>
      </c>
      <c r="B659" s="3" t="s">
        <v>862</v>
      </c>
      <c r="C659" t="s">
        <v>930</v>
      </c>
      <c r="D659" s="3" t="s">
        <v>7329</v>
      </c>
      <c r="E659" t="s">
        <v>871</v>
      </c>
      <c r="F659" s="3" t="s">
        <v>872</v>
      </c>
      <c r="G659" t="s">
        <v>24</v>
      </c>
      <c r="H659" s="3" t="s">
        <v>865</v>
      </c>
      <c r="I659" t="s">
        <v>37</v>
      </c>
      <c r="J659" s="3" t="s">
        <v>866</v>
      </c>
      <c r="K659" s="4">
        <v>1368</v>
      </c>
      <c r="L659" s="5">
        <v>62.18</v>
      </c>
      <c r="M659" s="6">
        <v>1</v>
      </c>
      <c r="N659" s="7">
        <v>0</v>
      </c>
      <c r="O659" t="s">
        <v>867</v>
      </c>
      <c r="P659" s="3" t="s">
        <v>40</v>
      </c>
      <c r="Q659" s="8">
        <v>0.261656</v>
      </c>
    </row>
    <row r="660" spans="1:17" hidden="1" x14ac:dyDescent="0.55000000000000004">
      <c r="A660" s="3" t="s">
        <v>861</v>
      </c>
      <c r="B660" s="3" t="s">
        <v>862</v>
      </c>
      <c r="C660" t="s">
        <v>930</v>
      </c>
      <c r="D660" s="3" t="s">
        <v>7329</v>
      </c>
      <c r="E660" t="s">
        <v>871</v>
      </c>
      <c r="F660" s="3" t="s">
        <v>872</v>
      </c>
      <c r="G660" t="s">
        <v>24</v>
      </c>
      <c r="H660" s="3" t="s">
        <v>868</v>
      </c>
      <c r="I660" t="s">
        <v>43</v>
      </c>
      <c r="J660" s="3" t="s">
        <v>869</v>
      </c>
      <c r="K660" s="4">
        <v>1224</v>
      </c>
      <c r="L660" s="5">
        <v>55.66</v>
      </c>
      <c r="M660" s="6">
        <v>0</v>
      </c>
      <c r="N660" s="7">
        <v>0</v>
      </c>
      <c r="O660" t="s">
        <v>870</v>
      </c>
      <c r="P660" s="3" t="s">
        <v>138</v>
      </c>
      <c r="Q660" s="8">
        <v>0.25193300000000002</v>
      </c>
    </row>
    <row r="661" spans="1:17" hidden="1" x14ac:dyDescent="0.55000000000000004">
      <c r="A661" s="3" t="s">
        <v>861</v>
      </c>
      <c r="B661" s="3" t="s">
        <v>7333</v>
      </c>
      <c r="C661" t="s">
        <v>874</v>
      </c>
      <c r="D661" s="3" t="s">
        <v>7329</v>
      </c>
      <c r="E661" t="s">
        <v>875</v>
      </c>
      <c r="F661" s="3" t="s">
        <v>876</v>
      </c>
      <c r="G661" t="s">
        <v>24</v>
      </c>
      <c r="H661" s="3" t="s">
        <v>877</v>
      </c>
      <c r="I661" t="s">
        <v>43</v>
      </c>
      <c r="J661" s="3" t="s">
        <v>878</v>
      </c>
      <c r="K661" s="4">
        <v>1451</v>
      </c>
      <c r="L661" s="5">
        <v>65.959999999999994</v>
      </c>
      <c r="M661" s="6">
        <v>1</v>
      </c>
      <c r="N661" s="7">
        <v>0</v>
      </c>
      <c r="O661" t="s">
        <v>879</v>
      </c>
      <c r="P661" s="3" t="s">
        <v>138</v>
      </c>
      <c r="Q661" s="8">
        <v>0.25193300000000002</v>
      </c>
    </row>
    <row r="662" spans="1:17" hidden="1" x14ac:dyDescent="0.55000000000000004">
      <c r="A662" s="3" t="s">
        <v>861</v>
      </c>
      <c r="B662" s="3" t="s">
        <v>7333</v>
      </c>
      <c r="C662" t="s">
        <v>874</v>
      </c>
      <c r="D662" s="3" t="s">
        <v>7329</v>
      </c>
      <c r="E662" t="s">
        <v>880</v>
      </c>
      <c r="F662" s="3" t="s">
        <v>881</v>
      </c>
      <c r="G662" t="s">
        <v>24</v>
      </c>
      <c r="H662" s="3" t="s">
        <v>882</v>
      </c>
      <c r="I662" t="s">
        <v>105</v>
      </c>
      <c r="J662" s="3" t="s">
        <v>883</v>
      </c>
      <c r="K662" s="4">
        <v>1074</v>
      </c>
      <c r="L662" s="5">
        <v>0</v>
      </c>
      <c r="M662" s="6">
        <v>0</v>
      </c>
      <c r="N662" s="7">
        <v>0</v>
      </c>
      <c r="O662" t="s">
        <v>23</v>
      </c>
      <c r="P662" s="3" t="s">
        <v>23</v>
      </c>
      <c r="Q662" s="8" t="s">
        <v>23</v>
      </c>
    </row>
    <row r="663" spans="1:17" hidden="1" x14ac:dyDescent="0.55000000000000004">
      <c r="A663" s="3" t="s">
        <v>861</v>
      </c>
      <c r="B663" s="3" t="s">
        <v>7333</v>
      </c>
      <c r="C663" t="s">
        <v>874</v>
      </c>
      <c r="D663" s="3" t="s">
        <v>7329</v>
      </c>
      <c r="E663" t="s">
        <v>880</v>
      </c>
      <c r="F663" s="3" t="s">
        <v>881</v>
      </c>
      <c r="G663" t="s">
        <v>24</v>
      </c>
      <c r="H663" s="3" t="s">
        <v>884</v>
      </c>
      <c r="I663" t="s">
        <v>37</v>
      </c>
      <c r="J663" s="3" t="s">
        <v>883</v>
      </c>
      <c r="K663" s="4">
        <v>1239</v>
      </c>
      <c r="L663" s="5">
        <v>0</v>
      </c>
      <c r="M663" s="6">
        <v>0</v>
      </c>
      <c r="N663" s="7">
        <v>0</v>
      </c>
      <c r="O663" t="s">
        <v>23</v>
      </c>
      <c r="P663" s="3" t="s">
        <v>23</v>
      </c>
      <c r="Q663" s="8" t="s">
        <v>23</v>
      </c>
    </row>
    <row r="664" spans="1:17" hidden="1" x14ac:dyDescent="0.55000000000000004">
      <c r="A664" s="3" t="s">
        <v>861</v>
      </c>
      <c r="B664" s="3" t="s">
        <v>7333</v>
      </c>
      <c r="C664" t="s">
        <v>874</v>
      </c>
      <c r="D664" s="3" t="s">
        <v>7329</v>
      </c>
      <c r="E664" t="s">
        <v>880</v>
      </c>
      <c r="F664" s="3" t="s">
        <v>881</v>
      </c>
      <c r="G664" t="s">
        <v>24</v>
      </c>
      <c r="H664" s="3" t="s">
        <v>877</v>
      </c>
      <c r="I664" t="s">
        <v>43</v>
      </c>
      <c r="J664" s="3" t="s">
        <v>878</v>
      </c>
      <c r="K664" s="4">
        <v>1451</v>
      </c>
      <c r="L664" s="5">
        <v>65.959999999999994</v>
      </c>
      <c r="M664" s="6">
        <v>1</v>
      </c>
      <c r="N664" s="7">
        <v>0</v>
      </c>
      <c r="O664" t="s">
        <v>879</v>
      </c>
      <c r="P664" s="3" t="s">
        <v>138</v>
      </c>
      <c r="Q664" s="8">
        <v>0.25193300000000002</v>
      </c>
    </row>
    <row r="665" spans="1:17" hidden="1" x14ac:dyDescent="0.55000000000000004">
      <c r="A665" s="3" t="s">
        <v>861</v>
      </c>
      <c r="B665" s="3" t="s">
        <v>873</v>
      </c>
      <c r="C665" t="s">
        <v>874</v>
      </c>
      <c r="D665" s="3" t="s">
        <v>7329</v>
      </c>
      <c r="E665" t="s">
        <v>885</v>
      </c>
      <c r="F665" s="3" t="s">
        <v>886</v>
      </c>
      <c r="G665" t="s">
        <v>24</v>
      </c>
      <c r="H665" s="3" t="s">
        <v>882</v>
      </c>
      <c r="I665" t="s">
        <v>105</v>
      </c>
      <c r="J665" s="3" t="s">
        <v>883</v>
      </c>
      <c r="K665" s="4">
        <v>1074</v>
      </c>
      <c r="L665" s="5">
        <v>0</v>
      </c>
      <c r="M665" s="6">
        <v>0</v>
      </c>
      <c r="N665" s="7">
        <v>0</v>
      </c>
      <c r="O665" t="s">
        <v>23</v>
      </c>
      <c r="P665" s="3" t="s">
        <v>23</v>
      </c>
      <c r="Q665" s="8" t="s">
        <v>23</v>
      </c>
    </row>
    <row r="666" spans="1:17" hidden="1" x14ac:dyDescent="0.55000000000000004">
      <c r="A666" s="3" t="s">
        <v>861</v>
      </c>
      <c r="B666" s="3" t="s">
        <v>873</v>
      </c>
      <c r="C666" t="s">
        <v>874</v>
      </c>
      <c r="D666" s="3" t="s">
        <v>7329</v>
      </c>
      <c r="E666" t="s">
        <v>885</v>
      </c>
      <c r="F666" s="3" t="s">
        <v>886</v>
      </c>
      <c r="G666" t="s">
        <v>24</v>
      </c>
      <c r="H666" s="3" t="s">
        <v>884</v>
      </c>
      <c r="I666" t="s">
        <v>37</v>
      </c>
      <c r="J666" s="3" t="s">
        <v>883</v>
      </c>
      <c r="K666" s="4">
        <v>1239</v>
      </c>
      <c r="L666" s="5">
        <v>0</v>
      </c>
      <c r="M666" s="6">
        <v>0</v>
      </c>
      <c r="N666" s="7">
        <v>0</v>
      </c>
      <c r="O666" t="s">
        <v>23</v>
      </c>
      <c r="P666" s="3" t="s">
        <v>23</v>
      </c>
      <c r="Q666" s="8" t="s">
        <v>23</v>
      </c>
    </row>
    <row r="667" spans="1:17" hidden="1" x14ac:dyDescent="0.55000000000000004">
      <c r="A667" s="3" t="s">
        <v>861</v>
      </c>
      <c r="B667" s="3" t="s">
        <v>873</v>
      </c>
      <c r="C667" t="s">
        <v>874</v>
      </c>
      <c r="D667" s="3" t="s">
        <v>7329</v>
      </c>
      <c r="E667" t="s">
        <v>885</v>
      </c>
      <c r="F667" s="3" t="s">
        <v>886</v>
      </c>
      <c r="G667" t="s">
        <v>24</v>
      </c>
      <c r="H667" s="3" t="s">
        <v>877</v>
      </c>
      <c r="I667" t="s">
        <v>43</v>
      </c>
      <c r="J667" s="3" t="s">
        <v>878</v>
      </c>
      <c r="K667" s="4">
        <v>1451</v>
      </c>
      <c r="L667" s="5">
        <v>65.959999999999994</v>
      </c>
      <c r="M667" s="6">
        <v>1</v>
      </c>
      <c r="N667" s="7">
        <v>0</v>
      </c>
      <c r="O667" t="s">
        <v>879</v>
      </c>
      <c r="P667" s="3" t="s">
        <v>138</v>
      </c>
      <c r="Q667" s="8">
        <v>0.25193300000000002</v>
      </c>
    </row>
    <row r="668" spans="1:17" hidden="1" x14ac:dyDescent="0.55000000000000004">
      <c r="A668" s="3" t="s">
        <v>861</v>
      </c>
      <c r="B668" s="3" t="s">
        <v>873</v>
      </c>
      <c r="C668" t="s">
        <v>874</v>
      </c>
      <c r="D668" s="3" t="s">
        <v>7329</v>
      </c>
      <c r="E668" t="s">
        <v>887</v>
      </c>
      <c r="F668" s="3" t="s">
        <v>888</v>
      </c>
      <c r="G668" t="s">
        <v>24</v>
      </c>
      <c r="H668" s="3" t="s">
        <v>877</v>
      </c>
      <c r="I668" t="s">
        <v>43</v>
      </c>
      <c r="J668" s="3" t="s">
        <v>878</v>
      </c>
      <c r="K668" s="4">
        <v>1451</v>
      </c>
      <c r="L668" s="5">
        <v>65.959999999999994</v>
      </c>
      <c r="M668" s="6">
        <v>1</v>
      </c>
      <c r="N668" s="7">
        <v>0</v>
      </c>
      <c r="O668" t="s">
        <v>879</v>
      </c>
      <c r="P668" s="3" t="s">
        <v>138</v>
      </c>
      <c r="Q668" s="8">
        <v>0.25193300000000002</v>
      </c>
    </row>
    <row r="669" spans="1:17" hidden="1" x14ac:dyDescent="0.55000000000000004">
      <c r="A669" s="3" t="s">
        <v>861</v>
      </c>
      <c r="B669" s="3" t="s">
        <v>873</v>
      </c>
      <c r="C669" t="s">
        <v>874</v>
      </c>
      <c r="D669" s="3" t="s">
        <v>7329</v>
      </c>
      <c r="E669" t="s">
        <v>889</v>
      </c>
      <c r="F669" s="3" t="s">
        <v>890</v>
      </c>
      <c r="G669" t="s">
        <v>24</v>
      </c>
      <c r="H669" s="3" t="s">
        <v>882</v>
      </c>
      <c r="I669" t="s">
        <v>105</v>
      </c>
      <c r="J669" s="3" t="s">
        <v>883</v>
      </c>
      <c r="K669" s="4">
        <v>1074</v>
      </c>
      <c r="L669" s="5">
        <v>0</v>
      </c>
      <c r="M669" s="6">
        <v>0</v>
      </c>
      <c r="N669" s="7">
        <v>0</v>
      </c>
      <c r="O669" t="s">
        <v>23</v>
      </c>
      <c r="P669" s="3" t="s">
        <v>23</v>
      </c>
      <c r="Q669" s="8" t="s">
        <v>23</v>
      </c>
    </row>
    <row r="670" spans="1:17" hidden="1" x14ac:dyDescent="0.55000000000000004">
      <c r="A670" s="3" t="s">
        <v>861</v>
      </c>
      <c r="B670" s="3" t="s">
        <v>873</v>
      </c>
      <c r="C670" t="s">
        <v>874</v>
      </c>
      <c r="D670" s="3" t="s">
        <v>7329</v>
      </c>
      <c r="E670" t="s">
        <v>889</v>
      </c>
      <c r="F670" s="3" t="s">
        <v>890</v>
      </c>
      <c r="G670" t="s">
        <v>24</v>
      </c>
      <c r="H670" s="3" t="s">
        <v>884</v>
      </c>
      <c r="I670" t="s">
        <v>37</v>
      </c>
      <c r="J670" s="3" t="s">
        <v>883</v>
      </c>
      <c r="K670" s="4">
        <v>1239</v>
      </c>
      <c r="L670" s="5">
        <v>0</v>
      </c>
      <c r="M670" s="6">
        <v>0</v>
      </c>
      <c r="N670" s="7">
        <v>0</v>
      </c>
      <c r="O670" t="s">
        <v>23</v>
      </c>
      <c r="P670" s="3" t="s">
        <v>23</v>
      </c>
      <c r="Q670" s="8" t="s">
        <v>23</v>
      </c>
    </row>
    <row r="671" spans="1:17" hidden="1" x14ac:dyDescent="0.55000000000000004">
      <c r="A671" s="3" t="s">
        <v>861</v>
      </c>
      <c r="B671" s="3" t="s">
        <v>873</v>
      </c>
      <c r="C671" t="s">
        <v>874</v>
      </c>
      <c r="D671" s="3" t="s">
        <v>7329</v>
      </c>
      <c r="E671" t="s">
        <v>889</v>
      </c>
      <c r="F671" s="3" t="s">
        <v>890</v>
      </c>
      <c r="G671" t="s">
        <v>24</v>
      </c>
      <c r="H671" s="3" t="s">
        <v>877</v>
      </c>
      <c r="I671" t="s">
        <v>43</v>
      </c>
      <c r="J671" s="3" t="s">
        <v>878</v>
      </c>
      <c r="K671" s="4">
        <v>1451</v>
      </c>
      <c r="L671" s="5">
        <v>65.959999999999994</v>
      </c>
      <c r="M671" s="6">
        <v>1</v>
      </c>
      <c r="N671" s="7">
        <v>0</v>
      </c>
      <c r="O671" t="s">
        <v>879</v>
      </c>
      <c r="P671" s="3" t="s">
        <v>138</v>
      </c>
      <c r="Q671" s="8">
        <v>0.25193300000000002</v>
      </c>
    </row>
    <row r="672" spans="1:17" hidden="1" x14ac:dyDescent="0.55000000000000004">
      <c r="A672" s="3" t="s">
        <v>861</v>
      </c>
      <c r="B672" s="3" t="s">
        <v>873</v>
      </c>
      <c r="C672" t="s">
        <v>874</v>
      </c>
      <c r="D672" s="3" t="s">
        <v>7329</v>
      </c>
      <c r="E672" t="s">
        <v>891</v>
      </c>
      <c r="F672" s="3" t="s">
        <v>892</v>
      </c>
      <c r="G672" t="s">
        <v>24</v>
      </c>
      <c r="H672" s="3" t="s">
        <v>877</v>
      </c>
      <c r="I672" t="s">
        <v>43</v>
      </c>
      <c r="J672" s="3" t="s">
        <v>878</v>
      </c>
      <c r="K672" s="4">
        <v>1451</v>
      </c>
      <c r="L672" s="5">
        <v>65.959999999999994</v>
      </c>
      <c r="M672" s="6">
        <v>1</v>
      </c>
      <c r="N672" s="7">
        <v>0</v>
      </c>
      <c r="O672" t="s">
        <v>879</v>
      </c>
      <c r="P672" s="3" t="s">
        <v>138</v>
      </c>
      <c r="Q672" s="8">
        <v>0.25193300000000002</v>
      </c>
    </row>
    <row r="673" spans="1:17" hidden="1" x14ac:dyDescent="0.55000000000000004">
      <c r="A673" s="3" t="s">
        <v>861</v>
      </c>
      <c r="B673" s="3" t="s">
        <v>7333</v>
      </c>
      <c r="C673" t="s">
        <v>874</v>
      </c>
      <c r="D673" s="3" t="s">
        <v>7329</v>
      </c>
      <c r="E673" t="s">
        <v>893</v>
      </c>
      <c r="F673" s="3" t="s">
        <v>894</v>
      </c>
      <c r="G673" t="s">
        <v>24</v>
      </c>
      <c r="H673" s="3" t="s">
        <v>882</v>
      </c>
      <c r="I673" t="s">
        <v>105</v>
      </c>
      <c r="J673" s="3" t="s">
        <v>883</v>
      </c>
      <c r="K673" s="4">
        <v>1074</v>
      </c>
      <c r="L673" s="5">
        <v>0</v>
      </c>
      <c r="M673" s="6">
        <v>0</v>
      </c>
      <c r="N673" s="7">
        <v>0</v>
      </c>
      <c r="O673" t="s">
        <v>23</v>
      </c>
      <c r="P673" s="3" t="s">
        <v>23</v>
      </c>
      <c r="Q673" s="8" t="s">
        <v>23</v>
      </c>
    </row>
    <row r="674" spans="1:17" hidden="1" x14ac:dyDescent="0.55000000000000004">
      <c r="A674" s="3" t="s">
        <v>861</v>
      </c>
      <c r="B674" s="3" t="s">
        <v>7333</v>
      </c>
      <c r="C674" t="s">
        <v>874</v>
      </c>
      <c r="D674" s="3" t="s">
        <v>7329</v>
      </c>
      <c r="E674" t="s">
        <v>893</v>
      </c>
      <c r="F674" s="3" t="s">
        <v>894</v>
      </c>
      <c r="G674" t="s">
        <v>24</v>
      </c>
      <c r="H674" s="3" t="s">
        <v>884</v>
      </c>
      <c r="I674" t="s">
        <v>37</v>
      </c>
      <c r="J674" s="3" t="s">
        <v>883</v>
      </c>
      <c r="K674" s="4">
        <v>1239</v>
      </c>
      <c r="L674" s="5">
        <v>0</v>
      </c>
      <c r="M674" s="6">
        <v>0</v>
      </c>
      <c r="N674" s="7">
        <v>0</v>
      </c>
      <c r="O674" t="s">
        <v>23</v>
      </c>
      <c r="P674" s="3" t="s">
        <v>23</v>
      </c>
      <c r="Q674" s="8" t="s">
        <v>23</v>
      </c>
    </row>
    <row r="675" spans="1:17" hidden="1" x14ac:dyDescent="0.55000000000000004">
      <c r="A675" s="3" t="s">
        <v>861</v>
      </c>
      <c r="B675" s="3" t="s">
        <v>7333</v>
      </c>
      <c r="C675" t="s">
        <v>874</v>
      </c>
      <c r="D675" s="3" t="s">
        <v>7329</v>
      </c>
      <c r="E675" t="s">
        <v>893</v>
      </c>
      <c r="F675" s="3" t="s">
        <v>894</v>
      </c>
      <c r="G675" t="s">
        <v>24</v>
      </c>
      <c r="H675" s="3" t="s">
        <v>877</v>
      </c>
      <c r="I675" t="s">
        <v>43</v>
      </c>
      <c r="J675" s="3" t="s">
        <v>878</v>
      </c>
      <c r="K675" s="4">
        <v>1451</v>
      </c>
      <c r="L675" s="5">
        <v>65.959999999999994</v>
      </c>
      <c r="M675" s="6">
        <v>1</v>
      </c>
      <c r="N675" s="7">
        <v>0</v>
      </c>
      <c r="O675" t="s">
        <v>879</v>
      </c>
      <c r="P675" s="3" t="s">
        <v>138</v>
      </c>
      <c r="Q675" s="8">
        <v>0.25193300000000002</v>
      </c>
    </row>
    <row r="676" spans="1:17" hidden="1" x14ac:dyDescent="0.55000000000000004">
      <c r="A676" s="3" t="s">
        <v>861</v>
      </c>
      <c r="B676" s="3" t="s">
        <v>873</v>
      </c>
      <c r="C676" t="s">
        <v>874</v>
      </c>
      <c r="D676" s="3" t="s">
        <v>7329</v>
      </c>
      <c r="E676" t="s">
        <v>895</v>
      </c>
      <c r="F676" s="3" t="s">
        <v>896</v>
      </c>
      <c r="G676" t="s">
        <v>24</v>
      </c>
      <c r="H676" s="3" t="s">
        <v>882</v>
      </c>
      <c r="I676" t="s">
        <v>105</v>
      </c>
      <c r="J676" s="3" t="s">
        <v>883</v>
      </c>
      <c r="K676" s="4">
        <v>1074</v>
      </c>
      <c r="L676" s="5">
        <v>0</v>
      </c>
      <c r="M676" s="6">
        <v>0</v>
      </c>
      <c r="N676" s="7">
        <v>0</v>
      </c>
      <c r="O676" t="s">
        <v>23</v>
      </c>
      <c r="P676" s="3" t="s">
        <v>23</v>
      </c>
      <c r="Q676" s="8" t="s">
        <v>23</v>
      </c>
    </row>
    <row r="677" spans="1:17" hidden="1" x14ac:dyDescent="0.55000000000000004">
      <c r="A677" s="3" t="s">
        <v>861</v>
      </c>
      <c r="B677" s="3" t="s">
        <v>873</v>
      </c>
      <c r="C677" t="s">
        <v>874</v>
      </c>
      <c r="D677" s="3" t="s">
        <v>7329</v>
      </c>
      <c r="E677" t="s">
        <v>895</v>
      </c>
      <c r="F677" s="3" t="s">
        <v>896</v>
      </c>
      <c r="G677" t="s">
        <v>24</v>
      </c>
      <c r="H677" s="3" t="s">
        <v>884</v>
      </c>
      <c r="I677" t="s">
        <v>37</v>
      </c>
      <c r="J677" s="3" t="s">
        <v>883</v>
      </c>
      <c r="K677" s="4">
        <v>1239</v>
      </c>
      <c r="L677" s="5">
        <v>0</v>
      </c>
      <c r="M677" s="6">
        <v>0</v>
      </c>
      <c r="N677" s="7">
        <v>0</v>
      </c>
      <c r="O677" t="s">
        <v>23</v>
      </c>
      <c r="P677" s="3" t="s">
        <v>23</v>
      </c>
      <c r="Q677" s="8" t="s">
        <v>23</v>
      </c>
    </row>
    <row r="678" spans="1:17" hidden="1" x14ac:dyDescent="0.55000000000000004">
      <c r="A678" s="3" t="s">
        <v>861</v>
      </c>
      <c r="B678" s="3" t="s">
        <v>873</v>
      </c>
      <c r="C678" t="s">
        <v>874</v>
      </c>
      <c r="D678" s="3" t="s">
        <v>7329</v>
      </c>
      <c r="E678" t="s">
        <v>895</v>
      </c>
      <c r="F678" s="3" t="s">
        <v>896</v>
      </c>
      <c r="G678" t="s">
        <v>24</v>
      </c>
      <c r="H678" s="3" t="s">
        <v>877</v>
      </c>
      <c r="I678" t="s">
        <v>43</v>
      </c>
      <c r="J678" s="3" t="s">
        <v>878</v>
      </c>
      <c r="K678" s="4">
        <v>1451</v>
      </c>
      <c r="L678" s="5">
        <v>65.959999999999994</v>
      </c>
      <c r="M678" s="6">
        <v>1</v>
      </c>
      <c r="N678" s="7">
        <v>0</v>
      </c>
      <c r="O678" t="s">
        <v>879</v>
      </c>
      <c r="P678" s="3" t="s">
        <v>138</v>
      </c>
      <c r="Q678" s="8">
        <v>0.25193300000000002</v>
      </c>
    </row>
    <row r="679" spans="1:17" hidden="1" x14ac:dyDescent="0.55000000000000004">
      <c r="A679" s="3" t="s">
        <v>861</v>
      </c>
      <c r="B679" s="3" t="s">
        <v>873</v>
      </c>
      <c r="C679" t="s">
        <v>874</v>
      </c>
      <c r="D679" s="3" t="s">
        <v>7329</v>
      </c>
      <c r="E679" t="s">
        <v>897</v>
      </c>
      <c r="F679" s="3" t="s">
        <v>898</v>
      </c>
      <c r="G679" t="s">
        <v>24</v>
      </c>
      <c r="H679" s="3" t="s">
        <v>882</v>
      </c>
      <c r="I679" t="s">
        <v>105</v>
      </c>
      <c r="J679" s="3" t="s">
        <v>883</v>
      </c>
      <c r="K679" s="4">
        <v>1074</v>
      </c>
      <c r="L679" s="5">
        <v>0</v>
      </c>
      <c r="M679" s="6">
        <v>0</v>
      </c>
      <c r="N679" s="7">
        <v>0</v>
      </c>
      <c r="O679" t="s">
        <v>23</v>
      </c>
      <c r="P679" s="3" t="s">
        <v>23</v>
      </c>
      <c r="Q679" s="8" t="s">
        <v>23</v>
      </c>
    </row>
    <row r="680" spans="1:17" hidden="1" x14ac:dyDescent="0.55000000000000004">
      <c r="A680" s="3" t="s">
        <v>861</v>
      </c>
      <c r="B680" s="3" t="s">
        <v>873</v>
      </c>
      <c r="C680" t="s">
        <v>874</v>
      </c>
      <c r="D680" s="3" t="s">
        <v>7329</v>
      </c>
      <c r="E680" t="s">
        <v>897</v>
      </c>
      <c r="F680" s="3" t="s">
        <v>898</v>
      </c>
      <c r="G680" t="s">
        <v>24</v>
      </c>
      <c r="H680" s="3" t="s">
        <v>884</v>
      </c>
      <c r="I680" t="s">
        <v>37</v>
      </c>
      <c r="J680" s="3" t="s">
        <v>883</v>
      </c>
      <c r="K680" s="4">
        <v>1239</v>
      </c>
      <c r="L680" s="5">
        <v>0</v>
      </c>
      <c r="M680" s="6">
        <v>0</v>
      </c>
      <c r="N680" s="7">
        <v>0</v>
      </c>
      <c r="O680" t="s">
        <v>23</v>
      </c>
      <c r="P680" s="3" t="s">
        <v>23</v>
      </c>
      <c r="Q680" s="8" t="s">
        <v>23</v>
      </c>
    </row>
    <row r="681" spans="1:17" hidden="1" x14ac:dyDescent="0.55000000000000004">
      <c r="A681" s="3" t="s">
        <v>861</v>
      </c>
      <c r="B681" s="3" t="s">
        <v>873</v>
      </c>
      <c r="C681" t="s">
        <v>874</v>
      </c>
      <c r="D681" s="3" t="s">
        <v>7329</v>
      </c>
      <c r="E681" t="s">
        <v>897</v>
      </c>
      <c r="F681" s="3" t="s">
        <v>898</v>
      </c>
      <c r="G681" t="s">
        <v>24</v>
      </c>
      <c r="H681" s="3" t="s">
        <v>877</v>
      </c>
      <c r="I681" t="s">
        <v>43</v>
      </c>
      <c r="J681" s="3" t="s">
        <v>878</v>
      </c>
      <c r="K681" s="4">
        <v>1451</v>
      </c>
      <c r="L681" s="5">
        <v>65.959999999999994</v>
      </c>
      <c r="M681" s="6">
        <v>1</v>
      </c>
      <c r="N681" s="7">
        <v>0</v>
      </c>
      <c r="O681" t="s">
        <v>879</v>
      </c>
      <c r="P681" s="3" t="s">
        <v>138</v>
      </c>
      <c r="Q681" s="8">
        <v>0.25193300000000002</v>
      </c>
    </row>
    <row r="682" spans="1:17" hidden="1" x14ac:dyDescent="0.55000000000000004">
      <c r="A682" s="3" t="s">
        <v>861</v>
      </c>
      <c r="B682" s="3" t="s">
        <v>7333</v>
      </c>
      <c r="C682" t="s">
        <v>874</v>
      </c>
      <c r="D682" s="3" t="s">
        <v>7329</v>
      </c>
      <c r="E682" t="s">
        <v>899</v>
      </c>
      <c r="F682" s="3" t="s">
        <v>900</v>
      </c>
      <c r="G682" t="s">
        <v>24</v>
      </c>
      <c r="H682" s="3" t="s">
        <v>882</v>
      </c>
      <c r="I682" t="s">
        <v>105</v>
      </c>
      <c r="J682" s="3" t="s">
        <v>883</v>
      </c>
      <c r="K682" s="4">
        <v>1074</v>
      </c>
      <c r="L682" s="5">
        <v>0</v>
      </c>
      <c r="M682" s="6">
        <v>0</v>
      </c>
      <c r="N682" s="7">
        <v>0</v>
      </c>
      <c r="O682" t="s">
        <v>23</v>
      </c>
      <c r="P682" s="3" t="s">
        <v>23</v>
      </c>
      <c r="Q682" s="8" t="s">
        <v>23</v>
      </c>
    </row>
    <row r="683" spans="1:17" hidden="1" x14ac:dyDescent="0.55000000000000004">
      <c r="A683" s="3" t="s">
        <v>861</v>
      </c>
      <c r="B683" s="3" t="s">
        <v>7333</v>
      </c>
      <c r="C683" t="s">
        <v>874</v>
      </c>
      <c r="D683" s="3" t="s">
        <v>7329</v>
      </c>
      <c r="E683" t="s">
        <v>899</v>
      </c>
      <c r="F683" s="3" t="s">
        <v>900</v>
      </c>
      <c r="G683" t="s">
        <v>24</v>
      </c>
      <c r="H683" s="3" t="s">
        <v>884</v>
      </c>
      <c r="I683" t="s">
        <v>37</v>
      </c>
      <c r="J683" s="3" t="s">
        <v>883</v>
      </c>
      <c r="K683" s="4">
        <v>1239</v>
      </c>
      <c r="L683" s="5">
        <v>0</v>
      </c>
      <c r="M683" s="6">
        <v>0</v>
      </c>
      <c r="N683" s="7">
        <v>0</v>
      </c>
      <c r="O683" t="s">
        <v>23</v>
      </c>
      <c r="P683" s="3" t="s">
        <v>23</v>
      </c>
      <c r="Q683" s="8" t="s">
        <v>23</v>
      </c>
    </row>
    <row r="684" spans="1:17" hidden="1" x14ac:dyDescent="0.55000000000000004">
      <c r="A684" s="3" t="s">
        <v>861</v>
      </c>
      <c r="B684" s="3" t="s">
        <v>7333</v>
      </c>
      <c r="C684" t="s">
        <v>874</v>
      </c>
      <c r="D684" s="3" t="s">
        <v>7329</v>
      </c>
      <c r="E684" t="s">
        <v>899</v>
      </c>
      <c r="F684" s="3" t="s">
        <v>900</v>
      </c>
      <c r="G684" t="s">
        <v>24</v>
      </c>
      <c r="H684" s="3" t="s">
        <v>877</v>
      </c>
      <c r="I684" t="s">
        <v>43</v>
      </c>
      <c r="J684" s="3" t="s">
        <v>878</v>
      </c>
      <c r="K684" s="4">
        <v>1451</v>
      </c>
      <c r="L684" s="5">
        <v>65.959999999999994</v>
      </c>
      <c r="M684" s="6">
        <v>1</v>
      </c>
      <c r="N684" s="7">
        <v>0</v>
      </c>
      <c r="O684" t="s">
        <v>879</v>
      </c>
      <c r="P684" s="3" t="s">
        <v>138</v>
      </c>
      <c r="Q684" s="8">
        <v>0.25193300000000002</v>
      </c>
    </row>
    <row r="685" spans="1:17" hidden="1" x14ac:dyDescent="0.55000000000000004">
      <c r="A685" s="3" t="s">
        <v>861</v>
      </c>
      <c r="B685" s="3" t="s">
        <v>7333</v>
      </c>
      <c r="C685" t="s">
        <v>874</v>
      </c>
      <c r="D685" s="3" t="s">
        <v>7329</v>
      </c>
      <c r="E685" t="s">
        <v>901</v>
      </c>
      <c r="F685" s="3" t="s">
        <v>902</v>
      </c>
      <c r="G685" t="s">
        <v>24</v>
      </c>
      <c r="H685" s="3" t="s">
        <v>882</v>
      </c>
      <c r="I685" t="s">
        <v>105</v>
      </c>
      <c r="J685" s="3" t="s">
        <v>883</v>
      </c>
      <c r="K685" s="4">
        <v>1074</v>
      </c>
      <c r="L685" s="5">
        <v>0</v>
      </c>
      <c r="M685" s="6">
        <v>0</v>
      </c>
      <c r="N685" s="7">
        <v>0</v>
      </c>
      <c r="O685" t="s">
        <v>23</v>
      </c>
      <c r="P685" s="3" t="s">
        <v>23</v>
      </c>
      <c r="Q685" s="8" t="s">
        <v>23</v>
      </c>
    </row>
    <row r="686" spans="1:17" hidden="1" x14ac:dyDescent="0.55000000000000004">
      <c r="A686" s="3" t="s">
        <v>861</v>
      </c>
      <c r="B686" s="3" t="s">
        <v>7333</v>
      </c>
      <c r="C686" t="s">
        <v>874</v>
      </c>
      <c r="D686" s="3" t="s">
        <v>7329</v>
      </c>
      <c r="E686" t="s">
        <v>901</v>
      </c>
      <c r="F686" s="3" t="s">
        <v>902</v>
      </c>
      <c r="G686" t="s">
        <v>24</v>
      </c>
      <c r="H686" s="3" t="s">
        <v>884</v>
      </c>
      <c r="I686" t="s">
        <v>37</v>
      </c>
      <c r="J686" s="3" t="s">
        <v>883</v>
      </c>
      <c r="K686" s="4">
        <v>1239</v>
      </c>
      <c r="L686" s="5">
        <v>0</v>
      </c>
      <c r="M686" s="6">
        <v>0</v>
      </c>
      <c r="N686" s="7">
        <v>0</v>
      </c>
      <c r="O686" t="s">
        <v>23</v>
      </c>
      <c r="P686" s="3" t="s">
        <v>23</v>
      </c>
      <c r="Q686" s="8" t="s">
        <v>23</v>
      </c>
    </row>
    <row r="687" spans="1:17" hidden="1" x14ac:dyDescent="0.55000000000000004">
      <c r="A687" s="3" t="s">
        <v>861</v>
      </c>
      <c r="B687" s="3" t="s">
        <v>7333</v>
      </c>
      <c r="C687" t="s">
        <v>874</v>
      </c>
      <c r="D687" s="3" t="s">
        <v>7329</v>
      </c>
      <c r="E687" t="s">
        <v>901</v>
      </c>
      <c r="F687" s="3" t="s">
        <v>902</v>
      </c>
      <c r="G687" t="s">
        <v>24</v>
      </c>
      <c r="H687" s="3" t="s">
        <v>877</v>
      </c>
      <c r="I687" t="s">
        <v>43</v>
      </c>
      <c r="J687" s="3" t="s">
        <v>878</v>
      </c>
      <c r="K687" s="4">
        <v>1451</v>
      </c>
      <c r="L687" s="5">
        <v>65.959999999999994</v>
      </c>
      <c r="M687" s="6">
        <v>1</v>
      </c>
      <c r="N687" s="7">
        <v>0</v>
      </c>
      <c r="O687" t="s">
        <v>879</v>
      </c>
      <c r="P687" s="3" t="s">
        <v>138</v>
      </c>
      <c r="Q687" s="8">
        <v>0.25193300000000002</v>
      </c>
    </row>
    <row r="688" spans="1:17" hidden="1" x14ac:dyDescent="0.55000000000000004">
      <c r="A688" s="3" t="s">
        <v>861</v>
      </c>
      <c r="B688" s="3" t="s">
        <v>873</v>
      </c>
      <c r="C688" t="s">
        <v>874</v>
      </c>
      <c r="D688" s="3" t="s">
        <v>7329</v>
      </c>
      <c r="E688" t="s">
        <v>903</v>
      </c>
      <c r="F688" s="3" t="s">
        <v>904</v>
      </c>
      <c r="G688" t="s">
        <v>24</v>
      </c>
      <c r="H688" s="3" t="s">
        <v>882</v>
      </c>
      <c r="I688" t="s">
        <v>105</v>
      </c>
      <c r="J688" s="3" t="s">
        <v>883</v>
      </c>
      <c r="K688" s="4">
        <v>1074</v>
      </c>
      <c r="L688" s="5">
        <v>0</v>
      </c>
      <c r="M688" s="6">
        <v>0</v>
      </c>
      <c r="N688" s="7">
        <v>0</v>
      </c>
      <c r="O688" t="s">
        <v>23</v>
      </c>
      <c r="P688" s="3" t="s">
        <v>23</v>
      </c>
      <c r="Q688" s="8" t="s">
        <v>23</v>
      </c>
    </row>
    <row r="689" spans="1:17" hidden="1" x14ac:dyDescent="0.55000000000000004">
      <c r="A689" s="3" t="s">
        <v>861</v>
      </c>
      <c r="B689" s="3" t="s">
        <v>873</v>
      </c>
      <c r="C689" t="s">
        <v>874</v>
      </c>
      <c r="D689" s="3" t="s">
        <v>7329</v>
      </c>
      <c r="E689" t="s">
        <v>903</v>
      </c>
      <c r="F689" s="3" t="s">
        <v>904</v>
      </c>
      <c r="G689" t="s">
        <v>24</v>
      </c>
      <c r="H689" s="3" t="s">
        <v>884</v>
      </c>
      <c r="I689" t="s">
        <v>37</v>
      </c>
      <c r="J689" s="3" t="s">
        <v>883</v>
      </c>
      <c r="K689" s="4">
        <v>1239</v>
      </c>
      <c r="L689" s="5">
        <v>0</v>
      </c>
      <c r="M689" s="6">
        <v>0</v>
      </c>
      <c r="N689" s="7">
        <v>0</v>
      </c>
      <c r="O689" t="s">
        <v>23</v>
      </c>
      <c r="P689" s="3" t="s">
        <v>23</v>
      </c>
      <c r="Q689" s="8" t="s">
        <v>23</v>
      </c>
    </row>
    <row r="690" spans="1:17" hidden="1" x14ac:dyDescent="0.55000000000000004">
      <c r="A690" s="3" t="s">
        <v>861</v>
      </c>
      <c r="B690" s="3" t="s">
        <v>873</v>
      </c>
      <c r="C690" t="s">
        <v>874</v>
      </c>
      <c r="D690" s="3" t="s">
        <v>7329</v>
      </c>
      <c r="E690" t="s">
        <v>903</v>
      </c>
      <c r="F690" s="3" t="s">
        <v>904</v>
      </c>
      <c r="G690" t="s">
        <v>24</v>
      </c>
      <c r="H690" s="3" t="s">
        <v>877</v>
      </c>
      <c r="I690" t="s">
        <v>43</v>
      </c>
      <c r="J690" s="3" t="s">
        <v>878</v>
      </c>
      <c r="K690" s="4">
        <v>1451</v>
      </c>
      <c r="L690" s="5">
        <v>65.959999999999994</v>
      </c>
      <c r="M690" s="6">
        <v>1</v>
      </c>
      <c r="N690" s="7">
        <v>0</v>
      </c>
      <c r="O690" t="s">
        <v>879</v>
      </c>
      <c r="P690" s="3" t="s">
        <v>138</v>
      </c>
      <c r="Q690" s="8">
        <v>0.25193300000000002</v>
      </c>
    </row>
    <row r="691" spans="1:17" hidden="1" x14ac:dyDescent="0.55000000000000004">
      <c r="A691" s="3" t="s">
        <v>861</v>
      </c>
      <c r="B691" s="3" t="s">
        <v>905</v>
      </c>
      <c r="C691" t="s">
        <v>905</v>
      </c>
      <c r="D691" s="3" t="s">
        <v>7329</v>
      </c>
      <c r="E691" t="s">
        <v>906</v>
      </c>
      <c r="F691" s="3" t="s">
        <v>907</v>
      </c>
      <c r="G691" t="s">
        <v>24</v>
      </c>
      <c r="H691" s="3" t="s">
        <v>908</v>
      </c>
      <c r="I691" t="s">
        <v>105</v>
      </c>
      <c r="J691" s="3" t="s">
        <v>909</v>
      </c>
      <c r="K691" s="4">
        <v>732</v>
      </c>
      <c r="L691" s="5">
        <v>0</v>
      </c>
      <c r="M691" s="6">
        <v>0</v>
      </c>
      <c r="N691" s="7">
        <v>1</v>
      </c>
      <c r="O691" t="s">
        <v>23</v>
      </c>
      <c r="P691" s="3" t="s">
        <v>23</v>
      </c>
      <c r="Q691" s="8" t="s">
        <v>23</v>
      </c>
    </row>
    <row r="692" spans="1:17" hidden="1" x14ac:dyDescent="0.55000000000000004">
      <c r="A692" s="3" t="s">
        <v>861</v>
      </c>
      <c r="B692" s="3" t="s">
        <v>905</v>
      </c>
      <c r="C692" t="s">
        <v>905</v>
      </c>
      <c r="D692" s="3" t="s">
        <v>7329</v>
      </c>
      <c r="E692" t="s">
        <v>906</v>
      </c>
      <c r="F692" s="3" t="s">
        <v>907</v>
      </c>
      <c r="G692" t="s">
        <v>24</v>
      </c>
      <c r="H692" s="3" t="s">
        <v>910</v>
      </c>
      <c r="I692" t="s">
        <v>37</v>
      </c>
      <c r="J692" s="3" t="s">
        <v>909</v>
      </c>
      <c r="K692" s="4">
        <v>898</v>
      </c>
      <c r="L692" s="5">
        <v>0</v>
      </c>
      <c r="M692" s="6">
        <v>0</v>
      </c>
      <c r="N692" s="7">
        <v>1</v>
      </c>
      <c r="O692" t="s">
        <v>23</v>
      </c>
      <c r="P692" s="3" t="s">
        <v>23</v>
      </c>
      <c r="Q692" s="8" t="s">
        <v>23</v>
      </c>
    </row>
    <row r="693" spans="1:17" hidden="1" x14ac:dyDescent="0.55000000000000004">
      <c r="A693" s="3" t="s">
        <v>861</v>
      </c>
      <c r="B693" s="3" t="s">
        <v>905</v>
      </c>
      <c r="C693" t="s">
        <v>905</v>
      </c>
      <c r="D693" s="3" t="s">
        <v>7329</v>
      </c>
      <c r="E693" t="s">
        <v>906</v>
      </c>
      <c r="F693" s="3" t="s">
        <v>907</v>
      </c>
      <c r="G693" t="s">
        <v>24</v>
      </c>
      <c r="H693" s="3" t="s">
        <v>911</v>
      </c>
      <c r="I693" t="s">
        <v>43</v>
      </c>
      <c r="J693" s="3" t="s">
        <v>912</v>
      </c>
      <c r="K693" s="4">
        <v>1057</v>
      </c>
      <c r="L693" s="5">
        <v>48.02</v>
      </c>
      <c r="M693" s="6">
        <v>1</v>
      </c>
      <c r="N693" s="7">
        <v>1</v>
      </c>
      <c r="O693" t="s">
        <v>913</v>
      </c>
      <c r="P693" s="3" t="s">
        <v>46</v>
      </c>
      <c r="Q693" s="8">
        <v>0.2356</v>
      </c>
    </row>
    <row r="694" spans="1:17" hidden="1" x14ac:dyDescent="0.55000000000000004">
      <c r="A694" s="3" t="s">
        <v>861</v>
      </c>
      <c r="B694" s="3" t="s">
        <v>905</v>
      </c>
      <c r="C694" t="s">
        <v>905</v>
      </c>
      <c r="D694" s="3" t="s">
        <v>7329</v>
      </c>
      <c r="E694" t="s">
        <v>906</v>
      </c>
      <c r="F694" s="3" t="s">
        <v>907</v>
      </c>
      <c r="G694" t="s">
        <v>24</v>
      </c>
      <c r="H694" s="3" t="s">
        <v>914</v>
      </c>
      <c r="I694" t="s">
        <v>48</v>
      </c>
      <c r="J694" s="3" t="s">
        <v>912</v>
      </c>
      <c r="K694" s="4">
        <v>1150</v>
      </c>
      <c r="L694" s="5">
        <v>52.28</v>
      </c>
      <c r="M694" s="6">
        <v>0</v>
      </c>
      <c r="N694" s="7">
        <v>1</v>
      </c>
      <c r="O694" t="s">
        <v>915</v>
      </c>
      <c r="P694" s="3" t="s">
        <v>23</v>
      </c>
      <c r="Q694" s="8" t="s">
        <v>23</v>
      </c>
    </row>
    <row r="695" spans="1:17" hidden="1" x14ac:dyDescent="0.55000000000000004">
      <c r="A695" s="3" t="s">
        <v>861</v>
      </c>
      <c r="B695" s="3" t="s">
        <v>905</v>
      </c>
      <c r="C695" t="s">
        <v>905</v>
      </c>
      <c r="D695" s="3" t="s">
        <v>7329</v>
      </c>
      <c r="E695" t="s">
        <v>916</v>
      </c>
      <c r="F695" s="3" t="s">
        <v>917</v>
      </c>
      <c r="G695" t="s">
        <v>24</v>
      </c>
      <c r="H695" s="3" t="s">
        <v>908</v>
      </c>
      <c r="I695" t="s">
        <v>105</v>
      </c>
      <c r="J695" s="3" t="s">
        <v>909</v>
      </c>
      <c r="K695" s="4">
        <v>732</v>
      </c>
      <c r="L695" s="5">
        <v>0</v>
      </c>
      <c r="M695" s="6">
        <v>0</v>
      </c>
      <c r="N695" s="7">
        <v>0</v>
      </c>
      <c r="O695" t="s">
        <v>23</v>
      </c>
      <c r="P695" s="3" t="s">
        <v>23</v>
      </c>
      <c r="Q695" s="8" t="s">
        <v>23</v>
      </c>
    </row>
    <row r="696" spans="1:17" hidden="1" x14ac:dyDescent="0.55000000000000004">
      <c r="A696" s="3" t="s">
        <v>861</v>
      </c>
      <c r="B696" s="3" t="s">
        <v>905</v>
      </c>
      <c r="C696" t="s">
        <v>905</v>
      </c>
      <c r="D696" s="3" t="s">
        <v>7329</v>
      </c>
      <c r="E696" t="s">
        <v>916</v>
      </c>
      <c r="F696" s="3" t="s">
        <v>917</v>
      </c>
      <c r="G696" t="s">
        <v>24</v>
      </c>
      <c r="H696" s="3" t="s">
        <v>910</v>
      </c>
      <c r="I696" t="s">
        <v>37</v>
      </c>
      <c r="J696" s="3" t="s">
        <v>909</v>
      </c>
      <c r="K696" s="4">
        <v>898</v>
      </c>
      <c r="L696" s="5">
        <v>0</v>
      </c>
      <c r="M696" s="6">
        <v>0</v>
      </c>
      <c r="N696" s="7">
        <v>0</v>
      </c>
      <c r="O696" t="s">
        <v>23</v>
      </c>
      <c r="P696" s="3" t="s">
        <v>23</v>
      </c>
      <c r="Q696" s="8" t="s">
        <v>23</v>
      </c>
    </row>
    <row r="697" spans="1:17" hidden="1" x14ac:dyDescent="0.55000000000000004">
      <c r="A697" s="3" t="s">
        <v>861</v>
      </c>
      <c r="B697" s="3" t="s">
        <v>905</v>
      </c>
      <c r="C697" t="s">
        <v>905</v>
      </c>
      <c r="D697" s="3" t="s">
        <v>7329</v>
      </c>
      <c r="E697" t="s">
        <v>916</v>
      </c>
      <c r="F697" s="3" t="s">
        <v>917</v>
      </c>
      <c r="G697" t="s">
        <v>24</v>
      </c>
      <c r="H697" s="3" t="s">
        <v>911</v>
      </c>
      <c r="I697" t="s">
        <v>43</v>
      </c>
      <c r="J697" s="3" t="s">
        <v>912</v>
      </c>
      <c r="K697" s="4">
        <v>1057</v>
      </c>
      <c r="L697" s="5">
        <v>48.02</v>
      </c>
      <c r="M697" s="6">
        <v>1</v>
      </c>
      <c r="N697" s="7">
        <v>0</v>
      </c>
      <c r="O697" t="s">
        <v>913</v>
      </c>
      <c r="P697" s="3" t="s">
        <v>46</v>
      </c>
      <c r="Q697" s="8">
        <v>0.2356</v>
      </c>
    </row>
    <row r="698" spans="1:17" hidden="1" x14ac:dyDescent="0.55000000000000004">
      <c r="A698" s="3" t="s">
        <v>861</v>
      </c>
      <c r="B698" s="3" t="s">
        <v>905</v>
      </c>
      <c r="C698" t="s">
        <v>905</v>
      </c>
      <c r="D698" s="3" t="s">
        <v>7329</v>
      </c>
      <c r="E698" t="s">
        <v>916</v>
      </c>
      <c r="F698" s="3" t="s">
        <v>917</v>
      </c>
      <c r="G698" t="s">
        <v>24</v>
      </c>
      <c r="H698" s="3" t="s">
        <v>914</v>
      </c>
      <c r="I698" t="s">
        <v>48</v>
      </c>
      <c r="J698" s="3" t="s">
        <v>912</v>
      </c>
      <c r="K698" s="4">
        <v>1150</v>
      </c>
      <c r="L698" s="5">
        <v>52.28</v>
      </c>
      <c r="M698" s="6">
        <v>0</v>
      </c>
      <c r="N698" s="7">
        <v>0</v>
      </c>
      <c r="O698" t="s">
        <v>915</v>
      </c>
      <c r="P698" s="3" t="s">
        <v>23</v>
      </c>
      <c r="Q698" s="8" t="s">
        <v>23</v>
      </c>
    </row>
    <row r="699" spans="1:17" hidden="1" x14ac:dyDescent="0.55000000000000004">
      <c r="A699" s="3" t="s">
        <v>861</v>
      </c>
      <c r="B699" s="3" t="s">
        <v>905</v>
      </c>
      <c r="C699" t="s">
        <v>905</v>
      </c>
      <c r="D699" s="3" t="s">
        <v>7329</v>
      </c>
      <c r="E699" t="s">
        <v>918</v>
      </c>
      <c r="F699" s="3" t="s">
        <v>919</v>
      </c>
      <c r="G699" t="s">
        <v>24</v>
      </c>
      <c r="H699" s="3" t="s">
        <v>908</v>
      </c>
      <c r="I699" t="s">
        <v>105</v>
      </c>
      <c r="J699" s="3" t="s">
        <v>909</v>
      </c>
      <c r="K699" s="4">
        <v>732</v>
      </c>
      <c r="L699" s="5">
        <v>0</v>
      </c>
      <c r="M699" s="6">
        <v>0</v>
      </c>
      <c r="N699" s="7">
        <v>0</v>
      </c>
      <c r="O699" t="s">
        <v>23</v>
      </c>
      <c r="P699" s="3" t="s">
        <v>23</v>
      </c>
      <c r="Q699" s="8" t="s">
        <v>23</v>
      </c>
    </row>
    <row r="700" spans="1:17" hidden="1" x14ac:dyDescent="0.55000000000000004">
      <c r="A700" s="3" t="s">
        <v>861</v>
      </c>
      <c r="B700" s="3" t="s">
        <v>905</v>
      </c>
      <c r="C700" t="s">
        <v>905</v>
      </c>
      <c r="D700" s="3" t="s">
        <v>7329</v>
      </c>
      <c r="E700" t="s">
        <v>918</v>
      </c>
      <c r="F700" s="3" t="s">
        <v>919</v>
      </c>
      <c r="G700" t="s">
        <v>24</v>
      </c>
      <c r="H700" s="3" t="s">
        <v>910</v>
      </c>
      <c r="I700" t="s">
        <v>37</v>
      </c>
      <c r="J700" s="3" t="s">
        <v>909</v>
      </c>
      <c r="K700" s="4">
        <v>898</v>
      </c>
      <c r="L700" s="5">
        <v>0</v>
      </c>
      <c r="M700" s="6">
        <v>0</v>
      </c>
      <c r="N700" s="7">
        <v>0</v>
      </c>
      <c r="O700" t="s">
        <v>23</v>
      </c>
      <c r="P700" s="3" t="s">
        <v>23</v>
      </c>
      <c r="Q700" s="8" t="s">
        <v>23</v>
      </c>
    </row>
    <row r="701" spans="1:17" hidden="1" x14ac:dyDescent="0.55000000000000004">
      <c r="A701" s="3" t="s">
        <v>861</v>
      </c>
      <c r="B701" s="3" t="s">
        <v>905</v>
      </c>
      <c r="C701" t="s">
        <v>905</v>
      </c>
      <c r="D701" s="3" t="s">
        <v>7329</v>
      </c>
      <c r="E701" t="s">
        <v>918</v>
      </c>
      <c r="F701" s="3" t="s">
        <v>919</v>
      </c>
      <c r="G701" t="s">
        <v>24</v>
      </c>
      <c r="H701" s="3" t="s">
        <v>911</v>
      </c>
      <c r="I701" t="s">
        <v>43</v>
      </c>
      <c r="J701" s="3" t="s">
        <v>912</v>
      </c>
      <c r="K701" s="4">
        <v>1057</v>
      </c>
      <c r="L701" s="5">
        <v>48.02</v>
      </c>
      <c r="M701" s="6">
        <v>1</v>
      </c>
      <c r="N701" s="7">
        <v>0</v>
      </c>
      <c r="O701" t="s">
        <v>913</v>
      </c>
      <c r="P701" s="3" t="s">
        <v>46</v>
      </c>
      <c r="Q701" s="8">
        <v>0.2356</v>
      </c>
    </row>
    <row r="702" spans="1:17" hidden="1" x14ac:dyDescent="0.55000000000000004">
      <c r="A702" s="3" t="s">
        <v>861</v>
      </c>
      <c r="B702" s="3" t="s">
        <v>905</v>
      </c>
      <c r="C702" t="s">
        <v>905</v>
      </c>
      <c r="D702" s="3" t="s">
        <v>7329</v>
      </c>
      <c r="E702" t="s">
        <v>918</v>
      </c>
      <c r="F702" s="3" t="s">
        <v>919</v>
      </c>
      <c r="G702" t="s">
        <v>24</v>
      </c>
      <c r="H702" s="3" t="s">
        <v>914</v>
      </c>
      <c r="I702" t="s">
        <v>48</v>
      </c>
      <c r="J702" s="3" t="s">
        <v>912</v>
      </c>
      <c r="K702" s="4">
        <v>1150</v>
      </c>
      <c r="L702" s="5">
        <v>52.28</v>
      </c>
      <c r="M702" s="6">
        <v>0</v>
      </c>
      <c r="N702" s="7">
        <v>0</v>
      </c>
      <c r="O702" t="s">
        <v>915</v>
      </c>
      <c r="P702" s="3" t="s">
        <v>23</v>
      </c>
      <c r="Q702" s="8" t="s">
        <v>23</v>
      </c>
    </row>
    <row r="703" spans="1:17" hidden="1" x14ac:dyDescent="0.55000000000000004">
      <c r="A703" s="3" t="s">
        <v>861</v>
      </c>
      <c r="B703" s="3" t="s">
        <v>905</v>
      </c>
      <c r="C703" t="s">
        <v>905</v>
      </c>
      <c r="D703" s="3" t="s">
        <v>7329</v>
      </c>
      <c r="E703" t="s">
        <v>920</v>
      </c>
      <c r="F703" s="3" t="s">
        <v>921</v>
      </c>
      <c r="G703" t="s">
        <v>24</v>
      </c>
      <c r="H703" s="3" t="s">
        <v>908</v>
      </c>
      <c r="I703" t="s">
        <v>105</v>
      </c>
      <c r="J703" s="3" t="s">
        <v>909</v>
      </c>
      <c r="K703" s="4">
        <v>732</v>
      </c>
      <c r="L703" s="5">
        <v>0</v>
      </c>
      <c r="M703" s="6">
        <v>0</v>
      </c>
      <c r="N703" s="7">
        <v>0</v>
      </c>
      <c r="O703" t="s">
        <v>23</v>
      </c>
      <c r="P703" s="3" t="s">
        <v>23</v>
      </c>
      <c r="Q703" s="8" t="s">
        <v>23</v>
      </c>
    </row>
    <row r="704" spans="1:17" hidden="1" x14ac:dyDescent="0.55000000000000004">
      <c r="A704" s="3" t="s">
        <v>861</v>
      </c>
      <c r="B704" s="3" t="s">
        <v>905</v>
      </c>
      <c r="C704" t="s">
        <v>905</v>
      </c>
      <c r="D704" s="3" t="s">
        <v>7329</v>
      </c>
      <c r="E704" t="s">
        <v>920</v>
      </c>
      <c r="F704" s="3" t="s">
        <v>921</v>
      </c>
      <c r="G704" t="s">
        <v>24</v>
      </c>
      <c r="H704" s="3" t="s">
        <v>910</v>
      </c>
      <c r="I704" t="s">
        <v>37</v>
      </c>
      <c r="J704" s="3" t="s">
        <v>909</v>
      </c>
      <c r="K704" s="4">
        <v>898</v>
      </c>
      <c r="L704" s="5">
        <v>0</v>
      </c>
      <c r="M704" s="6">
        <v>0</v>
      </c>
      <c r="N704" s="7">
        <v>0</v>
      </c>
      <c r="O704" t="s">
        <v>23</v>
      </c>
      <c r="P704" s="3" t="s">
        <v>23</v>
      </c>
      <c r="Q704" s="8" t="s">
        <v>23</v>
      </c>
    </row>
    <row r="705" spans="1:17" hidden="1" x14ac:dyDescent="0.55000000000000004">
      <c r="A705" s="3" t="s">
        <v>861</v>
      </c>
      <c r="B705" s="3" t="s">
        <v>905</v>
      </c>
      <c r="C705" t="s">
        <v>905</v>
      </c>
      <c r="D705" s="3" t="s">
        <v>7329</v>
      </c>
      <c r="E705" t="s">
        <v>920</v>
      </c>
      <c r="F705" s="3" t="s">
        <v>921</v>
      </c>
      <c r="G705" t="s">
        <v>24</v>
      </c>
      <c r="H705" s="3" t="s">
        <v>911</v>
      </c>
      <c r="I705" t="s">
        <v>43</v>
      </c>
      <c r="J705" s="3" t="s">
        <v>912</v>
      </c>
      <c r="K705" s="4">
        <v>1057</v>
      </c>
      <c r="L705" s="5">
        <v>48.02</v>
      </c>
      <c r="M705" s="6">
        <v>1</v>
      </c>
      <c r="N705" s="7">
        <v>0</v>
      </c>
      <c r="O705" t="s">
        <v>913</v>
      </c>
      <c r="P705" s="3" t="s">
        <v>46</v>
      </c>
      <c r="Q705" s="8">
        <v>0.2356</v>
      </c>
    </row>
    <row r="706" spans="1:17" hidden="1" x14ac:dyDescent="0.55000000000000004">
      <c r="A706" s="3" t="s">
        <v>861</v>
      </c>
      <c r="B706" s="3" t="s">
        <v>905</v>
      </c>
      <c r="C706" t="s">
        <v>905</v>
      </c>
      <c r="D706" s="3" t="s">
        <v>7329</v>
      </c>
      <c r="E706" t="s">
        <v>920</v>
      </c>
      <c r="F706" s="3" t="s">
        <v>921</v>
      </c>
      <c r="G706" t="s">
        <v>24</v>
      </c>
      <c r="H706" s="3" t="s">
        <v>914</v>
      </c>
      <c r="I706" t="s">
        <v>48</v>
      </c>
      <c r="J706" s="3" t="s">
        <v>912</v>
      </c>
      <c r="K706" s="4">
        <v>1150</v>
      </c>
      <c r="L706" s="5">
        <v>52.28</v>
      </c>
      <c r="M706" s="6">
        <v>0</v>
      </c>
      <c r="N706" s="7">
        <v>0</v>
      </c>
      <c r="O706" t="s">
        <v>915</v>
      </c>
      <c r="P706" s="3" t="s">
        <v>23</v>
      </c>
      <c r="Q706" s="8" t="s">
        <v>23</v>
      </c>
    </row>
    <row r="707" spans="1:17" hidden="1" x14ac:dyDescent="0.55000000000000004">
      <c r="A707" s="3" t="s">
        <v>861</v>
      </c>
      <c r="B707" s="3" t="s">
        <v>922</v>
      </c>
      <c r="C707" t="s">
        <v>922</v>
      </c>
      <c r="D707" s="3" t="s">
        <v>7329</v>
      </c>
      <c r="E707" t="s">
        <v>923</v>
      </c>
      <c r="F707" s="3" t="s">
        <v>924</v>
      </c>
      <c r="G707" t="s">
        <v>24</v>
      </c>
      <c r="H707" s="3" t="s">
        <v>925</v>
      </c>
      <c r="I707" t="s">
        <v>37</v>
      </c>
      <c r="J707" s="3" t="s">
        <v>926</v>
      </c>
      <c r="K707" s="4">
        <v>1071</v>
      </c>
      <c r="L707" s="5">
        <v>48.67</v>
      </c>
      <c r="M707" s="6">
        <v>1</v>
      </c>
      <c r="N707" s="7">
        <v>0</v>
      </c>
      <c r="O707" t="s">
        <v>927</v>
      </c>
      <c r="P707" s="3" t="s">
        <v>40</v>
      </c>
      <c r="Q707" s="8">
        <v>0.25825799999999999</v>
      </c>
    </row>
    <row r="708" spans="1:17" hidden="1" x14ac:dyDescent="0.55000000000000004">
      <c r="A708" s="3" t="s">
        <v>861</v>
      </c>
      <c r="B708" s="3" t="s">
        <v>7330</v>
      </c>
      <c r="C708" t="s">
        <v>922</v>
      </c>
      <c r="D708" s="3" t="s">
        <v>7329</v>
      </c>
      <c r="E708" t="s">
        <v>928</v>
      </c>
      <c r="F708" s="3" t="s">
        <v>929</v>
      </c>
      <c r="G708" t="s">
        <v>24</v>
      </c>
      <c r="H708" s="3" t="s">
        <v>925</v>
      </c>
      <c r="I708" t="s">
        <v>37</v>
      </c>
      <c r="J708" s="3" t="s">
        <v>926</v>
      </c>
      <c r="K708" s="4">
        <v>1071</v>
      </c>
      <c r="L708" s="5">
        <v>48.67</v>
      </c>
      <c r="M708" s="6">
        <v>1</v>
      </c>
      <c r="N708" s="7">
        <v>0</v>
      </c>
      <c r="O708" t="s">
        <v>927</v>
      </c>
      <c r="P708" s="3" t="s">
        <v>40</v>
      </c>
      <c r="Q708" s="8">
        <v>0.25825799999999999</v>
      </c>
    </row>
    <row r="709" spans="1:17" hidden="1" x14ac:dyDescent="0.55000000000000004">
      <c r="A709" s="3" t="s">
        <v>861</v>
      </c>
      <c r="B709" s="3" t="s">
        <v>7332</v>
      </c>
      <c r="C709" t="s">
        <v>930</v>
      </c>
      <c r="D709" s="3" t="s">
        <v>7329</v>
      </c>
      <c r="E709" t="s">
        <v>931</v>
      </c>
      <c r="F709" s="3" t="s">
        <v>932</v>
      </c>
      <c r="G709" t="s">
        <v>19</v>
      </c>
      <c r="H709" s="3" t="s">
        <v>933</v>
      </c>
      <c r="I709" t="s">
        <v>934</v>
      </c>
      <c r="J709" s="3" t="s">
        <v>935</v>
      </c>
      <c r="K709" s="4">
        <v>101</v>
      </c>
      <c r="L709" s="5">
        <v>21.87</v>
      </c>
      <c r="M709" s="6">
        <v>0</v>
      </c>
      <c r="N709" s="7">
        <v>0</v>
      </c>
      <c r="O709" t="s">
        <v>23</v>
      </c>
      <c r="P709" s="3" t="s">
        <v>23</v>
      </c>
      <c r="Q709" s="8" t="s">
        <v>23</v>
      </c>
    </row>
    <row r="710" spans="1:17" hidden="1" x14ac:dyDescent="0.55000000000000004">
      <c r="A710" s="3" t="s">
        <v>861</v>
      </c>
      <c r="B710" s="3" t="s">
        <v>7332</v>
      </c>
      <c r="C710" t="s">
        <v>930</v>
      </c>
      <c r="D710" s="3" t="s">
        <v>7329</v>
      </c>
      <c r="E710" t="s">
        <v>931</v>
      </c>
      <c r="F710" s="3" t="s">
        <v>932</v>
      </c>
      <c r="G710" t="s">
        <v>19</v>
      </c>
      <c r="H710" s="3" t="s">
        <v>936</v>
      </c>
      <c r="I710" t="s">
        <v>937</v>
      </c>
      <c r="J710" s="3" t="s">
        <v>938</v>
      </c>
      <c r="K710" s="4">
        <v>84</v>
      </c>
      <c r="L710" s="5">
        <v>18.149999999999999</v>
      </c>
      <c r="M710" s="6">
        <v>0</v>
      </c>
      <c r="N710" s="7">
        <v>0</v>
      </c>
      <c r="O710" t="s">
        <v>23</v>
      </c>
      <c r="P710" s="3" t="s">
        <v>23</v>
      </c>
      <c r="Q710" s="8" t="s">
        <v>23</v>
      </c>
    </row>
    <row r="711" spans="1:17" hidden="1" x14ac:dyDescent="0.55000000000000004">
      <c r="A711" s="3" t="s">
        <v>861</v>
      </c>
      <c r="B711" s="3" t="s">
        <v>7332</v>
      </c>
      <c r="C711" t="s">
        <v>930</v>
      </c>
      <c r="D711" s="3" t="s">
        <v>7329</v>
      </c>
      <c r="E711" t="s">
        <v>931</v>
      </c>
      <c r="F711" s="3" t="s">
        <v>932</v>
      </c>
      <c r="G711" t="s">
        <v>24</v>
      </c>
      <c r="H711" s="3" t="s">
        <v>939</v>
      </c>
      <c r="I711" t="s">
        <v>37</v>
      </c>
      <c r="J711" s="3" t="s">
        <v>940</v>
      </c>
      <c r="K711" s="4">
        <v>1334</v>
      </c>
      <c r="L711" s="5">
        <v>60.63</v>
      </c>
      <c r="M711" s="6">
        <v>1</v>
      </c>
      <c r="N711" s="7">
        <v>0</v>
      </c>
      <c r="O711" t="s">
        <v>941</v>
      </c>
      <c r="P711" s="3" t="s">
        <v>40</v>
      </c>
      <c r="Q711" s="8">
        <v>0.26126500000000002</v>
      </c>
    </row>
    <row r="712" spans="1:17" hidden="1" x14ac:dyDescent="0.55000000000000004">
      <c r="A712" s="3" t="s">
        <v>861</v>
      </c>
      <c r="B712" s="3" t="s">
        <v>942</v>
      </c>
      <c r="C712" t="s">
        <v>942</v>
      </c>
      <c r="D712" s="3" t="s">
        <v>7329</v>
      </c>
      <c r="E712" t="s">
        <v>943</v>
      </c>
      <c r="F712" s="3" t="s">
        <v>944</v>
      </c>
      <c r="G712" t="s">
        <v>24</v>
      </c>
      <c r="H712" s="3" t="s">
        <v>945</v>
      </c>
      <c r="I712" t="s">
        <v>37</v>
      </c>
      <c r="J712" s="3" t="s">
        <v>946</v>
      </c>
      <c r="K712" s="4">
        <v>1107</v>
      </c>
      <c r="L712" s="5">
        <v>50.32</v>
      </c>
      <c r="M712" s="6">
        <v>1</v>
      </c>
      <c r="N712" s="7">
        <v>0</v>
      </c>
      <c r="O712" t="s">
        <v>947</v>
      </c>
      <c r="P712" s="3" t="s">
        <v>40</v>
      </c>
      <c r="Q712" s="8">
        <v>0.25867099999999998</v>
      </c>
    </row>
    <row r="713" spans="1:17" hidden="1" x14ac:dyDescent="0.55000000000000004">
      <c r="A713" s="3" t="s">
        <v>861</v>
      </c>
      <c r="B713" s="3" t="s">
        <v>948</v>
      </c>
      <c r="C713" t="s">
        <v>948</v>
      </c>
      <c r="D713" s="3" t="s">
        <v>7329</v>
      </c>
      <c r="E713" t="s">
        <v>949</v>
      </c>
      <c r="F713" s="3" t="s">
        <v>950</v>
      </c>
      <c r="G713" t="s">
        <v>24</v>
      </c>
      <c r="H713" s="3" t="s">
        <v>951</v>
      </c>
      <c r="I713" t="s">
        <v>37</v>
      </c>
      <c r="J713" s="3" t="s">
        <v>952</v>
      </c>
      <c r="K713" s="4">
        <v>1078</v>
      </c>
      <c r="L713" s="5">
        <v>49</v>
      </c>
      <c r="M713" s="6">
        <v>1</v>
      </c>
      <c r="N713" s="7">
        <v>0</v>
      </c>
      <c r="O713" t="s">
        <v>953</v>
      </c>
      <c r="P713" s="3" t="s">
        <v>40</v>
      </c>
      <c r="Q713" s="8">
        <v>0.25834099999999999</v>
      </c>
    </row>
    <row r="714" spans="1:17" hidden="1" x14ac:dyDescent="0.55000000000000004">
      <c r="A714" s="3" t="s">
        <v>861</v>
      </c>
      <c r="B714" s="3" t="s">
        <v>954</v>
      </c>
      <c r="C714" t="s">
        <v>954</v>
      </c>
      <c r="D714" s="3" t="s">
        <v>7329</v>
      </c>
      <c r="E714" t="s">
        <v>955</v>
      </c>
      <c r="F714" s="3" t="s">
        <v>956</v>
      </c>
      <c r="G714" t="s">
        <v>24</v>
      </c>
      <c r="H714" s="3" t="s">
        <v>957</v>
      </c>
      <c r="I714" t="s">
        <v>37</v>
      </c>
      <c r="J714" s="3" t="s">
        <v>958</v>
      </c>
      <c r="K714" s="4">
        <v>1359</v>
      </c>
      <c r="L714" s="5">
        <v>61.79</v>
      </c>
      <c r="M714" s="6">
        <v>1</v>
      </c>
      <c r="N714" s="7">
        <v>0</v>
      </c>
      <c r="O714" t="s">
        <v>959</v>
      </c>
      <c r="P714" s="3" t="s">
        <v>40</v>
      </c>
      <c r="Q714" s="8">
        <v>0.26155800000000001</v>
      </c>
    </row>
    <row r="715" spans="1:17" hidden="1" x14ac:dyDescent="0.55000000000000004">
      <c r="A715" s="3" t="s">
        <v>861</v>
      </c>
      <c r="B715" s="3" t="s">
        <v>954</v>
      </c>
      <c r="C715" t="s">
        <v>954</v>
      </c>
      <c r="D715" s="3" t="s">
        <v>7329</v>
      </c>
      <c r="E715" t="s">
        <v>960</v>
      </c>
      <c r="F715" s="3" t="s">
        <v>961</v>
      </c>
      <c r="G715" t="s">
        <v>24</v>
      </c>
      <c r="H715" s="3" t="s">
        <v>957</v>
      </c>
      <c r="I715" t="s">
        <v>37</v>
      </c>
      <c r="J715" s="3" t="s">
        <v>958</v>
      </c>
      <c r="K715" s="4">
        <v>1359</v>
      </c>
      <c r="L715" s="5">
        <v>61.79</v>
      </c>
      <c r="M715" s="6">
        <v>1</v>
      </c>
      <c r="N715" s="7">
        <v>0</v>
      </c>
      <c r="O715" t="s">
        <v>959</v>
      </c>
      <c r="P715" s="3" t="s">
        <v>40</v>
      </c>
      <c r="Q715" s="8">
        <v>0.26155800000000001</v>
      </c>
    </row>
    <row r="716" spans="1:17" hidden="1" x14ac:dyDescent="0.55000000000000004">
      <c r="A716" s="3" t="s">
        <v>861</v>
      </c>
      <c r="B716" s="3" t="s">
        <v>954</v>
      </c>
      <c r="C716" t="s">
        <v>954</v>
      </c>
      <c r="D716" s="3" t="s">
        <v>7329</v>
      </c>
      <c r="E716" t="s">
        <v>962</v>
      </c>
      <c r="F716" s="3" t="s">
        <v>963</v>
      </c>
      <c r="G716" t="s">
        <v>24</v>
      </c>
      <c r="H716" s="3" t="s">
        <v>957</v>
      </c>
      <c r="I716" t="s">
        <v>37</v>
      </c>
      <c r="J716" s="3" t="s">
        <v>958</v>
      </c>
      <c r="K716" s="4">
        <v>1359</v>
      </c>
      <c r="L716" s="5">
        <v>61.79</v>
      </c>
      <c r="M716" s="6">
        <v>1</v>
      </c>
      <c r="N716" s="7">
        <v>0</v>
      </c>
      <c r="O716" t="s">
        <v>959</v>
      </c>
      <c r="P716" s="3" t="s">
        <v>40</v>
      </c>
      <c r="Q716" s="8">
        <v>0.26155800000000001</v>
      </c>
    </row>
    <row r="717" spans="1:17" hidden="1" x14ac:dyDescent="0.55000000000000004">
      <c r="A717" s="3" t="s">
        <v>861</v>
      </c>
      <c r="B717" s="3" t="s">
        <v>7331</v>
      </c>
      <c r="C717" t="s">
        <v>954</v>
      </c>
      <c r="D717" s="3" t="s">
        <v>7329</v>
      </c>
      <c r="E717" t="s">
        <v>964</v>
      </c>
      <c r="F717" s="3" t="s">
        <v>965</v>
      </c>
      <c r="G717" t="s">
        <v>24</v>
      </c>
      <c r="H717" s="3" t="s">
        <v>957</v>
      </c>
      <c r="I717" t="s">
        <v>37</v>
      </c>
      <c r="J717" s="3" t="s">
        <v>958</v>
      </c>
      <c r="K717" s="4">
        <v>1359</v>
      </c>
      <c r="L717" s="5">
        <v>61.79</v>
      </c>
      <c r="M717" s="6">
        <v>1</v>
      </c>
      <c r="N717" s="7">
        <v>0</v>
      </c>
      <c r="O717" t="s">
        <v>959</v>
      </c>
      <c r="P717" s="3" t="s">
        <v>40</v>
      </c>
      <c r="Q717" s="8">
        <v>0.26155800000000001</v>
      </c>
    </row>
    <row r="718" spans="1:17" hidden="1" x14ac:dyDescent="0.55000000000000004">
      <c r="A718" s="3" t="s">
        <v>861</v>
      </c>
      <c r="B718" s="3" t="s">
        <v>954</v>
      </c>
      <c r="C718" t="s">
        <v>954</v>
      </c>
      <c r="D718" s="3" t="s">
        <v>7329</v>
      </c>
      <c r="E718" t="s">
        <v>966</v>
      </c>
      <c r="F718" s="3" t="s">
        <v>967</v>
      </c>
      <c r="G718" t="s">
        <v>19</v>
      </c>
      <c r="H718" s="3" t="s">
        <v>23</v>
      </c>
      <c r="I718" t="s">
        <v>67</v>
      </c>
      <c r="J718" s="3" t="s">
        <v>934</v>
      </c>
      <c r="K718" s="4" t="s">
        <v>23</v>
      </c>
      <c r="L718" s="5" t="s">
        <v>23</v>
      </c>
      <c r="M718" s="6">
        <v>0</v>
      </c>
      <c r="N718" s="7">
        <v>1</v>
      </c>
      <c r="O718" t="s">
        <v>23</v>
      </c>
      <c r="P718" s="3" t="s">
        <v>23</v>
      </c>
      <c r="Q718" s="8" t="s">
        <v>23</v>
      </c>
    </row>
    <row r="719" spans="1:17" hidden="1" x14ac:dyDescent="0.55000000000000004">
      <c r="A719" s="3" t="s">
        <v>861</v>
      </c>
      <c r="B719" s="3" t="s">
        <v>954</v>
      </c>
      <c r="C719" t="s">
        <v>954</v>
      </c>
      <c r="D719" s="3" t="s">
        <v>7329</v>
      </c>
      <c r="E719" t="s">
        <v>966</v>
      </c>
      <c r="F719" s="3" t="s">
        <v>967</v>
      </c>
      <c r="G719" t="s">
        <v>19</v>
      </c>
      <c r="H719" s="3" t="s">
        <v>23</v>
      </c>
      <c r="I719" t="s">
        <v>67</v>
      </c>
      <c r="J719" s="3" t="s">
        <v>937</v>
      </c>
      <c r="K719" s="4" t="s">
        <v>23</v>
      </c>
      <c r="L719" s="5" t="s">
        <v>23</v>
      </c>
      <c r="M719" s="6">
        <v>0</v>
      </c>
      <c r="N719" s="7">
        <v>1</v>
      </c>
      <c r="O719" t="s">
        <v>23</v>
      </c>
      <c r="P719" s="3" t="s">
        <v>23</v>
      </c>
      <c r="Q719" s="8" t="s">
        <v>23</v>
      </c>
    </row>
    <row r="720" spans="1:17" hidden="1" x14ac:dyDescent="0.55000000000000004">
      <c r="A720" s="3" t="s">
        <v>861</v>
      </c>
      <c r="B720" s="3" t="s">
        <v>954</v>
      </c>
      <c r="C720" t="s">
        <v>954</v>
      </c>
      <c r="D720" s="3" t="s">
        <v>7329</v>
      </c>
      <c r="E720" t="s">
        <v>966</v>
      </c>
      <c r="F720" s="3" t="s">
        <v>967</v>
      </c>
      <c r="G720" t="s">
        <v>24</v>
      </c>
      <c r="H720" s="3" t="s">
        <v>957</v>
      </c>
      <c r="I720" t="s">
        <v>37</v>
      </c>
      <c r="J720" s="3" t="s">
        <v>958</v>
      </c>
      <c r="K720" s="4">
        <v>1359</v>
      </c>
      <c r="L720" s="5">
        <v>61.79</v>
      </c>
      <c r="M720" s="6">
        <v>1</v>
      </c>
      <c r="N720" s="7">
        <v>1</v>
      </c>
      <c r="O720" t="s">
        <v>959</v>
      </c>
      <c r="P720" s="3" t="s">
        <v>40</v>
      </c>
      <c r="Q720" s="8">
        <v>0.26155800000000001</v>
      </c>
    </row>
    <row r="721" spans="1:17" hidden="1" x14ac:dyDescent="0.55000000000000004">
      <c r="A721" s="3" t="s">
        <v>861</v>
      </c>
      <c r="B721" s="3" t="s">
        <v>954</v>
      </c>
      <c r="C721" t="s">
        <v>954</v>
      </c>
      <c r="D721" s="3" t="s">
        <v>7329</v>
      </c>
      <c r="E721" t="s">
        <v>968</v>
      </c>
      <c r="F721" s="3" t="s">
        <v>969</v>
      </c>
      <c r="G721" t="s">
        <v>24</v>
      </c>
      <c r="H721" s="3" t="s">
        <v>957</v>
      </c>
      <c r="I721" t="s">
        <v>37</v>
      </c>
      <c r="J721" s="3" t="s">
        <v>958</v>
      </c>
      <c r="K721" s="4">
        <v>1359</v>
      </c>
      <c r="L721" s="5">
        <v>61.79</v>
      </c>
      <c r="M721" s="6">
        <v>1</v>
      </c>
      <c r="N721" s="7">
        <v>0</v>
      </c>
      <c r="O721" t="s">
        <v>959</v>
      </c>
      <c r="P721" s="3" t="s">
        <v>40</v>
      </c>
      <c r="Q721" s="8">
        <v>0.26155800000000001</v>
      </c>
    </row>
    <row r="722" spans="1:17" hidden="1" x14ac:dyDescent="0.55000000000000004">
      <c r="A722" s="3" t="s">
        <v>861</v>
      </c>
      <c r="B722" s="3" t="s">
        <v>954</v>
      </c>
      <c r="C722" t="s">
        <v>954</v>
      </c>
      <c r="D722" s="3" t="s">
        <v>7329</v>
      </c>
      <c r="E722" t="s">
        <v>970</v>
      </c>
      <c r="F722" s="3" t="s">
        <v>971</v>
      </c>
      <c r="G722" t="s">
        <v>24</v>
      </c>
      <c r="H722" s="3" t="s">
        <v>957</v>
      </c>
      <c r="I722" t="s">
        <v>37</v>
      </c>
      <c r="J722" s="3" t="s">
        <v>958</v>
      </c>
      <c r="K722" s="4">
        <v>1359</v>
      </c>
      <c r="L722" s="5">
        <v>61.79</v>
      </c>
      <c r="M722" s="6">
        <v>1</v>
      </c>
      <c r="N722" s="7">
        <v>0</v>
      </c>
      <c r="O722" t="s">
        <v>959</v>
      </c>
      <c r="P722" s="3" t="s">
        <v>40</v>
      </c>
      <c r="Q722" s="8">
        <v>0.26155800000000001</v>
      </c>
    </row>
    <row r="723" spans="1:17" hidden="1" x14ac:dyDescent="0.55000000000000004">
      <c r="A723" s="3" t="s">
        <v>861</v>
      </c>
      <c r="B723" s="3" t="s">
        <v>954</v>
      </c>
      <c r="C723" t="s">
        <v>954</v>
      </c>
      <c r="D723" s="3" t="s">
        <v>7329</v>
      </c>
      <c r="E723" t="s">
        <v>972</v>
      </c>
      <c r="F723" s="3" t="s">
        <v>973</v>
      </c>
      <c r="G723" t="s">
        <v>24</v>
      </c>
      <c r="H723" s="3" t="s">
        <v>957</v>
      </c>
      <c r="I723" t="s">
        <v>37</v>
      </c>
      <c r="J723" s="3" t="s">
        <v>958</v>
      </c>
      <c r="K723" s="4">
        <v>1359</v>
      </c>
      <c r="L723" s="5">
        <v>61.79</v>
      </c>
      <c r="M723" s="6">
        <v>1</v>
      </c>
      <c r="N723" s="7">
        <v>0</v>
      </c>
      <c r="O723" t="s">
        <v>959</v>
      </c>
      <c r="P723" s="3" t="s">
        <v>40</v>
      </c>
      <c r="Q723" s="8">
        <v>0.26155800000000001</v>
      </c>
    </row>
    <row r="724" spans="1:17" hidden="1" x14ac:dyDescent="0.55000000000000004">
      <c r="A724" s="3" t="s">
        <v>861</v>
      </c>
      <c r="B724" s="3" t="s">
        <v>954</v>
      </c>
      <c r="C724" t="s">
        <v>954</v>
      </c>
      <c r="D724" s="3" t="s">
        <v>7329</v>
      </c>
      <c r="E724" t="s">
        <v>974</v>
      </c>
      <c r="F724" s="3" t="s">
        <v>975</v>
      </c>
      <c r="G724" t="s">
        <v>24</v>
      </c>
      <c r="H724" s="3" t="s">
        <v>957</v>
      </c>
      <c r="I724" t="s">
        <v>37</v>
      </c>
      <c r="J724" s="3" t="s">
        <v>958</v>
      </c>
      <c r="K724" s="4">
        <v>1359</v>
      </c>
      <c r="L724" s="5">
        <v>61.79</v>
      </c>
      <c r="M724" s="6">
        <v>1</v>
      </c>
      <c r="N724" s="7">
        <v>0</v>
      </c>
      <c r="O724" t="s">
        <v>959</v>
      </c>
      <c r="P724" s="3" t="s">
        <v>40</v>
      </c>
      <c r="Q724" s="8">
        <v>0.26155800000000001</v>
      </c>
    </row>
    <row r="725" spans="1:17" hidden="1" x14ac:dyDescent="0.55000000000000004">
      <c r="A725" s="3" t="s">
        <v>861</v>
      </c>
      <c r="B725" s="3" t="s">
        <v>954</v>
      </c>
      <c r="C725" t="s">
        <v>954</v>
      </c>
      <c r="D725" s="3" t="s">
        <v>7329</v>
      </c>
      <c r="E725" t="s">
        <v>976</v>
      </c>
      <c r="F725" s="3" t="s">
        <v>977</v>
      </c>
      <c r="G725" t="s">
        <v>24</v>
      </c>
      <c r="H725" s="3" t="s">
        <v>957</v>
      </c>
      <c r="I725" t="s">
        <v>37</v>
      </c>
      <c r="J725" s="3" t="s">
        <v>958</v>
      </c>
      <c r="K725" s="4">
        <v>1359</v>
      </c>
      <c r="L725" s="5">
        <v>61.79</v>
      </c>
      <c r="M725" s="6">
        <v>1</v>
      </c>
      <c r="N725" s="7">
        <v>0</v>
      </c>
      <c r="O725" t="s">
        <v>959</v>
      </c>
      <c r="P725" s="3" t="s">
        <v>40</v>
      </c>
      <c r="Q725" s="8">
        <v>0.26155800000000001</v>
      </c>
    </row>
    <row r="726" spans="1:17" hidden="1" x14ac:dyDescent="0.55000000000000004">
      <c r="A726" s="3" t="s">
        <v>861</v>
      </c>
      <c r="B726" s="3" t="s">
        <v>978</v>
      </c>
      <c r="C726" t="s">
        <v>978</v>
      </c>
      <c r="D726" s="3" t="s">
        <v>7329</v>
      </c>
      <c r="E726" t="s">
        <v>979</v>
      </c>
      <c r="F726" s="3" t="s">
        <v>980</v>
      </c>
      <c r="G726" t="s">
        <v>24</v>
      </c>
      <c r="H726" s="3" t="s">
        <v>981</v>
      </c>
      <c r="I726" t="s">
        <v>37</v>
      </c>
      <c r="J726" s="3" t="s">
        <v>982</v>
      </c>
      <c r="K726" s="4">
        <v>1527</v>
      </c>
      <c r="L726" s="5">
        <v>69.41</v>
      </c>
      <c r="M726" s="6">
        <v>1</v>
      </c>
      <c r="N726" s="7">
        <v>0</v>
      </c>
      <c r="O726" t="s">
        <v>983</v>
      </c>
      <c r="P726" s="3" t="s">
        <v>40</v>
      </c>
      <c r="Q726" s="8">
        <v>0.29324299999999998</v>
      </c>
    </row>
    <row r="727" spans="1:17" hidden="1" x14ac:dyDescent="0.55000000000000004">
      <c r="A727" s="9" t="s">
        <v>861</v>
      </c>
      <c r="B727" s="3" t="s">
        <v>978</v>
      </c>
      <c r="C727" t="s">
        <v>978</v>
      </c>
      <c r="D727" s="3" t="s">
        <v>7329</v>
      </c>
      <c r="E727" t="s">
        <v>979</v>
      </c>
      <c r="F727" s="3" t="s">
        <v>980</v>
      </c>
      <c r="G727" t="s">
        <v>24</v>
      </c>
      <c r="H727" s="3" t="s">
        <v>984</v>
      </c>
      <c r="I727" t="s">
        <v>43</v>
      </c>
      <c r="J727" s="3" t="s">
        <v>985</v>
      </c>
      <c r="K727" s="4">
        <v>1406</v>
      </c>
      <c r="L727" s="5">
        <v>63.91</v>
      </c>
      <c r="M727" s="6">
        <v>0</v>
      </c>
      <c r="N727" s="7">
        <v>0</v>
      </c>
      <c r="O727" t="s">
        <v>986</v>
      </c>
      <c r="P727" s="3" t="s">
        <v>138</v>
      </c>
      <c r="Q727" s="8">
        <v>0.25193300000000002</v>
      </c>
    </row>
    <row r="728" spans="1:17" hidden="1" x14ac:dyDescent="0.55000000000000004">
      <c r="A728" s="3" t="s">
        <v>987</v>
      </c>
      <c r="B728" s="3" t="s">
        <v>988</v>
      </c>
      <c r="C728" t="s">
        <v>988</v>
      </c>
      <c r="D728" s="3" t="s">
        <v>7329</v>
      </c>
      <c r="E728" t="s">
        <v>989</v>
      </c>
      <c r="F728" s="3" t="s">
        <v>990</v>
      </c>
      <c r="G728" t="s">
        <v>19</v>
      </c>
      <c r="H728" s="3" t="s">
        <v>991</v>
      </c>
      <c r="I728" t="s">
        <v>81</v>
      </c>
      <c r="J728" s="3" t="s">
        <v>992</v>
      </c>
      <c r="K728" s="4">
        <v>937</v>
      </c>
      <c r="L728" s="5">
        <v>203.61</v>
      </c>
      <c r="M728" s="6">
        <v>1</v>
      </c>
      <c r="N728" s="7">
        <v>0</v>
      </c>
      <c r="O728" t="s">
        <v>993</v>
      </c>
      <c r="P728" s="3" t="s">
        <v>84</v>
      </c>
      <c r="Q728" s="8">
        <v>4.2035999999999997E-2</v>
      </c>
    </row>
    <row r="729" spans="1:17" hidden="1" x14ac:dyDescent="0.55000000000000004">
      <c r="A729" s="3" t="s">
        <v>987</v>
      </c>
      <c r="B729" s="3" t="s">
        <v>988</v>
      </c>
      <c r="C729" t="s">
        <v>988</v>
      </c>
      <c r="D729" s="3" t="s">
        <v>7329</v>
      </c>
      <c r="E729" t="s">
        <v>989</v>
      </c>
      <c r="F729" s="3" t="s">
        <v>990</v>
      </c>
      <c r="G729" t="s">
        <v>24</v>
      </c>
      <c r="H729" s="3" t="s">
        <v>994</v>
      </c>
      <c r="I729" t="s">
        <v>43</v>
      </c>
      <c r="J729" s="3" t="s">
        <v>995</v>
      </c>
      <c r="K729" s="4">
        <v>870</v>
      </c>
      <c r="L729" s="5">
        <v>39.53</v>
      </c>
      <c r="M729" s="6">
        <v>1</v>
      </c>
      <c r="N729" s="7">
        <v>0</v>
      </c>
      <c r="O729" t="s">
        <v>996</v>
      </c>
      <c r="P729" s="3" t="s">
        <v>46</v>
      </c>
      <c r="Q729" s="8">
        <v>0.23910000000000001</v>
      </c>
    </row>
    <row r="730" spans="1:17" hidden="1" x14ac:dyDescent="0.55000000000000004">
      <c r="A730" s="3" t="s">
        <v>987</v>
      </c>
      <c r="B730" s="3" t="s">
        <v>988</v>
      </c>
      <c r="C730" t="s">
        <v>988</v>
      </c>
      <c r="D730" s="3" t="s">
        <v>7329</v>
      </c>
      <c r="E730" t="s">
        <v>989</v>
      </c>
      <c r="F730" s="3" t="s">
        <v>990</v>
      </c>
      <c r="G730" t="s">
        <v>24</v>
      </c>
      <c r="H730" s="3" t="s">
        <v>997</v>
      </c>
      <c r="I730" t="s">
        <v>48</v>
      </c>
      <c r="J730" s="3" t="s">
        <v>995</v>
      </c>
      <c r="K730" s="4">
        <v>989</v>
      </c>
      <c r="L730" s="5">
        <v>44.96</v>
      </c>
      <c r="M730" s="6">
        <v>0</v>
      </c>
      <c r="N730" s="7">
        <v>0</v>
      </c>
      <c r="O730" t="s">
        <v>998</v>
      </c>
      <c r="P730" s="3" t="s">
        <v>23</v>
      </c>
      <c r="Q730" s="8" t="s">
        <v>23</v>
      </c>
    </row>
    <row r="731" spans="1:17" hidden="1" x14ac:dyDescent="0.55000000000000004">
      <c r="A731" s="3" t="s">
        <v>987</v>
      </c>
      <c r="B731" s="3" t="s">
        <v>988</v>
      </c>
      <c r="C731" t="s">
        <v>988</v>
      </c>
      <c r="D731" s="3" t="s">
        <v>7329</v>
      </c>
      <c r="E731" t="s">
        <v>999</v>
      </c>
      <c r="F731" s="3" t="s">
        <v>1000</v>
      </c>
      <c r="G731" t="s">
        <v>19</v>
      </c>
      <c r="H731" s="3" t="s">
        <v>991</v>
      </c>
      <c r="I731" t="s">
        <v>81</v>
      </c>
      <c r="J731" s="3" t="s">
        <v>992</v>
      </c>
      <c r="K731" s="4">
        <v>937</v>
      </c>
      <c r="L731" s="5">
        <v>203.61</v>
      </c>
      <c r="M731" s="6">
        <v>1</v>
      </c>
      <c r="N731" s="7">
        <v>1</v>
      </c>
      <c r="O731" t="s">
        <v>993</v>
      </c>
      <c r="P731" s="3" t="s">
        <v>84</v>
      </c>
      <c r="Q731" s="8">
        <v>4.2035999999999997E-2</v>
      </c>
    </row>
    <row r="732" spans="1:17" hidden="1" x14ac:dyDescent="0.55000000000000004">
      <c r="A732" s="3" t="s">
        <v>987</v>
      </c>
      <c r="B732" s="3" t="s">
        <v>988</v>
      </c>
      <c r="C732" t="s">
        <v>988</v>
      </c>
      <c r="D732" s="3" t="s">
        <v>7329</v>
      </c>
      <c r="E732" t="s">
        <v>999</v>
      </c>
      <c r="F732" s="3" t="s">
        <v>1000</v>
      </c>
      <c r="G732" t="s">
        <v>24</v>
      </c>
      <c r="H732" s="3" t="s">
        <v>994</v>
      </c>
      <c r="I732" t="s">
        <v>43</v>
      </c>
      <c r="J732" s="3" t="s">
        <v>995</v>
      </c>
      <c r="K732" s="4">
        <v>870</v>
      </c>
      <c r="L732" s="5">
        <v>39.53</v>
      </c>
      <c r="M732" s="6">
        <v>1</v>
      </c>
      <c r="N732" s="7">
        <v>1</v>
      </c>
      <c r="O732" t="s">
        <v>996</v>
      </c>
      <c r="P732" s="3" t="s">
        <v>46</v>
      </c>
      <c r="Q732" s="8">
        <v>0.23910000000000001</v>
      </c>
    </row>
    <row r="733" spans="1:17" hidden="1" x14ac:dyDescent="0.55000000000000004">
      <c r="A733" s="3" t="s">
        <v>987</v>
      </c>
      <c r="B733" s="3" t="s">
        <v>988</v>
      </c>
      <c r="C733" t="s">
        <v>988</v>
      </c>
      <c r="D733" s="3" t="s">
        <v>7329</v>
      </c>
      <c r="E733" t="s">
        <v>999</v>
      </c>
      <c r="F733" s="3" t="s">
        <v>1000</v>
      </c>
      <c r="G733" t="s">
        <v>24</v>
      </c>
      <c r="H733" s="3" t="s">
        <v>997</v>
      </c>
      <c r="I733" t="s">
        <v>48</v>
      </c>
      <c r="J733" s="3" t="s">
        <v>995</v>
      </c>
      <c r="K733" s="4">
        <v>989</v>
      </c>
      <c r="L733" s="5">
        <v>44.96</v>
      </c>
      <c r="M733" s="6">
        <v>0</v>
      </c>
      <c r="N733" s="7">
        <v>1</v>
      </c>
      <c r="O733" t="s">
        <v>998</v>
      </c>
      <c r="P733" s="3" t="s">
        <v>23</v>
      </c>
      <c r="Q733" s="8" t="s">
        <v>23</v>
      </c>
    </row>
    <row r="734" spans="1:17" hidden="1" x14ac:dyDescent="0.55000000000000004">
      <c r="A734" s="3" t="s">
        <v>987</v>
      </c>
      <c r="B734" s="3" t="s">
        <v>988</v>
      </c>
      <c r="C734" t="s">
        <v>988</v>
      </c>
      <c r="D734" s="3" t="s">
        <v>7329</v>
      </c>
      <c r="E734" t="s">
        <v>1001</v>
      </c>
      <c r="F734" s="3" t="s">
        <v>1002</v>
      </c>
      <c r="G734" t="s">
        <v>19</v>
      </c>
      <c r="H734" s="3" t="s">
        <v>1003</v>
      </c>
      <c r="I734" t="s">
        <v>81</v>
      </c>
      <c r="J734" s="3" t="s">
        <v>1004</v>
      </c>
      <c r="K734" s="4">
        <v>939</v>
      </c>
      <c r="L734" s="5">
        <v>204.09</v>
      </c>
      <c r="M734" s="6">
        <v>1</v>
      </c>
      <c r="N734" s="7">
        <v>0</v>
      </c>
      <c r="O734" t="s">
        <v>1005</v>
      </c>
      <c r="P734" s="3" t="s">
        <v>84</v>
      </c>
      <c r="Q734" s="8">
        <v>4.2035999999999997E-2</v>
      </c>
    </row>
    <row r="735" spans="1:17" hidden="1" x14ac:dyDescent="0.55000000000000004">
      <c r="A735" s="3" t="s">
        <v>987</v>
      </c>
      <c r="B735" s="3" t="s">
        <v>988</v>
      </c>
      <c r="C735" t="s">
        <v>988</v>
      </c>
      <c r="D735" s="3" t="s">
        <v>7329</v>
      </c>
      <c r="E735" t="s">
        <v>1001</v>
      </c>
      <c r="F735" s="3" t="s">
        <v>1002</v>
      </c>
      <c r="G735" t="s">
        <v>24</v>
      </c>
      <c r="H735" s="3" t="s">
        <v>994</v>
      </c>
      <c r="I735" t="s">
        <v>43</v>
      </c>
      <c r="J735" s="3" t="s">
        <v>995</v>
      </c>
      <c r="K735" s="4">
        <v>870</v>
      </c>
      <c r="L735" s="5">
        <v>39.53</v>
      </c>
      <c r="M735" s="6">
        <v>1</v>
      </c>
      <c r="N735" s="7">
        <v>0</v>
      </c>
      <c r="O735" t="s">
        <v>996</v>
      </c>
      <c r="P735" s="3" t="s">
        <v>46</v>
      </c>
      <c r="Q735" s="8">
        <v>0.23910000000000001</v>
      </c>
    </row>
    <row r="736" spans="1:17" hidden="1" x14ac:dyDescent="0.55000000000000004">
      <c r="A736" s="3" t="s">
        <v>987</v>
      </c>
      <c r="B736" s="3" t="s">
        <v>988</v>
      </c>
      <c r="C736" t="s">
        <v>988</v>
      </c>
      <c r="D736" s="3" t="s">
        <v>7329</v>
      </c>
      <c r="E736" t="s">
        <v>1001</v>
      </c>
      <c r="F736" s="3" t="s">
        <v>1002</v>
      </c>
      <c r="G736" t="s">
        <v>24</v>
      </c>
      <c r="H736" s="3" t="s">
        <v>997</v>
      </c>
      <c r="I736" t="s">
        <v>48</v>
      </c>
      <c r="J736" s="3" t="s">
        <v>995</v>
      </c>
      <c r="K736" s="4">
        <v>989</v>
      </c>
      <c r="L736" s="5">
        <v>44.96</v>
      </c>
      <c r="M736" s="6">
        <v>0</v>
      </c>
      <c r="N736" s="7">
        <v>0</v>
      </c>
      <c r="O736" t="s">
        <v>998</v>
      </c>
      <c r="P736" s="3" t="s">
        <v>23</v>
      </c>
      <c r="Q736" s="8" t="s">
        <v>23</v>
      </c>
    </row>
    <row r="737" spans="1:17" hidden="1" x14ac:dyDescent="0.55000000000000004">
      <c r="A737" s="3" t="s">
        <v>987</v>
      </c>
      <c r="B737" s="3" t="s">
        <v>1006</v>
      </c>
      <c r="C737" t="s">
        <v>1006</v>
      </c>
      <c r="D737" s="3" t="s">
        <v>7329</v>
      </c>
      <c r="E737" t="s">
        <v>1007</v>
      </c>
      <c r="F737" s="3" t="s">
        <v>1008</v>
      </c>
      <c r="G737" t="s">
        <v>19</v>
      </c>
      <c r="H737" s="3" t="s">
        <v>1009</v>
      </c>
      <c r="I737" t="s">
        <v>81</v>
      </c>
      <c r="J737" s="3" t="s">
        <v>1010</v>
      </c>
      <c r="K737" s="4">
        <v>899</v>
      </c>
      <c r="L737" s="5">
        <v>195.37</v>
      </c>
      <c r="M737" s="6">
        <v>1</v>
      </c>
      <c r="N737" s="7">
        <v>0</v>
      </c>
      <c r="O737" t="s">
        <v>1011</v>
      </c>
      <c r="P737" s="3" t="s">
        <v>84</v>
      </c>
      <c r="Q737" s="8">
        <v>4.1707000000000001E-2</v>
      </c>
    </row>
    <row r="738" spans="1:17" hidden="1" x14ac:dyDescent="0.55000000000000004">
      <c r="A738" s="3" t="s">
        <v>987</v>
      </c>
      <c r="B738" s="3" t="s">
        <v>1006</v>
      </c>
      <c r="C738" t="s">
        <v>1006</v>
      </c>
      <c r="D738" s="3" t="s">
        <v>7329</v>
      </c>
      <c r="E738" t="s">
        <v>1007</v>
      </c>
      <c r="F738" s="3" t="s">
        <v>1008</v>
      </c>
      <c r="G738" t="s">
        <v>24</v>
      </c>
      <c r="H738" s="3" t="s">
        <v>1012</v>
      </c>
      <c r="I738" t="s">
        <v>43</v>
      </c>
      <c r="J738" s="3" t="s">
        <v>1013</v>
      </c>
      <c r="K738" s="4">
        <v>825</v>
      </c>
      <c r="L738" s="5">
        <v>37.520000000000003</v>
      </c>
      <c r="M738" s="6">
        <v>1</v>
      </c>
      <c r="N738" s="7">
        <v>0</v>
      </c>
      <c r="O738" t="s">
        <v>1014</v>
      </c>
      <c r="P738" s="3" t="s">
        <v>46</v>
      </c>
      <c r="Q738" s="8">
        <v>0.2298</v>
      </c>
    </row>
    <row r="739" spans="1:17" hidden="1" x14ac:dyDescent="0.55000000000000004">
      <c r="A739" s="3" t="s">
        <v>987</v>
      </c>
      <c r="B739" s="3" t="s">
        <v>1006</v>
      </c>
      <c r="C739" t="s">
        <v>1006</v>
      </c>
      <c r="D739" s="3" t="s">
        <v>7329</v>
      </c>
      <c r="E739" t="s">
        <v>1007</v>
      </c>
      <c r="F739" s="3" t="s">
        <v>1008</v>
      </c>
      <c r="G739" t="s">
        <v>24</v>
      </c>
      <c r="H739" s="3" t="s">
        <v>1015</v>
      </c>
      <c r="I739" t="s">
        <v>48</v>
      </c>
      <c r="J739" s="3" t="s">
        <v>1013</v>
      </c>
      <c r="K739" s="4">
        <v>943</v>
      </c>
      <c r="L739" s="5">
        <v>42.84</v>
      </c>
      <c r="M739" s="6">
        <v>0</v>
      </c>
      <c r="N739" s="7">
        <v>0</v>
      </c>
      <c r="O739" t="s">
        <v>1016</v>
      </c>
      <c r="P739" s="3" t="s">
        <v>23</v>
      </c>
      <c r="Q739" s="8" t="s">
        <v>23</v>
      </c>
    </row>
    <row r="740" spans="1:17" hidden="1" x14ac:dyDescent="0.55000000000000004">
      <c r="A740" s="3" t="s">
        <v>987</v>
      </c>
      <c r="B740" s="3" t="s">
        <v>1017</v>
      </c>
      <c r="C740" t="s">
        <v>1017</v>
      </c>
      <c r="D740" s="3" t="s">
        <v>7329</v>
      </c>
      <c r="E740" t="s">
        <v>1018</v>
      </c>
      <c r="F740" s="3" t="s">
        <v>1019</v>
      </c>
      <c r="G740" t="s">
        <v>19</v>
      </c>
      <c r="H740" s="3" t="s">
        <v>1020</v>
      </c>
      <c r="I740" t="s">
        <v>81</v>
      </c>
      <c r="J740" s="3" t="s">
        <v>1021</v>
      </c>
      <c r="K740" s="4">
        <v>809</v>
      </c>
      <c r="L740" s="5">
        <v>175.91</v>
      </c>
      <c r="M740" s="6">
        <v>1</v>
      </c>
      <c r="N740" s="7">
        <v>1</v>
      </c>
      <c r="O740" t="s">
        <v>1022</v>
      </c>
      <c r="P740" s="3" t="s">
        <v>84</v>
      </c>
      <c r="Q740" s="8">
        <v>3.9913999999999998E-2</v>
      </c>
    </row>
    <row r="741" spans="1:17" hidden="1" x14ac:dyDescent="0.55000000000000004">
      <c r="A741" s="3" t="s">
        <v>987</v>
      </c>
      <c r="B741" s="3" t="s">
        <v>1017</v>
      </c>
      <c r="C741" t="s">
        <v>1017</v>
      </c>
      <c r="D741" s="3" t="s">
        <v>7329</v>
      </c>
      <c r="E741" t="s">
        <v>1018</v>
      </c>
      <c r="F741" s="3" t="s">
        <v>1019</v>
      </c>
      <c r="G741" t="s">
        <v>19</v>
      </c>
      <c r="H741" s="3" t="s">
        <v>1023</v>
      </c>
      <c r="I741" t="s">
        <v>86</v>
      </c>
      <c r="J741" s="3" t="s">
        <v>1024</v>
      </c>
      <c r="K741" s="4">
        <v>551</v>
      </c>
      <c r="L741" s="5">
        <v>119.76</v>
      </c>
      <c r="M741" s="6">
        <v>0</v>
      </c>
      <c r="N741" s="7">
        <v>1</v>
      </c>
      <c r="O741" t="s">
        <v>1025</v>
      </c>
      <c r="P741" s="3" t="s">
        <v>89</v>
      </c>
      <c r="Q741" s="8">
        <v>3.2710000000000003E-2</v>
      </c>
    </row>
    <row r="742" spans="1:17" hidden="1" x14ac:dyDescent="0.55000000000000004">
      <c r="A742" s="3" t="s">
        <v>987</v>
      </c>
      <c r="B742" s="3" t="s">
        <v>1017</v>
      </c>
      <c r="C742" t="s">
        <v>1017</v>
      </c>
      <c r="D742" s="3" t="s">
        <v>7329</v>
      </c>
      <c r="E742" t="s">
        <v>1018</v>
      </c>
      <c r="F742" s="3" t="s">
        <v>1019</v>
      </c>
      <c r="G742" t="s">
        <v>24</v>
      </c>
      <c r="H742" s="3" t="s">
        <v>1026</v>
      </c>
      <c r="I742" t="s">
        <v>43</v>
      </c>
      <c r="J742" s="3" t="s">
        <v>1027</v>
      </c>
      <c r="K742" s="4">
        <v>706</v>
      </c>
      <c r="L742" s="5">
        <v>32.11</v>
      </c>
      <c r="M742" s="6">
        <v>1</v>
      </c>
      <c r="N742" s="7">
        <v>1</v>
      </c>
      <c r="O742" t="s">
        <v>1028</v>
      </c>
      <c r="P742" s="3" t="s">
        <v>46</v>
      </c>
      <c r="Q742" s="8">
        <v>0.22689999999999999</v>
      </c>
    </row>
    <row r="743" spans="1:17" hidden="1" x14ac:dyDescent="0.55000000000000004">
      <c r="A743" s="3" t="s">
        <v>987</v>
      </c>
      <c r="B743" s="3" t="s">
        <v>1017</v>
      </c>
      <c r="C743" t="s">
        <v>1017</v>
      </c>
      <c r="D743" s="3" t="s">
        <v>7329</v>
      </c>
      <c r="E743" t="s">
        <v>1018</v>
      </c>
      <c r="F743" s="3" t="s">
        <v>1019</v>
      </c>
      <c r="G743" t="s">
        <v>24</v>
      </c>
      <c r="H743" s="3" t="s">
        <v>1029</v>
      </c>
      <c r="I743" t="s">
        <v>48</v>
      </c>
      <c r="J743" s="3" t="s">
        <v>1027</v>
      </c>
      <c r="K743" s="4">
        <v>795</v>
      </c>
      <c r="L743" s="5">
        <v>36.130000000000003</v>
      </c>
      <c r="M743" s="6">
        <v>0</v>
      </c>
      <c r="N743" s="7">
        <v>1</v>
      </c>
      <c r="O743" t="s">
        <v>1030</v>
      </c>
      <c r="P743" s="3" t="s">
        <v>23</v>
      </c>
      <c r="Q743" s="8" t="s">
        <v>23</v>
      </c>
    </row>
    <row r="744" spans="1:17" hidden="1" x14ac:dyDescent="0.55000000000000004">
      <c r="A744" s="3" t="s">
        <v>987</v>
      </c>
      <c r="B744" s="3" t="s">
        <v>1017</v>
      </c>
      <c r="C744" t="s">
        <v>1017</v>
      </c>
      <c r="D744" s="3" t="s">
        <v>7329</v>
      </c>
      <c r="E744" t="s">
        <v>1031</v>
      </c>
      <c r="F744" s="3" t="s">
        <v>1032</v>
      </c>
      <c r="G744" t="s">
        <v>19</v>
      </c>
      <c r="H744" s="3" t="s">
        <v>1020</v>
      </c>
      <c r="I744" t="s">
        <v>81</v>
      </c>
      <c r="J744" s="3" t="s">
        <v>1021</v>
      </c>
      <c r="K744" s="4">
        <v>809</v>
      </c>
      <c r="L744" s="5">
        <v>175.91</v>
      </c>
      <c r="M744" s="6">
        <v>1</v>
      </c>
      <c r="N744" s="7">
        <v>0</v>
      </c>
      <c r="O744" t="s">
        <v>1022</v>
      </c>
      <c r="P744" s="3" t="s">
        <v>84</v>
      </c>
      <c r="Q744" s="8">
        <v>3.9913999999999998E-2</v>
      </c>
    </row>
    <row r="745" spans="1:17" hidden="1" x14ac:dyDescent="0.55000000000000004">
      <c r="A745" s="3" t="s">
        <v>987</v>
      </c>
      <c r="B745" s="3" t="s">
        <v>1017</v>
      </c>
      <c r="C745" t="s">
        <v>1017</v>
      </c>
      <c r="D745" s="3" t="s">
        <v>7329</v>
      </c>
      <c r="E745" t="s">
        <v>1031</v>
      </c>
      <c r="F745" s="3" t="s">
        <v>1032</v>
      </c>
      <c r="G745" t="s">
        <v>19</v>
      </c>
      <c r="H745" s="3" t="s">
        <v>1023</v>
      </c>
      <c r="I745" t="s">
        <v>86</v>
      </c>
      <c r="J745" s="3" t="s">
        <v>1024</v>
      </c>
      <c r="K745" s="4">
        <v>551</v>
      </c>
      <c r="L745" s="5">
        <v>119.76</v>
      </c>
      <c r="M745" s="6">
        <v>0</v>
      </c>
      <c r="N745" s="7">
        <v>0</v>
      </c>
      <c r="O745" t="s">
        <v>1025</v>
      </c>
      <c r="P745" s="3" t="s">
        <v>89</v>
      </c>
      <c r="Q745" s="8">
        <v>3.2710000000000003E-2</v>
      </c>
    </row>
    <row r="746" spans="1:17" hidden="1" x14ac:dyDescent="0.55000000000000004">
      <c r="A746" s="3" t="s">
        <v>987</v>
      </c>
      <c r="B746" s="3" t="s">
        <v>1017</v>
      </c>
      <c r="C746" t="s">
        <v>1017</v>
      </c>
      <c r="D746" s="3" t="s">
        <v>7329</v>
      </c>
      <c r="E746" t="s">
        <v>1031</v>
      </c>
      <c r="F746" s="3" t="s">
        <v>1032</v>
      </c>
      <c r="G746" t="s">
        <v>24</v>
      </c>
      <c r="H746" s="3" t="s">
        <v>1026</v>
      </c>
      <c r="I746" t="s">
        <v>43</v>
      </c>
      <c r="J746" s="3" t="s">
        <v>1027</v>
      </c>
      <c r="K746" s="4">
        <v>706</v>
      </c>
      <c r="L746" s="5">
        <v>32.11</v>
      </c>
      <c r="M746" s="6">
        <v>1</v>
      </c>
      <c r="N746" s="7">
        <v>0</v>
      </c>
      <c r="O746" t="s">
        <v>1028</v>
      </c>
      <c r="P746" s="3" t="s">
        <v>46</v>
      </c>
      <c r="Q746" s="8">
        <v>0.22689999999999999</v>
      </c>
    </row>
    <row r="747" spans="1:17" hidden="1" x14ac:dyDescent="0.55000000000000004">
      <c r="A747" s="3" t="s">
        <v>987</v>
      </c>
      <c r="B747" s="3" t="s">
        <v>1017</v>
      </c>
      <c r="C747" t="s">
        <v>1017</v>
      </c>
      <c r="D747" s="3" t="s">
        <v>7329</v>
      </c>
      <c r="E747" t="s">
        <v>1031</v>
      </c>
      <c r="F747" s="3" t="s">
        <v>1032</v>
      </c>
      <c r="G747" t="s">
        <v>24</v>
      </c>
      <c r="H747" s="3" t="s">
        <v>1029</v>
      </c>
      <c r="I747" t="s">
        <v>48</v>
      </c>
      <c r="J747" s="3" t="s">
        <v>1027</v>
      </c>
      <c r="K747" s="4">
        <v>795</v>
      </c>
      <c r="L747" s="5">
        <v>36.130000000000003</v>
      </c>
      <c r="M747" s="6">
        <v>0</v>
      </c>
      <c r="N747" s="7">
        <v>0</v>
      </c>
      <c r="O747" t="s">
        <v>1030</v>
      </c>
      <c r="P747" s="3" t="s">
        <v>23</v>
      </c>
      <c r="Q747" s="8" t="s">
        <v>23</v>
      </c>
    </row>
    <row r="748" spans="1:17" hidden="1" x14ac:dyDescent="0.55000000000000004">
      <c r="A748" s="3" t="s">
        <v>987</v>
      </c>
      <c r="B748" s="3" t="s">
        <v>1033</v>
      </c>
      <c r="C748" t="s">
        <v>1033</v>
      </c>
      <c r="D748" s="3" t="s">
        <v>7329</v>
      </c>
      <c r="E748" t="s">
        <v>1034</v>
      </c>
      <c r="F748" s="3" t="s">
        <v>1035</v>
      </c>
      <c r="G748" t="s">
        <v>19</v>
      </c>
      <c r="H748" s="3" t="s">
        <v>1036</v>
      </c>
      <c r="I748" t="s">
        <v>81</v>
      </c>
      <c r="J748" s="3" t="s">
        <v>1037</v>
      </c>
      <c r="K748" s="4">
        <v>988</v>
      </c>
      <c r="L748" s="5">
        <v>214.8</v>
      </c>
      <c r="M748" s="6">
        <v>1</v>
      </c>
      <c r="N748" s="7">
        <v>0</v>
      </c>
      <c r="O748" t="s">
        <v>1038</v>
      </c>
      <c r="P748" s="3" t="s">
        <v>84</v>
      </c>
      <c r="Q748" s="8">
        <v>4.2923999999999997E-2</v>
      </c>
    </row>
    <row r="749" spans="1:17" hidden="1" x14ac:dyDescent="0.55000000000000004">
      <c r="A749" s="3" t="s">
        <v>987</v>
      </c>
      <c r="B749" s="3" t="s">
        <v>1033</v>
      </c>
      <c r="C749" t="s">
        <v>1033</v>
      </c>
      <c r="D749" s="3" t="s">
        <v>7329</v>
      </c>
      <c r="E749" t="s">
        <v>1034</v>
      </c>
      <c r="F749" s="3" t="s">
        <v>1035</v>
      </c>
      <c r="G749" t="s">
        <v>24</v>
      </c>
      <c r="H749" s="3" t="s">
        <v>1039</v>
      </c>
      <c r="I749" t="s">
        <v>37</v>
      </c>
      <c r="J749" s="3" t="s">
        <v>1040</v>
      </c>
      <c r="K749" s="4">
        <v>1057</v>
      </c>
      <c r="L749" s="5">
        <v>48.03</v>
      </c>
      <c r="M749" s="6">
        <v>1</v>
      </c>
      <c r="N749" s="7">
        <v>0</v>
      </c>
      <c r="O749" t="s">
        <v>1041</v>
      </c>
      <c r="P749" s="3" t="s">
        <v>40</v>
      </c>
      <c r="Q749" s="8">
        <v>0.25809700000000002</v>
      </c>
    </row>
    <row r="750" spans="1:17" hidden="1" x14ac:dyDescent="0.55000000000000004">
      <c r="A750" s="3" t="s">
        <v>987</v>
      </c>
      <c r="B750" s="3" t="s">
        <v>1033</v>
      </c>
      <c r="C750" t="s">
        <v>1033</v>
      </c>
      <c r="D750" s="3" t="s">
        <v>7329</v>
      </c>
      <c r="E750" t="s">
        <v>1042</v>
      </c>
      <c r="F750" s="3" t="s">
        <v>1043</v>
      </c>
      <c r="G750" t="s">
        <v>19</v>
      </c>
      <c r="H750" s="3" t="s">
        <v>1036</v>
      </c>
      <c r="I750" t="s">
        <v>81</v>
      </c>
      <c r="J750" s="3" t="s">
        <v>1037</v>
      </c>
      <c r="K750" s="4">
        <v>988</v>
      </c>
      <c r="L750" s="5">
        <v>214.8</v>
      </c>
      <c r="M750" s="6">
        <v>1</v>
      </c>
      <c r="N750" s="7">
        <v>1</v>
      </c>
      <c r="O750" t="s">
        <v>1038</v>
      </c>
      <c r="P750" s="3" t="s">
        <v>84</v>
      </c>
      <c r="Q750" s="8">
        <v>4.2923999999999997E-2</v>
      </c>
    </row>
    <row r="751" spans="1:17" hidden="1" x14ac:dyDescent="0.55000000000000004">
      <c r="A751" s="3" t="s">
        <v>987</v>
      </c>
      <c r="B751" s="3" t="s">
        <v>1033</v>
      </c>
      <c r="C751" t="s">
        <v>1033</v>
      </c>
      <c r="D751" s="3" t="s">
        <v>7329</v>
      </c>
      <c r="E751" t="s">
        <v>1042</v>
      </c>
      <c r="F751" s="3" t="s">
        <v>1043</v>
      </c>
      <c r="G751" t="s">
        <v>24</v>
      </c>
      <c r="H751" s="3" t="s">
        <v>1039</v>
      </c>
      <c r="I751" t="s">
        <v>37</v>
      </c>
      <c r="J751" s="3" t="s">
        <v>1040</v>
      </c>
      <c r="K751" s="4">
        <v>1057</v>
      </c>
      <c r="L751" s="5">
        <v>48.03</v>
      </c>
      <c r="M751" s="6">
        <v>1</v>
      </c>
      <c r="N751" s="7">
        <v>1</v>
      </c>
      <c r="O751" t="s">
        <v>1041</v>
      </c>
      <c r="P751" s="3" t="s">
        <v>40</v>
      </c>
      <c r="Q751" s="8">
        <v>0.25809700000000002</v>
      </c>
    </row>
    <row r="752" spans="1:17" hidden="1" x14ac:dyDescent="0.55000000000000004">
      <c r="A752" s="3" t="s">
        <v>987</v>
      </c>
      <c r="B752" s="3" t="s">
        <v>1044</v>
      </c>
      <c r="C752" t="s">
        <v>1045</v>
      </c>
      <c r="D752" s="3" t="s">
        <v>7329</v>
      </c>
      <c r="E752" t="s">
        <v>1046</v>
      </c>
      <c r="F752" s="3" t="s">
        <v>1047</v>
      </c>
      <c r="G752" t="s">
        <v>19</v>
      </c>
      <c r="H752" s="3" t="s">
        <v>1048</v>
      </c>
      <c r="I752" t="s">
        <v>86</v>
      </c>
      <c r="J752" s="3" t="s">
        <v>1049</v>
      </c>
      <c r="K752" s="4">
        <v>444</v>
      </c>
      <c r="L752" s="5">
        <v>96.52</v>
      </c>
      <c r="M752" s="6">
        <v>1</v>
      </c>
      <c r="N752" s="7">
        <v>1</v>
      </c>
      <c r="O752" t="s">
        <v>1050</v>
      </c>
      <c r="P752" s="3" t="s">
        <v>89</v>
      </c>
      <c r="Q752" s="8">
        <v>3.3750000000000002E-2</v>
      </c>
    </row>
    <row r="753" spans="1:17" hidden="1" x14ac:dyDescent="0.55000000000000004">
      <c r="A753" s="3" t="s">
        <v>987</v>
      </c>
      <c r="B753" s="3" t="s">
        <v>1044</v>
      </c>
      <c r="C753" t="s">
        <v>1045</v>
      </c>
      <c r="D753" s="3" t="s">
        <v>7329</v>
      </c>
      <c r="E753" t="s">
        <v>1046</v>
      </c>
      <c r="F753" s="3" t="s">
        <v>1047</v>
      </c>
      <c r="G753" t="s">
        <v>24</v>
      </c>
      <c r="H753" s="3" t="s">
        <v>1051</v>
      </c>
      <c r="I753" t="s">
        <v>105</v>
      </c>
      <c r="J753" s="3" t="s">
        <v>1052</v>
      </c>
      <c r="K753" s="4">
        <v>447</v>
      </c>
      <c r="L753" s="5">
        <v>0</v>
      </c>
      <c r="M753" s="6">
        <v>0</v>
      </c>
      <c r="N753" s="7">
        <v>1</v>
      </c>
      <c r="O753" t="s">
        <v>23</v>
      </c>
      <c r="P753" s="3" t="s">
        <v>23</v>
      </c>
      <c r="Q753" s="8" t="s">
        <v>23</v>
      </c>
    </row>
    <row r="754" spans="1:17" hidden="1" x14ac:dyDescent="0.55000000000000004">
      <c r="A754" s="3" t="s">
        <v>987</v>
      </c>
      <c r="B754" s="3" t="s">
        <v>1044</v>
      </c>
      <c r="C754" t="s">
        <v>1045</v>
      </c>
      <c r="D754" s="3" t="s">
        <v>7329</v>
      </c>
      <c r="E754" t="s">
        <v>1046</v>
      </c>
      <c r="F754" s="3" t="s">
        <v>1047</v>
      </c>
      <c r="G754" t="s">
        <v>24</v>
      </c>
      <c r="H754" s="3" t="s">
        <v>1053</v>
      </c>
      <c r="I754" t="s">
        <v>37</v>
      </c>
      <c r="J754" s="3" t="s">
        <v>1052</v>
      </c>
      <c r="K754" s="4">
        <v>610</v>
      </c>
      <c r="L754" s="5">
        <v>0</v>
      </c>
      <c r="M754" s="6">
        <v>0</v>
      </c>
      <c r="N754" s="7">
        <v>1</v>
      </c>
      <c r="O754" t="s">
        <v>23</v>
      </c>
      <c r="P754" s="3" t="s">
        <v>23</v>
      </c>
      <c r="Q754" s="8" t="s">
        <v>23</v>
      </c>
    </row>
    <row r="755" spans="1:17" hidden="1" x14ac:dyDescent="0.55000000000000004">
      <c r="A755" s="3" t="s">
        <v>987</v>
      </c>
      <c r="B755" s="3" t="s">
        <v>1044</v>
      </c>
      <c r="C755" t="s">
        <v>1045</v>
      </c>
      <c r="D755" s="3" t="s">
        <v>7329</v>
      </c>
      <c r="E755" t="s">
        <v>1046</v>
      </c>
      <c r="F755" s="3" t="s">
        <v>1047</v>
      </c>
      <c r="G755" t="s">
        <v>24</v>
      </c>
      <c r="H755" s="3" t="s">
        <v>1054</v>
      </c>
      <c r="I755" t="s">
        <v>43</v>
      </c>
      <c r="J755" s="3" t="s">
        <v>1055</v>
      </c>
      <c r="K755" s="4">
        <v>661</v>
      </c>
      <c r="L755" s="5">
        <v>30.04</v>
      </c>
      <c r="M755" s="6">
        <v>1</v>
      </c>
      <c r="N755" s="7">
        <v>1</v>
      </c>
      <c r="O755" t="s">
        <v>1056</v>
      </c>
      <c r="P755" s="3" t="s">
        <v>46</v>
      </c>
      <c r="Q755" s="8">
        <v>0.22689999999999999</v>
      </c>
    </row>
    <row r="756" spans="1:17" hidden="1" x14ac:dyDescent="0.55000000000000004">
      <c r="A756" s="3" t="s">
        <v>987</v>
      </c>
      <c r="B756" s="3" t="s">
        <v>1044</v>
      </c>
      <c r="C756" t="s">
        <v>1045</v>
      </c>
      <c r="D756" s="3" t="s">
        <v>7329</v>
      </c>
      <c r="E756" t="s">
        <v>1046</v>
      </c>
      <c r="F756" s="3" t="s">
        <v>1047</v>
      </c>
      <c r="G756" t="s">
        <v>24</v>
      </c>
      <c r="H756" s="3" t="s">
        <v>1057</v>
      </c>
      <c r="I756" t="s">
        <v>48</v>
      </c>
      <c r="J756" s="3" t="s">
        <v>1055</v>
      </c>
      <c r="K756" s="4">
        <v>781</v>
      </c>
      <c r="L756" s="5">
        <v>35.49</v>
      </c>
      <c r="M756" s="6">
        <v>0</v>
      </c>
      <c r="N756" s="7">
        <v>1</v>
      </c>
      <c r="O756" t="s">
        <v>1058</v>
      </c>
      <c r="P756" s="3" t="s">
        <v>23</v>
      </c>
      <c r="Q756" s="8" t="s">
        <v>23</v>
      </c>
    </row>
    <row r="757" spans="1:17" hidden="1" x14ac:dyDescent="0.55000000000000004">
      <c r="A757" s="3" t="s">
        <v>987</v>
      </c>
      <c r="B757" s="3" t="s">
        <v>1044</v>
      </c>
      <c r="C757" t="s">
        <v>1045</v>
      </c>
      <c r="D757" s="3" t="s">
        <v>7329</v>
      </c>
      <c r="E757" t="s">
        <v>1046</v>
      </c>
      <c r="F757" s="3" t="s">
        <v>1047</v>
      </c>
      <c r="G757" t="s">
        <v>24</v>
      </c>
      <c r="H757" s="3" t="s">
        <v>1059</v>
      </c>
      <c r="I757" t="s">
        <v>48</v>
      </c>
      <c r="J757" s="3" t="s">
        <v>1060</v>
      </c>
      <c r="K757" s="4">
        <v>602</v>
      </c>
      <c r="L757" s="5">
        <v>0</v>
      </c>
      <c r="M757" s="6">
        <v>0</v>
      </c>
      <c r="N757" s="7">
        <v>1</v>
      </c>
      <c r="O757" t="s">
        <v>23</v>
      </c>
      <c r="P757" s="3" t="s">
        <v>23</v>
      </c>
      <c r="Q757" s="8" t="s">
        <v>23</v>
      </c>
    </row>
    <row r="758" spans="1:17" hidden="1" x14ac:dyDescent="0.55000000000000004">
      <c r="A758" s="3" t="s">
        <v>987</v>
      </c>
      <c r="B758" s="3" t="s">
        <v>1044</v>
      </c>
      <c r="C758" t="s">
        <v>1045</v>
      </c>
      <c r="D758" s="3" t="s">
        <v>7329</v>
      </c>
      <c r="E758" t="s">
        <v>1046</v>
      </c>
      <c r="F758" s="3" t="s">
        <v>1047</v>
      </c>
      <c r="G758" t="s">
        <v>24</v>
      </c>
      <c r="H758" s="3" t="s">
        <v>1061</v>
      </c>
      <c r="I758" t="s">
        <v>114</v>
      </c>
      <c r="J758" s="3" t="s">
        <v>1060</v>
      </c>
      <c r="K758" s="4">
        <v>516</v>
      </c>
      <c r="L758" s="5">
        <v>0</v>
      </c>
      <c r="M758" s="6">
        <v>0</v>
      </c>
      <c r="N758" s="7">
        <v>1</v>
      </c>
      <c r="O758" t="s">
        <v>23</v>
      </c>
      <c r="P758" s="3" t="s">
        <v>23</v>
      </c>
      <c r="Q758" s="8" t="s">
        <v>23</v>
      </c>
    </row>
    <row r="759" spans="1:17" hidden="1" x14ac:dyDescent="0.55000000000000004">
      <c r="A759" s="3" t="s">
        <v>987</v>
      </c>
      <c r="B759" s="3" t="s">
        <v>1062</v>
      </c>
      <c r="C759" t="s">
        <v>1045</v>
      </c>
      <c r="D759" s="3" t="s">
        <v>7329</v>
      </c>
      <c r="E759" t="s">
        <v>1063</v>
      </c>
      <c r="F759" s="3" t="s">
        <v>1064</v>
      </c>
      <c r="G759" t="s">
        <v>19</v>
      </c>
      <c r="H759" s="3" t="s">
        <v>1065</v>
      </c>
      <c r="I759" t="s">
        <v>81</v>
      </c>
      <c r="J759" s="3" t="s">
        <v>1066</v>
      </c>
      <c r="K759" s="4">
        <v>745</v>
      </c>
      <c r="L759" s="5">
        <v>161.93</v>
      </c>
      <c r="M759" s="6">
        <v>1</v>
      </c>
      <c r="N759" s="7">
        <v>0</v>
      </c>
      <c r="O759" t="s">
        <v>1067</v>
      </c>
      <c r="P759" s="3" t="s">
        <v>84</v>
      </c>
      <c r="Q759" s="8">
        <v>3.8151999999999998E-2</v>
      </c>
    </row>
    <row r="760" spans="1:17" hidden="1" x14ac:dyDescent="0.55000000000000004">
      <c r="A760" s="3" t="s">
        <v>987</v>
      </c>
      <c r="B760" s="3" t="s">
        <v>1062</v>
      </c>
      <c r="C760" t="s">
        <v>1045</v>
      </c>
      <c r="D760" s="3" t="s">
        <v>7329</v>
      </c>
      <c r="E760" t="s">
        <v>1063</v>
      </c>
      <c r="F760" s="3" t="s">
        <v>1064</v>
      </c>
      <c r="G760" t="s">
        <v>19</v>
      </c>
      <c r="H760" s="3" t="s">
        <v>1068</v>
      </c>
      <c r="I760" t="s">
        <v>86</v>
      </c>
      <c r="J760" s="3" t="s">
        <v>1069</v>
      </c>
      <c r="K760" s="4">
        <v>484</v>
      </c>
      <c r="L760" s="5">
        <v>105.26</v>
      </c>
      <c r="M760" s="6">
        <v>0</v>
      </c>
      <c r="N760" s="7">
        <v>0</v>
      </c>
      <c r="O760" t="s">
        <v>1070</v>
      </c>
      <c r="P760" s="3" t="s">
        <v>89</v>
      </c>
      <c r="Q760" s="8">
        <v>3.3973999999999997E-2</v>
      </c>
    </row>
    <row r="761" spans="1:17" hidden="1" x14ac:dyDescent="0.55000000000000004">
      <c r="A761" s="3" t="s">
        <v>987</v>
      </c>
      <c r="B761" s="3" t="s">
        <v>1062</v>
      </c>
      <c r="C761" t="s">
        <v>1045</v>
      </c>
      <c r="D761" s="3" t="s">
        <v>7329</v>
      </c>
      <c r="E761" t="s">
        <v>1063</v>
      </c>
      <c r="F761" s="3" t="s">
        <v>1064</v>
      </c>
      <c r="G761" t="s">
        <v>24</v>
      </c>
      <c r="H761" s="3" t="s">
        <v>1051</v>
      </c>
      <c r="I761" t="s">
        <v>105</v>
      </c>
      <c r="J761" s="3" t="s">
        <v>1052</v>
      </c>
      <c r="K761" s="4">
        <v>447</v>
      </c>
      <c r="L761" s="5">
        <v>0</v>
      </c>
      <c r="M761" s="6">
        <v>0</v>
      </c>
      <c r="N761" s="7">
        <v>0</v>
      </c>
      <c r="O761" t="s">
        <v>23</v>
      </c>
      <c r="P761" s="3" t="s">
        <v>23</v>
      </c>
      <c r="Q761" s="8" t="s">
        <v>23</v>
      </c>
    </row>
    <row r="762" spans="1:17" hidden="1" x14ac:dyDescent="0.55000000000000004">
      <c r="A762" s="3" t="s">
        <v>987</v>
      </c>
      <c r="B762" s="3" t="s">
        <v>1062</v>
      </c>
      <c r="C762" t="s">
        <v>1045</v>
      </c>
      <c r="D762" s="3" t="s">
        <v>7329</v>
      </c>
      <c r="E762" t="s">
        <v>1063</v>
      </c>
      <c r="F762" s="3" t="s">
        <v>1064</v>
      </c>
      <c r="G762" t="s">
        <v>24</v>
      </c>
      <c r="H762" s="3" t="s">
        <v>1053</v>
      </c>
      <c r="I762" t="s">
        <v>37</v>
      </c>
      <c r="J762" s="3" t="s">
        <v>1052</v>
      </c>
      <c r="K762" s="4">
        <v>610</v>
      </c>
      <c r="L762" s="5">
        <v>0</v>
      </c>
      <c r="M762" s="6">
        <v>0</v>
      </c>
      <c r="N762" s="7">
        <v>0</v>
      </c>
      <c r="O762" t="s">
        <v>23</v>
      </c>
      <c r="P762" s="3" t="s">
        <v>23</v>
      </c>
      <c r="Q762" s="8" t="s">
        <v>23</v>
      </c>
    </row>
    <row r="763" spans="1:17" hidden="1" x14ac:dyDescent="0.55000000000000004">
      <c r="A763" s="3" t="s">
        <v>987</v>
      </c>
      <c r="B763" s="3" t="s">
        <v>1062</v>
      </c>
      <c r="C763" t="s">
        <v>1045</v>
      </c>
      <c r="D763" s="3" t="s">
        <v>7329</v>
      </c>
      <c r="E763" t="s">
        <v>1063</v>
      </c>
      <c r="F763" s="3" t="s">
        <v>1064</v>
      </c>
      <c r="G763" t="s">
        <v>24</v>
      </c>
      <c r="H763" s="3" t="s">
        <v>1071</v>
      </c>
      <c r="I763" t="s">
        <v>43</v>
      </c>
      <c r="J763" s="3" t="s">
        <v>1072</v>
      </c>
      <c r="K763" s="4">
        <v>676</v>
      </c>
      <c r="L763" s="5">
        <v>30.72</v>
      </c>
      <c r="M763" s="6">
        <v>1</v>
      </c>
      <c r="N763" s="7">
        <v>0</v>
      </c>
      <c r="O763" t="s">
        <v>1073</v>
      </c>
      <c r="P763" s="3" t="s">
        <v>46</v>
      </c>
      <c r="Q763" s="8">
        <v>0.22689999999999999</v>
      </c>
    </row>
    <row r="764" spans="1:17" hidden="1" x14ac:dyDescent="0.55000000000000004">
      <c r="A764" s="3" t="s">
        <v>987</v>
      </c>
      <c r="B764" s="3" t="s">
        <v>1062</v>
      </c>
      <c r="C764" t="s">
        <v>1045</v>
      </c>
      <c r="D764" s="3" t="s">
        <v>7329</v>
      </c>
      <c r="E764" t="s">
        <v>1063</v>
      </c>
      <c r="F764" s="3" t="s">
        <v>1064</v>
      </c>
      <c r="G764" t="s">
        <v>24</v>
      </c>
      <c r="H764" s="3" t="s">
        <v>1074</v>
      </c>
      <c r="I764" t="s">
        <v>48</v>
      </c>
      <c r="J764" s="3" t="s">
        <v>1072</v>
      </c>
      <c r="K764" s="4">
        <v>784</v>
      </c>
      <c r="L764" s="5">
        <v>35.64</v>
      </c>
      <c r="M764" s="6">
        <v>0</v>
      </c>
      <c r="N764" s="7">
        <v>0</v>
      </c>
      <c r="O764" t="s">
        <v>1075</v>
      </c>
      <c r="P764" s="3" t="s">
        <v>23</v>
      </c>
      <c r="Q764" s="8" t="s">
        <v>23</v>
      </c>
    </row>
    <row r="765" spans="1:17" hidden="1" x14ac:dyDescent="0.55000000000000004">
      <c r="A765" s="3" t="s">
        <v>987</v>
      </c>
      <c r="B765" s="3" t="s">
        <v>1062</v>
      </c>
      <c r="C765" t="s">
        <v>1045</v>
      </c>
      <c r="D765" s="3" t="s">
        <v>7329</v>
      </c>
      <c r="E765" t="s">
        <v>1063</v>
      </c>
      <c r="F765" s="3" t="s">
        <v>1064</v>
      </c>
      <c r="G765" t="s">
        <v>24</v>
      </c>
      <c r="H765" s="3" t="s">
        <v>1059</v>
      </c>
      <c r="I765" t="s">
        <v>48</v>
      </c>
      <c r="J765" s="3" t="s">
        <v>1060</v>
      </c>
      <c r="K765" s="4">
        <v>602</v>
      </c>
      <c r="L765" s="5">
        <v>0</v>
      </c>
      <c r="M765" s="6">
        <v>0</v>
      </c>
      <c r="N765" s="7">
        <v>0</v>
      </c>
      <c r="O765" t="s">
        <v>23</v>
      </c>
      <c r="P765" s="3" t="s">
        <v>23</v>
      </c>
      <c r="Q765" s="8" t="s">
        <v>23</v>
      </c>
    </row>
    <row r="766" spans="1:17" hidden="1" x14ac:dyDescent="0.55000000000000004">
      <c r="A766" s="3" t="s">
        <v>987</v>
      </c>
      <c r="B766" s="3" t="s">
        <v>1062</v>
      </c>
      <c r="C766" t="s">
        <v>1045</v>
      </c>
      <c r="D766" s="3" t="s">
        <v>7329</v>
      </c>
      <c r="E766" t="s">
        <v>1063</v>
      </c>
      <c r="F766" s="3" t="s">
        <v>1064</v>
      </c>
      <c r="G766" t="s">
        <v>24</v>
      </c>
      <c r="H766" s="3" t="s">
        <v>1061</v>
      </c>
      <c r="I766" t="s">
        <v>114</v>
      </c>
      <c r="J766" s="3" t="s">
        <v>1060</v>
      </c>
      <c r="K766" s="4">
        <v>516</v>
      </c>
      <c r="L766" s="5">
        <v>0</v>
      </c>
      <c r="M766" s="6">
        <v>0</v>
      </c>
      <c r="N766" s="7">
        <v>0</v>
      </c>
      <c r="O766" t="s">
        <v>23</v>
      </c>
      <c r="P766" s="3" t="s">
        <v>23</v>
      </c>
      <c r="Q766" s="8" t="s">
        <v>23</v>
      </c>
    </row>
    <row r="767" spans="1:17" hidden="1" x14ac:dyDescent="0.55000000000000004">
      <c r="A767" s="3" t="s">
        <v>987</v>
      </c>
      <c r="B767" s="3" t="s">
        <v>1062</v>
      </c>
      <c r="C767" t="s">
        <v>1045</v>
      </c>
      <c r="D767" s="3" t="s">
        <v>7329</v>
      </c>
      <c r="E767" t="s">
        <v>1076</v>
      </c>
      <c r="F767" s="3" t="s">
        <v>1077</v>
      </c>
      <c r="G767" t="s">
        <v>19</v>
      </c>
      <c r="H767" s="3" t="s">
        <v>1065</v>
      </c>
      <c r="I767" t="s">
        <v>81</v>
      </c>
      <c r="J767" s="3" t="s">
        <v>1066</v>
      </c>
      <c r="K767" s="4">
        <v>745</v>
      </c>
      <c r="L767" s="5">
        <v>161.93</v>
      </c>
      <c r="M767" s="6">
        <v>1</v>
      </c>
      <c r="N767" s="7">
        <v>1</v>
      </c>
      <c r="O767" t="s">
        <v>1067</v>
      </c>
      <c r="P767" s="3" t="s">
        <v>84</v>
      </c>
      <c r="Q767" s="8">
        <v>3.8151999999999998E-2</v>
      </c>
    </row>
    <row r="768" spans="1:17" hidden="1" x14ac:dyDescent="0.55000000000000004">
      <c r="A768" s="3" t="s">
        <v>987</v>
      </c>
      <c r="B768" s="3" t="s">
        <v>1062</v>
      </c>
      <c r="C768" t="s">
        <v>1045</v>
      </c>
      <c r="D768" s="3" t="s">
        <v>7329</v>
      </c>
      <c r="E768" t="s">
        <v>1076</v>
      </c>
      <c r="F768" s="3" t="s">
        <v>1077</v>
      </c>
      <c r="G768" t="s">
        <v>24</v>
      </c>
      <c r="H768" s="3" t="s">
        <v>1051</v>
      </c>
      <c r="I768" t="s">
        <v>105</v>
      </c>
      <c r="J768" s="3" t="s">
        <v>1052</v>
      </c>
      <c r="K768" s="4">
        <v>447</v>
      </c>
      <c r="L768" s="5">
        <v>0</v>
      </c>
      <c r="M768" s="6">
        <v>0</v>
      </c>
      <c r="N768" s="7">
        <v>1</v>
      </c>
      <c r="O768" t="s">
        <v>23</v>
      </c>
      <c r="P768" s="3" t="s">
        <v>23</v>
      </c>
      <c r="Q768" s="8" t="s">
        <v>23</v>
      </c>
    </row>
    <row r="769" spans="1:17" hidden="1" x14ac:dyDescent="0.55000000000000004">
      <c r="A769" s="3" t="s">
        <v>987</v>
      </c>
      <c r="B769" s="3" t="s">
        <v>1062</v>
      </c>
      <c r="C769" t="s">
        <v>1045</v>
      </c>
      <c r="D769" s="3" t="s">
        <v>7329</v>
      </c>
      <c r="E769" t="s">
        <v>1076</v>
      </c>
      <c r="F769" s="3" t="s">
        <v>1077</v>
      </c>
      <c r="G769" t="s">
        <v>24</v>
      </c>
      <c r="H769" s="3" t="s">
        <v>1053</v>
      </c>
      <c r="I769" t="s">
        <v>37</v>
      </c>
      <c r="J769" s="3" t="s">
        <v>1052</v>
      </c>
      <c r="K769" s="4">
        <v>610</v>
      </c>
      <c r="L769" s="5">
        <v>0</v>
      </c>
      <c r="M769" s="6">
        <v>0</v>
      </c>
      <c r="N769" s="7">
        <v>1</v>
      </c>
      <c r="O769" t="s">
        <v>23</v>
      </c>
      <c r="P769" s="3" t="s">
        <v>23</v>
      </c>
      <c r="Q769" s="8" t="s">
        <v>23</v>
      </c>
    </row>
    <row r="770" spans="1:17" hidden="1" x14ac:dyDescent="0.55000000000000004">
      <c r="A770" s="3" t="s">
        <v>987</v>
      </c>
      <c r="B770" s="3" t="s">
        <v>1062</v>
      </c>
      <c r="C770" t="s">
        <v>1045</v>
      </c>
      <c r="D770" s="3" t="s">
        <v>7329</v>
      </c>
      <c r="E770" t="s">
        <v>1076</v>
      </c>
      <c r="F770" s="3" t="s">
        <v>1077</v>
      </c>
      <c r="G770" t="s">
        <v>24</v>
      </c>
      <c r="H770" s="3" t="s">
        <v>1071</v>
      </c>
      <c r="I770" t="s">
        <v>43</v>
      </c>
      <c r="J770" s="3" t="s">
        <v>1072</v>
      </c>
      <c r="K770" s="4">
        <v>676</v>
      </c>
      <c r="L770" s="5">
        <v>30.72</v>
      </c>
      <c r="M770" s="6">
        <v>1</v>
      </c>
      <c r="N770" s="7">
        <v>1</v>
      </c>
      <c r="O770" t="s">
        <v>1073</v>
      </c>
      <c r="P770" s="3" t="s">
        <v>46</v>
      </c>
      <c r="Q770" s="8">
        <v>0.22689999999999999</v>
      </c>
    </row>
    <row r="771" spans="1:17" hidden="1" x14ac:dyDescent="0.55000000000000004">
      <c r="A771" s="3" t="s">
        <v>987</v>
      </c>
      <c r="B771" s="3" t="s">
        <v>1062</v>
      </c>
      <c r="C771" t="s">
        <v>1045</v>
      </c>
      <c r="D771" s="3" t="s">
        <v>7329</v>
      </c>
      <c r="E771" t="s">
        <v>1076</v>
      </c>
      <c r="F771" s="3" t="s">
        <v>1077</v>
      </c>
      <c r="G771" t="s">
        <v>24</v>
      </c>
      <c r="H771" s="3" t="s">
        <v>1074</v>
      </c>
      <c r="I771" t="s">
        <v>48</v>
      </c>
      <c r="J771" s="3" t="s">
        <v>1072</v>
      </c>
      <c r="K771" s="4">
        <v>784</v>
      </c>
      <c r="L771" s="5">
        <v>35.64</v>
      </c>
      <c r="M771" s="6">
        <v>0</v>
      </c>
      <c r="N771" s="7">
        <v>1</v>
      </c>
      <c r="O771" t="s">
        <v>1075</v>
      </c>
      <c r="P771" s="3" t="s">
        <v>23</v>
      </c>
      <c r="Q771" s="8" t="s">
        <v>23</v>
      </c>
    </row>
    <row r="772" spans="1:17" hidden="1" x14ac:dyDescent="0.55000000000000004">
      <c r="A772" s="3" t="s">
        <v>987</v>
      </c>
      <c r="B772" s="3" t="s">
        <v>1062</v>
      </c>
      <c r="C772" t="s">
        <v>1045</v>
      </c>
      <c r="D772" s="3" t="s">
        <v>7329</v>
      </c>
      <c r="E772" t="s">
        <v>1076</v>
      </c>
      <c r="F772" s="3" t="s">
        <v>1077</v>
      </c>
      <c r="G772" t="s">
        <v>24</v>
      </c>
      <c r="H772" s="3" t="s">
        <v>1059</v>
      </c>
      <c r="I772" t="s">
        <v>48</v>
      </c>
      <c r="J772" s="3" t="s">
        <v>1060</v>
      </c>
      <c r="K772" s="4">
        <v>602</v>
      </c>
      <c r="L772" s="5">
        <v>0</v>
      </c>
      <c r="M772" s="6">
        <v>0</v>
      </c>
      <c r="N772" s="7">
        <v>1</v>
      </c>
      <c r="O772" t="s">
        <v>23</v>
      </c>
      <c r="P772" s="3" t="s">
        <v>23</v>
      </c>
      <c r="Q772" s="8" t="s">
        <v>23</v>
      </c>
    </row>
    <row r="773" spans="1:17" hidden="1" x14ac:dyDescent="0.55000000000000004">
      <c r="A773" s="3" t="s">
        <v>987</v>
      </c>
      <c r="B773" s="3" t="s">
        <v>1062</v>
      </c>
      <c r="C773" t="s">
        <v>1045</v>
      </c>
      <c r="D773" s="3" t="s">
        <v>7329</v>
      </c>
      <c r="E773" t="s">
        <v>1076</v>
      </c>
      <c r="F773" s="3" t="s">
        <v>1077</v>
      </c>
      <c r="G773" t="s">
        <v>24</v>
      </c>
      <c r="H773" s="3" t="s">
        <v>1061</v>
      </c>
      <c r="I773" t="s">
        <v>114</v>
      </c>
      <c r="J773" s="3" t="s">
        <v>1060</v>
      </c>
      <c r="K773" s="4">
        <v>516</v>
      </c>
      <c r="L773" s="5">
        <v>0</v>
      </c>
      <c r="M773" s="6">
        <v>0</v>
      </c>
      <c r="N773" s="7">
        <v>1</v>
      </c>
      <c r="O773" t="s">
        <v>23</v>
      </c>
      <c r="P773" s="3" t="s">
        <v>23</v>
      </c>
      <c r="Q773" s="8" t="s">
        <v>23</v>
      </c>
    </row>
    <row r="774" spans="1:17" hidden="1" x14ac:dyDescent="0.55000000000000004">
      <c r="A774" s="3" t="s">
        <v>987</v>
      </c>
      <c r="B774" s="3" t="s">
        <v>1078</v>
      </c>
      <c r="C774" t="s">
        <v>1078</v>
      </c>
      <c r="D774" s="3" t="s">
        <v>7329</v>
      </c>
      <c r="E774" t="s">
        <v>1079</v>
      </c>
      <c r="F774" s="3" t="s">
        <v>1080</v>
      </c>
      <c r="G774" t="s">
        <v>19</v>
      </c>
      <c r="H774" s="3" t="s">
        <v>1081</v>
      </c>
      <c r="I774" t="s">
        <v>86</v>
      </c>
      <c r="J774" s="3" t="s">
        <v>1082</v>
      </c>
      <c r="K774" s="4">
        <v>531</v>
      </c>
      <c r="L774" s="5">
        <v>115.37</v>
      </c>
      <c r="M774" s="6">
        <v>1</v>
      </c>
      <c r="N774" s="7">
        <v>1</v>
      </c>
      <c r="O774" t="s">
        <v>1083</v>
      </c>
      <c r="P774" s="3" t="s">
        <v>89</v>
      </c>
      <c r="Q774" s="8">
        <v>3.5505000000000002E-2</v>
      </c>
    </row>
    <row r="775" spans="1:17" hidden="1" x14ac:dyDescent="0.55000000000000004">
      <c r="A775" s="3" t="s">
        <v>987</v>
      </c>
      <c r="B775" s="3" t="s">
        <v>1078</v>
      </c>
      <c r="C775" t="s">
        <v>1078</v>
      </c>
      <c r="D775" s="3" t="s">
        <v>7329</v>
      </c>
      <c r="E775" t="s">
        <v>1079</v>
      </c>
      <c r="F775" s="3" t="s">
        <v>1080</v>
      </c>
      <c r="G775" t="s">
        <v>24</v>
      </c>
      <c r="H775" s="3" t="s">
        <v>1084</v>
      </c>
      <c r="I775" t="s">
        <v>43</v>
      </c>
      <c r="J775" s="3" t="s">
        <v>1085</v>
      </c>
      <c r="K775" s="4">
        <v>766</v>
      </c>
      <c r="L775" s="5">
        <v>34.83</v>
      </c>
      <c r="M775" s="6">
        <v>1</v>
      </c>
      <c r="N775" s="7">
        <v>1</v>
      </c>
      <c r="O775" t="s">
        <v>1086</v>
      </c>
      <c r="P775" s="3" t="s">
        <v>46</v>
      </c>
      <c r="Q775" s="8">
        <v>0.233067</v>
      </c>
    </row>
    <row r="776" spans="1:17" hidden="1" x14ac:dyDescent="0.55000000000000004">
      <c r="A776" s="3" t="s">
        <v>987</v>
      </c>
      <c r="B776" s="3" t="s">
        <v>1078</v>
      </c>
      <c r="C776" t="s">
        <v>1078</v>
      </c>
      <c r="D776" s="3" t="s">
        <v>7329</v>
      </c>
      <c r="E776" t="s">
        <v>1079</v>
      </c>
      <c r="F776" s="3" t="s">
        <v>1080</v>
      </c>
      <c r="G776" t="s">
        <v>24</v>
      </c>
      <c r="H776" s="3" t="s">
        <v>1087</v>
      </c>
      <c r="I776" t="s">
        <v>48</v>
      </c>
      <c r="J776" s="3" t="s">
        <v>1085</v>
      </c>
      <c r="K776" s="4">
        <v>890</v>
      </c>
      <c r="L776" s="5">
        <v>40.46</v>
      </c>
      <c r="M776" s="6">
        <v>0</v>
      </c>
      <c r="N776" s="7">
        <v>1</v>
      </c>
      <c r="O776" t="s">
        <v>1088</v>
      </c>
      <c r="P776" s="3" t="s">
        <v>23</v>
      </c>
      <c r="Q776" s="8" t="s">
        <v>23</v>
      </c>
    </row>
    <row r="777" spans="1:17" hidden="1" x14ac:dyDescent="0.55000000000000004">
      <c r="A777" s="3" t="s">
        <v>987</v>
      </c>
      <c r="B777" s="3" t="s">
        <v>1078</v>
      </c>
      <c r="C777" t="s">
        <v>1078</v>
      </c>
      <c r="D777" s="3" t="s">
        <v>7329</v>
      </c>
      <c r="E777" t="s">
        <v>1089</v>
      </c>
      <c r="F777" s="3" t="s">
        <v>1090</v>
      </c>
      <c r="G777" t="s">
        <v>19</v>
      </c>
      <c r="H777" s="3" t="s">
        <v>1081</v>
      </c>
      <c r="I777" t="s">
        <v>86</v>
      </c>
      <c r="J777" s="3" t="s">
        <v>1082</v>
      </c>
      <c r="K777" s="4">
        <v>531</v>
      </c>
      <c r="L777" s="5">
        <v>115.37</v>
      </c>
      <c r="M777" s="6">
        <v>1</v>
      </c>
      <c r="N777" s="7">
        <v>0</v>
      </c>
      <c r="O777" t="s">
        <v>1083</v>
      </c>
      <c r="P777" s="3" t="s">
        <v>89</v>
      </c>
      <c r="Q777" s="8">
        <v>3.5505000000000002E-2</v>
      </c>
    </row>
    <row r="778" spans="1:17" hidden="1" x14ac:dyDescent="0.55000000000000004">
      <c r="A778" s="3" t="s">
        <v>987</v>
      </c>
      <c r="B778" s="3" t="s">
        <v>1078</v>
      </c>
      <c r="C778" t="s">
        <v>1078</v>
      </c>
      <c r="D778" s="3" t="s">
        <v>7329</v>
      </c>
      <c r="E778" t="s">
        <v>1089</v>
      </c>
      <c r="F778" s="3" t="s">
        <v>1090</v>
      </c>
      <c r="G778" t="s">
        <v>24</v>
      </c>
      <c r="H778" s="3" t="s">
        <v>1084</v>
      </c>
      <c r="I778" t="s">
        <v>43</v>
      </c>
      <c r="J778" s="3" t="s">
        <v>1085</v>
      </c>
      <c r="K778" s="4">
        <v>766</v>
      </c>
      <c r="L778" s="5">
        <v>34.83</v>
      </c>
      <c r="M778" s="6">
        <v>1</v>
      </c>
      <c r="N778" s="7">
        <v>0</v>
      </c>
      <c r="O778" t="s">
        <v>1086</v>
      </c>
      <c r="P778" s="3" t="s">
        <v>46</v>
      </c>
      <c r="Q778" s="8">
        <v>0.233067</v>
      </c>
    </row>
    <row r="779" spans="1:17" hidden="1" x14ac:dyDescent="0.55000000000000004">
      <c r="A779" s="3" t="s">
        <v>987</v>
      </c>
      <c r="B779" s="3" t="s">
        <v>1078</v>
      </c>
      <c r="C779" t="s">
        <v>1078</v>
      </c>
      <c r="D779" s="3" t="s">
        <v>7329</v>
      </c>
      <c r="E779" t="s">
        <v>1089</v>
      </c>
      <c r="F779" s="3" t="s">
        <v>1090</v>
      </c>
      <c r="G779" t="s">
        <v>24</v>
      </c>
      <c r="H779" s="3" t="s">
        <v>1087</v>
      </c>
      <c r="I779" t="s">
        <v>48</v>
      </c>
      <c r="J779" s="3" t="s">
        <v>1085</v>
      </c>
      <c r="K779" s="4">
        <v>890</v>
      </c>
      <c r="L779" s="5">
        <v>40.46</v>
      </c>
      <c r="M779" s="6">
        <v>0</v>
      </c>
      <c r="N779" s="7">
        <v>0</v>
      </c>
      <c r="O779" t="s">
        <v>1088</v>
      </c>
      <c r="P779" s="3" t="s">
        <v>23</v>
      </c>
      <c r="Q779" s="8" t="s">
        <v>23</v>
      </c>
    </row>
    <row r="780" spans="1:17" hidden="1" x14ac:dyDescent="0.55000000000000004">
      <c r="A780" s="3" t="s">
        <v>987</v>
      </c>
      <c r="B780" s="3" t="s">
        <v>1078</v>
      </c>
      <c r="C780" t="s">
        <v>1078</v>
      </c>
      <c r="D780" s="3" t="s">
        <v>7329</v>
      </c>
      <c r="E780" t="s">
        <v>1091</v>
      </c>
      <c r="F780" s="3" t="s">
        <v>1092</v>
      </c>
      <c r="G780" t="s">
        <v>19</v>
      </c>
      <c r="H780" s="3" t="s">
        <v>1081</v>
      </c>
      <c r="I780" t="s">
        <v>86</v>
      </c>
      <c r="J780" s="3" t="s">
        <v>1082</v>
      </c>
      <c r="K780" s="4">
        <v>531</v>
      </c>
      <c r="L780" s="5">
        <v>115.37</v>
      </c>
      <c r="M780" s="6">
        <v>1</v>
      </c>
      <c r="N780" s="7">
        <v>0</v>
      </c>
      <c r="O780" t="s">
        <v>1083</v>
      </c>
      <c r="P780" s="3" t="s">
        <v>89</v>
      </c>
      <c r="Q780" s="8">
        <v>3.5505000000000002E-2</v>
      </c>
    </row>
    <row r="781" spans="1:17" hidden="1" x14ac:dyDescent="0.55000000000000004">
      <c r="A781" s="3" t="s">
        <v>987</v>
      </c>
      <c r="B781" s="3" t="s">
        <v>1078</v>
      </c>
      <c r="C781" t="s">
        <v>1078</v>
      </c>
      <c r="D781" s="3" t="s">
        <v>7329</v>
      </c>
      <c r="E781" t="s">
        <v>1091</v>
      </c>
      <c r="F781" s="3" t="s">
        <v>1092</v>
      </c>
      <c r="G781" t="s">
        <v>24</v>
      </c>
      <c r="H781" s="3" t="s">
        <v>1084</v>
      </c>
      <c r="I781" t="s">
        <v>43</v>
      </c>
      <c r="J781" s="3" t="s">
        <v>1085</v>
      </c>
      <c r="K781" s="4">
        <v>766</v>
      </c>
      <c r="L781" s="5">
        <v>34.83</v>
      </c>
      <c r="M781" s="6">
        <v>1</v>
      </c>
      <c r="N781" s="7">
        <v>0</v>
      </c>
      <c r="O781" t="s">
        <v>1086</v>
      </c>
      <c r="P781" s="3" t="s">
        <v>46</v>
      </c>
      <c r="Q781" s="8">
        <v>0.233067</v>
      </c>
    </row>
    <row r="782" spans="1:17" hidden="1" x14ac:dyDescent="0.55000000000000004">
      <c r="A782" s="3" t="s">
        <v>987</v>
      </c>
      <c r="B782" s="3" t="s">
        <v>1078</v>
      </c>
      <c r="C782" t="s">
        <v>1078</v>
      </c>
      <c r="D782" s="3" t="s">
        <v>7329</v>
      </c>
      <c r="E782" t="s">
        <v>1091</v>
      </c>
      <c r="F782" s="3" t="s">
        <v>1092</v>
      </c>
      <c r="G782" t="s">
        <v>24</v>
      </c>
      <c r="H782" s="3" t="s">
        <v>1087</v>
      </c>
      <c r="I782" t="s">
        <v>48</v>
      </c>
      <c r="J782" s="3" t="s">
        <v>1085</v>
      </c>
      <c r="K782" s="4">
        <v>890</v>
      </c>
      <c r="L782" s="5">
        <v>40.46</v>
      </c>
      <c r="M782" s="6">
        <v>0</v>
      </c>
      <c r="N782" s="7">
        <v>0</v>
      </c>
      <c r="O782" t="s">
        <v>1088</v>
      </c>
      <c r="P782" s="3" t="s">
        <v>23</v>
      </c>
      <c r="Q782" s="8" t="s">
        <v>23</v>
      </c>
    </row>
    <row r="783" spans="1:17" hidden="1" x14ac:dyDescent="0.55000000000000004">
      <c r="A783" s="3" t="s">
        <v>987</v>
      </c>
      <c r="B783" s="3" t="s">
        <v>1093</v>
      </c>
      <c r="C783" t="s">
        <v>1045</v>
      </c>
      <c r="D783" s="3" t="s">
        <v>7329</v>
      </c>
      <c r="E783" t="s">
        <v>1094</v>
      </c>
      <c r="F783" s="3" t="s">
        <v>1095</v>
      </c>
      <c r="G783" t="s">
        <v>19</v>
      </c>
      <c r="H783" s="3" t="s">
        <v>1096</v>
      </c>
      <c r="I783" t="s">
        <v>81</v>
      </c>
      <c r="J783" s="3" t="s">
        <v>1097</v>
      </c>
      <c r="K783" s="4">
        <v>758</v>
      </c>
      <c r="L783" s="5">
        <v>164.67</v>
      </c>
      <c r="M783" s="6">
        <v>1</v>
      </c>
      <c r="N783" s="7">
        <v>0</v>
      </c>
      <c r="O783" t="s">
        <v>1098</v>
      </c>
      <c r="P783" s="3" t="s">
        <v>84</v>
      </c>
      <c r="Q783" s="8">
        <v>3.8151999999999998E-2</v>
      </c>
    </row>
    <row r="784" spans="1:17" hidden="1" x14ac:dyDescent="0.55000000000000004">
      <c r="A784" s="3" t="s">
        <v>987</v>
      </c>
      <c r="B784" s="3" t="s">
        <v>1093</v>
      </c>
      <c r="C784" t="s">
        <v>1045</v>
      </c>
      <c r="D784" s="3" t="s">
        <v>7329</v>
      </c>
      <c r="E784" t="s">
        <v>1094</v>
      </c>
      <c r="F784" s="3" t="s">
        <v>1095</v>
      </c>
      <c r="G784" t="s">
        <v>24</v>
      </c>
      <c r="H784" s="3" t="s">
        <v>1051</v>
      </c>
      <c r="I784" t="s">
        <v>105</v>
      </c>
      <c r="J784" s="3" t="s">
        <v>1052</v>
      </c>
      <c r="K784" s="4">
        <v>447</v>
      </c>
      <c r="L784" s="5">
        <v>0</v>
      </c>
      <c r="M784" s="6">
        <v>0</v>
      </c>
      <c r="N784" s="7">
        <v>0</v>
      </c>
      <c r="O784" t="s">
        <v>23</v>
      </c>
      <c r="P784" s="3" t="s">
        <v>23</v>
      </c>
      <c r="Q784" s="8" t="s">
        <v>23</v>
      </c>
    </row>
    <row r="785" spans="1:17" hidden="1" x14ac:dyDescent="0.55000000000000004">
      <c r="A785" s="3" t="s">
        <v>987</v>
      </c>
      <c r="B785" s="3" t="s">
        <v>1093</v>
      </c>
      <c r="C785" t="s">
        <v>1045</v>
      </c>
      <c r="D785" s="3" t="s">
        <v>7329</v>
      </c>
      <c r="E785" t="s">
        <v>1094</v>
      </c>
      <c r="F785" s="3" t="s">
        <v>1095</v>
      </c>
      <c r="G785" t="s">
        <v>24</v>
      </c>
      <c r="H785" s="3" t="s">
        <v>1053</v>
      </c>
      <c r="I785" t="s">
        <v>37</v>
      </c>
      <c r="J785" s="3" t="s">
        <v>1052</v>
      </c>
      <c r="K785" s="4">
        <v>610</v>
      </c>
      <c r="L785" s="5">
        <v>0</v>
      </c>
      <c r="M785" s="6">
        <v>0</v>
      </c>
      <c r="N785" s="7">
        <v>0</v>
      </c>
      <c r="O785" t="s">
        <v>23</v>
      </c>
      <c r="P785" s="3" t="s">
        <v>23</v>
      </c>
      <c r="Q785" s="8" t="s">
        <v>23</v>
      </c>
    </row>
    <row r="786" spans="1:17" hidden="1" x14ac:dyDescent="0.55000000000000004">
      <c r="A786" s="3" t="s">
        <v>987</v>
      </c>
      <c r="B786" s="3" t="s">
        <v>1093</v>
      </c>
      <c r="C786" t="s">
        <v>1045</v>
      </c>
      <c r="D786" s="3" t="s">
        <v>7329</v>
      </c>
      <c r="E786" t="s">
        <v>1094</v>
      </c>
      <c r="F786" s="3" t="s">
        <v>1095</v>
      </c>
      <c r="G786" t="s">
        <v>24</v>
      </c>
      <c r="H786" s="3" t="s">
        <v>1099</v>
      </c>
      <c r="I786" t="s">
        <v>43</v>
      </c>
      <c r="J786" s="3" t="s">
        <v>1100</v>
      </c>
      <c r="K786" s="4">
        <v>676</v>
      </c>
      <c r="L786" s="5">
        <v>30.73</v>
      </c>
      <c r="M786" s="6">
        <v>1</v>
      </c>
      <c r="N786" s="7">
        <v>0</v>
      </c>
      <c r="O786" t="s">
        <v>1101</v>
      </c>
      <c r="P786" s="3" t="s">
        <v>46</v>
      </c>
      <c r="Q786" s="8">
        <v>0.22689999999999999</v>
      </c>
    </row>
    <row r="787" spans="1:17" hidden="1" x14ac:dyDescent="0.55000000000000004">
      <c r="A787" s="3" t="s">
        <v>987</v>
      </c>
      <c r="B787" s="3" t="s">
        <v>1093</v>
      </c>
      <c r="C787" t="s">
        <v>1045</v>
      </c>
      <c r="D787" s="3" t="s">
        <v>7329</v>
      </c>
      <c r="E787" t="s">
        <v>1094</v>
      </c>
      <c r="F787" s="3" t="s">
        <v>1095</v>
      </c>
      <c r="G787" t="s">
        <v>24</v>
      </c>
      <c r="H787" s="3" t="s">
        <v>1102</v>
      </c>
      <c r="I787" t="s">
        <v>48</v>
      </c>
      <c r="J787" s="3" t="s">
        <v>1100</v>
      </c>
      <c r="K787" s="4">
        <v>779</v>
      </c>
      <c r="L787" s="5">
        <v>35.43</v>
      </c>
      <c r="M787" s="6">
        <v>0</v>
      </c>
      <c r="N787" s="7">
        <v>0</v>
      </c>
      <c r="O787" t="s">
        <v>1103</v>
      </c>
      <c r="P787" s="3" t="s">
        <v>23</v>
      </c>
      <c r="Q787" s="8" t="s">
        <v>23</v>
      </c>
    </row>
    <row r="788" spans="1:17" hidden="1" x14ac:dyDescent="0.55000000000000004">
      <c r="A788" s="3" t="s">
        <v>987</v>
      </c>
      <c r="B788" s="3" t="s">
        <v>1093</v>
      </c>
      <c r="C788" t="s">
        <v>1045</v>
      </c>
      <c r="D788" s="3" t="s">
        <v>7329</v>
      </c>
      <c r="E788" t="s">
        <v>1094</v>
      </c>
      <c r="F788" s="3" t="s">
        <v>1095</v>
      </c>
      <c r="G788" t="s">
        <v>24</v>
      </c>
      <c r="H788" s="3" t="s">
        <v>1059</v>
      </c>
      <c r="I788" t="s">
        <v>48</v>
      </c>
      <c r="J788" s="3" t="s">
        <v>1060</v>
      </c>
      <c r="K788" s="4">
        <v>602</v>
      </c>
      <c r="L788" s="5">
        <v>0</v>
      </c>
      <c r="M788" s="6">
        <v>0</v>
      </c>
      <c r="N788" s="7">
        <v>0</v>
      </c>
      <c r="O788" t="s">
        <v>23</v>
      </c>
      <c r="P788" s="3" t="s">
        <v>23</v>
      </c>
      <c r="Q788" s="8" t="s">
        <v>23</v>
      </c>
    </row>
    <row r="789" spans="1:17" hidden="1" x14ac:dyDescent="0.55000000000000004">
      <c r="A789" s="3" t="s">
        <v>987</v>
      </c>
      <c r="B789" s="3" t="s">
        <v>1093</v>
      </c>
      <c r="C789" t="s">
        <v>1045</v>
      </c>
      <c r="D789" s="3" t="s">
        <v>7329</v>
      </c>
      <c r="E789" t="s">
        <v>1094</v>
      </c>
      <c r="F789" s="3" t="s">
        <v>1095</v>
      </c>
      <c r="G789" t="s">
        <v>24</v>
      </c>
      <c r="H789" s="3" t="s">
        <v>1061</v>
      </c>
      <c r="I789" t="s">
        <v>114</v>
      </c>
      <c r="J789" s="3" t="s">
        <v>1060</v>
      </c>
      <c r="K789" s="4">
        <v>516</v>
      </c>
      <c r="L789" s="5">
        <v>0</v>
      </c>
      <c r="M789" s="6">
        <v>0</v>
      </c>
      <c r="N789" s="7">
        <v>0</v>
      </c>
      <c r="O789" t="s">
        <v>23</v>
      </c>
      <c r="P789" s="3" t="s">
        <v>23</v>
      </c>
      <c r="Q789" s="8" t="s">
        <v>23</v>
      </c>
    </row>
    <row r="790" spans="1:17" hidden="1" x14ac:dyDescent="0.55000000000000004">
      <c r="A790" s="3" t="s">
        <v>987</v>
      </c>
      <c r="B790" s="3" t="s">
        <v>1093</v>
      </c>
      <c r="C790" t="s">
        <v>1045</v>
      </c>
      <c r="D790" s="3" t="s">
        <v>7329</v>
      </c>
      <c r="E790" t="s">
        <v>1104</v>
      </c>
      <c r="F790" s="3" t="s">
        <v>1105</v>
      </c>
      <c r="G790" t="s">
        <v>19</v>
      </c>
      <c r="H790" s="3" t="s">
        <v>1096</v>
      </c>
      <c r="I790" t="s">
        <v>81</v>
      </c>
      <c r="J790" s="3" t="s">
        <v>1097</v>
      </c>
      <c r="K790" s="4">
        <v>758</v>
      </c>
      <c r="L790" s="5">
        <v>164.67</v>
      </c>
      <c r="M790" s="6">
        <v>1</v>
      </c>
      <c r="N790" s="7">
        <v>0</v>
      </c>
      <c r="O790" t="s">
        <v>1098</v>
      </c>
      <c r="P790" s="3" t="s">
        <v>84</v>
      </c>
      <c r="Q790" s="8">
        <v>3.8151999999999998E-2</v>
      </c>
    </row>
    <row r="791" spans="1:17" hidden="1" x14ac:dyDescent="0.55000000000000004">
      <c r="A791" s="3" t="s">
        <v>987</v>
      </c>
      <c r="B791" s="3" t="s">
        <v>1093</v>
      </c>
      <c r="C791" t="s">
        <v>1045</v>
      </c>
      <c r="D791" s="3" t="s">
        <v>7329</v>
      </c>
      <c r="E791" t="s">
        <v>1104</v>
      </c>
      <c r="F791" s="3" t="s">
        <v>1105</v>
      </c>
      <c r="G791" t="s">
        <v>24</v>
      </c>
      <c r="H791" s="3" t="s">
        <v>1051</v>
      </c>
      <c r="I791" t="s">
        <v>105</v>
      </c>
      <c r="J791" s="3" t="s">
        <v>1052</v>
      </c>
      <c r="K791" s="4">
        <v>447</v>
      </c>
      <c r="L791" s="5">
        <v>0</v>
      </c>
      <c r="M791" s="6">
        <v>0</v>
      </c>
      <c r="N791" s="7">
        <v>0</v>
      </c>
      <c r="O791" t="s">
        <v>23</v>
      </c>
      <c r="P791" s="3" t="s">
        <v>23</v>
      </c>
      <c r="Q791" s="8" t="s">
        <v>23</v>
      </c>
    </row>
    <row r="792" spans="1:17" hidden="1" x14ac:dyDescent="0.55000000000000004">
      <c r="A792" s="3" t="s">
        <v>987</v>
      </c>
      <c r="B792" s="3" t="s">
        <v>1093</v>
      </c>
      <c r="C792" t="s">
        <v>1045</v>
      </c>
      <c r="D792" s="3" t="s">
        <v>7329</v>
      </c>
      <c r="E792" t="s">
        <v>1104</v>
      </c>
      <c r="F792" s="3" t="s">
        <v>1105</v>
      </c>
      <c r="G792" t="s">
        <v>24</v>
      </c>
      <c r="H792" s="3" t="s">
        <v>1053</v>
      </c>
      <c r="I792" t="s">
        <v>37</v>
      </c>
      <c r="J792" s="3" t="s">
        <v>1052</v>
      </c>
      <c r="K792" s="4">
        <v>610</v>
      </c>
      <c r="L792" s="5">
        <v>0</v>
      </c>
      <c r="M792" s="6">
        <v>0</v>
      </c>
      <c r="N792" s="7">
        <v>0</v>
      </c>
      <c r="O792" t="s">
        <v>23</v>
      </c>
      <c r="P792" s="3" t="s">
        <v>23</v>
      </c>
      <c r="Q792" s="8" t="s">
        <v>23</v>
      </c>
    </row>
    <row r="793" spans="1:17" hidden="1" x14ac:dyDescent="0.55000000000000004">
      <c r="A793" s="3" t="s">
        <v>987</v>
      </c>
      <c r="B793" s="3" t="s">
        <v>1093</v>
      </c>
      <c r="C793" t="s">
        <v>1045</v>
      </c>
      <c r="D793" s="3" t="s">
        <v>7329</v>
      </c>
      <c r="E793" t="s">
        <v>1104</v>
      </c>
      <c r="F793" s="3" t="s">
        <v>1105</v>
      </c>
      <c r="G793" t="s">
        <v>24</v>
      </c>
      <c r="H793" s="3" t="s">
        <v>1099</v>
      </c>
      <c r="I793" t="s">
        <v>43</v>
      </c>
      <c r="J793" s="3" t="s">
        <v>1100</v>
      </c>
      <c r="K793" s="4">
        <v>676</v>
      </c>
      <c r="L793" s="5">
        <v>30.73</v>
      </c>
      <c r="M793" s="6">
        <v>1</v>
      </c>
      <c r="N793" s="7">
        <v>0</v>
      </c>
      <c r="O793" t="s">
        <v>1101</v>
      </c>
      <c r="P793" s="3" t="s">
        <v>46</v>
      </c>
      <c r="Q793" s="8">
        <v>0.22689999999999999</v>
      </c>
    </row>
    <row r="794" spans="1:17" hidden="1" x14ac:dyDescent="0.55000000000000004">
      <c r="A794" s="3" t="s">
        <v>987</v>
      </c>
      <c r="B794" s="3" t="s">
        <v>1093</v>
      </c>
      <c r="C794" t="s">
        <v>1045</v>
      </c>
      <c r="D794" s="3" t="s">
        <v>7329</v>
      </c>
      <c r="E794" t="s">
        <v>1104</v>
      </c>
      <c r="F794" s="3" t="s">
        <v>1105</v>
      </c>
      <c r="G794" t="s">
        <v>24</v>
      </c>
      <c r="H794" s="3" t="s">
        <v>1102</v>
      </c>
      <c r="I794" t="s">
        <v>48</v>
      </c>
      <c r="J794" s="3" t="s">
        <v>1100</v>
      </c>
      <c r="K794" s="4">
        <v>779</v>
      </c>
      <c r="L794" s="5">
        <v>35.43</v>
      </c>
      <c r="M794" s="6">
        <v>0</v>
      </c>
      <c r="N794" s="7">
        <v>0</v>
      </c>
      <c r="O794" t="s">
        <v>1103</v>
      </c>
      <c r="P794" s="3" t="s">
        <v>23</v>
      </c>
      <c r="Q794" s="8" t="s">
        <v>23</v>
      </c>
    </row>
    <row r="795" spans="1:17" hidden="1" x14ac:dyDescent="0.55000000000000004">
      <c r="A795" s="3" t="s">
        <v>987</v>
      </c>
      <c r="B795" s="3" t="s">
        <v>1093</v>
      </c>
      <c r="C795" t="s">
        <v>1045</v>
      </c>
      <c r="D795" s="3" t="s">
        <v>7329</v>
      </c>
      <c r="E795" t="s">
        <v>1104</v>
      </c>
      <c r="F795" s="3" t="s">
        <v>1105</v>
      </c>
      <c r="G795" t="s">
        <v>24</v>
      </c>
      <c r="H795" s="3" t="s">
        <v>1059</v>
      </c>
      <c r="I795" t="s">
        <v>48</v>
      </c>
      <c r="J795" s="3" t="s">
        <v>1060</v>
      </c>
      <c r="K795" s="4">
        <v>602</v>
      </c>
      <c r="L795" s="5">
        <v>0</v>
      </c>
      <c r="M795" s="6">
        <v>0</v>
      </c>
      <c r="N795" s="7">
        <v>0</v>
      </c>
      <c r="O795" t="s">
        <v>23</v>
      </c>
      <c r="P795" s="3" t="s">
        <v>23</v>
      </c>
      <c r="Q795" s="8" t="s">
        <v>23</v>
      </c>
    </row>
    <row r="796" spans="1:17" hidden="1" x14ac:dyDescent="0.55000000000000004">
      <c r="A796" s="3" t="s">
        <v>987</v>
      </c>
      <c r="B796" s="3" t="s">
        <v>1093</v>
      </c>
      <c r="C796" t="s">
        <v>1045</v>
      </c>
      <c r="D796" s="3" t="s">
        <v>7329</v>
      </c>
      <c r="E796" t="s">
        <v>1104</v>
      </c>
      <c r="F796" s="3" t="s">
        <v>1105</v>
      </c>
      <c r="G796" t="s">
        <v>24</v>
      </c>
      <c r="H796" s="3" t="s">
        <v>1061</v>
      </c>
      <c r="I796" t="s">
        <v>114</v>
      </c>
      <c r="J796" s="3" t="s">
        <v>1060</v>
      </c>
      <c r="K796" s="4">
        <v>516</v>
      </c>
      <c r="L796" s="5">
        <v>0</v>
      </c>
      <c r="M796" s="6">
        <v>0</v>
      </c>
      <c r="N796" s="7">
        <v>0</v>
      </c>
      <c r="O796" t="s">
        <v>23</v>
      </c>
      <c r="P796" s="3" t="s">
        <v>23</v>
      </c>
      <c r="Q796" s="8" t="s">
        <v>23</v>
      </c>
    </row>
    <row r="797" spans="1:17" hidden="1" x14ac:dyDescent="0.55000000000000004">
      <c r="A797" s="3" t="s">
        <v>987</v>
      </c>
      <c r="B797" s="3" t="s">
        <v>1093</v>
      </c>
      <c r="C797" t="s">
        <v>1045</v>
      </c>
      <c r="D797" s="3" t="s">
        <v>7329</v>
      </c>
      <c r="E797" t="s">
        <v>1106</v>
      </c>
      <c r="F797" s="3" t="s">
        <v>1107</v>
      </c>
      <c r="G797" t="s">
        <v>19</v>
      </c>
      <c r="H797" s="3" t="s">
        <v>1096</v>
      </c>
      <c r="I797" t="s">
        <v>81</v>
      </c>
      <c r="J797" s="3" t="s">
        <v>1097</v>
      </c>
      <c r="K797" s="4">
        <v>758</v>
      </c>
      <c r="L797" s="5">
        <v>164.67</v>
      </c>
      <c r="M797" s="6">
        <v>1</v>
      </c>
      <c r="N797" s="7">
        <v>0</v>
      </c>
      <c r="O797" t="s">
        <v>1098</v>
      </c>
      <c r="P797" s="3" t="s">
        <v>84</v>
      </c>
      <c r="Q797" s="8">
        <v>3.8151999999999998E-2</v>
      </c>
    </row>
    <row r="798" spans="1:17" hidden="1" x14ac:dyDescent="0.55000000000000004">
      <c r="A798" s="3" t="s">
        <v>987</v>
      </c>
      <c r="B798" s="3" t="s">
        <v>1093</v>
      </c>
      <c r="C798" t="s">
        <v>1045</v>
      </c>
      <c r="D798" s="3" t="s">
        <v>7329</v>
      </c>
      <c r="E798" t="s">
        <v>1106</v>
      </c>
      <c r="F798" s="3" t="s">
        <v>1107</v>
      </c>
      <c r="G798" t="s">
        <v>19</v>
      </c>
      <c r="H798" s="3" t="s">
        <v>1108</v>
      </c>
      <c r="I798" t="s">
        <v>86</v>
      </c>
      <c r="J798" s="3" t="s">
        <v>1109</v>
      </c>
      <c r="K798" s="4">
        <v>499</v>
      </c>
      <c r="L798" s="5">
        <v>108.57</v>
      </c>
      <c r="M798" s="6">
        <v>0</v>
      </c>
      <c r="N798" s="7">
        <v>0</v>
      </c>
      <c r="O798" t="s">
        <v>1110</v>
      </c>
      <c r="P798" s="3" t="s">
        <v>89</v>
      </c>
      <c r="Q798" s="8">
        <v>3.3973999999999997E-2</v>
      </c>
    </row>
    <row r="799" spans="1:17" hidden="1" x14ac:dyDescent="0.55000000000000004">
      <c r="A799" s="3" t="s">
        <v>987</v>
      </c>
      <c r="B799" s="3" t="s">
        <v>1093</v>
      </c>
      <c r="C799" t="s">
        <v>1045</v>
      </c>
      <c r="D799" s="3" t="s">
        <v>7329</v>
      </c>
      <c r="E799" t="s">
        <v>1106</v>
      </c>
      <c r="F799" s="3" t="s">
        <v>1107</v>
      </c>
      <c r="G799" t="s">
        <v>24</v>
      </c>
      <c r="H799" s="3" t="s">
        <v>1051</v>
      </c>
      <c r="I799" t="s">
        <v>105</v>
      </c>
      <c r="J799" s="3" t="s">
        <v>1052</v>
      </c>
      <c r="K799" s="4">
        <v>447</v>
      </c>
      <c r="L799" s="5">
        <v>0</v>
      </c>
      <c r="M799" s="6">
        <v>0</v>
      </c>
      <c r="N799" s="7">
        <v>0</v>
      </c>
      <c r="O799" t="s">
        <v>23</v>
      </c>
      <c r="P799" s="3" t="s">
        <v>23</v>
      </c>
      <c r="Q799" s="8" t="s">
        <v>23</v>
      </c>
    </row>
    <row r="800" spans="1:17" hidden="1" x14ac:dyDescent="0.55000000000000004">
      <c r="A800" s="3" t="s">
        <v>987</v>
      </c>
      <c r="B800" s="3" t="s">
        <v>1093</v>
      </c>
      <c r="C800" t="s">
        <v>1045</v>
      </c>
      <c r="D800" s="3" t="s">
        <v>7329</v>
      </c>
      <c r="E800" t="s">
        <v>1106</v>
      </c>
      <c r="F800" s="3" t="s">
        <v>1107</v>
      </c>
      <c r="G800" t="s">
        <v>24</v>
      </c>
      <c r="H800" s="3" t="s">
        <v>1053</v>
      </c>
      <c r="I800" t="s">
        <v>37</v>
      </c>
      <c r="J800" s="3" t="s">
        <v>1052</v>
      </c>
      <c r="K800" s="4">
        <v>610</v>
      </c>
      <c r="L800" s="5">
        <v>0</v>
      </c>
      <c r="M800" s="6">
        <v>0</v>
      </c>
      <c r="N800" s="7">
        <v>0</v>
      </c>
      <c r="O800" t="s">
        <v>23</v>
      </c>
      <c r="P800" s="3" t="s">
        <v>23</v>
      </c>
      <c r="Q800" s="8" t="s">
        <v>23</v>
      </c>
    </row>
    <row r="801" spans="1:17" hidden="1" x14ac:dyDescent="0.55000000000000004">
      <c r="A801" s="3" t="s">
        <v>987</v>
      </c>
      <c r="B801" s="3" t="s">
        <v>1093</v>
      </c>
      <c r="C801" t="s">
        <v>1045</v>
      </c>
      <c r="D801" s="3" t="s">
        <v>7329</v>
      </c>
      <c r="E801" t="s">
        <v>1106</v>
      </c>
      <c r="F801" s="3" t="s">
        <v>1107</v>
      </c>
      <c r="G801" t="s">
        <v>24</v>
      </c>
      <c r="H801" s="3" t="s">
        <v>1099</v>
      </c>
      <c r="I801" t="s">
        <v>43</v>
      </c>
      <c r="J801" s="3" t="s">
        <v>1100</v>
      </c>
      <c r="K801" s="4">
        <v>676</v>
      </c>
      <c r="L801" s="5">
        <v>30.73</v>
      </c>
      <c r="M801" s="6">
        <v>1</v>
      </c>
      <c r="N801" s="7">
        <v>0</v>
      </c>
      <c r="O801" t="s">
        <v>1101</v>
      </c>
      <c r="P801" s="3" t="s">
        <v>46</v>
      </c>
      <c r="Q801" s="8">
        <v>0.22689999999999999</v>
      </c>
    </row>
    <row r="802" spans="1:17" hidden="1" x14ac:dyDescent="0.55000000000000004">
      <c r="A802" s="3" t="s">
        <v>987</v>
      </c>
      <c r="B802" s="3" t="s">
        <v>1093</v>
      </c>
      <c r="C802" t="s">
        <v>1045</v>
      </c>
      <c r="D802" s="3" t="s">
        <v>7329</v>
      </c>
      <c r="E802" t="s">
        <v>1106</v>
      </c>
      <c r="F802" s="3" t="s">
        <v>1107</v>
      </c>
      <c r="G802" t="s">
        <v>24</v>
      </c>
      <c r="H802" s="3" t="s">
        <v>1102</v>
      </c>
      <c r="I802" t="s">
        <v>48</v>
      </c>
      <c r="J802" s="3" t="s">
        <v>1100</v>
      </c>
      <c r="K802" s="4">
        <v>779</v>
      </c>
      <c r="L802" s="5">
        <v>35.43</v>
      </c>
      <c r="M802" s="6">
        <v>0</v>
      </c>
      <c r="N802" s="7">
        <v>0</v>
      </c>
      <c r="O802" t="s">
        <v>1103</v>
      </c>
      <c r="P802" s="3" t="s">
        <v>23</v>
      </c>
      <c r="Q802" s="8" t="s">
        <v>23</v>
      </c>
    </row>
    <row r="803" spans="1:17" hidden="1" x14ac:dyDescent="0.55000000000000004">
      <c r="A803" s="3" t="s">
        <v>987</v>
      </c>
      <c r="B803" s="3" t="s">
        <v>1093</v>
      </c>
      <c r="C803" t="s">
        <v>1045</v>
      </c>
      <c r="D803" s="3" t="s">
        <v>7329</v>
      </c>
      <c r="E803" t="s">
        <v>1106</v>
      </c>
      <c r="F803" s="3" t="s">
        <v>1107</v>
      </c>
      <c r="G803" t="s">
        <v>24</v>
      </c>
      <c r="H803" s="3" t="s">
        <v>1059</v>
      </c>
      <c r="I803" t="s">
        <v>48</v>
      </c>
      <c r="J803" s="3" t="s">
        <v>1060</v>
      </c>
      <c r="K803" s="4">
        <v>602</v>
      </c>
      <c r="L803" s="5">
        <v>0</v>
      </c>
      <c r="M803" s="6">
        <v>0</v>
      </c>
      <c r="N803" s="7">
        <v>0</v>
      </c>
      <c r="O803" t="s">
        <v>23</v>
      </c>
      <c r="P803" s="3" t="s">
        <v>23</v>
      </c>
      <c r="Q803" s="8" t="s">
        <v>23</v>
      </c>
    </row>
    <row r="804" spans="1:17" hidden="1" x14ac:dyDescent="0.55000000000000004">
      <c r="A804" s="3" t="s">
        <v>987</v>
      </c>
      <c r="B804" s="3" t="s">
        <v>1093</v>
      </c>
      <c r="C804" t="s">
        <v>1045</v>
      </c>
      <c r="D804" s="3" t="s">
        <v>7329</v>
      </c>
      <c r="E804" t="s">
        <v>1106</v>
      </c>
      <c r="F804" s="3" t="s">
        <v>1107</v>
      </c>
      <c r="G804" t="s">
        <v>24</v>
      </c>
      <c r="H804" s="3" t="s">
        <v>1061</v>
      </c>
      <c r="I804" t="s">
        <v>114</v>
      </c>
      <c r="J804" s="3" t="s">
        <v>1060</v>
      </c>
      <c r="K804" s="4">
        <v>516</v>
      </c>
      <c r="L804" s="5">
        <v>0</v>
      </c>
      <c r="M804" s="6">
        <v>0</v>
      </c>
      <c r="N804" s="7">
        <v>0</v>
      </c>
      <c r="O804" t="s">
        <v>23</v>
      </c>
      <c r="P804" s="3" t="s">
        <v>23</v>
      </c>
      <c r="Q804" s="8" t="s">
        <v>23</v>
      </c>
    </row>
    <row r="805" spans="1:17" hidden="1" x14ac:dyDescent="0.55000000000000004">
      <c r="A805" s="3" t="s">
        <v>987</v>
      </c>
      <c r="B805" s="3" t="s">
        <v>1093</v>
      </c>
      <c r="C805" t="s">
        <v>1045</v>
      </c>
      <c r="D805" s="3" t="s">
        <v>7329</v>
      </c>
      <c r="E805" t="s">
        <v>1111</v>
      </c>
      <c r="F805" s="3" t="s">
        <v>1112</v>
      </c>
      <c r="G805" t="s">
        <v>19</v>
      </c>
      <c r="H805" s="3" t="s">
        <v>1096</v>
      </c>
      <c r="I805" t="s">
        <v>81</v>
      </c>
      <c r="J805" s="3" t="s">
        <v>1097</v>
      </c>
      <c r="K805" s="4">
        <v>758</v>
      </c>
      <c r="L805" s="5">
        <v>164.67</v>
      </c>
      <c r="M805" s="6">
        <v>1</v>
      </c>
      <c r="N805" s="7">
        <v>0</v>
      </c>
      <c r="O805" t="s">
        <v>1098</v>
      </c>
      <c r="P805" s="3" t="s">
        <v>84</v>
      </c>
      <c r="Q805" s="8">
        <v>3.8151999999999998E-2</v>
      </c>
    </row>
    <row r="806" spans="1:17" hidden="1" x14ac:dyDescent="0.55000000000000004">
      <c r="A806" s="3" t="s">
        <v>987</v>
      </c>
      <c r="B806" s="3" t="s">
        <v>1093</v>
      </c>
      <c r="C806" t="s">
        <v>1045</v>
      </c>
      <c r="D806" s="3" t="s">
        <v>7329</v>
      </c>
      <c r="E806" t="s">
        <v>1111</v>
      </c>
      <c r="F806" s="3" t="s">
        <v>1112</v>
      </c>
      <c r="G806" t="s">
        <v>19</v>
      </c>
      <c r="H806" s="3" t="s">
        <v>1108</v>
      </c>
      <c r="I806" t="s">
        <v>86</v>
      </c>
      <c r="J806" s="3" t="s">
        <v>1109</v>
      </c>
      <c r="K806" s="4">
        <v>499</v>
      </c>
      <c r="L806" s="5">
        <v>108.57</v>
      </c>
      <c r="M806" s="6">
        <v>0</v>
      </c>
      <c r="N806" s="7">
        <v>0</v>
      </c>
      <c r="O806" t="s">
        <v>1110</v>
      </c>
      <c r="P806" s="3" t="s">
        <v>89</v>
      </c>
      <c r="Q806" s="8">
        <v>3.3973999999999997E-2</v>
      </c>
    </row>
    <row r="807" spans="1:17" hidden="1" x14ac:dyDescent="0.55000000000000004">
      <c r="A807" s="3" t="s">
        <v>987</v>
      </c>
      <c r="B807" s="3" t="s">
        <v>1093</v>
      </c>
      <c r="C807" t="s">
        <v>1045</v>
      </c>
      <c r="D807" s="3" t="s">
        <v>7329</v>
      </c>
      <c r="E807" t="s">
        <v>1111</v>
      </c>
      <c r="F807" s="3" t="s">
        <v>1112</v>
      </c>
      <c r="G807" t="s">
        <v>24</v>
      </c>
      <c r="H807" s="3" t="s">
        <v>1051</v>
      </c>
      <c r="I807" t="s">
        <v>105</v>
      </c>
      <c r="J807" s="3" t="s">
        <v>1052</v>
      </c>
      <c r="K807" s="4">
        <v>447</v>
      </c>
      <c r="L807" s="5">
        <v>0</v>
      </c>
      <c r="M807" s="6">
        <v>0</v>
      </c>
      <c r="N807" s="7">
        <v>0</v>
      </c>
      <c r="O807" t="s">
        <v>23</v>
      </c>
      <c r="P807" s="3" t="s">
        <v>23</v>
      </c>
      <c r="Q807" s="8" t="s">
        <v>23</v>
      </c>
    </row>
    <row r="808" spans="1:17" hidden="1" x14ac:dyDescent="0.55000000000000004">
      <c r="A808" s="3" t="s">
        <v>987</v>
      </c>
      <c r="B808" s="3" t="s">
        <v>1093</v>
      </c>
      <c r="C808" t="s">
        <v>1045</v>
      </c>
      <c r="D808" s="3" t="s">
        <v>7329</v>
      </c>
      <c r="E808" t="s">
        <v>1111</v>
      </c>
      <c r="F808" s="3" t="s">
        <v>1112</v>
      </c>
      <c r="G808" t="s">
        <v>24</v>
      </c>
      <c r="H808" s="3" t="s">
        <v>1053</v>
      </c>
      <c r="I808" t="s">
        <v>37</v>
      </c>
      <c r="J808" s="3" t="s">
        <v>1052</v>
      </c>
      <c r="K808" s="4">
        <v>610</v>
      </c>
      <c r="L808" s="5">
        <v>0</v>
      </c>
      <c r="M808" s="6">
        <v>0</v>
      </c>
      <c r="N808" s="7">
        <v>0</v>
      </c>
      <c r="O808" t="s">
        <v>23</v>
      </c>
      <c r="P808" s="3" t="s">
        <v>23</v>
      </c>
      <c r="Q808" s="8" t="s">
        <v>23</v>
      </c>
    </row>
    <row r="809" spans="1:17" hidden="1" x14ac:dyDescent="0.55000000000000004">
      <c r="A809" s="3" t="s">
        <v>987</v>
      </c>
      <c r="B809" s="3" t="s">
        <v>1093</v>
      </c>
      <c r="C809" t="s">
        <v>1045</v>
      </c>
      <c r="D809" s="3" t="s">
        <v>7329</v>
      </c>
      <c r="E809" t="s">
        <v>1111</v>
      </c>
      <c r="F809" s="3" t="s">
        <v>1112</v>
      </c>
      <c r="G809" t="s">
        <v>24</v>
      </c>
      <c r="H809" s="3" t="s">
        <v>1099</v>
      </c>
      <c r="I809" t="s">
        <v>43</v>
      </c>
      <c r="J809" s="3" t="s">
        <v>1100</v>
      </c>
      <c r="K809" s="4">
        <v>676</v>
      </c>
      <c r="L809" s="5">
        <v>30.73</v>
      </c>
      <c r="M809" s="6">
        <v>1</v>
      </c>
      <c r="N809" s="7">
        <v>0</v>
      </c>
      <c r="O809" t="s">
        <v>1101</v>
      </c>
      <c r="P809" s="3" t="s">
        <v>46</v>
      </c>
      <c r="Q809" s="8">
        <v>0.22689999999999999</v>
      </c>
    </row>
    <row r="810" spans="1:17" hidden="1" x14ac:dyDescent="0.55000000000000004">
      <c r="A810" s="3" t="s">
        <v>987</v>
      </c>
      <c r="B810" s="3" t="s">
        <v>1093</v>
      </c>
      <c r="C810" t="s">
        <v>1045</v>
      </c>
      <c r="D810" s="3" t="s">
        <v>7329</v>
      </c>
      <c r="E810" t="s">
        <v>1111</v>
      </c>
      <c r="F810" s="3" t="s">
        <v>1112</v>
      </c>
      <c r="G810" t="s">
        <v>24</v>
      </c>
      <c r="H810" s="3" t="s">
        <v>1102</v>
      </c>
      <c r="I810" t="s">
        <v>48</v>
      </c>
      <c r="J810" s="3" t="s">
        <v>1100</v>
      </c>
      <c r="K810" s="4">
        <v>779</v>
      </c>
      <c r="L810" s="5">
        <v>35.43</v>
      </c>
      <c r="M810" s="6">
        <v>0</v>
      </c>
      <c r="N810" s="7">
        <v>0</v>
      </c>
      <c r="O810" t="s">
        <v>1103</v>
      </c>
      <c r="P810" s="3" t="s">
        <v>23</v>
      </c>
      <c r="Q810" s="8" t="s">
        <v>23</v>
      </c>
    </row>
    <row r="811" spans="1:17" hidden="1" x14ac:dyDescent="0.55000000000000004">
      <c r="A811" s="3" t="s">
        <v>987</v>
      </c>
      <c r="B811" s="3" t="s">
        <v>1093</v>
      </c>
      <c r="C811" t="s">
        <v>1045</v>
      </c>
      <c r="D811" s="3" t="s">
        <v>7329</v>
      </c>
      <c r="E811" t="s">
        <v>1111</v>
      </c>
      <c r="F811" s="3" t="s">
        <v>1112</v>
      </c>
      <c r="G811" t="s">
        <v>24</v>
      </c>
      <c r="H811" s="3" t="s">
        <v>1059</v>
      </c>
      <c r="I811" t="s">
        <v>48</v>
      </c>
      <c r="J811" s="3" t="s">
        <v>1060</v>
      </c>
      <c r="K811" s="4">
        <v>602</v>
      </c>
      <c r="L811" s="5">
        <v>0</v>
      </c>
      <c r="M811" s="6">
        <v>0</v>
      </c>
      <c r="N811" s="7">
        <v>0</v>
      </c>
      <c r="O811" t="s">
        <v>23</v>
      </c>
      <c r="P811" s="3" t="s">
        <v>23</v>
      </c>
      <c r="Q811" s="8" t="s">
        <v>23</v>
      </c>
    </row>
    <row r="812" spans="1:17" hidden="1" x14ac:dyDescent="0.55000000000000004">
      <c r="A812" s="3" t="s">
        <v>987</v>
      </c>
      <c r="B812" s="3" t="s">
        <v>1093</v>
      </c>
      <c r="C812" t="s">
        <v>1045</v>
      </c>
      <c r="D812" s="3" t="s">
        <v>7329</v>
      </c>
      <c r="E812" t="s">
        <v>1111</v>
      </c>
      <c r="F812" s="3" t="s">
        <v>1112</v>
      </c>
      <c r="G812" t="s">
        <v>24</v>
      </c>
      <c r="H812" s="3" t="s">
        <v>1061</v>
      </c>
      <c r="I812" t="s">
        <v>114</v>
      </c>
      <c r="J812" s="3" t="s">
        <v>1060</v>
      </c>
      <c r="K812" s="4">
        <v>516</v>
      </c>
      <c r="L812" s="5">
        <v>0</v>
      </c>
      <c r="M812" s="6">
        <v>0</v>
      </c>
      <c r="N812" s="7">
        <v>0</v>
      </c>
      <c r="O812" t="s">
        <v>23</v>
      </c>
      <c r="P812" s="3" t="s">
        <v>23</v>
      </c>
      <c r="Q812" s="8" t="s">
        <v>23</v>
      </c>
    </row>
    <row r="813" spans="1:17" hidden="1" x14ac:dyDescent="0.55000000000000004">
      <c r="A813" s="3" t="s">
        <v>987</v>
      </c>
      <c r="B813" s="3" t="s">
        <v>1093</v>
      </c>
      <c r="C813" t="s">
        <v>1045</v>
      </c>
      <c r="D813" s="3" t="s">
        <v>7329</v>
      </c>
      <c r="E813" t="s">
        <v>1113</v>
      </c>
      <c r="F813" s="3" t="s">
        <v>1114</v>
      </c>
      <c r="G813" t="s">
        <v>19</v>
      </c>
      <c r="H813" s="3" t="s">
        <v>1096</v>
      </c>
      <c r="I813" t="s">
        <v>81</v>
      </c>
      <c r="J813" s="3" t="s">
        <v>1097</v>
      </c>
      <c r="K813" s="4">
        <v>758</v>
      </c>
      <c r="L813" s="5">
        <v>164.67</v>
      </c>
      <c r="M813" s="6">
        <v>1</v>
      </c>
      <c r="N813" s="7">
        <v>0</v>
      </c>
      <c r="O813" t="s">
        <v>1098</v>
      </c>
      <c r="P813" s="3" t="s">
        <v>84</v>
      </c>
      <c r="Q813" s="8">
        <v>3.8151999999999998E-2</v>
      </c>
    </row>
    <row r="814" spans="1:17" hidden="1" x14ac:dyDescent="0.55000000000000004">
      <c r="A814" s="3" t="s">
        <v>987</v>
      </c>
      <c r="B814" s="3" t="s">
        <v>1093</v>
      </c>
      <c r="C814" t="s">
        <v>1045</v>
      </c>
      <c r="D814" s="3" t="s">
        <v>7329</v>
      </c>
      <c r="E814" t="s">
        <v>1113</v>
      </c>
      <c r="F814" s="3" t="s">
        <v>1114</v>
      </c>
      <c r="G814" t="s">
        <v>19</v>
      </c>
      <c r="H814" s="3" t="s">
        <v>1108</v>
      </c>
      <c r="I814" t="s">
        <v>86</v>
      </c>
      <c r="J814" s="3" t="s">
        <v>1109</v>
      </c>
      <c r="K814" s="4">
        <v>499</v>
      </c>
      <c r="L814" s="5">
        <v>108.57</v>
      </c>
      <c r="M814" s="6">
        <v>0</v>
      </c>
      <c r="N814" s="7">
        <v>0</v>
      </c>
      <c r="O814" t="s">
        <v>1110</v>
      </c>
      <c r="P814" s="3" t="s">
        <v>89</v>
      </c>
      <c r="Q814" s="8">
        <v>3.3973999999999997E-2</v>
      </c>
    </row>
    <row r="815" spans="1:17" hidden="1" x14ac:dyDescent="0.55000000000000004">
      <c r="A815" s="3" t="s">
        <v>987</v>
      </c>
      <c r="B815" s="3" t="s">
        <v>1093</v>
      </c>
      <c r="C815" t="s">
        <v>1045</v>
      </c>
      <c r="D815" s="3" t="s">
        <v>7329</v>
      </c>
      <c r="E815" t="s">
        <v>1113</v>
      </c>
      <c r="F815" s="3" t="s">
        <v>1114</v>
      </c>
      <c r="G815" t="s">
        <v>24</v>
      </c>
      <c r="H815" s="3" t="s">
        <v>1051</v>
      </c>
      <c r="I815" t="s">
        <v>105</v>
      </c>
      <c r="J815" s="3" t="s">
        <v>1052</v>
      </c>
      <c r="K815" s="4">
        <v>447</v>
      </c>
      <c r="L815" s="5">
        <v>0</v>
      </c>
      <c r="M815" s="6">
        <v>0</v>
      </c>
      <c r="N815" s="7">
        <v>0</v>
      </c>
      <c r="O815" t="s">
        <v>23</v>
      </c>
      <c r="P815" s="3" t="s">
        <v>23</v>
      </c>
      <c r="Q815" s="8" t="s">
        <v>23</v>
      </c>
    </row>
    <row r="816" spans="1:17" hidden="1" x14ac:dyDescent="0.55000000000000004">
      <c r="A816" s="3" t="s">
        <v>987</v>
      </c>
      <c r="B816" s="3" t="s">
        <v>1093</v>
      </c>
      <c r="C816" t="s">
        <v>1045</v>
      </c>
      <c r="D816" s="3" t="s">
        <v>7329</v>
      </c>
      <c r="E816" t="s">
        <v>1113</v>
      </c>
      <c r="F816" s="3" t="s">
        <v>1114</v>
      </c>
      <c r="G816" t="s">
        <v>24</v>
      </c>
      <c r="H816" s="3" t="s">
        <v>1053</v>
      </c>
      <c r="I816" t="s">
        <v>37</v>
      </c>
      <c r="J816" s="3" t="s">
        <v>1052</v>
      </c>
      <c r="K816" s="4">
        <v>610</v>
      </c>
      <c r="L816" s="5">
        <v>0</v>
      </c>
      <c r="M816" s="6">
        <v>0</v>
      </c>
      <c r="N816" s="7">
        <v>0</v>
      </c>
      <c r="O816" t="s">
        <v>23</v>
      </c>
      <c r="P816" s="3" t="s">
        <v>23</v>
      </c>
      <c r="Q816" s="8" t="s">
        <v>23</v>
      </c>
    </row>
    <row r="817" spans="1:17" hidden="1" x14ac:dyDescent="0.55000000000000004">
      <c r="A817" s="3" t="s">
        <v>987</v>
      </c>
      <c r="B817" s="3" t="s">
        <v>1093</v>
      </c>
      <c r="C817" t="s">
        <v>1045</v>
      </c>
      <c r="D817" s="3" t="s">
        <v>7329</v>
      </c>
      <c r="E817" t="s">
        <v>1113</v>
      </c>
      <c r="F817" s="3" t="s">
        <v>1114</v>
      </c>
      <c r="G817" t="s">
        <v>24</v>
      </c>
      <c r="H817" s="3" t="s">
        <v>1099</v>
      </c>
      <c r="I817" t="s">
        <v>43</v>
      </c>
      <c r="J817" s="3" t="s">
        <v>1100</v>
      </c>
      <c r="K817" s="4">
        <v>676</v>
      </c>
      <c r="L817" s="5">
        <v>30.73</v>
      </c>
      <c r="M817" s="6">
        <v>1</v>
      </c>
      <c r="N817" s="7">
        <v>0</v>
      </c>
      <c r="O817" t="s">
        <v>1101</v>
      </c>
      <c r="P817" s="3" t="s">
        <v>46</v>
      </c>
      <c r="Q817" s="8">
        <v>0.22689999999999999</v>
      </c>
    </row>
    <row r="818" spans="1:17" hidden="1" x14ac:dyDescent="0.55000000000000004">
      <c r="A818" s="3" t="s">
        <v>987</v>
      </c>
      <c r="B818" s="3" t="s">
        <v>1093</v>
      </c>
      <c r="C818" t="s">
        <v>1045</v>
      </c>
      <c r="D818" s="3" t="s">
        <v>7329</v>
      </c>
      <c r="E818" t="s">
        <v>1113</v>
      </c>
      <c r="F818" s="3" t="s">
        <v>1114</v>
      </c>
      <c r="G818" t="s">
        <v>24</v>
      </c>
      <c r="H818" s="3" t="s">
        <v>1102</v>
      </c>
      <c r="I818" t="s">
        <v>48</v>
      </c>
      <c r="J818" s="3" t="s">
        <v>1100</v>
      </c>
      <c r="K818" s="4">
        <v>779</v>
      </c>
      <c r="L818" s="5">
        <v>35.43</v>
      </c>
      <c r="M818" s="6">
        <v>0</v>
      </c>
      <c r="N818" s="7">
        <v>0</v>
      </c>
      <c r="O818" t="s">
        <v>1103</v>
      </c>
      <c r="P818" s="3" t="s">
        <v>23</v>
      </c>
      <c r="Q818" s="8" t="s">
        <v>23</v>
      </c>
    </row>
    <row r="819" spans="1:17" hidden="1" x14ac:dyDescent="0.55000000000000004">
      <c r="A819" s="3" t="s">
        <v>987</v>
      </c>
      <c r="B819" s="3" t="s">
        <v>1093</v>
      </c>
      <c r="C819" t="s">
        <v>1045</v>
      </c>
      <c r="D819" s="3" t="s">
        <v>7329</v>
      </c>
      <c r="E819" t="s">
        <v>1113</v>
      </c>
      <c r="F819" s="3" t="s">
        <v>1114</v>
      </c>
      <c r="G819" t="s">
        <v>24</v>
      </c>
      <c r="H819" s="3" t="s">
        <v>1059</v>
      </c>
      <c r="I819" t="s">
        <v>48</v>
      </c>
      <c r="J819" s="3" t="s">
        <v>1060</v>
      </c>
      <c r="K819" s="4">
        <v>602</v>
      </c>
      <c r="L819" s="5">
        <v>0</v>
      </c>
      <c r="M819" s="6">
        <v>0</v>
      </c>
      <c r="N819" s="7">
        <v>0</v>
      </c>
      <c r="O819" t="s">
        <v>23</v>
      </c>
      <c r="P819" s="3" t="s">
        <v>23</v>
      </c>
      <c r="Q819" s="8" t="s">
        <v>23</v>
      </c>
    </row>
    <row r="820" spans="1:17" hidden="1" x14ac:dyDescent="0.55000000000000004">
      <c r="A820" s="3" t="s">
        <v>987</v>
      </c>
      <c r="B820" s="3" t="s">
        <v>1093</v>
      </c>
      <c r="C820" t="s">
        <v>1045</v>
      </c>
      <c r="D820" s="3" t="s">
        <v>7329</v>
      </c>
      <c r="E820" t="s">
        <v>1113</v>
      </c>
      <c r="F820" s="3" t="s">
        <v>1114</v>
      </c>
      <c r="G820" t="s">
        <v>24</v>
      </c>
      <c r="H820" s="3" t="s">
        <v>1061</v>
      </c>
      <c r="I820" t="s">
        <v>114</v>
      </c>
      <c r="J820" s="3" t="s">
        <v>1060</v>
      </c>
      <c r="K820" s="4">
        <v>516</v>
      </c>
      <c r="L820" s="5">
        <v>0</v>
      </c>
      <c r="M820" s="6">
        <v>0</v>
      </c>
      <c r="N820" s="7">
        <v>0</v>
      </c>
      <c r="O820" t="s">
        <v>23</v>
      </c>
      <c r="P820" s="3" t="s">
        <v>23</v>
      </c>
      <c r="Q820" s="8" t="s">
        <v>23</v>
      </c>
    </row>
    <row r="821" spans="1:17" hidden="1" x14ac:dyDescent="0.55000000000000004">
      <c r="A821" s="3" t="s">
        <v>987</v>
      </c>
      <c r="B821" s="3" t="s">
        <v>1093</v>
      </c>
      <c r="C821" t="s">
        <v>1045</v>
      </c>
      <c r="D821" s="3" t="s">
        <v>7329</v>
      </c>
      <c r="E821" t="s">
        <v>1115</v>
      </c>
      <c r="F821" s="3" t="s">
        <v>1116</v>
      </c>
      <c r="G821" t="s">
        <v>19</v>
      </c>
      <c r="H821" s="3" t="s">
        <v>1096</v>
      </c>
      <c r="I821" t="s">
        <v>81</v>
      </c>
      <c r="J821" s="3" t="s">
        <v>1097</v>
      </c>
      <c r="K821" s="4">
        <v>758</v>
      </c>
      <c r="L821" s="5">
        <v>164.67</v>
      </c>
      <c r="M821" s="6">
        <v>1</v>
      </c>
      <c r="N821" s="7">
        <v>0</v>
      </c>
      <c r="O821" t="s">
        <v>1098</v>
      </c>
      <c r="P821" s="3" t="s">
        <v>84</v>
      </c>
      <c r="Q821" s="8">
        <v>3.8151999999999998E-2</v>
      </c>
    </row>
    <row r="822" spans="1:17" hidden="1" x14ac:dyDescent="0.55000000000000004">
      <c r="A822" s="3" t="s">
        <v>987</v>
      </c>
      <c r="B822" s="3" t="s">
        <v>1093</v>
      </c>
      <c r="C822" t="s">
        <v>1045</v>
      </c>
      <c r="D822" s="3" t="s">
        <v>7329</v>
      </c>
      <c r="E822" t="s">
        <v>1115</v>
      </c>
      <c r="F822" s="3" t="s">
        <v>1116</v>
      </c>
      <c r="G822" t="s">
        <v>19</v>
      </c>
      <c r="H822" s="3" t="s">
        <v>1108</v>
      </c>
      <c r="I822" t="s">
        <v>86</v>
      </c>
      <c r="J822" s="3" t="s">
        <v>1109</v>
      </c>
      <c r="K822" s="4">
        <v>499</v>
      </c>
      <c r="L822" s="5">
        <v>108.57</v>
      </c>
      <c r="M822" s="6">
        <v>0</v>
      </c>
      <c r="N822" s="7">
        <v>0</v>
      </c>
      <c r="O822" t="s">
        <v>1110</v>
      </c>
      <c r="P822" s="3" t="s">
        <v>89</v>
      </c>
      <c r="Q822" s="8">
        <v>3.3973999999999997E-2</v>
      </c>
    </row>
    <row r="823" spans="1:17" hidden="1" x14ac:dyDescent="0.55000000000000004">
      <c r="A823" s="3" t="s">
        <v>987</v>
      </c>
      <c r="B823" s="3" t="s">
        <v>1093</v>
      </c>
      <c r="C823" t="s">
        <v>1045</v>
      </c>
      <c r="D823" s="3" t="s">
        <v>7329</v>
      </c>
      <c r="E823" t="s">
        <v>1115</v>
      </c>
      <c r="F823" s="3" t="s">
        <v>1116</v>
      </c>
      <c r="G823" t="s">
        <v>24</v>
      </c>
      <c r="H823" s="3" t="s">
        <v>1051</v>
      </c>
      <c r="I823" t="s">
        <v>105</v>
      </c>
      <c r="J823" s="3" t="s">
        <v>1052</v>
      </c>
      <c r="K823" s="4">
        <v>447</v>
      </c>
      <c r="L823" s="5">
        <v>0</v>
      </c>
      <c r="M823" s="6">
        <v>0</v>
      </c>
      <c r="N823" s="7">
        <v>0</v>
      </c>
      <c r="O823" t="s">
        <v>23</v>
      </c>
      <c r="P823" s="3" t="s">
        <v>23</v>
      </c>
      <c r="Q823" s="8" t="s">
        <v>23</v>
      </c>
    </row>
    <row r="824" spans="1:17" hidden="1" x14ac:dyDescent="0.55000000000000004">
      <c r="A824" s="3" t="s">
        <v>987</v>
      </c>
      <c r="B824" s="3" t="s">
        <v>1093</v>
      </c>
      <c r="C824" t="s">
        <v>1045</v>
      </c>
      <c r="D824" s="3" t="s">
        <v>7329</v>
      </c>
      <c r="E824" t="s">
        <v>1115</v>
      </c>
      <c r="F824" s="3" t="s">
        <v>1116</v>
      </c>
      <c r="G824" t="s">
        <v>24</v>
      </c>
      <c r="H824" s="3" t="s">
        <v>1053</v>
      </c>
      <c r="I824" t="s">
        <v>37</v>
      </c>
      <c r="J824" s="3" t="s">
        <v>1052</v>
      </c>
      <c r="K824" s="4">
        <v>610</v>
      </c>
      <c r="L824" s="5">
        <v>0</v>
      </c>
      <c r="M824" s="6">
        <v>0</v>
      </c>
      <c r="N824" s="7">
        <v>0</v>
      </c>
      <c r="O824" t="s">
        <v>23</v>
      </c>
      <c r="P824" s="3" t="s">
        <v>23</v>
      </c>
      <c r="Q824" s="8" t="s">
        <v>23</v>
      </c>
    </row>
    <row r="825" spans="1:17" hidden="1" x14ac:dyDescent="0.55000000000000004">
      <c r="A825" s="3" t="s">
        <v>987</v>
      </c>
      <c r="B825" s="3" t="s">
        <v>1093</v>
      </c>
      <c r="C825" t="s">
        <v>1045</v>
      </c>
      <c r="D825" s="3" t="s">
        <v>7329</v>
      </c>
      <c r="E825" t="s">
        <v>1115</v>
      </c>
      <c r="F825" s="3" t="s">
        <v>1116</v>
      </c>
      <c r="G825" t="s">
        <v>24</v>
      </c>
      <c r="H825" s="3" t="s">
        <v>1099</v>
      </c>
      <c r="I825" t="s">
        <v>43</v>
      </c>
      <c r="J825" s="3" t="s">
        <v>1100</v>
      </c>
      <c r="K825" s="4">
        <v>676</v>
      </c>
      <c r="L825" s="5">
        <v>30.73</v>
      </c>
      <c r="M825" s="6">
        <v>1</v>
      </c>
      <c r="N825" s="7">
        <v>0</v>
      </c>
      <c r="O825" t="s">
        <v>1101</v>
      </c>
      <c r="P825" s="3" t="s">
        <v>46</v>
      </c>
      <c r="Q825" s="8">
        <v>0.22689999999999999</v>
      </c>
    </row>
    <row r="826" spans="1:17" hidden="1" x14ac:dyDescent="0.55000000000000004">
      <c r="A826" s="3" t="s">
        <v>987</v>
      </c>
      <c r="B826" s="3" t="s">
        <v>1093</v>
      </c>
      <c r="C826" t="s">
        <v>1045</v>
      </c>
      <c r="D826" s="3" t="s">
        <v>7329</v>
      </c>
      <c r="E826" t="s">
        <v>1115</v>
      </c>
      <c r="F826" s="3" t="s">
        <v>1116</v>
      </c>
      <c r="G826" t="s">
        <v>24</v>
      </c>
      <c r="H826" s="3" t="s">
        <v>1102</v>
      </c>
      <c r="I826" t="s">
        <v>48</v>
      </c>
      <c r="J826" s="3" t="s">
        <v>1100</v>
      </c>
      <c r="K826" s="4">
        <v>779</v>
      </c>
      <c r="L826" s="5">
        <v>35.43</v>
      </c>
      <c r="M826" s="6">
        <v>0</v>
      </c>
      <c r="N826" s="7">
        <v>0</v>
      </c>
      <c r="O826" t="s">
        <v>1103</v>
      </c>
      <c r="P826" s="3" t="s">
        <v>23</v>
      </c>
      <c r="Q826" s="8" t="s">
        <v>23</v>
      </c>
    </row>
    <row r="827" spans="1:17" hidden="1" x14ac:dyDescent="0.55000000000000004">
      <c r="A827" s="3" t="s">
        <v>987</v>
      </c>
      <c r="B827" s="3" t="s">
        <v>1093</v>
      </c>
      <c r="C827" t="s">
        <v>1045</v>
      </c>
      <c r="D827" s="3" t="s">
        <v>7329</v>
      </c>
      <c r="E827" t="s">
        <v>1115</v>
      </c>
      <c r="F827" s="3" t="s">
        <v>1116</v>
      </c>
      <c r="G827" t="s">
        <v>24</v>
      </c>
      <c r="H827" s="3" t="s">
        <v>1059</v>
      </c>
      <c r="I827" t="s">
        <v>48</v>
      </c>
      <c r="J827" s="3" t="s">
        <v>1060</v>
      </c>
      <c r="K827" s="4">
        <v>602</v>
      </c>
      <c r="L827" s="5">
        <v>0</v>
      </c>
      <c r="M827" s="6">
        <v>0</v>
      </c>
      <c r="N827" s="7">
        <v>0</v>
      </c>
      <c r="O827" t="s">
        <v>23</v>
      </c>
      <c r="P827" s="3" t="s">
        <v>23</v>
      </c>
      <c r="Q827" s="8" t="s">
        <v>23</v>
      </c>
    </row>
    <row r="828" spans="1:17" hidden="1" x14ac:dyDescent="0.55000000000000004">
      <c r="A828" s="3" t="s">
        <v>987</v>
      </c>
      <c r="B828" s="3" t="s">
        <v>1093</v>
      </c>
      <c r="C828" t="s">
        <v>1045</v>
      </c>
      <c r="D828" s="3" t="s">
        <v>7329</v>
      </c>
      <c r="E828" t="s">
        <v>1115</v>
      </c>
      <c r="F828" s="3" t="s">
        <v>1116</v>
      </c>
      <c r="G828" t="s">
        <v>24</v>
      </c>
      <c r="H828" s="3" t="s">
        <v>1061</v>
      </c>
      <c r="I828" t="s">
        <v>114</v>
      </c>
      <c r="J828" s="3" t="s">
        <v>1060</v>
      </c>
      <c r="K828" s="4">
        <v>516</v>
      </c>
      <c r="L828" s="5">
        <v>0</v>
      </c>
      <c r="M828" s="6">
        <v>0</v>
      </c>
      <c r="N828" s="7">
        <v>0</v>
      </c>
      <c r="O828" t="s">
        <v>23</v>
      </c>
      <c r="P828" s="3" t="s">
        <v>23</v>
      </c>
      <c r="Q828" s="8" t="s">
        <v>23</v>
      </c>
    </row>
    <row r="829" spans="1:17" hidden="1" x14ac:dyDescent="0.55000000000000004">
      <c r="A829" s="3" t="s">
        <v>987</v>
      </c>
      <c r="B829" s="3" t="s">
        <v>1093</v>
      </c>
      <c r="C829" t="s">
        <v>1045</v>
      </c>
      <c r="D829" s="3" t="s">
        <v>7329</v>
      </c>
      <c r="E829" t="s">
        <v>1117</v>
      </c>
      <c r="F829" s="3" t="s">
        <v>1118</v>
      </c>
      <c r="G829" t="s">
        <v>19</v>
      </c>
      <c r="H829" s="3" t="s">
        <v>1096</v>
      </c>
      <c r="I829" t="s">
        <v>81</v>
      </c>
      <c r="J829" s="3" t="s">
        <v>1097</v>
      </c>
      <c r="K829" s="4">
        <v>758</v>
      </c>
      <c r="L829" s="5">
        <v>164.67</v>
      </c>
      <c r="M829" s="6">
        <v>1</v>
      </c>
      <c r="N829" s="7">
        <v>0</v>
      </c>
      <c r="O829" t="s">
        <v>1098</v>
      </c>
      <c r="P829" s="3" t="s">
        <v>84</v>
      </c>
      <c r="Q829" s="8">
        <v>3.8151999999999998E-2</v>
      </c>
    </row>
    <row r="830" spans="1:17" hidden="1" x14ac:dyDescent="0.55000000000000004">
      <c r="A830" s="3" t="s">
        <v>987</v>
      </c>
      <c r="B830" s="3" t="s">
        <v>1093</v>
      </c>
      <c r="C830" t="s">
        <v>1045</v>
      </c>
      <c r="D830" s="3" t="s">
        <v>7329</v>
      </c>
      <c r="E830" t="s">
        <v>1117</v>
      </c>
      <c r="F830" s="3" t="s">
        <v>1118</v>
      </c>
      <c r="G830" t="s">
        <v>19</v>
      </c>
      <c r="H830" s="3" t="s">
        <v>1108</v>
      </c>
      <c r="I830" t="s">
        <v>86</v>
      </c>
      <c r="J830" s="3" t="s">
        <v>1109</v>
      </c>
      <c r="K830" s="4">
        <v>499</v>
      </c>
      <c r="L830" s="5">
        <v>108.57</v>
      </c>
      <c r="M830" s="6">
        <v>0</v>
      </c>
      <c r="N830" s="7">
        <v>0</v>
      </c>
      <c r="O830" t="s">
        <v>1110</v>
      </c>
      <c r="P830" s="3" t="s">
        <v>89</v>
      </c>
      <c r="Q830" s="8">
        <v>3.3973999999999997E-2</v>
      </c>
    </row>
    <row r="831" spans="1:17" hidden="1" x14ac:dyDescent="0.55000000000000004">
      <c r="A831" s="3" t="s">
        <v>987</v>
      </c>
      <c r="B831" s="3" t="s">
        <v>1093</v>
      </c>
      <c r="C831" t="s">
        <v>1045</v>
      </c>
      <c r="D831" s="3" t="s">
        <v>7329</v>
      </c>
      <c r="E831" t="s">
        <v>1117</v>
      </c>
      <c r="F831" s="3" t="s">
        <v>1118</v>
      </c>
      <c r="G831" t="s">
        <v>24</v>
      </c>
      <c r="H831" s="3" t="s">
        <v>1051</v>
      </c>
      <c r="I831" t="s">
        <v>105</v>
      </c>
      <c r="J831" s="3" t="s">
        <v>1052</v>
      </c>
      <c r="K831" s="4">
        <v>447</v>
      </c>
      <c r="L831" s="5">
        <v>0</v>
      </c>
      <c r="M831" s="6">
        <v>0</v>
      </c>
      <c r="N831" s="7">
        <v>0</v>
      </c>
      <c r="O831" t="s">
        <v>23</v>
      </c>
      <c r="P831" s="3" t="s">
        <v>23</v>
      </c>
      <c r="Q831" s="8" t="s">
        <v>23</v>
      </c>
    </row>
    <row r="832" spans="1:17" hidden="1" x14ac:dyDescent="0.55000000000000004">
      <c r="A832" s="3" t="s">
        <v>987</v>
      </c>
      <c r="B832" s="3" t="s">
        <v>1093</v>
      </c>
      <c r="C832" t="s">
        <v>1045</v>
      </c>
      <c r="D832" s="3" t="s">
        <v>7329</v>
      </c>
      <c r="E832" t="s">
        <v>1117</v>
      </c>
      <c r="F832" s="3" t="s">
        <v>1118</v>
      </c>
      <c r="G832" t="s">
        <v>24</v>
      </c>
      <c r="H832" s="3" t="s">
        <v>1053</v>
      </c>
      <c r="I832" t="s">
        <v>37</v>
      </c>
      <c r="J832" s="3" t="s">
        <v>1052</v>
      </c>
      <c r="K832" s="4">
        <v>610</v>
      </c>
      <c r="L832" s="5">
        <v>0</v>
      </c>
      <c r="M832" s="6">
        <v>0</v>
      </c>
      <c r="N832" s="7">
        <v>0</v>
      </c>
      <c r="O832" t="s">
        <v>23</v>
      </c>
      <c r="P832" s="3" t="s">
        <v>23</v>
      </c>
      <c r="Q832" s="8" t="s">
        <v>23</v>
      </c>
    </row>
    <row r="833" spans="1:17" hidden="1" x14ac:dyDescent="0.55000000000000004">
      <c r="A833" s="3" t="s">
        <v>987</v>
      </c>
      <c r="B833" s="3" t="s">
        <v>1093</v>
      </c>
      <c r="C833" t="s">
        <v>1045</v>
      </c>
      <c r="D833" s="3" t="s">
        <v>7329</v>
      </c>
      <c r="E833" t="s">
        <v>1117</v>
      </c>
      <c r="F833" s="3" t="s">
        <v>1118</v>
      </c>
      <c r="G833" t="s">
        <v>24</v>
      </c>
      <c r="H833" s="3" t="s">
        <v>1099</v>
      </c>
      <c r="I833" t="s">
        <v>43</v>
      </c>
      <c r="J833" s="3" t="s">
        <v>1100</v>
      </c>
      <c r="K833" s="4">
        <v>676</v>
      </c>
      <c r="L833" s="5">
        <v>30.73</v>
      </c>
      <c r="M833" s="6">
        <v>1</v>
      </c>
      <c r="N833" s="7">
        <v>0</v>
      </c>
      <c r="O833" t="s">
        <v>1101</v>
      </c>
      <c r="P833" s="3" t="s">
        <v>46</v>
      </c>
      <c r="Q833" s="8">
        <v>0.22689999999999999</v>
      </c>
    </row>
    <row r="834" spans="1:17" hidden="1" x14ac:dyDescent="0.55000000000000004">
      <c r="A834" s="3" t="s">
        <v>987</v>
      </c>
      <c r="B834" s="3" t="s">
        <v>1093</v>
      </c>
      <c r="C834" t="s">
        <v>1045</v>
      </c>
      <c r="D834" s="3" t="s">
        <v>7329</v>
      </c>
      <c r="E834" t="s">
        <v>1117</v>
      </c>
      <c r="F834" s="3" t="s">
        <v>1118</v>
      </c>
      <c r="G834" t="s">
        <v>24</v>
      </c>
      <c r="H834" s="3" t="s">
        <v>1102</v>
      </c>
      <c r="I834" t="s">
        <v>48</v>
      </c>
      <c r="J834" s="3" t="s">
        <v>1100</v>
      </c>
      <c r="K834" s="4">
        <v>779</v>
      </c>
      <c r="L834" s="5">
        <v>35.43</v>
      </c>
      <c r="M834" s="6">
        <v>0</v>
      </c>
      <c r="N834" s="7">
        <v>0</v>
      </c>
      <c r="O834" t="s">
        <v>1103</v>
      </c>
      <c r="P834" s="3" t="s">
        <v>23</v>
      </c>
      <c r="Q834" s="8" t="s">
        <v>23</v>
      </c>
    </row>
    <row r="835" spans="1:17" hidden="1" x14ac:dyDescent="0.55000000000000004">
      <c r="A835" s="3" t="s">
        <v>987</v>
      </c>
      <c r="B835" s="3" t="s">
        <v>1093</v>
      </c>
      <c r="C835" t="s">
        <v>1045</v>
      </c>
      <c r="D835" s="3" t="s">
        <v>7329</v>
      </c>
      <c r="E835" t="s">
        <v>1117</v>
      </c>
      <c r="F835" s="3" t="s">
        <v>1118</v>
      </c>
      <c r="G835" t="s">
        <v>24</v>
      </c>
      <c r="H835" s="3" t="s">
        <v>1059</v>
      </c>
      <c r="I835" t="s">
        <v>48</v>
      </c>
      <c r="J835" s="3" t="s">
        <v>1060</v>
      </c>
      <c r="K835" s="4">
        <v>602</v>
      </c>
      <c r="L835" s="5">
        <v>0</v>
      </c>
      <c r="M835" s="6">
        <v>0</v>
      </c>
      <c r="N835" s="7">
        <v>0</v>
      </c>
      <c r="O835" t="s">
        <v>23</v>
      </c>
      <c r="P835" s="3" t="s">
        <v>23</v>
      </c>
      <c r="Q835" s="8" t="s">
        <v>23</v>
      </c>
    </row>
    <row r="836" spans="1:17" hidden="1" x14ac:dyDescent="0.55000000000000004">
      <c r="A836" s="3" t="s">
        <v>987</v>
      </c>
      <c r="B836" s="3" t="s">
        <v>1093</v>
      </c>
      <c r="C836" t="s">
        <v>1045</v>
      </c>
      <c r="D836" s="3" t="s">
        <v>7329</v>
      </c>
      <c r="E836" t="s">
        <v>1117</v>
      </c>
      <c r="F836" s="3" t="s">
        <v>1118</v>
      </c>
      <c r="G836" t="s">
        <v>24</v>
      </c>
      <c r="H836" s="3" t="s">
        <v>1061</v>
      </c>
      <c r="I836" t="s">
        <v>114</v>
      </c>
      <c r="J836" s="3" t="s">
        <v>1060</v>
      </c>
      <c r="K836" s="4">
        <v>516</v>
      </c>
      <c r="L836" s="5">
        <v>0</v>
      </c>
      <c r="M836" s="6">
        <v>0</v>
      </c>
      <c r="N836" s="7">
        <v>0</v>
      </c>
      <c r="O836" t="s">
        <v>23</v>
      </c>
      <c r="P836" s="3" t="s">
        <v>23</v>
      </c>
      <c r="Q836" s="8" t="s">
        <v>23</v>
      </c>
    </row>
    <row r="837" spans="1:17" hidden="1" x14ac:dyDescent="0.55000000000000004">
      <c r="A837" s="3" t="s">
        <v>987</v>
      </c>
      <c r="B837" s="3" t="s">
        <v>1093</v>
      </c>
      <c r="C837" t="s">
        <v>1045</v>
      </c>
      <c r="D837" s="3" t="s">
        <v>7329</v>
      </c>
      <c r="E837" t="s">
        <v>1119</v>
      </c>
      <c r="F837" s="3" t="s">
        <v>1120</v>
      </c>
      <c r="G837" t="s">
        <v>19</v>
      </c>
      <c r="H837" s="3" t="s">
        <v>1096</v>
      </c>
      <c r="I837" t="s">
        <v>81</v>
      </c>
      <c r="J837" s="3" t="s">
        <v>1097</v>
      </c>
      <c r="K837" s="4">
        <v>758</v>
      </c>
      <c r="L837" s="5">
        <v>164.67</v>
      </c>
      <c r="M837" s="6">
        <v>1</v>
      </c>
      <c r="N837" s="7">
        <v>1</v>
      </c>
      <c r="O837" t="s">
        <v>1098</v>
      </c>
      <c r="P837" s="3" t="s">
        <v>84</v>
      </c>
      <c r="Q837" s="8">
        <v>3.8151999999999998E-2</v>
      </c>
    </row>
    <row r="838" spans="1:17" hidden="1" x14ac:dyDescent="0.55000000000000004">
      <c r="A838" s="3" t="s">
        <v>987</v>
      </c>
      <c r="B838" s="3" t="s">
        <v>1093</v>
      </c>
      <c r="C838" t="s">
        <v>1045</v>
      </c>
      <c r="D838" s="3" t="s">
        <v>7329</v>
      </c>
      <c r="E838" t="s">
        <v>1119</v>
      </c>
      <c r="F838" s="3" t="s">
        <v>1120</v>
      </c>
      <c r="G838" t="s">
        <v>19</v>
      </c>
      <c r="H838" s="3" t="s">
        <v>1108</v>
      </c>
      <c r="I838" t="s">
        <v>86</v>
      </c>
      <c r="J838" s="3" t="s">
        <v>1109</v>
      </c>
      <c r="K838" s="4">
        <v>499</v>
      </c>
      <c r="L838" s="5">
        <v>108.57</v>
      </c>
      <c r="M838" s="6">
        <v>0</v>
      </c>
      <c r="N838" s="7">
        <v>1</v>
      </c>
      <c r="O838" t="s">
        <v>1110</v>
      </c>
      <c r="P838" s="3" t="s">
        <v>89</v>
      </c>
      <c r="Q838" s="8">
        <v>3.3973999999999997E-2</v>
      </c>
    </row>
    <row r="839" spans="1:17" hidden="1" x14ac:dyDescent="0.55000000000000004">
      <c r="A839" s="3" t="s">
        <v>987</v>
      </c>
      <c r="B839" s="3" t="s">
        <v>1093</v>
      </c>
      <c r="C839" t="s">
        <v>1045</v>
      </c>
      <c r="D839" s="3" t="s">
        <v>7329</v>
      </c>
      <c r="E839" t="s">
        <v>1119</v>
      </c>
      <c r="F839" s="3" t="s">
        <v>1120</v>
      </c>
      <c r="G839" t="s">
        <v>24</v>
      </c>
      <c r="H839" s="3" t="s">
        <v>1051</v>
      </c>
      <c r="I839" t="s">
        <v>105</v>
      </c>
      <c r="J839" s="3" t="s">
        <v>1052</v>
      </c>
      <c r="K839" s="4">
        <v>447</v>
      </c>
      <c r="L839" s="5">
        <v>0</v>
      </c>
      <c r="M839" s="6">
        <v>0</v>
      </c>
      <c r="N839" s="7">
        <v>1</v>
      </c>
      <c r="O839" t="s">
        <v>23</v>
      </c>
      <c r="P839" s="3" t="s">
        <v>23</v>
      </c>
      <c r="Q839" s="8" t="s">
        <v>23</v>
      </c>
    </row>
    <row r="840" spans="1:17" hidden="1" x14ac:dyDescent="0.55000000000000004">
      <c r="A840" s="3" t="s">
        <v>987</v>
      </c>
      <c r="B840" s="3" t="s">
        <v>1093</v>
      </c>
      <c r="C840" t="s">
        <v>1045</v>
      </c>
      <c r="D840" s="3" t="s">
        <v>7329</v>
      </c>
      <c r="E840" t="s">
        <v>1119</v>
      </c>
      <c r="F840" s="3" t="s">
        <v>1120</v>
      </c>
      <c r="G840" t="s">
        <v>24</v>
      </c>
      <c r="H840" s="3" t="s">
        <v>1053</v>
      </c>
      <c r="I840" t="s">
        <v>37</v>
      </c>
      <c r="J840" s="3" t="s">
        <v>1052</v>
      </c>
      <c r="K840" s="4">
        <v>610</v>
      </c>
      <c r="L840" s="5">
        <v>0</v>
      </c>
      <c r="M840" s="6">
        <v>0</v>
      </c>
      <c r="N840" s="7">
        <v>1</v>
      </c>
      <c r="O840" t="s">
        <v>23</v>
      </c>
      <c r="P840" s="3" t="s">
        <v>23</v>
      </c>
      <c r="Q840" s="8" t="s">
        <v>23</v>
      </c>
    </row>
    <row r="841" spans="1:17" hidden="1" x14ac:dyDescent="0.55000000000000004">
      <c r="A841" s="3" t="s">
        <v>987</v>
      </c>
      <c r="B841" s="3" t="s">
        <v>1093</v>
      </c>
      <c r="C841" t="s">
        <v>1045</v>
      </c>
      <c r="D841" s="3" t="s">
        <v>7329</v>
      </c>
      <c r="E841" t="s">
        <v>1119</v>
      </c>
      <c r="F841" s="3" t="s">
        <v>1120</v>
      </c>
      <c r="G841" t="s">
        <v>24</v>
      </c>
      <c r="H841" s="3" t="s">
        <v>1099</v>
      </c>
      <c r="I841" t="s">
        <v>43</v>
      </c>
      <c r="J841" s="3" t="s">
        <v>1100</v>
      </c>
      <c r="K841" s="4">
        <v>676</v>
      </c>
      <c r="L841" s="5">
        <v>30.73</v>
      </c>
      <c r="M841" s="6">
        <v>1</v>
      </c>
      <c r="N841" s="7">
        <v>1</v>
      </c>
      <c r="O841" t="s">
        <v>1101</v>
      </c>
      <c r="P841" s="3" t="s">
        <v>46</v>
      </c>
      <c r="Q841" s="8">
        <v>0.22689999999999999</v>
      </c>
    </row>
    <row r="842" spans="1:17" hidden="1" x14ac:dyDescent="0.55000000000000004">
      <c r="A842" s="3" t="s">
        <v>987</v>
      </c>
      <c r="B842" s="3" t="s">
        <v>1093</v>
      </c>
      <c r="C842" t="s">
        <v>1045</v>
      </c>
      <c r="D842" s="3" t="s">
        <v>7329</v>
      </c>
      <c r="E842" t="s">
        <v>1119</v>
      </c>
      <c r="F842" s="3" t="s">
        <v>1120</v>
      </c>
      <c r="G842" t="s">
        <v>24</v>
      </c>
      <c r="H842" s="3" t="s">
        <v>1102</v>
      </c>
      <c r="I842" t="s">
        <v>48</v>
      </c>
      <c r="J842" s="3" t="s">
        <v>1100</v>
      </c>
      <c r="K842" s="4">
        <v>779</v>
      </c>
      <c r="L842" s="5">
        <v>35.43</v>
      </c>
      <c r="M842" s="6">
        <v>0</v>
      </c>
      <c r="N842" s="7">
        <v>1</v>
      </c>
      <c r="O842" t="s">
        <v>1103</v>
      </c>
      <c r="P842" s="3" t="s">
        <v>23</v>
      </c>
      <c r="Q842" s="8" t="s">
        <v>23</v>
      </c>
    </row>
    <row r="843" spans="1:17" hidden="1" x14ac:dyDescent="0.55000000000000004">
      <c r="A843" s="3" t="s">
        <v>987</v>
      </c>
      <c r="B843" s="3" t="s">
        <v>1093</v>
      </c>
      <c r="C843" t="s">
        <v>1045</v>
      </c>
      <c r="D843" s="3" t="s">
        <v>7329</v>
      </c>
      <c r="E843" t="s">
        <v>1119</v>
      </c>
      <c r="F843" s="3" t="s">
        <v>1120</v>
      </c>
      <c r="G843" t="s">
        <v>24</v>
      </c>
      <c r="H843" s="3" t="s">
        <v>1059</v>
      </c>
      <c r="I843" t="s">
        <v>48</v>
      </c>
      <c r="J843" s="3" t="s">
        <v>1060</v>
      </c>
      <c r="K843" s="4">
        <v>602</v>
      </c>
      <c r="L843" s="5">
        <v>0</v>
      </c>
      <c r="M843" s="6">
        <v>0</v>
      </c>
      <c r="N843" s="7">
        <v>1</v>
      </c>
      <c r="O843" t="s">
        <v>23</v>
      </c>
      <c r="P843" s="3" t="s">
        <v>23</v>
      </c>
      <c r="Q843" s="8" t="s">
        <v>23</v>
      </c>
    </row>
    <row r="844" spans="1:17" hidden="1" x14ac:dyDescent="0.55000000000000004">
      <c r="A844" s="3" t="s">
        <v>987</v>
      </c>
      <c r="B844" s="3" t="s">
        <v>1093</v>
      </c>
      <c r="C844" t="s">
        <v>1045</v>
      </c>
      <c r="D844" s="3" t="s">
        <v>7329</v>
      </c>
      <c r="E844" t="s">
        <v>1119</v>
      </c>
      <c r="F844" s="3" t="s">
        <v>1120</v>
      </c>
      <c r="G844" t="s">
        <v>24</v>
      </c>
      <c r="H844" s="3" t="s">
        <v>1061</v>
      </c>
      <c r="I844" t="s">
        <v>114</v>
      </c>
      <c r="J844" s="3" t="s">
        <v>1060</v>
      </c>
      <c r="K844" s="4">
        <v>516</v>
      </c>
      <c r="L844" s="5">
        <v>0</v>
      </c>
      <c r="M844" s="6">
        <v>0</v>
      </c>
      <c r="N844" s="7">
        <v>1</v>
      </c>
      <c r="O844" t="s">
        <v>23</v>
      </c>
      <c r="P844" s="3" t="s">
        <v>23</v>
      </c>
      <c r="Q844" s="8" t="s">
        <v>23</v>
      </c>
    </row>
    <row r="845" spans="1:17" hidden="1" x14ac:dyDescent="0.55000000000000004">
      <c r="A845" s="3" t="s">
        <v>987</v>
      </c>
      <c r="B845" s="3" t="s">
        <v>1093</v>
      </c>
      <c r="C845" t="s">
        <v>1045</v>
      </c>
      <c r="D845" s="3" t="s">
        <v>7329</v>
      </c>
      <c r="E845" t="s">
        <v>1121</v>
      </c>
      <c r="F845" s="3" t="s">
        <v>1122</v>
      </c>
      <c r="G845" t="s">
        <v>19</v>
      </c>
      <c r="H845" s="3" t="s">
        <v>1096</v>
      </c>
      <c r="I845" t="s">
        <v>81</v>
      </c>
      <c r="J845" s="3" t="s">
        <v>1097</v>
      </c>
      <c r="K845" s="4">
        <v>758</v>
      </c>
      <c r="L845" s="5">
        <v>164.67</v>
      </c>
      <c r="M845" s="6">
        <v>1</v>
      </c>
      <c r="N845" s="7">
        <v>0</v>
      </c>
      <c r="O845" t="s">
        <v>1098</v>
      </c>
      <c r="P845" s="3" t="s">
        <v>84</v>
      </c>
      <c r="Q845" s="8">
        <v>3.8151999999999998E-2</v>
      </c>
    </row>
    <row r="846" spans="1:17" hidden="1" x14ac:dyDescent="0.55000000000000004">
      <c r="A846" s="3" t="s">
        <v>987</v>
      </c>
      <c r="B846" s="3" t="s">
        <v>1093</v>
      </c>
      <c r="C846" t="s">
        <v>1045</v>
      </c>
      <c r="D846" s="3" t="s">
        <v>7329</v>
      </c>
      <c r="E846" t="s">
        <v>1121</v>
      </c>
      <c r="F846" s="3" t="s">
        <v>1122</v>
      </c>
      <c r="G846" t="s">
        <v>19</v>
      </c>
      <c r="H846" s="3" t="s">
        <v>1108</v>
      </c>
      <c r="I846" t="s">
        <v>86</v>
      </c>
      <c r="J846" s="3" t="s">
        <v>1109</v>
      </c>
      <c r="K846" s="4">
        <v>499</v>
      </c>
      <c r="L846" s="5">
        <v>108.57</v>
      </c>
      <c r="M846" s="6">
        <v>0</v>
      </c>
      <c r="N846" s="7">
        <v>0</v>
      </c>
      <c r="O846" t="s">
        <v>1110</v>
      </c>
      <c r="P846" s="3" t="s">
        <v>89</v>
      </c>
      <c r="Q846" s="8">
        <v>3.3973999999999997E-2</v>
      </c>
    </row>
    <row r="847" spans="1:17" hidden="1" x14ac:dyDescent="0.55000000000000004">
      <c r="A847" s="3" t="s">
        <v>987</v>
      </c>
      <c r="B847" s="3" t="s">
        <v>1093</v>
      </c>
      <c r="C847" t="s">
        <v>1045</v>
      </c>
      <c r="D847" s="3" t="s">
        <v>7329</v>
      </c>
      <c r="E847" t="s">
        <v>1121</v>
      </c>
      <c r="F847" s="3" t="s">
        <v>1122</v>
      </c>
      <c r="G847" t="s">
        <v>24</v>
      </c>
      <c r="H847" s="3" t="s">
        <v>1051</v>
      </c>
      <c r="I847" t="s">
        <v>105</v>
      </c>
      <c r="J847" s="3" t="s">
        <v>1052</v>
      </c>
      <c r="K847" s="4">
        <v>447</v>
      </c>
      <c r="L847" s="5">
        <v>0</v>
      </c>
      <c r="M847" s="6">
        <v>0</v>
      </c>
      <c r="N847" s="7">
        <v>0</v>
      </c>
      <c r="O847" t="s">
        <v>23</v>
      </c>
      <c r="P847" s="3" t="s">
        <v>23</v>
      </c>
      <c r="Q847" s="8" t="s">
        <v>23</v>
      </c>
    </row>
    <row r="848" spans="1:17" hidden="1" x14ac:dyDescent="0.55000000000000004">
      <c r="A848" s="3" t="s">
        <v>987</v>
      </c>
      <c r="B848" s="3" t="s">
        <v>1093</v>
      </c>
      <c r="C848" t="s">
        <v>1045</v>
      </c>
      <c r="D848" s="3" t="s">
        <v>7329</v>
      </c>
      <c r="E848" t="s">
        <v>1121</v>
      </c>
      <c r="F848" s="3" t="s">
        <v>1122</v>
      </c>
      <c r="G848" t="s">
        <v>24</v>
      </c>
      <c r="H848" s="3" t="s">
        <v>1053</v>
      </c>
      <c r="I848" t="s">
        <v>37</v>
      </c>
      <c r="J848" s="3" t="s">
        <v>1052</v>
      </c>
      <c r="K848" s="4">
        <v>610</v>
      </c>
      <c r="L848" s="5">
        <v>0</v>
      </c>
      <c r="M848" s="6">
        <v>0</v>
      </c>
      <c r="N848" s="7">
        <v>0</v>
      </c>
      <c r="O848" t="s">
        <v>23</v>
      </c>
      <c r="P848" s="3" t="s">
        <v>23</v>
      </c>
      <c r="Q848" s="8" t="s">
        <v>23</v>
      </c>
    </row>
    <row r="849" spans="1:17" hidden="1" x14ac:dyDescent="0.55000000000000004">
      <c r="A849" s="3" t="s">
        <v>987</v>
      </c>
      <c r="B849" s="3" t="s">
        <v>1093</v>
      </c>
      <c r="C849" t="s">
        <v>1045</v>
      </c>
      <c r="D849" s="3" t="s">
        <v>7329</v>
      </c>
      <c r="E849" t="s">
        <v>1121</v>
      </c>
      <c r="F849" s="3" t="s">
        <v>1122</v>
      </c>
      <c r="G849" t="s">
        <v>24</v>
      </c>
      <c r="H849" s="3" t="s">
        <v>1099</v>
      </c>
      <c r="I849" t="s">
        <v>43</v>
      </c>
      <c r="J849" s="3" t="s">
        <v>1100</v>
      </c>
      <c r="K849" s="4">
        <v>676</v>
      </c>
      <c r="L849" s="5">
        <v>30.73</v>
      </c>
      <c r="M849" s="6">
        <v>1</v>
      </c>
      <c r="N849" s="7">
        <v>0</v>
      </c>
      <c r="O849" t="s">
        <v>1101</v>
      </c>
      <c r="P849" s="3" t="s">
        <v>46</v>
      </c>
      <c r="Q849" s="8">
        <v>0.22689999999999999</v>
      </c>
    </row>
    <row r="850" spans="1:17" hidden="1" x14ac:dyDescent="0.55000000000000004">
      <c r="A850" s="3" t="s">
        <v>987</v>
      </c>
      <c r="B850" s="3" t="s">
        <v>1093</v>
      </c>
      <c r="C850" t="s">
        <v>1045</v>
      </c>
      <c r="D850" s="3" t="s">
        <v>7329</v>
      </c>
      <c r="E850" t="s">
        <v>1121</v>
      </c>
      <c r="F850" s="3" t="s">
        <v>1122</v>
      </c>
      <c r="G850" t="s">
        <v>24</v>
      </c>
      <c r="H850" s="3" t="s">
        <v>1102</v>
      </c>
      <c r="I850" t="s">
        <v>48</v>
      </c>
      <c r="J850" s="3" t="s">
        <v>1100</v>
      </c>
      <c r="K850" s="4">
        <v>779</v>
      </c>
      <c r="L850" s="5">
        <v>35.43</v>
      </c>
      <c r="M850" s="6">
        <v>0</v>
      </c>
      <c r="N850" s="7">
        <v>0</v>
      </c>
      <c r="O850" t="s">
        <v>1103</v>
      </c>
      <c r="P850" s="3" t="s">
        <v>23</v>
      </c>
      <c r="Q850" s="8" t="s">
        <v>23</v>
      </c>
    </row>
    <row r="851" spans="1:17" hidden="1" x14ac:dyDescent="0.55000000000000004">
      <c r="A851" s="3" t="s">
        <v>987</v>
      </c>
      <c r="B851" s="3" t="s">
        <v>1093</v>
      </c>
      <c r="C851" t="s">
        <v>1045</v>
      </c>
      <c r="D851" s="3" t="s">
        <v>7329</v>
      </c>
      <c r="E851" t="s">
        <v>1121</v>
      </c>
      <c r="F851" s="3" t="s">
        <v>1122</v>
      </c>
      <c r="G851" t="s">
        <v>24</v>
      </c>
      <c r="H851" s="3" t="s">
        <v>1059</v>
      </c>
      <c r="I851" t="s">
        <v>48</v>
      </c>
      <c r="J851" s="3" t="s">
        <v>1060</v>
      </c>
      <c r="K851" s="4">
        <v>602</v>
      </c>
      <c r="L851" s="5">
        <v>0</v>
      </c>
      <c r="M851" s="6">
        <v>0</v>
      </c>
      <c r="N851" s="7">
        <v>0</v>
      </c>
      <c r="O851" t="s">
        <v>23</v>
      </c>
      <c r="P851" s="3" t="s">
        <v>23</v>
      </c>
      <c r="Q851" s="8" t="s">
        <v>23</v>
      </c>
    </row>
    <row r="852" spans="1:17" hidden="1" x14ac:dyDescent="0.55000000000000004">
      <c r="A852" s="3" t="s">
        <v>987</v>
      </c>
      <c r="B852" s="3" t="s">
        <v>1093</v>
      </c>
      <c r="C852" t="s">
        <v>1045</v>
      </c>
      <c r="D852" s="3" t="s">
        <v>7329</v>
      </c>
      <c r="E852" t="s">
        <v>1121</v>
      </c>
      <c r="F852" s="3" t="s">
        <v>1122</v>
      </c>
      <c r="G852" t="s">
        <v>24</v>
      </c>
      <c r="H852" s="3" t="s">
        <v>1061</v>
      </c>
      <c r="I852" t="s">
        <v>114</v>
      </c>
      <c r="J852" s="3" t="s">
        <v>1060</v>
      </c>
      <c r="K852" s="4">
        <v>516</v>
      </c>
      <c r="L852" s="5">
        <v>0</v>
      </c>
      <c r="M852" s="6">
        <v>0</v>
      </c>
      <c r="N852" s="7">
        <v>0</v>
      </c>
      <c r="O852" t="s">
        <v>23</v>
      </c>
      <c r="P852" s="3" t="s">
        <v>23</v>
      </c>
      <c r="Q852" s="8" t="s">
        <v>23</v>
      </c>
    </row>
    <row r="853" spans="1:17" hidden="1" x14ac:dyDescent="0.55000000000000004">
      <c r="A853" s="3" t="s">
        <v>987</v>
      </c>
      <c r="B853" s="3" t="s">
        <v>1093</v>
      </c>
      <c r="C853" t="s">
        <v>1045</v>
      </c>
      <c r="D853" s="3" t="s">
        <v>7329</v>
      </c>
      <c r="E853" t="s">
        <v>1123</v>
      </c>
      <c r="F853" s="3" t="s">
        <v>1124</v>
      </c>
      <c r="G853" t="s">
        <v>19</v>
      </c>
      <c r="H853" s="3" t="s">
        <v>1096</v>
      </c>
      <c r="I853" t="s">
        <v>81</v>
      </c>
      <c r="J853" s="3" t="s">
        <v>1097</v>
      </c>
      <c r="K853" s="4">
        <v>758</v>
      </c>
      <c r="L853" s="5">
        <v>164.67</v>
      </c>
      <c r="M853" s="6">
        <v>1</v>
      </c>
      <c r="N853" s="7">
        <v>0</v>
      </c>
      <c r="O853" t="s">
        <v>1098</v>
      </c>
      <c r="P853" s="3" t="s">
        <v>84</v>
      </c>
      <c r="Q853" s="8">
        <v>3.8151999999999998E-2</v>
      </c>
    </row>
    <row r="854" spans="1:17" hidden="1" x14ac:dyDescent="0.55000000000000004">
      <c r="A854" s="3" t="s">
        <v>987</v>
      </c>
      <c r="B854" s="3" t="s">
        <v>1093</v>
      </c>
      <c r="C854" t="s">
        <v>1045</v>
      </c>
      <c r="D854" s="3" t="s">
        <v>7329</v>
      </c>
      <c r="E854" t="s">
        <v>1123</v>
      </c>
      <c r="F854" s="3" t="s">
        <v>1124</v>
      </c>
      <c r="G854" t="s">
        <v>19</v>
      </c>
      <c r="H854" s="3" t="s">
        <v>1108</v>
      </c>
      <c r="I854" t="s">
        <v>86</v>
      </c>
      <c r="J854" s="3" t="s">
        <v>1109</v>
      </c>
      <c r="K854" s="4">
        <v>499</v>
      </c>
      <c r="L854" s="5">
        <v>108.57</v>
      </c>
      <c r="M854" s="6">
        <v>0</v>
      </c>
      <c r="N854" s="7">
        <v>0</v>
      </c>
      <c r="O854" t="s">
        <v>1110</v>
      </c>
      <c r="P854" s="3" t="s">
        <v>89</v>
      </c>
      <c r="Q854" s="8">
        <v>3.3973999999999997E-2</v>
      </c>
    </row>
    <row r="855" spans="1:17" hidden="1" x14ac:dyDescent="0.55000000000000004">
      <c r="A855" s="3" t="s">
        <v>987</v>
      </c>
      <c r="B855" s="3" t="s">
        <v>1093</v>
      </c>
      <c r="C855" t="s">
        <v>1045</v>
      </c>
      <c r="D855" s="3" t="s">
        <v>7329</v>
      </c>
      <c r="E855" t="s">
        <v>1123</v>
      </c>
      <c r="F855" s="3" t="s">
        <v>1124</v>
      </c>
      <c r="G855" t="s">
        <v>24</v>
      </c>
      <c r="H855" s="3" t="s">
        <v>1051</v>
      </c>
      <c r="I855" t="s">
        <v>105</v>
      </c>
      <c r="J855" s="3" t="s">
        <v>1052</v>
      </c>
      <c r="K855" s="4">
        <v>447</v>
      </c>
      <c r="L855" s="5">
        <v>0</v>
      </c>
      <c r="M855" s="6">
        <v>0</v>
      </c>
      <c r="N855" s="7">
        <v>0</v>
      </c>
      <c r="O855" t="s">
        <v>23</v>
      </c>
      <c r="P855" s="3" t="s">
        <v>23</v>
      </c>
      <c r="Q855" s="8" t="s">
        <v>23</v>
      </c>
    </row>
    <row r="856" spans="1:17" hidden="1" x14ac:dyDescent="0.55000000000000004">
      <c r="A856" s="3" t="s">
        <v>987</v>
      </c>
      <c r="B856" s="3" t="s">
        <v>1093</v>
      </c>
      <c r="C856" t="s">
        <v>1045</v>
      </c>
      <c r="D856" s="3" t="s">
        <v>7329</v>
      </c>
      <c r="E856" t="s">
        <v>1123</v>
      </c>
      <c r="F856" s="3" t="s">
        <v>1124</v>
      </c>
      <c r="G856" t="s">
        <v>24</v>
      </c>
      <c r="H856" s="3" t="s">
        <v>1053</v>
      </c>
      <c r="I856" t="s">
        <v>37</v>
      </c>
      <c r="J856" s="3" t="s">
        <v>1052</v>
      </c>
      <c r="K856" s="4">
        <v>610</v>
      </c>
      <c r="L856" s="5">
        <v>0</v>
      </c>
      <c r="M856" s="6">
        <v>0</v>
      </c>
      <c r="N856" s="7">
        <v>0</v>
      </c>
      <c r="O856" t="s">
        <v>23</v>
      </c>
      <c r="P856" s="3" t="s">
        <v>23</v>
      </c>
      <c r="Q856" s="8" t="s">
        <v>23</v>
      </c>
    </row>
    <row r="857" spans="1:17" hidden="1" x14ac:dyDescent="0.55000000000000004">
      <c r="A857" s="3" t="s">
        <v>987</v>
      </c>
      <c r="B857" s="3" t="s">
        <v>1093</v>
      </c>
      <c r="C857" t="s">
        <v>1045</v>
      </c>
      <c r="D857" s="3" t="s">
        <v>7329</v>
      </c>
      <c r="E857" t="s">
        <v>1123</v>
      </c>
      <c r="F857" s="3" t="s">
        <v>1124</v>
      </c>
      <c r="G857" t="s">
        <v>24</v>
      </c>
      <c r="H857" s="3" t="s">
        <v>1099</v>
      </c>
      <c r="I857" t="s">
        <v>43</v>
      </c>
      <c r="J857" s="3" t="s">
        <v>1100</v>
      </c>
      <c r="K857" s="4">
        <v>676</v>
      </c>
      <c r="L857" s="5">
        <v>30.73</v>
      </c>
      <c r="M857" s="6">
        <v>1</v>
      </c>
      <c r="N857" s="7">
        <v>0</v>
      </c>
      <c r="O857" t="s">
        <v>1101</v>
      </c>
      <c r="P857" s="3" t="s">
        <v>46</v>
      </c>
      <c r="Q857" s="8">
        <v>0.22689999999999999</v>
      </c>
    </row>
    <row r="858" spans="1:17" hidden="1" x14ac:dyDescent="0.55000000000000004">
      <c r="A858" s="3" t="s">
        <v>987</v>
      </c>
      <c r="B858" s="3" t="s">
        <v>1093</v>
      </c>
      <c r="C858" t="s">
        <v>1045</v>
      </c>
      <c r="D858" s="3" t="s">
        <v>7329</v>
      </c>
      <c r="E858" t="s">
        <v>1123</v>
      </c>
      <c r="F858" s="3" t="s">
        <v>1124</v>
      </c>
      <c r="G858" t="s">
        <v>24</v>
      </c>
      <c r="H858" s="3" t="s">
        <v>1102</v>
      </c>
      <c r="I858" t="s">
        <v>48</v>
      </c>
      <c r="J858" s="3" t="s">
        <v>1100</v>
      </c>
      <c r="K858" s="4">
        <v>779</v>
      </c>
      <c r="L858" s="5">
        <v>35.43</v>
      </c>
      <c r="M858" s="6">
        <v>0</v>
      </c>
      <c r="N858" s="7">
        <v>0</v>
      </c>
      <c r="O858" t="s">
        <v>1103</v>
      </c>
      <c r="P858" s="3" t="s">
        <v>23</v>
      </c>
      <c r="Q858" s="8" t="s">
        <v>23</v>
      </c>
    </row>
    <row r="859" spans="1:17" hidden="1" x14ac:dyDescent="0.55000000000000004">
      <c r="A859" s="3" t="s">
        <v>987</v>
      </c>
      <c r="B859" s="3" t="s">
        <v>1093</v>
      </c>
      <c r="C859" t="s">
        <v>1045</v>
      </c>
      <c r="D859" s="3" t="s">
        <v>7329</v>
      </c>
      <c r="E859" t="s">
        <v>1123</v>
      </c>
      <c r="F859" s="3" t="s">
        <v>1124</v>
      </c>
      <c r="G859" t="s">
        <v>24</v>
      </c>
      <c r="H859" s="3" t="s">
        <v>1059</v>
      </c>
      <c r="I859" t="s">
        <v>48</v>
      </c>
      <c r="J859" s="3" t="s">
        <v>1060</v>
      </c>
      <c r="K859" s="4">
        <v>602</v>
      </c>
      <c r="L859" s="5">
        <v>0</v>
      </c>
      <c r="M859" s="6">
        <v>0</v>
      </c>
      <c r="N859" s="7">
        <v>0</v>
      </c>
      <c r="O859" t="s">
        <v>23</v>
      </c>
      <c r="P859" s="3" t="s">
        <v>23</v>
      </c>
      <c r="Q859" s="8" t="s">
        <v>23</v>
      </c>
    </row>
    <row r="860" spans="1:17" hidden="1" x14ac:dyDescent="0.55000000000000004">
      <c r="A860" s="3" t="s">
        <v>987</v>
      </c>
      <c r="B860" s="3" t="s">
        <v>1093</v>
      </c>
      <c r="C860" t="s">
        <v>1045</v>
      </c>
      <c r="D860" s="3" t="s">
        <v>7329</v>
      </c>
      <c r="E860" t="s">
        <v>1123</v>
      </c>
      <c r="F860" s="3" t="s">
        <v>1124</v>
      </c>
      <c r="G860" t="s">
        <v>24</v>
      </c>
      <c r="H860" s="3" t="s">
        <v>1061</v>
      </c>
      <c r="I860" t="s">
        <v>114</v>
      </c>
      <c r="J860" s="3" t="s">
        <v>1060</v>
      </c>
      <c r="K860" s="4">
        <v>516</v>
      </c>
      <c r="L860" s="5">
        <v>0</v>
      </c>
      <c r="M860" s="6">
        <v>0</v>
      </c>
      <c r="N860" s="7">
        <v>0</v>
      </c>
      <c r="O860" t="s">
        <v>23</v>
      </c>
      <c r="P860" s="3" t="s">
        <v>23</v>
      </c>
      <c r="Q860" s="8" t="s">
        <v>23</v>
      </c>
    </row>
    <row r="861" spans="1:17" hidden="1" x14ac:dyDescent="0.55000000000000004">
      <c r="A861" s="3" t="s">
        <v>987</v>
      </c>
      <c r="B861" s="3" t="s">
        <v>1125</v>
      </c>
      <c r="C861" t="s">
        <v>1125</v>
      </c>
      <c r="D861" s="3" t="s">
        <v>7329</v>
      </c>
      <c r="E861" t="s">
        <v>1126</v>
      </c>
      <c r="F861" s="3" t="s">
        <v>1127</v>
      </c>
      <c r="G861" t="s">
        <v>19</v>
      </c>
      <c r="H861" s="3" t="s">
        <v>1128</v>
      </c>
      <c r="I861" t="s">
        <v>81</v>
      </c>
      <c r="J861" s="3" t="s">
        <v>1129</v>
      </c>
      <c r="K861" s="4">
        <v>783</v>
      </c>
      <c r="L861" s="5">
        <v>170.2</v>
      </c>
      <c r="M861" s="6">
        <v>1</v>
      </c>
      <c r="N861" s="7">
        <v>0</v>
      </c>
      <c r="O861" t="s">
        <v>1130</v>
      </c>
      <c r="P861" s="3" t="s">
        <v>84</v>
      </c>
      <c r="Q861" s="8">
        <v>3.9383000000000001E-2</v>
      </c>
    </row>
    <row r="862" spans="1:17" hidden="1" x14ac:dyDescent="0.55000000000000004">
      <c r="A862" s="3" t="s">
        <v>987</v>
      </c>
      <c r="B862" s="3" t="s">
        <v>1125</v>
      </c>
      <c r="C862" t="s">
        <v>1125</v>
      </c>
      <c r="D862" s="3" t="s">
        <v>7329</v>
      </c>
      <c r="E862" t="s">
        <v>1126</v>
      </c>
      <c r="F862" s="3" t="s">
        <v>1127</v>
      </c>
      <c r="G862" t="s">
        <v>24</v>
      </c>
      <c r="H862" s="3" t="s">
        <v>1131</v>
      </c>
      <c r="I862" t="s">
        <v>43</v>
      </c>
      <c r="J862" s="3" t="s">
        <v>1132</v>
      </c>
      <c r="K862" s="4">
        <v>726</v>
      </c>
      <c r="L862" s="5">
        <v>33.01</v>
      </c>
      <c r="M862" s="6">
        <v>1</v>
      </c>
      <c r="N862" s="7">
        <v>0</v>
      </c>
      <c r="O862" t="s">
        <v>1133</v>
      </c>
      <c r="P862" s="3" t="s">
        <v>46</v>
      </c>
      <c r="Q862" s="8">
        <v>0.22689999999999999</v>
      </c>
    </row>
    <row r="863" spans="1:17" hidden="1" x14ac:dyDescent="0.55000000000000004">
      <c r="A863" s="3" t="s">
        <v>987</v>
      </c>
      <c r="B863" s="3" t="s">
        <v>1125</v>
      </c>
      <c r="C863" t="s">
        <v>1125</v>
      </c>
      <c r="D863" s="3" t="s">
        <v>7329</v>
      </c>
      <c r="E863" t="s">
        <v>1126</v>
      </c>
      <c r="F863" s="3" t="s">
        <v>1127</v>
      </c>
      <c r="G863" t="s">
        <v>24</v>
      </c>
      <c r="H863" s="3" t="s">
        <v>1134</v>
      </c>
      <c r="I863" t="s">
        <v>48</v>
      </c>
      <c r="J863" s="3" t="s">
        <v>1132</v>
      </c>
      <c r="K863" s="4">
        <v>835</v>
      </c>
      <c r="L863" s="5">
        <v>37.96</v>
      </c>
      <c r="M863" s="6">
        <v>0</v>
      </c>
      <c r="N863" s="7">
        <v>0</v>
      </c>
      <c r="O863" t="s">
        <v>1135</v>
      </c>
      <c r="P863" s="3" t="s">
        <v>23</v>
      </c>
      <c r="Q863" s="8" t="s">
        <v>23</v>
      </c>
    </row>
    <row r="864" spans="1:17" hidden="1" x14ac:dyDescent="0.55000000000000004">
      <c r="A864" s="3" t="s">
        <v>987</v>
      </c>
      <c r="B864" s="3" t="s">
        <v>1136</v>
      </c>
      <c r="C864" t="s">
        <v>1137</v>
      </c>
      <c r="D864" s="3" t="s">
        <v>7329</v>
      </c>
      <c r="E864" t="s">
        <v>1138</v>
      </c>
      <c r="F864" s="3" t="s">
        <v>1139</v>
      </c>
      <c r="G864" t="s">
        <v>19</v>
      </c>
      <c r="H864" s="3" t="s">
        <v>1140</v>
      </c>
      <c r="I864" t="s">
        <v>81</v>
      </c>
      <c r="J864" s="3" t="s">
        <v>1141</v>
      </c>
      <c r="K864" s="4">
        <v>836</v>
      </c>
      <c r="L864" s="5">
        <v>181.65</v>
      </c>
      <c r="M864" s="6">
        <v>1</v>
      </c>
      <c r="N864" s="7">
        <v>1</v>
      </c>
      <c r="O864" t="s">
        <v>1142</v>
      </c>
      <c r="P864" s="3" t="s">
        <v>84</v>
      </c>
      <c r="Q864" s="8">
        <v>4.0399999999999998E-2</v>
      </c>
    </row>
    <row r="865" spans="1:17" hidden="1" x14ac:dyDescent="0.55000000000000004">
      <c r="A865" s="3" t="s">
        <v>987</v>
      </c>
      <c r="B865" s="3" t="s">
        <v>1136</v>
      </c>
      <c r="C865" t="s">
        <v>1137</v>
      </c>
      <c r="D865" s="3" t="s">
        <v>7329</v>
      </c>
      <c r="E865" t="s">
        <v>1138</v>
      </c>
      <c r="F865" s="3" t="s">
        <v>1139</v>
      </c>
      <c r="G865" t="s">
        <v>24</v>
      </c>
      <c r="H865" s="3" t="s">
        <v>1143</v>
      </c>
      <c r="I865" t="s">
        <v>43</v>
      </c>
      <c r="J865" s="3" t="s">
        <v>1144</v>
      </c>
      <c r="K865" s="4">
        <v>551</v>
      </c>
      <c r="L865" s="5">
        <v>25.04</v>
      </c>
      <c r="M865" s="6">
        <v>1</v>
      </c>
      <c r="N865" s="7">
        <v>1</v>
      </c>
      <c r="O865" t="s">
        <v>1145</v>
      </c>
      <c r="P865" s="3" t="s">
        <v>46</v>
      </c>
      <c r="Q865" s="8">
        <v>0.20116700000000001</v>
      </c>
    </row>
    <row r="866" spans="1:17" hidden="1" x14ac:dyDescent="0.55000000000000004">
      <c r="A866" s="3" t="s">
        <v>987</v>
      </c>
      <c r="B866" s="3" t="s">
        <v>1136</v>
      </c>
      <c r="C866" t="s">
        <v>1137</v>
      </c>
      <c r="D866" s="3" t="s">
        <v>7329</v>
      </c>
      <c r="E866" t="s">
        <v>1138</v>
      </c>
      <c r="F866" s="3" t="s">
        <v>1139</v>
      </c>
      <c r="G866" t="s">
        <v>24</v>
      </c>
      <c r="H866" s="3" t="s">
        <v>1146</v>
      </c>
      <c r="I866" t="s">
        <v>48</v>
      </c>
      <c r="J866" s="3" t="s">
        <v>1144</v>
      </c>
      <c r="K866" s="4">
        <v>664</v>
      </c>
      <c r="L866" s="5">
        <v>30.16</v>
      </c>
      <c r="M866" s="6">
        <v>0</v>
      </c>
      <c r="N866" s="7">
        <v>1</v>
      </c>
      <c r="O866" t="s">
        <v>1147</v>
      </c>
      <c r="P866" s="3" t="s">
        <v>23</v>
      </c>
      <c r="Q866" s="8" t="s">
        <v>23</v>
      </c>
    </row>
    <row r="867" spans="1:17" hidden="1" x14ac:dyDescent="0.55000000000000004">
      <c r="A867" s="3" t="s">
        <v>987</v>
      </c>
      <c r="B867" s="3" t="s">
        <v>1148</v>
      </c>
      <c r="C867" t="s">
        <v>1148</v>
      </c>
      <c r="D867" s="3" t="s">
        <v>7329</v>
      </c>
      <c r="E867" t="s">
        <v>1149</v>
      </c>
      <c r="F867" s="3" t="s">
        <v>1150</v>
      </c>
      <c r="G867" t="s">
        <v>19</v>
      </c>
      <c r="H867" s="3" t="s">
        <v>1151</v>
      </c>
      <c r="I867" t="s">
        <v>81</v>
      </c>
      <c r="J867" s="3" t="s">
        <v>1152</v>
      </c>
      <c r="K867" s="4">
        <v>837</v>
      </c>
      <c r="L867" s="5">
        <v>182.04</v>
      </c>
      <c r="M867" s="6">
        <v>1</v>
      </c>
      <c r="N867" s="7">
        <v>0</v>
      </c>
      <c r="O867" t="s">
        <v>1153</v>
      </c>
      <c r="P867" s="3" t="s">
        <v>84</v>
      </c>
      <c r="Q867" s="8">
        <v>4.0399999999999998E-2</v>
      </c>
    </row>
    <row r="868" spans="1:17" hidden="1" x14ac:dyDescent="0.55000000000000004">
      <c r="A868" s="3" t="s">
        <v>987</v>
      </c>
      <c r="B868" s="3" t="s">
        <v>1148</v>
      </c>
      <c r="C868" t="s">
        <v>1148</v>
      </c>
      <c r="D868" s="3" t="s">
        <v>7329</v>
      </c>
      <c r="E868" t="s">
        <v>1149</v>
      </c>
      <c r="F868" s="3" t="s">
        <v>1150</v>
      </c>
      <c r="G868" t="s">
        <v>19</v>
      </c>
      <c r="H868" s="3" t="s">
        <v>1154</v>
      </c>
      <c r="I868" t="s">
        <v>86</v>
      </c>
      <c r="J868" s="3" t="s">
        <v>1155</v>
      </c>
      <c r="K868" s="4">
        <v>558</v>
      </c>
      <c r="L868" s="5">
        <v>121.22</v>
      </c>
      <c r="M868" s="6">
        <v>0</v>
      </c>
      <c r="N868" s="7">
        <v>0</v>
      </c>
      <c r="O868" t="s">
        <v>1156</v>
      </c>
      <c r="P868" s="3" t="s">
        <v>89</v>
      </c>
      <c r="Q868" s="8">
        <v>3.6364E-2</v>
      </c>
    </row>
    <row r="869" spans="1:17" hidden="1" x14ac:dyDescent="0.55000000000000004">
      <c r="A869" s="3" t="s">
        <v>987</v>
      </c>
      <c r="B869" s="3" t="s">
        <v>1148</v>
      </c>
      <c r="C869" t="s">
        <v>1148</v>
      </c>
      <c r="D869" s="3" t="s">
        <v>7329</v>
      </c>
      <c r="E869" t="s">
        <v>1149</v>
      </c>
      <c r="F869" s="3" t="s">
        <v>1150</v>
      </c>
      <c r="G869" t="s">
        <v>24</v>
      </c>
      <c r="H869" s="3" t="s">
        <v>1157</v>
      </c>
      <c r="I869" t="s">
        <v>43</v>
      </c>
      <c r="J869" s="3" t="s">
        <v>1158</v>
      </c>
      <c r="K869" s="4">
        <v>792</v>
      </c>
      <c r="L869" s="5">
        <v>35.99</v>
      </c>
      <c r="M869" s="6">
        <v>1</v>
      </c>
      <c r="N869" s="7">
        <v>0</v>
      </c>
      <c r="O869" t="s">
        <v>1159</v>
      </c>
      <c r="P869" s="3" t="s">
        <v>46</v>
      </c>
      <c r="Q869" s="8">
        <v>0.2298</v>
      </c>
    </row>
    <row r="870" spans="1:17" hidden="1" x14ac:dyDescent="0.55000000000000004">
      <c r="A870" s="3" t="s">
        <v>987</v>
      </c>
      <c r="B870" s="3" t="s">
        <v>1148</v>
      </c>
      <c r="C870" t="s">
        <v>1148</v>
      </c>
      <c r="D870" s="3" t="s">
        <v>7329</v>
      </c>
      <c r="E870" t="s">
        <v>1149</v>
      </c>
      <c r="F870" s="3" t="s">
        <v>1150</v>
      </c>
      <c r="G870" t="s">
        <v>24</v>
      </c>
      <c r="H870" s="3" t="s">
        <v>1160</v>
      </c>
      <c r="I870" t="s">
        <v>48</v>
      </c>
      <c r="J870" s="3" t="s">
        <v>1158</v>
      </c>
      <c r="K870" s="4">
        <v>896</v>
      </c>
      <c r="L870" s="5">
        <v>40.72</v>
      </c>
      <c r="M870" s="6">
        <v>0</v>
      </c>
      <c r="N870" s="7">
        <v>0</v>
      </c>
      <c r="O870" t="s">
        <v>1161</v>
      </c>
      <c r="P870" s="3" t="s">
        <v>23</v>
      </c>
      <c r="Q870" s="8" t="s">
        <v>23</v>
      </c>
    </row>
    <row r="871" spans="1:17" hidden="1" x14ac:dyDescent="0.55000000000000004">
      <c r="A871" s="3" t="s">
        <v>987</v>
      </c>
      <c r="B871" s="3" t="s">
        <v>1148</v>
      </c>
      <c r="C871" t="s">
        <v>1148</v>
      </c>
      <c r="D871" s="3" t="s">
        <v>7329</v>
      </c>
      <c r="E871" t="s">
        <v>1162</v>
      </c>
      <c r="F871" s="3" t="s">
        <v>1163</v>
      </c>
      <c r="G871" t="s">
        <v>19</v>
      </c>
      <c r="H871" s="3" t="s">
        <v>1151</v>
      </c>
      <c r="I871" t="s">
        <v>81</v>
      </c>
      <c r="J871" s="3" t="s">
        <v>1152</v>
      </c>
      <c r="K871" s="4">
        <v>837</v>
      </c>
      <c r="L871" s="5">
        <v>182.04</v>
      </c>
      <c r="M871" s="6">
        <v>1</v>
      </c>
      <c r="N871" s="7">
        <v>0</v>
      </c>
      <c r="O871" t="s">
        <v>1153</v>
      </c>
      <c r="P871" s="3" t="s">
        <v>84</v>
      </c>
      <c r="Q871" s="8">
        <v>4.0399999999999998E-2</v>
      </c>
    </row>
    <row r="872" spans="1:17" hidden="1" x14ac:dyDescent="0.55000000000000004">
      <c r="A872" s="3" t="s">
        <v>987</v>
      </c>
      <c r="B872" s="3" t="s">
        <v>1148</v>
      </c>
      <c r="C872" t="s">
        <v>1148</v>
      </c>
      <c r="D872" s="3" t="s">
        <v>7329</v>
      </c>
      <c r="E872" t="s">
        <v>1162</v>
      </c>
      <c r="F872" s="3" t="s">
        <v>1163</v>
      </c>
      <c r="G872" t="s">
        <v>19</v>
      </c>
      <c r="H872" s="3" t="s">
        <v>1154</v>
      </c>
      <c r="I872" t="s">
        <v>86</v>
      </c>
      <c r="J872" s="3" t="s">
        <v>1155</v>
      </c>
      <c r="K872" s="4">
        <v>558</v>
      </c>
      <c r="L872" s="5">
        <v>121.22</v>
      </c>
      <c r="M872" s="6">
        <v>0</v>
      </c>
      <c r="N872" s="7">
        <v>0</v>
      </c>
      <c r="O872" t="s">
        <v>1156</v>
      </c>
      <c r="P872" s="3" t="s">
        <v>89</v>
      </c>
      <c r="Q872" s="8">
        <v>3.6364E-2</v>
      </c>
    </row>
    <row r="873" spans="1:17" hidden="1" x14ac:dyDescent="0.55000000000000004">
      <c r="A873" s="3" t="s">
        <v>987</v>
      </c>
      <c r="B873" s="3" t="s">
        <v>1148</v>
      </c>
      <c r="C873" t="s">
        <v>1148</v>
      </c>
      <c r="D873" s="3" t="s">
        <v>7329</v>
      </c>
      <c r="E873" t="s">
        <v>1162</v>
      </c>
      <c r="F873" s="3" t="s">
        <v>1163</v>
      </c>
      <c r="G873" t="s">
        <v>24</v>
      </c>
      <c r="H873" s="3" t="s">
        <v>1157</v>
      </c>
      <c r="I873" t="s">
        <v>43</v>
      </c>
      <c r="J873" s="3" t="s">
        <v>1158</v>
      </c>
      <c r="K873" s="4">
        <v>792</v>
      </c>
      <c r="L873" s="5">
        <v>35.99</v>
      </c>
      <c r="M873" s="6">
        <v>1</v>
      </c>
      <c r="N873" s="7">
        <v>0</v>
      </c>
      <c r="O873" t="s">
        <v>1159</v>
      </c>
      <c r="P873" s="3" t="s">
        <v>46</v>
      </c>
      <c r="Q873" s="8">
        <v>0.2298</v>
      </c>
    </row>
    <row r="874" spans="1:17" hidden="1" x14ac:dyDescent="0.55000000000000004">
      <c r="A874" s="3" t="s">
        <v>987</v>
      </c>
      <c r="B874" s="3" t="s">
        <v>1148</v>
      </c>
      <c r="C874" t="s">
        <v>1148</v>
      </c>
      <c r="D874" s="3" t="s">
        <v>7329</v>
      </c>
      <c r="E874" t="s">
        <v>1162</v>
      </c>
      <c r="F874" s="3" t="s">
        <v>1163</v>
      </c>
      <c r="G874" t="s">
        <v>24</v>
      </c>
      <c r="H874" s="3" t="s">
        <v>1160</v>
      </c>
      <c r="I874" t="s">
        <v>48</v>
      </c>
      <c r="J874" s="3" t="s">
        <v>1158</v>
      </c>
      <c r="K874" s="4">
        <v>896</v>
      </c>
      <c r="L874" s="5">
        <v>40.72</v>
      </c>
      <c r="M874" s="6">
        <v>0</v>
      </c>
      <c r="N874" s="7">
        <v>0</v>
      </c>
      <c r="O874" t="s">
        <v>1161</v>
      </c>
      <c r="P874" s="3" t="s">
        <v>23</v>
      </c>
      <c r="Q874" s="8" t="s">
        <v>23</v>
      </c>
    </row>
    <row r="875" spans="1:17" hidden="1" x14ac:dyDescent="0.55000000000000004">
      <c r="A875" s="3" t="s">
        <v>987</v>
      </c>
      <c r="B875" s="3" t="s">
        <v>1148</v>
      </c>
      <c r="C875" t="s">
        <v>1148</v>
      </c>
      <c r="D875" s="3" t="s">
        <v>7329</v>
      </c>
      <c r="E875" t="s">
        <v>1164</v>
      </c>
      <c r="F875" s="3" t="s">
        <v>1165</v>
      </c>
      <c r="G875" t="s">
        <v>19</v>
      </c>
      <c r="H875" s="3" t="s">
        <v>1154</v>
      </c>
      <c r="I875" t="s">
        <v>86</v>
      </c>
      <c r="J875" s="3" t="s">
        <v>1155</v>
      </c>
      <c r="K875" s="4">
        <v>558</v>
      </c>
      <c r="L875" s="5">
        <v>121.22</v>
      </c>
      <c r="M875" s="6">
        <v>1</v>
      </c>
      <c r="N875" s="7">
        <v>0</v>
      </c>
      <c r="O875" t="s">
        <v>1156</v>
      </c>
      <c r="P875" s="3" t="s">
        <v>89</v>
      </c>
      <c r="Q875" s="8">
        <v>3.6364E-2</v>
      </c>
    </row>
    <row r="876" spans="1:17" hidden="1" x14ac:dyDescent="0.55000000000000004">
      <c r="A876" s="3" t="s">
        <v>987</v>
      </c>
      <c r="B876" s="3" t="s">
        <v>1148</v>
      </c>
      <c r="C876" t="s">
        <v>1148</v>
      </c>
      <c r="D876" s="3" t="s">
        <v>7329</v>
      </c>
      <c r="E876" t="s">
        <v>1164</v>
      </c>
      <c r="F876" s="3" t="s">
        <v>1165</v>
      </c>
      <c r="G876" t="s">
        <v>24</v>
      </c>
      <c r="H876" s="3" t="s">
        <v>1157</v>
      </c>
      <c r="I876" t="s">
        <v>43</v>
      </c>
      <c r="J876" s="3" t="s">
        <v>1158</v>
      </c>
      <c r="K876" s="4">
        <v>792</v>
      </c>
      <c r="L876" s="5">
        <v>35.99</v>
      </c>
      <c r="M876" s="6">
        <v>1</v>
      </c>
      <c r="N876" s="7">
        <v>0</v>
      </c>
      <c r="O876" t="s">
        <v>1159</v>
      </c>
      <c r="P876" s="3" t="s">
        <v>46</v>
      </c>
      <c r="Q876" s="8">
        <v>0.2298</v>
      </c>
    </row>
    <row r="877" spans="1:17" hidden="1" x14ac:dyDescent="0.55000000000000004">
      <c r="A877" s="3" t="s">
        <v>987</v>
      </c>
      <c r="B877" s="3" t="s">
        <v>1148</v>
      </c>
      <c r="C877" t="s">
        <v>1148</v>
      </c>
      <c r="D877" s="3" t="s">
        <v>7329</v>
      </c>
      <c r="E877" t="s">
        <v>1164</v>
      </c>
      <c r="F877" s="3" t="s">
        <v>1165</v>
      </c>
      <c r="G877" t="s">
        <v>24</v>
      </c>
      <c r="H877" s="3" t="s">
        <v>1160</v>
      </c>
      <c r="I877" t="s">
        <v>48</v>
      </c>
      <c r="J877" s="3" t="s">
        <v>1158</v>
      </c>
      <c r="K877" s="4">
        <v>896</v>
      </c>
      <c r="L877" s="5">
        <v>40.72</v>
      </c>
      <c r="M877" s="6">
        <v>0</v>
      </c>
      <c r="N877" s="7">
        <v>0</v>
      </c>
      <c r="O877" t="s">
        <v>1161</v>
      </c>
      <c r="P877" s="3" t="s">
        <v>23</v>
      </c>
      <c r="Q877" s="8" t="s">
        <v>23</v>
      </c>
    </row>
    <row r="878" spans="1:17" hidden="1" x14ac:dyDescent="0.55000000000000004">
      <c r="A878" s="3" t="s">
        <v>987</v>
      </c>
      <c r="B878" s="3" t="s">
        <v>1148</v>
      </c>
      <c r="C878" t="s">
        <v>1148</v>
      </c>
      <c r="D878" s="3" t="s">
        <v>7329</v>
      </c>
      <c r="E878" t="s">
        <v>1166</v>
      </c>
      <c r="F878" s="3" t="s">
        <v>1167</v>
      </c>
      <c r="G878" t="s">
        <v>19</v>
      </c>
      <c r="H878" s="3" t="s">
        <v>1151</v>
      </c>
      <c r="I878" t="s">
        <v>81</v>
      </c>
      <c r="J878" s="3" t="s">
        <v>1152</v>
      </c>
      <c r="K878" s="4">
        <v>837</v>
      </c>
      <c r="L878" s="5">
        <v>182.04</v>
      </c>
      <c r="M878" s="6">
        <v>1</v>
      </c>
      <c r="N878" s="7">
        <v>1</v>
      </c>
      <c r="O878" t="s">
        <v>1153</v>
      </c>
      <c r="P878" s="3" t="s">
        <v>84</v>
      </c>
      <c r="Q878" s="8">
        <v>4.0399999999999998E-2</v>
      </c>
    </row>
    <row r="879" spans="1:17" hidden="1" x14ac:dyDescent="0.55000000000000004">
      <c r="A879" s="3" t="s">
        <v>987</v>
      </c>
      <c r="B879" s="3" t="s">
        <v>1148</v>
      </c>
      <c r="C879" t="s">
        <v>1148</v>
      </c>
      <c r="D879" s="3" t="s">
        <v>7329</v>
      </c>
      <c r="E879" t="s">
        <v>1166</v>
      </c>
      <c r="F879" s="3" t="s">
        <v>1167</v>
      </c>
      <c r="G879" t="s">
        <v>19</v>
      </c>
      <c r="H879" s="3" t="s">
        <v>1154</v>
      </c>
      <c r="I879" t="s">
        <v>86</v>
      </c>
      <c r="J879" s="3" t="s">
        <v>1155</v>
      </c>
      <c r="K879" s="4">
        <v>558</v>
      </c>
      <c r="L879" s="5">
        <v>121.22</v>
      </c>
      <c r="M879" s="6">
        <v>0</v>
      </c>
      <c r="N879" s="7">
        <v>1</v>
      </c>
      <c r="O879" t="s">
        <v>1156</v>
      </c>
      <c r="P879" s="3" t="s">
        <v>89</v>
      </c>
      <c r="Q879" s="8">
        <v>3.6364E-2</v>
      </c>
    </row>
    <row r="880" spans="1:17" hidden="1" x14ac:dyDescent="0.55000000000000004">
      <c r="A880" s="3" t="s">
        <v>987</v>
      </c>
      <c r="B880" s="3" t="s">
        <v>1148</v>
      </c>
      <c r="C880" t="s">
        <v>1148</v>
      </c>
      <c r="D880" s="3" t="s">
        <v>7329</v>
      </c>
      <c r="E880" t="s">
        <v>1166</v>
      </c>
      <c r="F880" s="3" t="s">
        <v>1167</v>
      </c>
      <c r="G880" t="s">
        <v>24</v>
      </c>
      <c r="H880" s="3" t="s">
        <v>1157</v>
      </c>
      <c r="I880" t="s">
        <v>43</v>
      </c>
      <c r="J880" s="3" t="s">
        <v>1158</v>
      </c>
      <c r="K880" s="4">
        <v>792</v>
      </c>
      <c r="L880" s="5">
        <v>35.99</v>
      </c>
      <c r="M880" s="6">
        <v>1</v>
      </c>
      <c r="N880" s="7">
        <v>1</v>
      </c>
      <c r="O880" t="s">
        <v>1159</v>
      </c>
      <c r="P880" s="3" t="s">
        <v>46</v>
      </c>
      <c r="Q880" s="8">
        <v>0.2298</v>
      </c>
    </row>
    <row r="881" spans="1:17" hidden="1" x14ac:dyDescent="0.55000000000000004">
      <c r="A881" s="3" t="s">
        <v>987</v>
      </c>
      <c r="B881" s="3" t="s">
        <v>1148</v>
      </c>
      <c r="C881" t="s">
        <v>1148</v>
      </c>
      <c r="D881" s="3" t="s">
        <v>7329</v>
      </c>
      <c r="E881" t="s">
        <v>1166</v>
      </c>
      <c r="F881" s="3" t="s">
        <v>1167</v>
      </c>
      <c r="G881" t="s">
        <v>24</v>
      </c>
      <c r="H881" s="3" t="s">
        <v>1160</v>
      </c>
      <c r="I881" t="s">
        <v>48</v>
      </c>
      <c r="J881" s="3" t="s">
        <v>1158</v>
      </c>
      <c r="K881" s="4">
        <v>896</v>
      </c>
      <c r="L881" s="5">
        <v>40.72</v>
      </c>
      <c r="M881" s="6">
        <v>0</v>
      </c>
      <c r="N881" s="7">
        <v>1</v>
      </c>
      <c r="O881" t="s">
        <v>1161</v>
      </c>
      <c r="P881" s="3" t="s">
        <v>23</v>
      </c>
      <c r="Q881" s="8" t="s">
        <v>23</v>
      </c>
    </row>
    <row r="882" spans="1:17" hidden="1" x14ac:dyDescent="0.55000000000000004">
      <c r="A882" s="3" t="s">
        <v>987</v>
      </c>
      <c r="B882" s="3" t="s">
        <v>1148</v>
      </c>
      <c r="C882" t="s">
        <v>1148</v>
      </c>
      <c r="D882" s="3" t="s">
        <v>7329</v>
      </c>
      <c r="E882" t="s">
        <v>1168</v>
      </c>
      <c r="F882" s="3" t="s">
        <v>1169</v>
      </c>
      <c r="G882" t="s">
        <v>19</v>
      </c>
      <c r="H882" s="3" t="s">
        <v>1154</v>
      </c>
      <c r="I882" t="s">
        <v>86</v>
      </c>
      <c r="J882" s="3" t="s">
        <v>1155</v>
      </c>
      <c r="K882" s="4">
        <v>558</v>
      </c>
      <c r="L882" s="5">
        <v>121.22</v>
      </c>
      <c r="M882" s="6">
        <v>1</v>
      </c>
      <c r="N882" s="7">
        <v>0</v>
      </c>
      <c r="O882" t="s">
        <v>1156</v>
      </c>
      <c r="P882" s="3" t="s">
        <v>89</v>
      </c>
      <c r="Q882" s="8">
        <v>3.6364E-2</v>
      </c>
    </row>
    <row r="883" spans="1:17" hidden="1" x14ac:dyDescent="0.55000000000000004">
      <c r="A883" s="3" t="s">
        <v>987</v>
      </c>
      <c r="B883" s="3" t="s">
        <v>1148</v>
      </c>
      <c r="C883" t="s">
        <v>1148</v>
      </c>
      <c r="D883" s="3" t="s">
        <v>7329</v>
      </c>
      <c r="E883" t="s">
        <v>1168</v>
      </c>
      <c r="F883" s="3" t="s">
        <v>1169</v>
      </c>
      <c r="G883" t="s">
        <v>24</v>
      </c>
      <c r="H883" s="3" t="s">
        <v>1157</v>
      </c>
      <c r="I883" t="s">
        <v>43</v>
      </c>
      <c r="J883" s="3" t="s">
        <v>1158</v>
      </c>
      <c r="K883" s="4">
        <v>792</v>
      </c>
      <c r="L883" s="5">
        <v>35.99</v>
      </c>
      <c r="M883" s="6">
        <v>1</v>
      </c>
      <c r="N883" s="7">
        <v>0</v>
      </c>
      <c r="O883" t="s">
        <v>1159</v>
      </c>
      <c r="P883" s="3" t="s">
        <v>46</v>
      </c>
      <c r="Q883" s="8">
        <v>0.2298</v>
      </c>
    </row>
    <row r="884" spans="1:17" hidden="1" x14ac:dyDescent="0.55000000000000004">
      <c r="A884" s="3" t="s">
        <v>987</v>
      </c>
      <c r="B884" s="3" t="s">
        <v>1148</v>
      </c>
      <c r="C884" t="s">
        <v>1148</v>
      </c>
      <c r="D884" s="3" t="s">
        <v>7329</v>
      </c>
      <c r="E884" t="s">
        <v>1168</v>
      </c>
      <c r="F884" s="3" t="s">
        <v>1169</v>
      </c>
      <c r="G884" t="s">
        <v>24</v>
      </c>
      <c r="H884" s="3" t="s">
        <v>1160</v>
      </c>
      <c r="I884" t="s">
        <v>48</v>
      </c>
      <c r="J884" s="3" t="s">
        <v>1158</v>
      </c>
      <c r="K884" s="4">
        <v>896</v>
      </c>
      <c r="L884" s="5">
        <v>40.72</v>
      </c>
      <c r="M884" s="6">
        <v>0</v>
      </c>
      <c r="N884" s="7">
        <v>0</v>
      </c>
      <c r="O884" t="s">
        <v>1161</v>
      </c>
      <c r="P884" s="3" t="s">
        <v>23</v>
      </c>
      <c r="Q884" s="8" t="s">
        <v>23</v>
      </c>
    </row>
    <row r="885" spans="1:17" hidden="1" x14ac:dyDescent="0.55000000000000004">
      <c r="A885" s="3" t="s">
        <v>987</v>
      </c>
      <c r="B885" s="3" t="s">
        <v>1170</v>
      </c>
      <c r="C885" t="s">
        <v>1045</v>
      </c>
      <c r="D885" s="3" t="s">
        <v>7329</v>
      </c>
      <c r="E885" t="s">
        <v>1171</v>
      </c>
      <c r="F885" s="3" t="s">
        <v>1172</v>
      </c>
      <c r="G885" t="s">
        <v>19</v>
      </c>
      <c r="H885" s="3" t="s">
        <v>1173</v>
      </c>
      <c r="I885" t="s">
        <v>81</v>
      </c>
      <c r="J885" s="3" t="s">
        <v>1174</v>
      </c>
      <c r="K885" s="4">
        <v>736</v>
      </c>
      <c r="L885" s="5">
        <v>159.91</v>
      </c>
      <c r="M885" s="6">
        <v>1</v>
      </c>
      <c r="N885" s="7">
        <v>1</v>
      </c>
      <c r="O885" t="s">
        <v>1175</v>
      </c>
      <c r="P885" s="3" t="s">
        <v>84</v>
      </c>
      <c r="Q885" s="8">
        <v>3.8151999999999998E-2</v>
      </c>
    </row>
    <row r="886" spans="1:17" hidden="1" x14ac:dyDescent="0.55000000000000004">
      <c r="A886" s="3" t="s">
        <v>987</v>
      </c>
      <c r="B886" s="3" t="s">
        <v>1170</v>
      </c>
      <c r="C886" t="s">
        <v>1045</v>
      </c>
      <c r="D886" s="3" t="s">
        <v>7329</v>
      </c>
      <c r="E886" t="s">
        <v>1171</v>
      </c>
      <c r="F886" s="3" t="s">
        <v>1172</v>
      </c>
      <c r="G886" t="s">
        <v>24</v>
      </c>
      <c r="H886" s="3" t="s">
        <v>1051</v>
      </c>
      <c r="I886" t="s">
        <v>105</v>
      </c>
      <c r="J886" s="3" t="s">
        <v>1052</v>
      </c>
      <c r="K886" s="4">
        <v>447</v>
      </c>
      <c r="L886" s="5">
        <v>0</v>
      </c>
      <c r="M886" s="6">
        <v>0</v>
      </c>
      <c r="N886" s="7">
        <v>1</v>
      </c>
      <c r="O886" t="s">
        <v>23</v>
      </c>
      <c r="P886" s="3" t="s">
        <v>23</v>
      </c>
      <c r="Q886" s="8" t="s">
        <v>23</v>
      </c>
    </row>
    <row r="887" spans="1:17" hidden="1" x14ac:dyDescent="0.55000000000000004">
      <c r="A887" s="3" t="s">
        <v>987</v>
      </c>
      <c r="B887" s="3" t="s">
        <v>1170</v>
      </c>
      <c r="C887" t="s">
        <v>1045</v>
      </c>
      <c r="D887" s="3" t="s">
        <v>7329</v>
      </c>
      <c r="E887" t="s">
        <v>1171</v>
      </c>
      <c r="F887" s="3" t="s">
        <v>1172</v>
      </c>
      <c r="G887" t="s">
        <v>24</v>
      </c>
      <c r="H887" s="3" t="s">
        <v>1053</v>
      </c>
      <c r="I887" t="s">
        <v>37</v>
      </c>
      <c r="J887" s="3" t="s">
        <v>1052</v>
      </c>
      <c r="K887" s="4">
        <v>610</v>
      </c>
      <c r="L887" s="5">
        <v>0</v>
      </c>
      <c r="M887" s="6">
        <v>0</v>
      </c>
      <c r="N887" s="7">
        <v>1</v>
      </c>
      <c r="O887" t="s">
        <v>23</v>
      </c>
      <c r="P887" s="3" t="s">
        <v>23</v>
      </c>
      <c r="Q887" s="8" t="s">
        <v>23</v>
      </c>
    </row>
    <row r="888" spans="1:17" hidden="1" x14ac:dyDescent="0.55000000000000004">
      <c r="A888" s="3" t="s">
        <v>987</v>
      </c>
      <c r="B888" s="3" t="s">
        <v>1170</v>
      </c>
      <c r="C888" t="s">
        <v>1045</v>
      </c>
      <c r="D888" s="3" t="s">
        <v>7329</v>
      </c>
      <c r="E888" t="s">
        <v>1171</v>
      </c>
      <c r="F888" s="3" t="s">
        <v>1172</v>
      </c>
      <c r="G888" t="s">
        <v>24</v>
      </c>
      <c r="H888" s="3" t="s">
        <v>1176</v>
      </c>
      <c r="I888" t="s">
        <v>48</v>
      </c>
      <c r="J888" s="3" t="s">
        <v>1177</v>
      </c>
      <c r="K888" s="4">
        <v>776</v>
      </c>
      <c r="L888" s="5">
        <v>35.28</v>
      </c>
      <c r="M888" s="6">
        <v>1</v>
      </c>
      <c r="N888" s="7">
        <v>1</v>
      </c>
      <c r="O888" t="s">
        <v>1178</v>
      </c>
      <c r="P888" s="3" t="s">
        <v>46</v>
      </c>
      <c r="Q888" s="8">
        <v>0.20519999999999999</v>
      </c>
    </row>
    <row r="889" spans="1:17" hidden="1" x14ac:dyDescent="0.55000000000000004">
      <c r="A889" s="3" t="s">
        <v>987</v>
      </c>
      <c r="B889" s="3" t="s">
        <v>1170</v>
      </c>
      <c r="C889" t="s">
        <v>1045</v>
      </c>
      <c r="D889" s="3" t="s">
        <v>7329</v>
      </c>
      <c r="E889" t="s">
        <v>1171</v>
      </c>
      <c r="F889" s="3" t="s">
        <v>1172</v>
      </c>
      <c r="G889" t="s">
        <v>24</v>
      </c>
      <c r="H889" s="3" t="s">
        <v>1059</v>
      </c>
      <c r="I889" t="s">
        <v>48</v>
      </c>
      <c r="J889" s="3" t="s">
        <v>1060</v>
      </c>
      <c r="K889" s="4">
        <v>602</v>
      </c>
      <c r="L889" s="5">
        <v>0</v>
      </c>
      <c r="M889" s="6">
        <v>0</v>
      </c>
      <c r="N889" s="7">
        <v>1</v>
      </c>
      <c r="O889" t="s">
        <v>23</v>
      </c>
      <c r="P889" s="3" t="s">
        <v>23</v>
      </c>
      <c r="Q889" s="8" t="s">
        <v>23</v>
      </c>
    </row>
    <row r="890" spans="1:17" hidden="1" x14ac:dyDescent="0.55000000000000004">
      <c r="A890" s="3" t="s">
        <v>987</v>
      </c>
      <c r="B890" s="3" t="s">
        <v>1170</v>
      </c>
      <c r="C890" t="s">
        <v>1045</v>
      </c>
      <c r="D890" s="3" t="s">
        <v>7329</v>
      </c>
      <c r="E890" t="s">
        <v>1171</v>
      </c>
      <c r="F890" s="3" t="s">
        <v>1172</v>
      </c>
      <c r="G890" t="s">
        <v>24</v>
      </c>
      <c r="H890" s="3" t="s">
        <v>1061</v>
      </c>
      <c r="I890" t="s">
        <v>114</v>
      </c>
      <c r="J890" s="3" t="s">
        <v>1060</v>
      </c>
      <c r="K890" s="4">
        <v>516</v>
      </c>
      <c r="L890" s="5">
        <v>0</v>
      </c>
      <c r="M890" s="6">
        <v>0</v>
      </c>
      <c r="N890" s="7">
        <v>1</v>
      </c>
      <c r="O890" t="s">
        <v>23</v>
      </c>
      <c r="P890" s="3" t="s">
        <v>23</v>
      </c>
      <c r="Q890" s="8" t="s">
        <v>23</v>
      </c>
    </row>
    <row r="891" spans="1:17" hidden="1" x14ac:dyDescent="0.55000000000000004">
      <c r="A891" s="3" t="s">
        <v>987</v>
      </c>
      <c r="B891" s="3" t="s">
        <v>1179</v>
      </c>
      <c r="C891" t="s">
        <v>1179</v>
      </c>
      <c r="D891" s="3" t="s">
        <v>7329</v>
      </c>
      <c r="E891" t="s">
        <v>1180</v>
      </c>
      <c r="F891" s="3" t="s">
        <v>1181</v>
      </c>
      <c r="G891" t="s">
        <v>19</v>
      </c>
      <c r="H891" s="3" t="s">
        <v>1182</v>
      </c>
      <c r="I891" t="s">
        <v>81</v>
      </c>
      <c r="J891" s="3" t="s">
        <v>1183</v>
      </c>
      <c r="K891" s="4">
        <v>779</v>
      </c>
      <c r="L891" s="5">
        <v>169.3</v>
      </c>
      <c r="M891" s="6">
        <v>1</v>
      </c>
      <c r="N891" s="7">
        <v>1</v>
      </c>
      <c r="O891" t="s">
        <v>1184</v>
      </c>
      <c r="P891" s="3" t="s">
        <v>84</v>
      </c>
      <c r="Q891" s="8">
        <v>3.9038000000000003E-2</v>
      </c>
    </row>
    <row r="892" spans="1:17" hidden="1" x14ac:dyDescent="0.55000000000000004">
      <c r="A892" s="3" t="s">
        <v>987</v>
      </c>
      <c r="B892" s="3" t="s">
        <v>1179</v>
      </c>
      <c r="C892" t="s">
        <v>1179</v>
      </c>
      <c r="D892" s="3" t="s">
        <v>7329</v>
      </c>
      <c r="E892" t="s">
        <v>1180</v>
      </c>
      <c r="F892" s="3" t="s">
        <v>1181</v>
      </c>
      <c r="G892" t="s">
        <v>24</v>
      </c>
      <c r="H892" s="3" t="s">
        <v>1185</v>
      </c>
      <c r="I892" t="s">
        <v>48</v>
      </c>
      <c r="J892" s="3" t="s">
        <v>1186</v>
      </c>
      <c r="K892" s="4">
        <v>728</v>
      </c>
      <c r="L892" s="5">
        <v>33.11</v>
      </c>
      <c r="M892" s="6">
        <v>1</v>
      </c>
      <c r="N892" s="7">
        <v>1</v>
      </c>
      <c r="O892" t="s">
        <v>1187</v>
      </c>
      <c r="P892" s="3" t="s">
        <v>46</v>
      </c>
      <c r="Q892" s="8">
        <v>0.20519999999999999</v>
      </c>
    </row>
    <row r="893" spans="1:17" hidden="1" x14ac:dyDescent="0.55000000000000004">
      <c r="A893" s="3" t="s">
        <v>987</v>
      </c>
      <c r="B893" s="3" t="s">
        <v>1188</v>
      </c>
      <c r="C893" t="s">
        <v>1188</v>
      </c>
      <c r="D893" s="3" t="s">
        <v>7329</v>
      </c>
      <c r="E893" t="s">
        <v>1189</v>
      </c>
      <c r="F893" s="3" t="s">
        <v>1190</v>
      </c>
      <c r="G893" t="s">
        <v>24</v>
      </c>
      <c r="H893" s="3" t="s">
        <v>1191</v>
      </c>
      <c r="I893" t="s">
        <v>37</v>
      </c>
      <c r="J893" s="3" t="s">
        <v>1192</v>
      </c>
      <c r="K893" s="4">
        <v>1043</v>
      </c>
      <c r="L893" s="5">
        <v>47.42</v>
      </c>
      <c r="M893" s="6">
        <v>1</v>
      </c>
      <c r="N893" s="7">
        <v>0</v>
      </c>
      <c r="O893" t="s">
        <v>1193</v>
      </c>
      <c r="P893" s="3" t="s">
        <v>40</v>
      </c>
      <c r="Q893" s="8">
        <v>0.257942</v>
      </c>
    </row>
    <row r="894" spans="1:17" hidden="1" x14ac:dyDescent="0.55000000000000004">
      <c r="A894" s="3" t="s">
        <v>987</v>
      </c>
      <c r="B894" s="3" t="s">
        <v>1188</v>
      </c>
      <c r="C894" t="s">
        <v>1188</v>
      </c>
      <c r="D894" s="3" t="s">
        <v>7329</v>
      </c>
      <c r="E894" t="s">
        <v>1189</v>
      </c>
      <c r="F894" s="3" t="s">
        <v>1190</v>
      </c>
      <c r="G894" t="s">
        <v>24</v>
      </c>
      <c r="H894" s="3" t="s">
        <v>1194</v>
      </c>
      <c r="I894" t="s">
        <v>43</v>
      </c>
      <c r="J894" s="3" t="s">
        <v>1195</v>
      </c>
      <c r="K894" s="4">
        <v>945</v>
      </c>
      <c r="L894" s="5">
        <v>42.97</v>
      </c>
      <c r="M894" s="6">
        <v>0</v>
      </c>
      <c r="N894" s="7">
        <v>0</v>
      </c>
      <c r="O894" t="s">
        <v>1196</v>
      </c>
      <c r="P894" s="3" t="s">
        <v>138</v>
      </c>
      <c r="Q894" s="8">
        <v>0.259633</v>
      </c>
    </row>
    <row r="895" spans="1:17" hidden="1" x14ac:dyDescent="0.55000000000000004">
      <c r="A895" s="3" t="s">
        <v>987</v>
      </c>
      <c r="B895" s="3" t="s">
        <v>1188</v>
      </c>
      <c r="C895" t="s">
        <v>1188</v>
      </c>
      <c r="D895" s="3" t="s">
        <v>7329</v>
      </c>
      <c r="E895" t="s">
        <v>1197</v>
      </c>
      <c r="F895" s="3" t="s">
        <v>1198</v>
      </c>
      <c r="G895" t="s">
        <v>24</v>
      </c>
      <c r="H895" s="3" t="s">
        <v>1191</v>
      </c>
      <c r="I895" t="s">
        <v>37</v>
      </c>
      <c r="J895" s="3" t="s">
        <v>1192</v>
      </c>
      <c r="K895" s="4">
        <v>1043</v>
      </c>
      <c r="L895" s="5">
        <v>47.42</v>
      </c>
      <c r="M895" s="6">
        <v>1</v>
      </c>
      <c r="N895" s="7">
        <v>0</v>
      </c>
      <c r="O895" t="s">
        <v>1193</v>
      </c>
      <c r="P895" s="3" t="s">
        <v>40</v>
      </c>
      <c r="Q895" s="8">
        <v>0.257942</v>
      </c>
    </row>
    <row r="896" spans="1:17" hidden="1" x14ac:dyDescent="0.55000000000000004">
      <c r="A896" s="3" t="s">
        <v>987</v>
      </c>
      <c r="B896" s="3" t="s">
        <v>1188</v>
      </c>
      <c r="C896" t="s">
        <v>1188</v>
      </c>
      <c r="D896" s="3" t="s">
        <v>7329</v>
      </c>
      <c r="E896" t="s">
        <v>1197</v>
      </c>
      <c r="F896" s="3" t="s">
        <v>1198</v>
      </c>
      <c r="G896" t="s">
        <v>24</v>
      </c>
      <c r="H896" s="3" t="s">
        <v>1194</v>
      </c>
      <c r="I896" t="s">
        <v>43</v>
      </c>
      <c r="J896" s="3" t="s">
        <v>1195</v>
      </c>
      <c r="K896" s="4">
        <v>945</v>
      </c>
      <c r="L896" s="5">
        <v>42.97</v>
      </c>
      <c r="M896" s="6">
        <v>0</v>
      </c>
      <c r="N896" s="7">
        <v>0</v>
      </c>
      <c r="O896" t="s">
        <v>1196</v>
      </c>
      <c r="P896" s="3" t="s">
        <v>138</v>
      </c>
      <c r="Q896" s="8">
        <v>0.259633</v>
      </c>
    </row>
    <row r="897" spans="1:17" hidden="1" x14ac:dyDescent="0.55000000000000004">
      <c r="A897" s="3" t="s">
        <v>987</v>
      </c>
      <c r="B897" s="3" t="s">
        <v>1188</v>
      </c>
      <c r="C897" t="s">
        <v>1188</v>
      </c>
      <c r="D897" s="3" t="s">
        <v>7329</v>
      </c>
      <c r="E897" t="s">
        <v>1199</v>
      </c>
      <c r="F897" s="3" t="s">
        <v>1200</v>
      </c>
      <c r="G897" t="s">
        <v>24</v>
      </c>
      <c r="H897" s="3" t="s">
        <v>1191</v>
      </c>
      <c r="I897" t="s">
        <v>37</v>
      </c>
      <c r="J897" s="3" t="s">
        <v>1192</v>
      </c>
      <c r="K897" s="4">
        <v>1043</v>
      </c>
      <c r="L897" s="5">
        <v>47.42</v>
      </c>
      <c r="M897" s="6">
        <v>1</v>
      </c>
      <c r="N897" s="7">
        <v>0</v>
      </c>
      <c r="O897" t="s">
        <v>1193</v>
      </c>
      <c r="P897" s="3" t="s">
        <v>40</v>
      </c>
      <c r="Q897" s="8">
        <v>0.257942</v>
      </c>
    </row>
    <row r="898" spans="1:17" hidden="1" x14ac:dyDescent="0.55000000000000004">
      <c r="A898" s="9" t="s">
        <v>987</v>
      </c>
      <c r="B898" s="3" t="s">
        <v>1188</v>
      </c>
      <c r="C898" t="s">
        <v>1188</v>
      </c>
      <c r="D898" s="3" t="s">
        <v>7329</v>
      </c>
      <c r="E898" t="s">
        <v>1199</v>
      </c>
      <c r="F898" s="3" t="s">
        <v>1200</v>
      </c>
      <c r="G898" t="s">
        <v>24</v>
      </c>
      <c r="H898" s="3" t="s">
        <v>1194</v>
      </c>
      <c r="I898" t="s">
        <v>43</v>
      </c>
      <c r="J898" s="3" t="s">
        <v>1195</v>
      </c>
      <c r="K898" s="4">
        <v>945</v>
      </c>
      <c r="L898" s="5">
        <v>42.97</v>
      </c>
      <c r="M898" s="6">
        <v>0</v>
      </c>
      <c r="N898" s="7">
        <v>0</v>
      </c>
      <c r="O898" t="s">
        <v>1196</v>
      </c>
      <c r="P898" s="3" t="s">
        <v>138</v>
      </c>
      <c r="Q898" s="8">
        <v>0.259633</v>
      </c>
    </row>
    <row r="899" spans="1:17" hidden="1" x14ac:dyDescent="0.55000000000000004">
      <c r="A899" s="3" t="s">
        <v>1201</v>
      </c>
      <c r="B899" s="3" t="s">
        <v>1202</v>
      </c>
      <c r="C899" t="s">
        <v>1202</v>
      </c>
      <c r="D899" s="3" t="s">
        <v>7319</v>
      </c>
      <c r="E899" t="s">
        <v>1203</v>
      </c>
      <c r="F899" s="3" t="s">
        <v>1204</v>
      </c>
      <c r="G899" t="s">
        <v>19</v>
      </c>
      <c r="H899" s="3" t="s">
        <v>23</v>
      </c>
      <c r="I899" t="s">
        <v>67</v>
      </c>
      <c r="J899" s="3" t="s">
        <v>67</v>
      </c>
      <c r="K899" s="4" t="s">
        <v>23</v>
      </c>
      <c r="L899" s="5" t="s">
        <v>23</v>
      </c>
      <c r="M899" s="6">
        <v>0</v>
      </c>
      <c r="N899" s="7">
        <v>0</v>
      </c>
      <c r="O899" t="s">
        <v>23</v>
      </c>
      <c r="P899" s="3" t="s">
        <v>23</v>
      </c>
      <c r="Q899" s="8" t="s">
        <v>23</v>
      </c>
    </row>
    <row r="900" spans="1:17" hidden="1" x14ac:dyDescent="0.55000000000000004">
      <c r="A900" s="3" t="s">
        <v>1201</v>
      </c>
      <c r="B900" s="3" t="s">
        <v>1202</v>
      </c>
      <c r="C900" t="s">
        <v>1202</v>
      </c>
      <c r="D900" s="3" t="s">
        <v>7319</v>
      </c>
      <c r="E900" t="s">
        <v>1205</v>
      </c>
      <c r="F900" s="3" t="s">
        <v>1206</v>
      </c>
      <c r="G900" t="s">
        <v>19</v>
      </c>
      <c r="H900" s="3" t="s">
        <v>23</v>
      </c>
      <c r="I900" t="s">
        <v>67</v>
      </c>
      <c r="J900" s="3" t="s">
        <v>67</v>
      </c>
      <c r="K900" s="4" t="s">
        <v>23</v>
      </c>
      <c r="L900" s="5" t="s">
        <v>23</v>
      </c>
      <c r="M900" s="6">
        <v>0</v>
      </c>
      <c r="N900" s="7">
        <v>0</v>
      </c>
      <c r="O900" t="s">
        <v>23</v>
      </c>
      <c r="P900" s="3" t="s">
        <v>23</v>
      </c>
      <c r="Q900" s="8" t="s">
        <v>23</v>
      </c>
    </row>
    <row r="901" spans="1:17" hidden="1" x14ac:dyDescent="0.55000000000000004">
      <c r="A901" s="3" t="s">
        <v>1201</v>
      </c>
      <c r="B901" s="3" t="s">
        <v>1202</v>
      </c>
      <c r="C901" t="s">
        <v>1202</v>
      </c>
      <c r="D901" s="3" t="s">
        <v>7319</v>
      </c>
      <c r="E901" t="s">
        <v>1207</v>
      </c>
      <c r="F901" s="3" t="s">
        <v>1208</v>
      </c>
      <c r="G901" t="s">
        <v>19</v>
      </c>
      <c r="H901" s="3" t="s">
        <v>23</v>
      </c>
      <c r="I901" t="s">
        <v>67</v>
      </c>
      <c r="J901" s="3" t="s">
        <v>67</v>
      </c>
      <c r="K901" s="4" t="s">
        <v>23</v>
      </c>
      <c r="L901" s="5" t="s">
        <v>23</v>
      </c>
      <c r="M901" s="6">
        <v>0</v>
      </c>
      <c r="N901" s="7">
        <v>0</v>
      </c>
      <c r="O901" t="s">
        <v>23</v>
      </c>
      <c r="P901" s="3" t="s">
        <v>23</v>
      </c>
      <c r="Q901" s="8" t="s">
        <v>23</v>
      </c>
    </row>
    <row r="902" spans="1:17" hidden="1" x14ac:dyDescent="0.55000000000000004">
      <c r="A902" s="9" t="s">
        <v>1201</v>
      </c>
      <c r="B902" s="3" t="s">
        <v>1202</v>
      </c>
      <c r="C902" t="s">
        <v>1202</v>
      </c>
      <c r="D902" s="3" t="s">
        <v>7319</v>
      </c>
      <c r="E902" t="s">
        <v>1209</v>
      </c>
      <c r="F902" s="3" t="s">
        <v>1210</v>
      </c>
      <c r="G902" t="s">
        <v>19</v>
      </c>
      <c r="H902" s="3" t="s">
        <v>23</v>
      </c>
      <c r="I902" t="s">
        <v>67</v>
      </c>
      <c r="J902" s="3" t="s">
        <v>67</v>
      </c>
      <c r="K902" s="4" t="s">
        <v>23</v>
      </c>
      <c r="L902" s="5" t="s">
        <v>23</v>
      </c>
      <c r="M902" s="6">
        <v>0</v>
      </c>
      <c r="N902" s="7">
        <v>0</v>
      </c>
      <c r="O902" t="s">
        <v>23</v>
      </c>
      <c r="P902" s="3" t="s">
        <v>23</v>
      </c>
      <c r="Q902" s="8" t="s">
        <v>23</v>
      </c>
    </row>
    <row r="903" spans="1:17" hidden="1" x14ac:dyDescent="0.55000000000000004">
      <c r="A903" s="3" t="s">
        <v>1211</v>
      </c>
      <c r="B903" s="3" t="s">
        <v>1212</v>
      </c>
      <c r="C903" t="s">
        <v>1212</v>
      </c>
      <c r="D903" s="3" t="s">
        <v>7312</v>
      </c>
      <c r="E903" t="s">
        <v>1213</v>
      </c>
      <c r="F903" s="3" t="s">
        <v>1214</v>
      </c>
      <c r="G903" t="s">
        <v>24</v>
      </c>
      <c r="H903" s="3" t="s">
        <v>1215</v>
      </c>
      <c r="I903" t="s">
        <v>52</v>
      </c>
      <c r="J903" s="3" t="s">
        <v>1216</v>
      </c>
      <c r="K903" s="4">
        <v>396</v>
      </c>
      <c r="L903" s="5">
        <v>17.989999999999998</v>
      </c>
      <c r="M903" s="6">
        <v>0</v>
      </c>
      <c r="N903" s="7">
        <v>0</v>
      </c>
      <c r="O903" t="s">
        <v>1217</v>
      </c>
      <c r="P903" s="3" t="s">
        <v>55</v>
      </c>
      <c r="Q903" s="8">
        <v>0.18199299999999999</v>
      </c>
    </row>
    <row r="904" spans="1:17" hidden="1" x14ac:dyDescent="0.55000000000000004">
      <c r="A904" s="3" t="s">
        <v>1211</v>
      </c>
      <c r="B904" s="3" t="s">
        <v>1212</v>
      </c>
      <c r="C904" t="s">
        <v>1212</v>
      </c>
      <c r="D904" s="3" t="s">
        <v>7312</v>
      </c>
      <c r="E904" t="s">
        <v>1218</v>
      </c>
      <c r="F904" s="3" t="s">
        <v>1219</v>
      </c>
      <c r="G904" t="s">
        <v>24</v>
      </c>
      <c r="H904" s="3" t="s">
        <v>1215</v>
      </c>
      <c r="I904" t="s">
        <v>52</v>
      </c>
      <c r="J904" s="3" t="s">
        <v>1216</v>
      </c>
      <c r="K904" s="4">
        <v>396</v>
      </c>
      <c r="L904" s="5">
        <v>17.989999999999998</v>
      </c>
      <c r="M904" s="6">
        <v>0</v>
      </c>
      <c r="N904" s="7">
        <v>0</v>
      </c>
      <c r="O904" t="s">
        <v>1217</v>
      </c>
      <c r="P904" s="3" t="s">
        <v>55</v>
      </c>
      <c r="Q904" s="8">
        <v>0.18199299999999999</v>
      </c>
    </row>
    <row r="905" spans="1:17" hidden="1" x14ac:dyDescent="0.55000000000000004">
      <c r="A905" s="3" t="s">
        <v>1211</v>
      </c>
      <c r="B905" s="3" t="s">
        <v>1212</v>
      </c>
      <c r="C905" t="s">
        <v>1212</v>
      </c>
      <c r="D905" s="3" t="s">
        <v>7312</v>
      </c>
      <c r="E905" t="s">
        <v>1220</v>
      </c>
      <c r="F905" s="3" t="s">
        <v>1221</v>
      </c>
      <c r="G905" t="s">
        <v>19</v>
      </c>
      <c r="H905" s="3" t="s">
        <v>1222</v>
      </c>
      <c r="I905" t="s">
        <v>1223</v>
      </c>
      <c r="J905" s="3" t="s">
        <v>1224</v>
      </c>
      <c r="K905" s="4">
        <v>415</v>
      </c>
      <c r="L905" s="5">
        <v>90.22</v>
      </c>
      <c r="M905" s="6">
        <v>0</v>
      </c>
      <c r="N905" s="7">
        <v>1</v>
      </c>
      <c r="O905" t="s">
        <v>1225</v>
      </c>
      <c r="P905" s="3" t="s">
        <v>212</v>
      </c>
      <c r="Q905" s="8">
        <v>9.0300000000000005E-2</v>
      </c>
    </row>
    <row r="906" spans="1:17" hidden="1" x14ac:dyDescent="0.55000000000000004">
      <c r="A906" s="3" t="s">
        <v>1211</v>
      </c>
      <c r="B906" s="3" t="s">
        <v>1212</v>
      </c>
      <c r="C906" t="s">
        <v>1212</v>
      </c>
      <c r="D906" s="3" t="s">
        <v>7312</v>
      </c>
      <c r="E906" t="s">
        <v>1220</v>
      </c>
      <c r="F906" s="3" t="s">
        <v>1221</v>
      </c>
      <c r="G906" t="s">
        <v>19</v>
      </c>
      <c r="H906" s="3" t="s">
        <v>1226</v>
      </c>
      <c r="I906" t="s">
        <v>1227</v>
      </c>
      <c r="J906" s="3" t="s">
        <v>1224</v>
      </c>
      <c r="K906" s="4">
        <v>423</v>
      </c>
      <c r="L906" s="5">
        <v>92</v>
      </c>
      <c r="M906" s="6">
        <v>0</v>
      </c>
      <c r="N906" s="7">
        <v>1</v>
      </c>
      <c r="O906" t="s">
        <v>1228</v>
      </c>
      <c r="P906" s="3" t="s">
        <v>212</v>
      </c>
      <c r="Q906" s="8">
        <v>9.0300000000000005E-2</v>
      </c>
    </row>
    <row r="907" spans="1:17" hidden="1" x14ac:dyDescent="0.55000000000000004">
      <c r="A907" s="3" t="s">
        <v>1211</v>
      </c>
      <c r="B907" s="3" t="s">
        <v>1212</v>
      </c>
      <c r="C907" t="s">
        <v>1212</v>
      </c>
      <c r="D907" s="3" t="s">
        <v>7312</v>
      </c>
      <c r="E907" t="s">
        <v>1220</v>
      </c>
      <c r="F907" s="3" t="s">
        <v>1221</v>
      </c>
      <c r="G907" t="s">
        <v>19</v>
      </c>
      <c r="H907" s="3" t="s">
        <v>1229</v>
      </c>
      <c r="I907" t="s">
        <v>686</v>
      </c>
      <c r="J907" s="3" t="s">
        <v>1224</v>
      </c>
      <c r="K907" s="4">
        <v>593</v>
      </c>
      <c r="L907" s="5">
        <v>128.88999999999999</v>
      </c>
      <c r="M907" s="6">
        <v>0</v>
      </c>
      <c r="N907" s="7">
        <v>1</v>
      </c>
      <c r="O907" t="s">
        <v>1230</v>
      </c>
      <c r="P907" s="3" t="s">
        <v>212</v>
      </c>
      <c r="Q907" s="8">
        <v>0.115255</v>
      </c>
    </row>
    <row r="908" spans="1:17" hidden="1" x14ac:dyDescent="0.55000000000000004">
      <c r="A908" s="3" t="s">
        <v>1211</v>
      </c>
      <c r="B908" s="3" t="s">
        <v>1212</v>
      </c>
      <c r="C908" t="s">
        <v>1212</v>
      </c>
      <c r="D908" s="3" t="s">
        <v>7312</v>
      </c>
      <c r="E908" t="s">
        <v>1220</v>
      </c>
      <c r="F908" s="3" t="s">
        <v>1221</v>
      </c>
      <c r="G908" t="s">
        <v>19</v>
      </c>
      <c r="H908" s="3" t="s">
        <v>1231</v>
      </c>
      <c r="I908" t="s">
        <v>1232</v>
      </c>
      <c r="J908" s="3" t="s">
        <v>1224</v>
      </c>
      <c r="K908" s="4">
        <v>639</v>
      </c>
      <c r="L908" s="5">
        <v>138.93</v>
      </c>
      <c r="M908" s="6">
        <v>1</v>
      </c>
      <c r="N908" s="7">
        <v>1</v>
      </c>
      <c r="O908" t="s">
        <v>1233</v>
      </c>
      <c r="P908" s="3" t="s">
        <v>212</v>
      </c>
      <c r="Q908" s="8">
        <v>0.109517</v>
      </c>
    </row>
    <row r="909" spans="1:17" hidden="1" x14ac:dyDescent="0.55000000000000004">
      <c r="A909" s="3" t="s">
        <v>1211</v>
      </c>
      <c r="B909" s="3" t="s">
        <v>1212</v>
      </c>
      <c r="C909" t="s">
        <v>1212</v>
      </c>
      <c r="D909" s="3" t="s">
        <v>7312</v>
      </c>
      <c r="E909" t="s">
        <v>1220</v>
      </c>
      <c r="F909" s="3" t="s">
        <v>1221</v>
      </c>
      <c r="G909" t="s">
        <v>19</v>
      </c>
      <c r="H909" s="3" t="s">
        <v>1234</v>
      </c>
      <c r="I909" t="s">
        <v>1235</v>
      </c>
      <c r="J909" s="3" t="s">
        <v>1224</v>
      </c>
      <c r="K909" s="4">
        <v>576</v>
      </c>
      <c r="L909" s="5">
        <v>125.3</v>
      </c>
      <c r="M909" s="6">
        <v>0</v>
      </c>
      <c r="N909" s="7">
        <v>1</v>
      </c>
      <c r="O909" t="s">
        <v>1236</v>
      </c>
      <c r="P909" s="3" t="s">
        <v>212</v>
      </c>
      <c r="Q909" s="8">
        <v>0.122324</v>
      </c>
    </row>
    <row r="910" spans="1:17" hidden="1" x14ac:dyDescent="0.55000000000000004">
      <c r="A910" s="3" t="s">
        <v>1211</v>
      </c>
      <c r="B910" s="3" t="s">
        <v>1212</v>
      </c>
      <c r="C910" t="s">
        <v>1212</v>
      </c>
      <c r="D910" s="3" t="s">
        <v>7312</v>
      </c>
      <c r="E910" t="s">
        <v>1220</v>
      </c>
      <c r="F910" s="3" t="s">
        <v>1221</v>
      </c>
      <c r="G910" t="s">
        <v>24</v>
      </c>
      <c r="H910" s="3" t="s">
        <v>1215</v>
      </c>
      <c r="I910" t="s">
        <v>52</v>
      </c>
      <c r="J910" s="3" t="s">
        <v>1216</v>
      </c>
      <c r="K910" s="4">
        <v>396</v>
      </c>
      <c r="L910" s="5">
        <v>17.989999999999998</v>
      </c>
      <c r="M910" s="6">
        <v>0</v>
      </c>
      <c r="N910" s="7">
        <v>1</v>
      </c>
      <c r="O910" t="s">
        <v>1217</v>
      </c>
      <c r="P910" s="3" t="s">
        <v>55</v>
      </c>
      <c r="Q910" s="8">
        <v>0.18199299999999999</v>
      </c>
    </row>
    <row r="911" spans="1:17" hidden="1" x14ac:dyDescent="0.55000000000000004">
      <c r="A911" s="3" t="s">
        <v>1211</v>
      </c>
      <c r="B911" s="3" t="s">
        <v>1237</v>
      </c>
      <c r="C911" t="s">
        <v>7335</v>
      </c>
      <c r="D911" s="3" t="s">
        <v>7312</v>
      </c>
      <c r="E911" t="s">
        <v>1239</v>
      </c>
      <c r="F911" s="3" t="s">
        <v>1240</v>
      </c>
      <c r="G911" t="s">
        <v>19</v>
      </c>
      <c r="H911" s="3" t="s">
        <v>1241</v>
      </c>
      <c r="I911" t="s">
        <v>1223</v>
      </c>
      <c r="J911" s="3" t="s">
        <v>1242</v>
      </c>
      <c r="K911" s="4">
        <v>125</v>
      </c>
      <c r="L911" s="5">
        <v>27.07</v>
      </c>
      <c r="M911" s="6">
        <v>0</v>
      </c>
      <c r="N911" s="7">
        <v>1</v>
      </c>
      <c r="O911" t="s">
        <v>1243</v>
      </c>
      <c r="P911" s="3" t="s">
        <v>212</v>
      </c>
      <c r="Q911" s="8">
        <v>3.8809999999999997E-2</v>
      </c>
    </row>
    <row r="912" spans="1:17" hidden="1" x14ac:dyDescent="0.55000000000000004">
      <c r="A912" s="3" t="s">
        <v>1211</v>
      </c>
      <c r="B912" s="3" t="s">
        <v>1237</v>
      </c>
      <c r="C912" t="s">
        <v>7335</v>
      </c>
      <c r="D912" s="3" t="s">
        <v>7312</v>
      </c>
      <c r="E912" t="s">
        <v>1239</v>
      </c>
      <c r="F912" s="3" t="s">
        <v>1240</v>
      </c>
      <c r="G912" t="s">
        <v>19</v>
      </c>
      <c r="H912" s="3" t="s">
        <v>1244</v>
      </c>
      <c r="I912" t="s">
        <v>1227</v>
      </c>
      <c r="J912" s="3" t="s">
        <v>1242</v>
      </c>
      <c r="K912" s="4">
        <v>133</v>
      </c>
      <c r="L912" s="5">
        <v>28.85</v>
      </c>
      <c r="M912" s="6">
        <v>0</v>
      </c>
      <c r="N912" s="7">
        <v>1</v>
      </c>
      <c r="O912" t="s">
        <v>1245</v>
      </c>
      <c r="P912" s="3" t="s">
        <v>212</v>
      </c>
      <c r="Q912" s="8">
        <v>3.8809999999999997E-2</v>
      </c>
    </row>
    <row r="913" spans="1:17" hidden="1" x14ac:dyDescent="0.55000000000000004">
      <c r="A913" s="3" t="s">
        <v>1211</v>
      </c>
      <c r="B913" s="3" t="s">
        <v>1237</v>
      </c>
      <c r="C913" t="s">
        <v>7335</v>
      </c>
      <c r="D913" s="3" t="s">
        <v>7312</v>
      </c>
      <c r="E913" t="s">
        <v>1239</v>
      </c>
      <c r="F913" s="3" t="s">
        <v>1240</v>
      </c>
      <c r="G913" t="s">
        <v>19</v>
      </c>
      <c r="H913" s="3" t="s">
        <v>1246</v>
      </c>
      <c r="I913" t="s">
        <v>1232</v>
      </c>
      <c r="J913" s="3" t="s">
        <v>1242</v>
      </c>
      <c r="K913" s="4">
        <v>578</v>
      </c>
      <c r="L913" s="5">
        <v>125.61</v>
      </c>
      <c r="M913" s="6">
        <v>1</v>
      </c>
      <c r="N913" s="7">
        <v>1</v>
      </c>
      <c r="O913" t="s">
        <v>1247</v>
      </c>
      <c r="P913" s="3" t="s">
        <v>212</v>
      </c>
      <c r="Q913" s="8">
        <v>9.7156999999999993E-2</v>
      </c>
    </row>
    <row r="914" spans="1:17" hidden="1" x14ac:dyDescent="0.55000000000000004">
      <c r="A914" s="3" t="s">
        <v>1211</v>
      </c>
      <c r="B914" s="3" t="s">
        <v>1237</v>
      </c>
      <c r="C914" t="s">
        <v>7335</v>
      </c>
      <c r="D914" s="3" t="s">
        <v>7312</v>
      </c>
      <c r="E914" t="s">
        <v>1239</v>
      </c>
      <c r="F914" s="3" t="s">
        <v>1240</v>
      </c>
      <c r="G914" t="s">
        <v>19</v>
      </c>
      <c r="H914" s="3" t="s">
        <v>1248</v>
      </c>
      <c r="I914" t="s">
        <v>686</v>
      </c>
      <c r="J914" s="3" t="s">
        <v>1242</v>
      </c>
      <c r="K914" s="4">
        <v>532</v>
      </c>
      <c r="L914" s="5">
        <v>115.57</v>
      </c>
      <c r="M914" s="6">
        <v>0</v>
      </c>
      <c r="N914" s="7">
        <v>1</v>
      </c>
      <c r="O914" t="s">
        <v>1249</v>
      </c>
      <c r="P914" s="3" t="s">
        <v>212</v>
      </c>
      <c r="Q914" s="8">
        <v>0.10199800000000001</v>
      </c>
    </row>
    <row r="915" spans="1:17" hidden="1" x14ac:dyDescent="0.55000000000000004">
      <c r="A915" s="3" t="s">
        <v>1211</v>
      </c>
      <c r="B915" s="3" t="s">
        <v>1237</v>
      </c>
      <c r="C915" t="s">
        <v>7335</v>
      </c>
      <c r="D915" s="3" t="s">
        <v>7312</v>
      </c>
      <c r="E915" t="s">
        <v>1239</v>
      </c>
      <c r="F915" s="3" t="s">
        <v>1240</v>
      </c>
      <c r="G915" t="s">
        <v>19</v>
      </c>
      <c r="H915" s="3" t="s">
        <v>1250</v>
      </c>
      <c r="I915" t="s">
        <v>1235</v>
      </c>
      <c r="J915" s="3" t="s">
        <v>1242</v>
      </c>
      <c r="K915" s="4">
        <v>286</v>
      </c>
      <c r="L915" s="5">
        <v>62.15</v>
      </c>
      <c r="M915" s="6">
        <v>0</v>
      </c>
      <c r="N915" s="7">
        <v>1</v>
      </c>
      <c r="O915" t="s">
        <v>1251</v>
      </c>
      <c r="P915" s="3" t="s">
        <v>212</v>
      </c>
      <c r="Q915" s="8">
        <v>7.7054999999999998E-2</v>
      </c>
    </row>
    <row r="916" spans="1:17" hidden="1" x14ac:dyDescent="0.55000000000000004">
      <c r="A916" s="3" t="s">
        <v>1211</v>
      </c>
      <c r="B916" s="3" t="s">
        <v>1237</v>
      </c>
      <c r="C916" t="s">
        <v>7335</v>
      </c>
      <c r="D916" s="3" t="s">
        <v>7312</v>
      </c>
      <c r="E916" t="s">
        <v>1239</v>
      </c>
      <c r="F916" s="3" t="s">
        <v>1240</v>
      </c>
      <c r="G916" t="s">
        <v>24</v>
      </c>
      <c r="H916" s="3" t="s">
        <v>1252</v>
      </c>
      <c r="I916" t="s">
        <v>26</v>
      </c>
      <c r="J916" s="3" t="s">
        <v>1253</v>
      </c>
      <c r="K916" s="4">
        <v>280</v>
      </c>
      <c r="L916" s="5">
        <v>12.72</v>
      </c>
      <c r="M916" s="6">
        <v>0</v>
      </c>
      <c r="N916" s="7">
        <v>1</v>
      </c>
      <c r="O916" t="s">
        <v>1254</v>
      </c>
      <c r="P916" s="3" t="s">
        <v>29</v>
      </c>
      <c r="Q916" s="8">
        <v>0.180835</v>
      </c>
    </row>
    <row r="917" spans="1:17" hidden="1" x14ac:dyDescent="0.55000000000000004">
      <c r="A917" s="3" t="s">
        <v>1211</v>
      </c>
      <c r="B917" s="3" t="s">
        <v>7334</v>
      </c>
      <c r="C917" t="s">
        <v>7334</v>
      </c>
      <c r="D917" s="3" t="s">
        <v>7312</v>
      </c>
      <c r="E917" t="s">
        <v>1256</v>
      </c>
      <c r="F917" s="3" t="s">
        <v>1257</v>
      </c>
      <c r="G917" t="s">
        <v>19</v>
      </c>
      <c r="H917" s="3" t="s">
        <v>1258</v>
      </c>
      <c r="I917" t="s">
        <v>1223</v>
      </c>
      <c r="J917" s="3" t="s">
        <v>1259</v>
      </c>
      <c r="K917" s="4">
        <v>345</v>
      </c>
      <c r="L917" s="5">
        <v>75.040000000000006</v>
      </c>
      <c r="M917" s="6">
        <v>0</v>
      </c>
      <c r="N917" s="7">
        <v>1</v>
      </c>
      <c r="O917" t="s">
        <v>1260</v>
      </c>
      <c r="P917" s="3" t="s">
        <v>212</v>
      </c>
      <c r="Q917" s="8">
        <v>7.7911999999999995E-2</v>
      </c>
    </row>
    <row r="918" spans="1:17" hidden="1" x14ac:dyDescent="0.55000000000000004">
      <c r="A918" s="3" t="s">
        <v>1211</v>
      </c>
      <c r="B918" s="3" t="s">
        <v>7334</v>
      </c>
      <c r="C918" t="s">
        <v>7334</v>
      </c>
      <c r="D918" s="3" t="s">
        <v>7312</v>
      </c>
      <c r="E918" t="s">
        <v>1256</v>
      </c>
      <c r="F918" s="3" t="s">
        <v>1257</v>
      </c>
      <c r="G918" t="s">
        <v>19</v>
      </c>
      <c r="H918" s="3" t="s">
        <v>1261</v>
      </c>
      <c r="I918" t="s">
        <v>1227</v>
      </c>
      <c r="J918" s="3" t="s">
        <v>1259</v>
      </c>
      <c r="K918" s="4">
        <v>353</v>
      </c>
      <c r="L918" s="5">
        <v>76.83</v>
      </c>
      <c r="M918" s="6">
        <v>0</v>
      </c>
      <c r="N918" s="7">
        <v>1</v>
      </c>
      <c r="O918" t="s">
        <v>1262</v>
      </c>
      <c r="P918" s="3" t="s">
        <v>212</v>
      </c>
      <c r="Q918" s="8">
        <v>7.7911999999999995E-2</v>
      </c>
    </row>
    <row r="919" spans="1:17" hidden="1" x14ac:dyDescent="0.55000000000000004">
      <c r="A919" s="3" t="s">
        <v>1211</v>
      </c>
      <c r="B919" s="3" t="s">
        <v>7334</v>
      </c>
      <c r="C919" t="s">
        <v>7334</v>
      </c>
      <c r="D919" s="3" t="s">
        <v>7312</v>
      </c>
      <c r="E919" t="s">
        <v>1256</v>
      </c>
      <c r="F919" s="3" t="s">
        <v>1257</v>
      </c>
      <c r="G919" t="s">
        <v>19</v>
      </c>
      <c r="H919" s="3" t="s">
        <v>1263</v>
      </c>
      <c r="I919" t="s">
        <v>1232</v>
      </c>
      <c r="J919" s="3" t="s">
        <v>1259</v>
      </c>
      <c r="K919" s="4">
        <v>569</v>
      </c>
      <c r="L919" s="5">
        <v>123.76</v>
      </c>
      <c r="M919" s="6">
        <v>1</v>
      </c>
      <c r="N919" s="7">
        <v>1</v>
      </c>
      <c r="O919" t="s">
        <v>1264</v>
      </c>
      <c r="P919" s="3" t="s">
        <v>212</v>
      </c>
      <c r="Q919" s="8">
        <v>9.3175999999999995E-2</v>
      </c>
    </row>
    <row r="920" spans="1:17" hidden="1" x14ac:dyDescent="0.55000000000000004">
      <c r="A920" s="3" t="s">
        <v>1211</v>
      </c>
      <c r="B920" s="3" t="s">
        <v>7334</v>
      </c>
      <c r="C920" t="s">
        <v>7334</v>
      </c>
      <c r="D920" s="3" t="s">
        <v>7312</v>
      </c>
      <c r="E920" t="s">
        <v>1256</v>
      </c>
      <c r="F920" s="3" t="s">
        <v>1257</v>
      </c>
      <c r="G920" t="s">
        <v>19</v>
      </c>
      <c r="H920" s="3" t="s">
        <v>1265</v>
      </c>
      <c r="I920" t="s">
        <v>686</v>
      </c>
      <c r="J920" s="3" t="s">
        <v>1259</v>
      </c>
      <c r="K920" s="4">
        <v>523</v>
      </c>
      <c r="L920" s="5">
        <v>113.72</v>
      </c>
      <c r="M920" s="6">
        <v>0</v>
      </c>
      <c r="N920" s="7">
        <v>1</v>
      </c>
      <c r="O920" t="s">
        <v>1266</v>
      </c>
      <c r="P920" s="3" t="s">
        <v>212</v>
      </c>
      <c r="Q920" s="8">
        <v>9.8017000000000007E-2</v>
      </c>
    </row>
    <row r="921" spans="1:17" hidden="1" x14ac:dyDescent="0.55000000000000004">
      <c r="A921" s="3" t="s">
        <v>1211</v>
      </c>
      <c r="B921" s="3" t="s">
        <v>7334</v>
      </c>
      <c r="C921" t="s">
        <v>7334</v>
      </c>
      <c r="D921" s="3" t="s">
        <v>7312</v>
      </c>
      <c r="E921" t="s">
        <v>1256</v>
      </c>
      <c r="F921" s="3" t="s">
        <v>1257</v>
      </c>
      <c r="G921" t="s">
        <v>19</v>
      </c>
      <c r="H921" s="3" t="s">
        <v>1267</v>
      </c>
      <c r="I921" t="s">
        <v>1235</v>
      </c>
      <c r="J921" s="3" t="s">
        <v>1259</v>
      </c>
      <c r="K921" s="4">
        <v>507</v>
      </c>
      <c r="L921" s="5">
        <v>110.13</v>
      </c>
      <c r="M921" s="6">
        <v>0</v>
      </c>
      <c r="N921" s="7">
        <v>1</v>
      </c>
      <c r="O921" t="s">
        <v>1268</v>
      </c>
      <c r="P921" s="3" t="s">
        <v>212</v>
      </c>
      <c r="Q921" s="8">
        <v>9.3175999999999995E-2</v>
      </c>
    </row>
    <row r="922" spans="1:17" hidden="1" x14ac:dyDescent="0.55000000000000004">
      <c r="A922" s="3" t="s">
        <v>1211</v>
      </c>
      <c r="B922" s="3" t="s">
        <v>7334</v>
      </c>
      <c r="C922" t="s">
        <v>7334</v>
      </c>
      <c r="D922" s="3" t="s">
        <v>7312</v>
      </c>
      <c r="E922" t="s">
        <v>1256</v>
      </c>
      <c r="F922" s="3" t="s">
        <v>1257</v>
      </c>
      <c r="G922" t="s">
        <v>24</v>
      </c>
      <c r="H922" s="3" t="s">
        <v>1269</v>
      </c>
      <c r="I922" t="s">
        <v>26</v>
      </c>
      <c r="J922" s="3" t="s">
        <v>1270</v>
      </c>
      <c r="K922" s="4">
        <v>322</v>
      </c>
      <c r="L922" s="5">
        <v>14.62</v>
      </c>
      <c r="M922" s="6">
        <v>0</v>
      </c>
      <c r="N922" s="7">
        <v>1</v>
      </c>
      <c r="O922" t="s">
        <v>1271</v>
      </c>
      <c r="P922" s="3" t="s">
        <v>29</v>
      </c>
      <c r="Q922" s="8">
        <v>0.181254</v>
      </c>
    </row>
    <row r="923" spans="1:17" hidden="1" x14ac:dyDescent="0.55000000000000004">
      <c r="A923" s="3" t="s">
        <v>1211</v>
      </c>
      <c r="B923" s="3" t="s">
        <v>1272</v>
      </c>
      <c r="C923" t="s">
        <v>1272</v>
      </c>
      <c r="D923" s="3" t="s">
        <v>7312</v>
      </c>
      <c r="E923" t="s">
        <v>1273</v>
      </c>
      <c r="F923" s="3" t="s">
        <v>1274</v>
      </c>
      <c r="G923" t="s">
        <v>19</v>
      </c>
      <c r="H923" s="3" t="s">
        <v>1275</v>
      </c>
      <c r="I923" t="s">
        <v>1276</v>
      </c>
      <c r="J923" s="3" t="s">
        <v>1277</v>
      </c>
      <c r="K923" s="4">
        <v>677</v>
      </c>
      <c r="L923" s="5">
        <v>147.09</v>
      </c>
      <c r="M923" s="6">
        <v>1</v>
      </c>
      <c r="N923" s="7">
        <v>1</v>
      </c>
      <c r="O923" t="s">
        <v>1278</v>
      </c>
      <c r="P923" s="3" t="s">
        <v>1279</v>
      </c>
      <c r="Q923" s="8">
        <v>5.5979999999999997E-3</v>
      </c>
    </row>
    <row r="924" spans="1:17" hidden="1" x14ac:dyDescent="0.55000000000000004">
      <c r="A924" s="3" t="s">
        <v>1211</v>
      </c>
      <c r="B924" s="3" t="s">
        <v>1272</v>
      </c>
      <c r="C924" t="s">
        <v>1272</v>
      </c>
      <c r="D924" s="3" t="s">
        <v>7312</v>
      </c>
      <c r="E924" t="s">
        <v>1273</v>
      </c>
      <c r="F924" s="3" t="s">
        <v>1274</v>
      </c>
      <c r="G924" t="s">
        <v>19</v>
      </c>
      <c r="H924" s="3" t="s">
        <v>1275</v>
      </c>
      <c r="I924" t="s">
        <v>1276</v>
      </c>
      <c r="J924" s="3" t="s">
        <v>1277</v>
      </c>
      <c r="K924" s="4">
        <v>677</v>
      </c>
      <c r="L924" s="5">
        <v>147.09</v>
      </c>
      <c r="M924" s="6">
        <v>1</v>
      </c>
      <c r="N924" s="7">
        <v>1</v>
      </c>
      <c r="O924" t="s">
        <v>1280</v>
      </c>
      <c r="P924" s="3" t="s">
        <v>1279</v>
      </c>
      <c r="Q924" s="8">
        <v>5.5162000000000003E-2</v>
      </c>
    </row>
    <row r="925" spans="1:17" hidden="1" x14ac:dyDescent="0.55000000000000004">
      <c r="A925" s="3" t="s">
        <v>1211</v>
      </c>
      <c r="B925" s="3" t="s">
        <v>1272</v>
      </c>
      <c r="C925" t="s">
        <v>1272</v>
      </c>
      <c r="D925" s="3" t="s">
        <v>7312</v>
      </c>
      <c r="E925" t="s">
        <v>1273</v>
      </c>
      <c r="F925" s="3" t="s">
        <v>1274</v>
      </c>
      <c r="G925" t="s">
        <v>19</v>
      </c>
      <c r="H925" s="3" t="s">
        <v>1275</v>
      </c>
      <c r="I925" t="s">
        <v>1276</v>
      </c>
      <c r="J925" s="3" t="s">
        <v>1277</v>
      </c>
      <c r="K925" s="4">
        <v>677</v>
      </c>
      <c r="L925" s="5">
        <v>147.09</v>
      </c>
      <c r="M925" s="6">
        <v>1</v>
      </c>
      <c r="N925" s="7">
        <v>1</v>
      </c>
      <c r="O925" t="s">
        <v>1281</v>
      </c>
      <c r="P925" s="3" t="s">
        <v>1282</v>
      </c>
      <c r="Q925" s="8">
        <v>2.8874E-2</v>
      </c>
    </row>
    <row r="926" spans="1:17" hidden="1" x14ac:dyDescent="0.55000000000000004">
      <c r="A926" s="3" t="s">
        <v>1211</v>
      </c>
      <c r="B926" s="3" t="s">
        <v>1272</v>
      </c>
      <c r="C926" t="s">
        <v>1272</v>
      </c>
      <c r="D926" s="3" t="s">
        <v>7312</v>
      </c>
      <c r="E926" t="s">
        <v>1273</v>
      </c>
      <c r="F926" s="3" t="s">
        <v>1274</v>
      </c>
      <c r="G926" t="s">
        <v>19</v>
      </c>
      <c r="H926" s="3" t="s">
        <v>1283</v>
      </c>
      <c r="I926" t="s">
        <v>1284</v>
      </c>
      <c r="J926" s="3" t="s">
        <v>1285</v>
      </c>
      <c r="K926" s="4">
        <v>293</v>
      </c>
      <c r="L926" s="5">
        <v>63.78</v>
      </c>
      <c r="M926" s="6">
        <v>0</v>
      </c>
      <c r="N926" s="7">
        <v>1</v>
      </c>
      <c r="O926" t="s">
        <v>1286</v>
      </c>
      <c r="P926" s="3" t="s">
        <v>1287</v>
      </c>
      <c r="Q926" s="8">
        <v>5.7790000000000001E-2</v>
      </c>
    </row>
    <row r="927" spans="1:17" hidden="1" x14ac:dyDescent="0.55000000000000004">
      <c r="A927" s="3" t="s">
        <v>1211</v>
      </c>
      <c r="B927" s="3" t="s">
        <v>1272</v>
      </c>
      <c r="C927" t="s">
        <v>1272</v>
      </c>
      <c r="D927" s="3" t="s">
        <v>7312</v>
      </c>
      <c r="E927" t="s">
        <v>1273</v>
      </c>
      <c r="F927" s="3" t="s">
        <v>1274</v>
      </c>
      <c r="G927" t="s">
        <v>19</v>
      </c>
      <c r="H927" s="3" t="s">
        <v>1288</v>
      </c>
      <c r="I927" t="s">
        <v>1289</v>
      </c>
      <c r="J927" s="3" t="s">
        <v>1285</v>
      </c>
      <c r="K927" s="4">
        <v>233</v>
      </c>
      <c r="L927" s="5">
        <v>50.72</v>
      </c>
      <c r="M927" s="6">
        <v>0</v>
      </c>
      <c r="N927" s="7">
        <v>1</v>
      </c>
      <c r="O927" t="s">
        <v>1290</v>
      </c>
      <c r="P927" s="3" t="s">
        <v>1287</v>
      </c>
      <c r="Q927" s="8">
        <v>5.57E-2</v>
      </c>
    </row>
    <row r="928" spans="1:17" hidden="1" x14ac:dyDescent="0.55000000000000004">
      <c r="A928" s="3" t="s">
        <v>1211</v>
      </c>
      <c r="B928" s="3" t="s">
        <v>1272</v>
      </c>
      <c r="C928" t="s">
        <v>1272</v>
      </c>
      <c r="D928" s="3" t="s">
        <v>7312</v>
      </c>
      <c r="E928" t="s">
        <v>1273</v>
      </c>
      <c r="F928" s="3" t="s">
        <v>1274</v>
      </c>
      <c r="G928" t="s">
        <v>24</v>
      </c>
      <c r="H928" s="3" t="s">
        <v>1291</v>
      </c>
      <c r="I928" t="s">
        <v>218</v>
      </c>
      <c r="J928" s="3" t="s">
        <v>26</v>
      </c>
      <c r="K928" s="4">
        <v>589</v>
      </c>
      <c r="L928" s="5">
        <v>26.76</v>
      </c>
      <c r="M928" s="6">
        <v>0</v>
      </c>
      <c r="N928" s="7">
        <v>1</v>
      </c>
      <c r="O928" t="s">
        <v>1292</v>
      </c>
      <c r="P928" s="3" t="s">
        <v>23</v>
      </c>
      <c r="Q928" s="8" t="s">
        <v>23</v>
      </c>
    </row>
    <row r="929" spans="1:17" hidden="1" x14ac:dyDescent="0.55000000000000004">
      <c r="A929" s="3" t="s">
        <v>1211</v>
      </c>
      <c r="B929" s="3" t="s">
        <v>1272</v>
      </c>
      <c r="C929" t="s">
        <v>1272</v>
      </c>
      <c r="D929" s="3" t="s">
        <v>7312</v>
      </c>
      <c r="E929" t="s">
        <v>1273</v>
      </c>
      <c r="F929" s="3" t="s">
        <v>1274</v>
      </c>
      <c r="G929" t="s">
        <v>24</v>
      </c>
      <c r="H929" s="3" t="s">
        <v>23</v>
      </c>
      <c r="I929" t="s">
        <v>67</v>
      </c>
      <c r="J929" s="3" t="s">
        <v>52</v>
      </c>
      <c r="K929" s="4" t="s">
        <v>23</v>
      </c>
      <c r="L929" s="5" t="s">
        <v>23</v>
      </c>
      <c r="M929" s="6">
        <v>0</v>
      </c>
      <c r="N929" s="7">
        <v>1</v>
      </c>
      <c r="O929" t="s">
        <v>23</v>
      </c>
      <c r="P929" s="3" t="s">
        <v>23</v>
      </c>
      <c r="Q929" s="8" t="s">
        <v>23</v>
      </c>
    </row>
    <row r="930" spans="1:17" hidden="1" x14ac:dyDescent="0.55000000000000004">
      <c r="A930" s="3" t="s">
        <v>1211</v>
      </c>
      <c r="B930" s="3" t="s">
        <v>1272</v>
      </c>
      <c r="C930" t="s">
        <v>1272</v>
      </c>
      <c r="D930" s="3" t="s">
        <v>7312</v>
      </c>
      <c r="E930" t="s">
        <v>1293</v>
      </c>
      <c r="F930" s="3" t="s">
        <v>1294</v>
      </c>
      <c r="G930" t="s">
        <v>19</v>
      </c>
      <c r="H930" s="3" t="s">
        <v>1275</v>
      </c>
      <c r="I930" t="s">
        <v>1276</v>
      </c>
      <c r="J930" s="3" t="s">
        <v>1277</v>
      </c>
      <c r="K930" s="4">
        <v>677</v>
      </c>
      <c r="L930" s="5">
        <v>147.09</v>
      </c>
      <c r="M930" s="6">
        <v>1</v>
      </c>
      <c r="N930" s="7">
        <v>0</v>
      </c>
      <c r="O930" t="s">
        <v>1278</v>
      </c>
      <c r="P930" s="3" t="s">
        <v>1279</v>
      </c>
      <c r="Q930" s="8">
        <v>5.5979999999999997E-3</v>
      </c>
    </row>
    <row r="931" spans="1:17" hidden="1" x14ac:dyDescent="0.55000000000000004">
      <c r="A931" s="3" t="s">
        <v>1211</v>
      </c>
      <c r="B931" s="3" t="s">
        <v>1272</v>
      </c>
      <c r="C931" t="s">
        <v>1272</v>
      </c>
      <c r="D931" s="3" t="s">
        <v>7312</v>
      </c>
      <c r="E931" t="s">
        <v>1293</v>
      </c>
      <c r="F931" s="3" t="s">
        <v>1294</v>
      </c>
      <c r="G931" t="s">
        <v>19</v>
      </c>
      <c r="H931" s="3" t="s">
        <v>1275</v>
      </c>
      <c r="I931" t="s">
        <v>1276</v>
      </c>
      <c r="J931" s="3" t="s">
        <v>1277</v>
      </c>
      <c r="K931" s="4">
        <v>677</v>
      </c>
      <c r="L931" s="5">
        <v>147.09</v>
      </c>
      <c r="M931" s="6">
        <v>1</v>
      </c>
      <c r="N931" s="7">
        <v>0</v>
      </c>
      <c r="O931" t="s">
        <v>1280</v>
      </c>
      <c r="P931" s="3" t="s">
        <v>1279</v>
      </c>
      <c r="Q931" s="8">
        <v>5.5162000000000003E-2</v>
      </c>
    </row>
    <row r="932" spans="1:17" hidden="1" x14ac:dyDescent="0.55000000000000004">
      <c r="A932" s="3" t="s">
        <v>1211</v>
      </c>
      <c r="B932" s="3" t="s">
        <v>1272</v>
      </c>
      <c r="C932" t="s">
        <v>1272</v>
      </c>
      <c r="D932" s="3" t="s">
        <v>7312</v>
      </c>
      <c r="E932" t="s">
        <v>1293</v>
      </c>
      <c r="F932" s="3" t="s">
        <v>1294</v>
      </c>
      <c r="G932" t="s">
        <v>19</v>
      </c>
      <c r="H932" s="3" t="s">
        <v>1275</v>
      </c>
      <c r="I932" t="s">
        <v>1276</v>
      </c>
      <c r="J932" s="3" t="s">
        <v>1277</v>
      </c>
      <c r="K932" s="4">
        <v>677</v>
      </c>
      <c r="L932" s="5">
        <v>147.09</v>
      </c>
      <c r="M932" s="6">
        <v>1</v>
      </c>
      <c r="N932" s="7">
        <v>0</v>
      </c>
      <c r="O932" t="s">
        <v>1281</v>
      </c>
      <c r="P932" s="3" t="s">
        <v>1282</v>
      </c>
      <c r="Q932" s="8">
        <v>2.8874E-2</v>
      </c>
    </row>
    <row r="933" spans="1:17" hidden="1" x14ac:dyDescent="0.55000000000000004">
      <c r="A933" s="3" t="s">
        <v>1211</v>
      </c>
      <c r="B933" s="3" t="s">
        <v>1272</v>
      </c>
      <c r="C933" t="s">
        <v>1272</v>
      </c>
      <c r="D933" s="3" t="s">
        <v>7312</v>
      </c>
      <c r="E933" t="s">
        <v>1293</v>
      </c>
      <c r="F933" s="3" t="s">
        <v>1294</v>
      </c>
      <c r="G933" t="s">
        <v>19</v>
      </c>
      <c r="H933" s="3" t="s">
        <v>1283</v>
      </c>
      <c r="I933" t="s">
        <v>1284</v>
      </c>
      <c r="J933" s="3" t="s">
        <v>1285</v>
      </c>
      <c r="K933" s="4">
        <v>293</v>
      </c>
      <c r="L933" s="5">
        <v>63.78</v>
      </c>
      <c r="M933" s="6">
        <v>0</v>
      </c>
      <c r="N933" s="7">
        <v>0</v>
      </c>
      <c r="O933" t="s">
        <v>1286</v>
      </c>
      <c r="P933" s="3" t="s">
        <v>1287</v>
      </c>
      <c r="Q933" s="8">
        <v>5.7790000000000001E-2</v>
      </c>
    </row>
    <row r="934" spans="1:17" hidden="1" x14ac:dyDescent="0.55000000000000004">
      <c r="A934" s="3" t="s">
        <v>1211</v>
      </c>
      <c r="B934" s="3" t="s">
        <v>1272</v>
      </c>
      <c r="C934" t="s">
        <v>1272</v>
      </c>
      <c r="D934" s="3" t="s">
        <v>7312</v>
      </c>
      <c r="E934" t="s">
        <v>1293</v>
      </c>
      <c r="F934" s="3" t="s">
        <v>1294</v>
      </c>
      <c r="G934" t="s">
        <v>19</v>
      </c>
      <c r="H934" s="3" t="s">
        <v>1288</v>
      </c>
      <c r="I934" t="s">
        <v>1289</v>
      </c>
      <c r="J934" s="3" t="s">
        <v>1285</v>
      </c>
      <c r="K934" s="4">
        <v>233</v>
      </c>
      <c r="L934" s="5">
        <v>50.72</v>
      </c>
      <c r="M934" s="6">
        <v>0</v>
      </c>
      <c r="N934" s="7">
        <v>0</v>
      </c>
      <c r="O934" t="s">
        <v>1290</v>
      </c>
      <c r="P934" s="3" t="s">
        <v>1287</v>
      </c>
      <c r="Q934" s="8">
        <v>5.57E-2</v>
      </c>
    </row>
    <row r="935" spans="1:17" hidden="1" x14ac:dyDescent="0.55000000000000004">
      <c r="A935" s="3" t="s">
        <v>1211</v>
      </c>
      <c r="B935" s="3" t="s">
        <v>1272</v>
      </c>
      <c r="C935" t="s">
        <v>1272</v>
      </c>
      <c r="D935" s="3" t="s">
        <v>7312</v>
      </c>
      <c r="E935" t="s">
        <v>1293</v>
      </c>
      <c r="F935" s="3" t="s">
        <v>1294</v>
      </c>
      <c r="G935" t="s">
        <v>24</v>
      </c>
      <c r="H935" s="3" t="s">
        <v>23</v>
      </c>
      <c r="I935" t="s">
        <v>67</v>
      </c>
      <c r="J935" s="3" t="s">
        <v>52</v>
      </c>
      <c r="K935" s="4" t="s">
        <v>23</v>
      </c>
      <c r="L935" s="5" t="s">
        <v>23</v>
      </c>
      <c r="M935" s="6">
        <v>0</v>
      </c>
      <c r="N935" s="7">
        <v>0</v>
      </c>
      <c r="O935" t="s">
        <v>23</v>
      </c>
      <c r="P935" s="3" t="s">
        <v>23</v>
      </c>
      <c r="Q935" s="8" t="s">
        <v>23</v>
      </c>
    </row>
    <row r="936" spans="1:17" hidden="1" x14ac:dyDescent="0.55000000000000004">
      <c r="A936" s="3" t="s">
        <v>1211</v>
      </c>
      <c r="B936" s="3" t="s">
        <v>1295</v>
      </c>
      <c r="C936" t="s">
        <v>1295</v>
      </c>
      <c r="D936" s="3" t="s">
        <v>7312</v>
      </c>
      <c r="E936" t="s">
        <v>1296</v>
      </c>
      <c r="F936" s="3" t="s">
        <v>1297</v>
      </c>
      <c r="G936" t="s">
        <v>19</v>
      </c>
      <c r="H936" s="3" t="s">
        <v>1298</v>
      </c>
      <c r="I936" t="s">
        <v>1276</v>
      </c>
      <c r="J936" s="3" t="s">
        <v>1299</v>
      </c>
      <c r="K936" s="4">
        <v>721</v>
      </c>
      <c r="L936" s="5">
        <v>156.74</v>
      </c>
      <c r="M936" s="6">
        <v>1</v>
      </c>
      <c r="N936" s="7">
        <v>1</v>
      </c>
      <c r="O936" t="s">
        <v>1300</v>
      </c>
      <c r="P936" s="3" t="s">
        <v>1279</v>
      </c>
      <c r="Q936" s="8">
        <v>8.1399999999999997E-3</v>
      </c>
    </row>
    <row r="937" spans="1:17" hidden="1" x14ac:dyDescent="0.55000000000000004">
      <c r="A937" s="3" t="s">
        <v>1211</v>
      </c>
      <c r="B937" s="3" t="s">
        <v>1295</v>
      </c>
      <c r="C937" t="s">
        <v>1295</v>
      </c>
      <c r="D937" s="3" t="s">
        <v>7312</v>
      </c>
      <c r="E937" t="s">
        <v>1296</v>
      </c>
      <c r="F937" s="3" t="s">
        <v>1297</v>
      </c>
      <c r="G937" t="s">
        <v>19</v>
      </c>
      <c r="H937" s="3" t="s">
        <v>1298</v>
      </c>
      <c r="I937" t="s">
        <v>1276</v>
      </c>
      <c r="J937" s="3" t="s">
        <v>1299</v>
      </c>
      <c r="K937" s="4">
        <v>721</v>
      </c>
      <c r="L937" s="5">
        <v>156.74</v>
      </c>
      <c r="M937" s="6">
        <v>1</v>
      </c>
      <c r="N937" s="7">
        <v>1</v>
      </c>
      <c r="O937" t="s">
        <v>1280</v>
      </c>
      <c r="P937" s="3" t="s">
        <v>1279</v>
      </c>
      <c r="Q937" s="8">
        <v>5.5162000000000003E-2</v>
      </c>
    </row>
    <row r="938" spans="1:17" hidden="1" x14ac:dyDescent="0.55000000000000004">
      <c r="A938" s="3" t="s">
        <v>1211</v>
      </c>
      <c r="B938" s="3" t="s">
        <v>1295</v>
      </c>
      <c r="C938" t="s">
        <v>1295</v>
      </c>
      <c r="D938" s="3" t="s">
        <v>7312</v>
      </c>
      <c r="E938" t="s">
        <v>1296</v>
      </c>
      <c r="F938" s="3" t="s">
        <v>1297</v>
      </c>
      <c r="G938" t="s">
        <v>19</v>
      </c>
      <c r="H938" s="3" t="s">
        <v>1298</v>
      </c>
      <c r="I938" t="s">
        <v>1276</v>
      </c>
      <c r="J938" s="3" t="s">
        <v>1299</v>
      </c>
      <c r="K938" s="4">
        <v>721</v>
      </c>
      <c r="L938" s="5">
        <v>156.74</v>
      </c>
      <c r="M938" s="6">
        <v>1</v>
      </c>
      <c r="N938" s="7">
        <v>1</v>
      </c>
      <c r="O938" t="s">
        <v>1281</v>
      </c>
      <c r="P938" s="3" t="s">
        <v>1282</v>
      </c>
      <c r="Q938" s="8">
        <v>2.8874E-2</v>
      </c>
    </row>
    <row r="939" spans="1:17" hidden="1" x14ac:dyDescent="0.55000000000000004">
      <c r="A939" s="3" t="s">
        <v>1211</v>
      </c>
      <c r="B939" s="3" t="s">
        <v>1295</v>
      </c>
      <c r="C939" t="s">
        <v>1295</v>
      </c>
      <c r="D939" s="3" t="s">
        <v>7312</v>
      </c>
      <c r="E939" t="s">
        <v>1296</v>
      </c>
      <c r="F939" s="3" t="s">
        <v>1297</v>
      </c>
      <c r="G939" t="s">
        <v>24</v>
      </c>
      <c r="H939" s="3" t="s">
        <v>1301</v>
      </c>
      <c r="I939" t="s">
        <v>52</v>
      </c>
      <c r="J939" s="3" t="s">
        <v>1302</v>
      </c>
      <c r="K939" s="4">
        <v>184</v>
      </c>
      <c r="L939" s="5">
        <v>8.39</v>
      </c>
      <c r="M939" s="6">
        <v>0</v>
      </c>
      <c r="N939" s="7">
        <v>1</v>
      </c>
      <c r="O939" t="s">
        <v>1303</v>
      </c>
      <c r="P939" s="3" t="s">
        <v>55</v>
      </c>
      <c r="Q939" s="8">
        <v>0.17988499999999999</v>
      </c>
    </row>
    <row r="940" spans="1:17" hidden="1" x14ac:dyDescent="0.55000000000000004">
      <c r="A940" s="3" t="s">
        <v>1211</v>
      </c>
      <c r="B940" s="3" t="s">
        <v>1295</v>
      </c>
      <c r="C940" t="s">
        <v>1295</v>
      </c>
      <c r="D940" s="3" t="s">
        <v>7312</v>
      </c>
      <c r="E940" t="s">
        <v>1296</v>
      </c>
      <c r="F940" s="3" t="s">
        <v>1297</v>
      </c>
      <c r="G940" t="s">
        <v>24</v>
      </c>
      <c r="H940" s="3" t="s">
        <v>1304</v>
      </c>
      <c r="I940" t="s">
        <v>218</v>
      </c>
      <c r="J940" s="3" t="s">
        <v>1305</v>
      </c>
      <c r="K940" s="4">
        <v>428</v>
      </c>
      <c r="L940" s="5">
        <v>19.45</v>
      </c>
      <c r="M940" s="6">
        <v>0</v>
      </c>
      <c r="N940" s="7">
        <v>1</v>
      </c>
      <c r="O940" t="s">
        <v>1306</v>
      </c>
      <c r="P940" s="3" t="s">
        <v>23</v>
      </c>
      <c r="Q940" s="8" t="s">
        <v>23</v>
      </c>
    </row>
    <row r="941" spans="1:17" hidden="1" x14ac:dyDescent="0.55000000000000004">
      <c r="A941" s="3" t="s">
        <v>1211</v>
      </c>
      <c r="B941" s="3" t="s">
        <v>1307</v>
      </c>
      <c r="C941" t="s">
        <v>1307</v>
      </c>
      <c r="D941" s="3" t="s">
        <v>7312</v>
      </c>
      <c r="E941" t="s">
        <v>1308</v>
      </c>
      <c r="F941" s="3" t="s">
        <v>1309</v>
      </c>
      <c r="G941" t="s">
        <v>19</v>
      </c>
      <c r="H941" s="3" t="s">
        <v>1310</v>
      </c>
      <c r="I941" t="s">
        <v>1223</v>
      </c>
      <c r="J941" s="3" t="s">
        <v>1311</v>
      </c>
      <c r="K941" s="4">
        <v>415</v>
      </c>
      <c r="L941" s="5">
        <v>90.13</v>
      </c>
      <c r="M941" s="6">
        <v>0</v>
      </c>
      <c r="N941" s="7">
        <v>1</v>
      </c>
      <c r="O941" t="s">
        <v>1312</v>
      </c>
      <c r="P941" s="3" t="s">
        <v>212</v>
      </c>
      <c r="Q941" s="8">
        <v>0.10224999999999999</v>
      </c>
    </row>
    <row r="942" spans="1:17" hidden="1" x14ac:dyDescent="0.55000000000000004">
      <c r="A942" s="3" t="s">
        <v>1211</v>
      </c>
      <c r="B942" s="3" t="s">
        <v>1307</v>
      </c>
      <c r="C942" t="s">
        <v>1307</v>
      </c>
      <c r="D942" s="3" t="s">
        <v>7312</v>
      </c>
      <c r="E942" t="s">
        <v>1308</v>
      </c>
      <c r="F942" s="3" t="s">
        <v>1309</v>
      </c>
      <c r="G942" t="s">
        <v>19</v>
      </c>
      <c r="H942" s="3" t="s">
        <v>1313</v>
      </c>
      <c r="I942" t="s">
        <v>1227</v>
      </c>
      <c r="J942" s="3" t="s">
        <v>1311</v>
      </c>
      <c r="K942" s="4">
        <v>423</v>
      </c>
      <c r="L942" s="5">
        <v>91.91</v>
      </c>
      <c r="M942" s="6">
        <v>0</v>
      </c>
      <c r="N942" s="7">
        <v>1</v>
      </c>
      <c r="O942" t="s">
        <v>1314</v>
      </c>
      <c r="P942" s="3" t="s">
        <v>212</v>
      </c>
      <c r="Q942" s="8">
        <v>0.10224999999999999</v>
      </c>
    </row>
    <row r="943" spans="1:17" hidden="1" x14ac:dyDescent="0.55000000000000004">
      <c r="A943" s="3" t="s">
        <v>1211</v>
      </c>
      <c r="B943" s="3" t="s">
        <v>1307</v>
      </c>
      <c r="C943" t="s">
        <v>1307</v>
      </c>
      <c r="D943" s="3" t="s">
        <v>7312</v>
      </c>
      <c r="E943" t="s">
        <v>1308</v>
      </c>
      <c r="F943" s="3" t="s">
        <v>1309</v>
      </c>
      <c r="G943" t="s">
        <v>19</v>
      </c>
      <c r="H943" s="3" t="s">
        <v>1315</v>
      </c>
      <c r="I943" t="s">
        <v>1232</v>
      </c>
      <c r="J943" s="3" t="s">
        <v>1311</v>
      </c>
      <c r="K943" s="4">
        <v>639</v>
      </c>
      <c r="L943" s="5">
        <v>138.85</v>
      </c>
      <c r="M943" s="6">
        <v>1</v>
      </c>
      <c r="N943" s="7">
        <v>1</v>
      </c>
      <c r="O943" t="s">
        <v>1316</v>
      </c>
      <c r="P943" s="3" t="s">
        <v>212</v>
      </c>
      <c r="Q943" s="8">
        <v>0.122324</v>
      </c>
    </row>
    <row r="944" spans="1:17" hidden="1" x14ac:dyDescent="0.55000000000000004">
      <c r="A944" s="3" t="s">
        <v>1211</v>
      </c>
      <c r="B944" s="3" t="s">
        <v>1307</v>
      </c>
      <c r="C944" t="s">
        <v>1307</v>
      </c>
      <c r="D944" s="3" t="s">
        <v>7312</v>
      </c>
      <c r="E944" t="s">
        <v>1308</v>
      </c>
      <c r="F944" s="3" t="s">
        <v>1309</v>
      </c>
      <c r="G944" t="s">
        <v>19</v>
      </c>
      <c r="H944" s="3" t="s">
        <v>1317</v>
      </c>
      <c r="I944" t="s">
        <v>686</v>
      </c>
      <c r="J944" s="3" t="s">
        <v>1311</v>
      </c>
      <c r="K944" s="4">
        <v>592</v>
      </c>
      <c r="L944" s="5">
        <v>128.80000000000001</v>
      </c>
      <c r="M944" s="6">
        <v>0</v>
      </c>
      <c r="N944" s="7">
        <v>1</v>
      </c>
      <c r="O944" t="s">
        <v>1318</v>
      </c>
      <c r="P944" s="3" t="s">
        <v>212</v>
      </c>
      <c r="Q944" s="8">
        <v>0.12806000000000001</v>
      </c>
    </row>
    <row r="945" spans="1:17" hidden="1" x14ac:dyDescent="0.55000000000000004">
      <c r="A945" s="3" t="s">
        <v>1211</v>
      </c>
      <c r="B945" s="3" t="s">
        <v>1307</v>
      </c>
      <c r="C945" t="s">
        <v>1307</v>
      </c>
      <c r="D945" s="3" t="s">
        <v>7312</v>
      </c>
      <c r="E945" t="s">
        <v>1308</v>
      </c>
      <c r="F945" s="3" t="s">
        <v>1309</v>
      </c>
      <c r="G945" t="s">
        <v>19</v>
      </c>
      <c r="H945" s="3" t="s">
        <v>1319</v>
      </c>
      <c r="I945" t="s">
        <v>1235</v>
      </c>
      <c r="J945" s="3" t="s">
        <v>1311</v>
      </c>
      <c r="K945" s="4">
        <v>576</v>
      </c>
      <c r="L945" s="5">
        <v>125.22</v>
      </c>
      <c r="M945" s="6">
        <v>0</v>
      </c>
      <c r="N945" s="7">
        <v>1</v>
      </c>
      <c r="O945" t="s">
        <v>1320</v>
      </c>
      <c r="P945" s="3" t="s">
        <v>212</v>
      </c>
      <c r="Q945" s="8">
        <v>0.122324</v>
      </c>
    </row>
    <row r="946" spans="1:17" hidden="1" x14ac:dyDescent="0.55000000000000004">
      <c r="A946" s="3" t="s">
        <v>1211</v>
      </c>
      <c r="B946" s="3" t="s">
        <v>1307</v>
      </c>
      <c r="C946" t="s">
        <v>1307</v>
      </c>
      <c r="D946" s="3" t="s">
        <v>7312</v>
      </c>
      <c r="E946" t="s">
        <v>1308</v>
      </c>
      <c r="F946" s="3" t="s">
        <v>1309</v>
      </c>
      <c r="G946" t="s">
        <v>24</v>
      </c>
      <c r="H946" s="3" t="s">
        <v>1321</v>
      </c>
      <c r="I946" t="s">
        <v>52</v>
      </c>
      <c r="J946" s="3" t="s">
        <v>1322</v>
      </c>
      <c r="K946" s="4">
        <v>399</v>
      </c>
      <c r="L946" s="5">
        <v>18.149999999999999</v>
      </c>
      <c r="M946" s="6">
        <v>0</v>
      </c>
      <c r="N946" s="7">
        <v>1</v>
      </c>
      <c r="O946" t="s">
        <v>1323</v>
      </c>
      <c r="P946" s="3" t="s">
        <v>55</v>
      </c>
      <c r="Q946" s="8">
        <v>0.182028</v>
      </c>
    </row>
    <row r="947" spans="1:17" hidden="1" x14ac:dyDescent="0.55000000000000004">
      <c r="A947" s="3" t="s">
        <v>1211</v>
      </c>
      <c r="B947" s="3" t="s">
        <v>1324</v>
      </c>
      <c r="C947" t="s">
        <v>1324</v>
      </c>
      <c r="D947" s="3" t="s">
        <v>7312</v>
      </c>
      <c r="E947" t="s">
        <v>1325</v>
      </c>
      <c r="F947" s="3" t="s">
        <v>1326</v>
      </c>
      <c r="G947" t="s">
        <v>19</v>
      </c>
      <c r="H947" s="3" t="s">
        <v>1327</v>
      </c>
      <c r="I947" t="s">
        <v>1223</v>
      </c>
      <c r="J947" s="3" t="s">
        <v>1328</v>
      </c>
      <c r="K947" s="4">
        <v>233</v>
      </c>
      <c r="L947" s="5">
        <v>50.63</v>
      </c>
      <c r="M947" s="6">
        <v>0</v>
      </c>
      <c r="N947" s="7">
        <v>0</v>
      </c>
      <c r="O947" t="s">
        <v>1329</v>
      </c>
      <c r="P947" s="3" t="s">
        <v>212</v>
      </c>
      <c r="Q947" s="8">
        <v>7.6252E-2</v>
      </c>
    </row>
    <row r="948" spans="1:17" hidden="1" x14ac:dyDescent="0.55000000000000004">
      <c r="A948" s="3" t="s">
        <v>1211</v>
      </c>
      <c r="B948" s="3" t="s">
        <v>1324</v>
      </c>
      <c r="C948" t="s">
        <v>1324</v>
      </c>
      <c r="D948" s="3" t="s">
        <v>7312</v>
      </c>
      <c r="E948" t="s">
        <v>1325</v>
      </c>
      <c r="F948" s="3" t="s">
        <v>1326</v>
      </c>
      <c r="G948" t="s">
        <v>19</v>
      </c>
      <c r="H948" s="3" t="s">
        <v>1330</v>
      </c>
      <c r="I948" t="s">
        <v>1227</v>
      </c>
      <c r="J948" s="3" t="s">
        <v>1328</v>
      </c>
      <c r="K948" s="4">
        <v>241</v>
      </c>
      <c r="L948" s="5">
        <v>52.41</v>
      </c>
      <c r="M948" s="6">
        <v>0</v>
      </c>
      <c r="N948" s="7">
        <v>0</v>
      </c>
      <c r="O948" t="s">
        <v>1331</v>
      </c>
      <c r="P948" s="3" t="s">
        <v>212</v>
      </c>
      <c r="Q948" s="8">
        <v>7.6252E-2</v>
      </c>
    </row>
    <row r="949" spans="1:17" hidden="1" x14ac:dyDescent="0.55000000000000004">
      <c r="A949" s="3" t="s">
        <v>1211</v>
      </c>
      <c r="B949" s="3" t="s">
        <v>1324</v>
      </c>
      <c r="C949" t="s">
        <v>1324</v>
      </c>
      <c r="D949" s="3" t="s">
        <v>7312</v>
      </c>
      <c r="E949" t="s">
        <v>1325</v>
      </c>
      <c r="F949" s="3" t="s">
        <v>1326</v>
      </c>
      <c r="G949" t="s">
        <v>19</v>
      </c>
      <c r="H949" s="3" t="s">
        <v>1332</v>
      </c>
      <c r="I949" t="s">
        <v>1232</v>
      </c>
      <c r="J949" s="3" t="s">
        <v>1328</v>
      </c>
      <c r="K949" s="4">
        <v>545</v>
      </c>
      <c r="L949" s="5">
        <v>118.39</v>
      </c>
      <c r="M949" s="6">
        <v>1</v>
      </c>
      <c r="N949" s="7">
        <v>0</v>
      </c>
      <c r="O949" t="s">
        <v>1333</v>
      </c>
      <c r="P949" s="3" t="s">
        <v>212</v>
      </c>
      <c r="Q949" s="8">
        <v>7.6982999999999996E-2</v>
      </c>
    </row>
    <row r="950" spans="1:17" hidden="1" x14ac:dyDescent="0.55000000000000004">
      <c r="A950" s="3" t="s">
        <v>1211</v>
      </c>
      <c r="B950" s="3" t="s">
        <v>1324</v>
      </c>
      <c r="C950" t="s">
        <v>1324</v>
      </c>
      <c r="D950" s="3" t="s">
        <v>7312</v>
      </c>
      <c r="E950" t="s">
        <v>1325</v>
      </c>
      <c r="F950" s="3" t="s">
        <v>1326</v>
      </c>
      <c r="G950" t="s">
        <v>19</v>
      </c>
      <c r="H950" s="3" t="s">
        <v>1334</v>
      </c>
      <c r="I950" t="s">
        <v>686</v>
      </c>
      <c r="J950" s="3" t="s">
        <v>1328</v>
      </c>
      <c r="K950" s="4">
        <v>498</v>
      </c>
      <c r="L950" s="5">
        <v>108.35</v>
      </c>
      <c r="M950" s="6">
        <v>0</v>
      </c>
      <c r="N950" s="7">
        <v>0</v>
      </c>
      <c r="O950" t="s">
        <v>1335</v>
      </c>
      <c r="P950" s="3" t="s">
        <v>212</v>
      </c>
      <c r="Q950" s="8">
        <v>8.1833000000000003E-2</v>
      </c>
    </row>
    <row r="951" spans="1:17" hidden="1" x14ac:dyDescent="0.55000000000000004">
      <c r="A951" s="3" t="s">
        <v>1211</v>
      </c>
      <c r="B951" s="3" t="s">
        <v>1324</v>
      </c>
      <c r="C951" t="s">
        <v>1324</v>
      </c>
      <c r="D951" s="3" t="s">
        <v>7312</v>
      </c>
      <c r="E951" t="s">
        <v>1325</v>
      </c>
      <c r="F951" s="3" t="s">
        <v>1326</v>
      </c>
      <c r="G951" t="s">
        <v>19</v>
      </c>
      <c r="H951" s="3" t="s">
        <v>1336</v>
      </c>
      <c r="I951" t="s">
        <v>1235</v>
      </c>
      <c r="J951" s="3" t="s">
        <v>1328</v>
      </c>
      <c r="K951" s="4">
        <v>394</v>
      </c>
      <c r="L951" s="5">
        <v>85.72</v>
      </c>
      <c r="M951" s="6">
        <v>0</v>
      </c>
      <c r="N951" s="7">
        <v>0</v>
      </c>
      <c r="O951" t="s">
        <v>1337</v>
      </c>
      <c r="P951" s="3" t="s">
        <v>212</v>
      </c>
      <c r="Q951" s="8">
        <v>8.6875999999999995E-2</v>
      </c>
    </row>
    <row r="952" spans="1:17" hidden="1" x14ac:dyDescent="0.55000000000000004">
      <c r="A952" s="3" t="s">
        <v>1211</v>
      </c>
      <c r="B952" s="3" t="s">
        <v>1324</v>
      </c>
      <c r="C952" t="s">
        <v>1324</v>
      </c>
      <c r="D952" s="3" t="s">
        <v>7312</v>
      </c>
      <c r="E952" t="s">
        <v>1325</v>
      </c>
      <c r="F952" s="3" t="s">
        <v>1326</v>
      </c>
      <c r="G952" t="s">
        <v>24</v>
      </c>
      <c r="H952" s="3" t="s">
        <v>1338</v>
      </c>
      <c r="I952" t="s">
        <v>26</v>
      </c>
      <c r="J952" s="3" t="s">
        <v>1339</v>
      </c>
      <c r="K952" s="4">
        <v>192</v>
      </c>
      <c r="L952" s="5">
        <v>8.7100000000000009</v>
      </c>
      <c r="M952" s="6">
        <v>0</v>
      </c>
      <c r="N952" s="7">
        <v>0</v>
      </c>
      <c r="O952" t="s">
        <v>1340</v>
      </c>
      <c r="P952" s="3" t="s">
        <v>29</v>
      </c>
      <c r="Q952" s="8">
        <v>0.179956</v>
      </c>
    </row>
    <row r="953" spans="1:17" hidden="1" x14ac:dyDescent="0.55000000000000004">
      <c r="A953" s="3" t="s">
        <v>1211</v>
      </c>
      <c r="B953" s="3" t="s">
        <v>1341</v>
      </c>
      <c r="C953" t="s">
        <v>1341</v>
      </c>
      <c r="D953" s="3" t="s">
        <v>7312</v>
      </c>
      <c r="E953" t="s">
        <v>1342</v>
      </c>
      <c r="F953" s="3" t="s">
        <v>1343</v>
      </c>
      <c r="G953" t="s">
        <v>24</v>
      </c>
      <c r="H953" s="3" t="s">
        <v>1344</v>
      </c>
      <c r="I953" t="s">
        <v>52</v>
      </c>
      <c r="J953" s="3" t="s">
        <v>1345</v>
      </c>
      <c r="K953" s="4">
        <v>347</v>
      </c>
      <c r="L953" s="5">
        <v>15.78</v>
      </c>
      <c r="M953" s="6">
        <v>0</v>
      </c>
      <c r="N953" s="7">
        <v>0</v>
      </c>
      <c r="O953" t="s">
        <v>1346</v>
      </c>
      <c r="P953" s="3" t="s">
        <v>55</v>
      </c>
      <c r="Q953" s="8">
        <v>0.181507</v>
      </c>
    </row>
    <row r="954" spans="1:17" hidden="1" x14ac:dyDescent="0.55000000000000004">
      <c r="A954" s="3" t="s">
        <v>1211</v>
      </c>
      <c r="B954" s="3" t="s">
        <v>1347</v>
      </c>
      <c r="C954" t="s">
        <v>1347</v>
      </c>
      <c r="D954" s="3" t="s">
        <v>7312</v>
      </c>
      <c r="E954" t="s">
        <v>1349</v>
      </c>
      <c r="F954" s="3" t="s">
        <v>1350</v>
      </c>
      <c r="G954" t="s">
        <v>19</v>
      </c>
      <c r="H954" s="3" t="s">
        <v>1351</v>
      </c>
      <c r="I954" t="s">
        <v>1284</v>
      </c>
      <c r="J954" s="3" t="s">
        <v>1352</v>
      </c>
      <c r="K954" s="4">
        <v>434</v>
      </c>
      <c r="L954" s="5">
        <v>94.33</v>
      </c>
      <c r="M954" s="6">
        <v>0</v>
      </c>
      <c r="N954" s="7">
        <v>1</v>
      </c>
      <c r="O954" t="s">
        <v>1353</v>
      </c>
      <c r="P954" s="3" t="s">
        <v>1287</v>
      </c>
      <c r="Q954" s="8">
        <v>6.3256999999999994E-2</v>
      </c>
    </row>
    <row r="955" spans="1:17" hidden="1" x14ac:dyDescent="0.55000000000000004">
      <c r="A955" s="3" t="s">
        <v>1211</v>
      </c>
      <c r="B955" s="3" t="s">
        <v>1347</v>
      </c>
      <c r="C955" t="s">
        <v>1347</v>
      </c>
      <c r="D955" s="3" t="s">
        <v>7312</v>
      </c>
      <c r="E955" t="s">
        <v>1349</v>
      </c>
      <c r="F955" s="3" t="s">
        <v>1350</v>
      </c>
      <c r="G955" t="s">
        <v>19</v>
      </c>
      <c r="H955" s="3" t="s">
        <v>1354</v>
      </c>
      <c r="I955" t="s">
        <v>1289</v>
      </c>
      <c r="J955" s="3" t="s">
        <v>1352</v>
      </c>
      <c r="K955" s="4">
        <v>374</v>
      </c>
      <c r="L955" s="5">
        <v>81.260000000000005</v>
      </c>
      <c r="M955" s="6">
        <v>0</v>
      </c>
      <c r="N955" s="7">
        <v>1</v>
      </c>
      <c r="O955" t="s">
        <v>1355</v>
      </c>
      <c r="P955" s="3" t="s">
        <v>1287</v>
      </c>
      <c r="Q955" s="8">
        <v>6.1231000000000001E-2</v>
      </c>
    </row>
    <row r="956" spans="1:17" hidden="1" x14ac:dyDescent="0.55000000000000004">
      <c r="A956" s="3" t="s">
        <v>1211</v>
      </c>
      <c r="B956" s="3" t="s">
        <v>1347</v>
      </c>
      <c r="C956" t="s">
        <v>1347</v>
      </c>
      <c r="D956" s="3" t="s">
        <v>7312</v>
      </c>
      <c r="E956" t="s">
        <v>1349</v>
      </c>
      <c r="F956" s="3" t="s">
        <v>1350</v>
      </c>
      <c r="G956" t="s">
        <v>19</v>
      </c>
      <c r="H956" s="3" t="s">
        <v>1356</v>
      </c>
      <c r="I956" t="s">
        <v>1357</v>
      </c>
      <c r="J956" s="3" t="s">
        <v>1352</v>
      </c>
      <c r="K956" s="4">
        <v>520</v>
      </c>
      <c r="L956" s="5">
        <v>112.98</v>
      </c>
      <c r="M956" s="6">
        <v>1</v>
      </c>
      <c r="N956" s="7">
        <v>1</v>
      </c>
      <c r="O956" t="s">
        <v>1358</v>
      </c>
      <c r="P956" s="3" t="s">
        <v>1287</v>
      </c>
      <c r="Q956" s="8">
        <v>6.3890000000000002E-2</v>
      </c>
    </row>
    <row r="957" spans="1:17" hidden="1" x14ac:dyDescent="0.55000000000000004">
      <c r="A957" s="3" t="s">
        <v>1211</v>
      </c>
      <c r="B957" s="3" t="s">
        <v>1347</v>
      </c>
      <c r="C957" t="s">
        <v>1347</v>
      </c>
      <c r="D957" s="3" t="s">
        <v>7312</v>
      </c>
      <c r="E957" t="s">
        <v>1349</v>
      </c>
      <c r="F957" s="3" t="s">
        <v>1350</v>
      </c>
      <c r="G957" t="s">
        <v>24</v>
      </c>
      <c r="H957" s="3" t="s">
        <v>1359</v>
      </c>
      <c r="I957" t="s">
        <v>52</v>
      </c>
      <c r="J957" s="3" t="s">
        <v>1360</v>
      </c>
      <c r="K957" s="4">
        <v>170</v>
      </c>
      <c r="L957" s="5">
        <v>7.72</v>
      </c>
      <c r="M957" s="6">
        <v>0</v>
      </c>
      <c r="N957" s="7">
        <v>1</v>
      </c>
      <c r="O957" t="s">
        <v>1361</v>
      </c>
      <c r="P957" s="3" t="s">
        <v>55</v>
      </c>
      <c r="Q957" s="8">
        <v>0.17973900000000001</v>
      </c>
    </row>
    <row r="958" spans="1:17" hidden="1" x14ac:dyDescent="0.55000000000000004">
      <c r="A958" s="3" t="s">
        <v>1211</v>
      </c>
      <c r="B958" s="3" t="s">
        <v>1347</v>
      </c>
      <c r="C958" t="s">
        <v>1347</v>
      </c>
      <c r="D958" s="3" t="s">
        <v>7312</v>
      </c>
      <c r="E958" t="s">
        <v>1349</v>
      </c>
      <c r="F958" s="3" t="s">
        <v>1350</v>
      </c>
      <c r="G958" t="s">
        <v>24</v>
      </c>
      <c r="H958" s="3" t="s">
        <v>23</v>
      </c>
      <c r="I958" t="s">
        <v>67</v>
      </c>
      <c r="J958" s="3" t="s">
        <v>1362</v>
      </c>
      <c r="K958" s="4" t="s">
        <v>23</v>
      </c>
      <c r="L958" s="5" t="s">
        <v>23</v>
      </c>
      <c r="M958" s="6">
        <v>0</v>
      </c>
      <c r="N958" s="7">
        <v>1</v>
      </c>
      <c r="O958" t="s">
        <v>23</v>
      </c>
      <c r="P958" s="3" t="s">
        <v>23</v>
      </c>
      <c r="Q958" s="8" t="s">
        <v>23</v>
      </c>
    </row>
    <row r="959" spans="1:17" hidden="1" x14ac:dyDescent="0.55000000000000004">
      <c r="A959" s="3" t="s">
        <v>1211</v>
      </c>
      <c r="B959" s="3" t="s">
        <v>1363</v>
      </c>
      <c r="C959" t="s">
        <v>1363</v>
      </c>
      <c r="D959" s="3" t="s">
        <v>7312</v>
      </c>
      <c r="E959" t="s">
        <v>1364</v>
      </c>
      <c r="F959" s="3" t="s">
        <v>1365</v>
      </c>
      <c r="G959" t="s">
        <v>19</v>
      </c>
      <c r="H959" s="3" t="s">
        <v>1366</v>
      </c>
      <c r="I959" t="s">
        <v>1284</v>
      </c>
      <c r="J959" s="3" t="s">
        <v>1367</v>
      </c>
      <c r="K959" s="4">
        <v>496</v>
      </c>
      <c r="L959" s="5">
        <v>107.78</v>
      </c>
      <c r="M959" s="6">
        <v>0</v>
      </c>
      <c r="N959" s="7">
        <v>0</v>
      </c>
      <c r="O959" t="s">
        <v>1368</v>
      </c>
      <c r="P959" s="3" t="s">
        <v>1287</v>
      </c>
      <c r="Q959" s="8">
        <v>4.8529000000000003E-2</v>
      </c>
    </row>
    <row r="960" spans="1:17" hidden="1" x14ac:dyDescent="0.55000000000000004">
      <c r="A960" s="3" t="s">
        <v>1211</v>
      </c>
      <c r="B960" s="3" t="s">
        <v>1363</v>
      </c>
      <c r="C960" t="s">
        <v>1363</v>
      </c>
      <c r="D960" s="3" t="s">
        <v>7312</v>
      </c>
      <c r="E960" t="s">
        <v>1364</v>
      </c>
      <c r="F960" s="3" t="s">
        <v>1365</v>
      </c>
      <c r="G960" t="s">
        <v>19</v>
      </c>
      <c r="H960" s="3" t="s">
        <v>1369</v>
      </c>
      <c r="I960" t="s">
        <v>1289</v>
      </c>
      <c r="J960" s="3" t="s">
        <v>1367</v>
      </c>
      <c r="K960" s="4">
        <v>436</v>
      </c>
      <c r="L960" s="5">
        <v>94.72</v>
      </c>
      <c r="M960" s="6">
        <v>0</v>
      </c>
      <c r="N960" s="7">
        <v>0</v>
      </c>
      <c r="O960" t="s">
        <v>1370</v>
      </c>
      <c r="P960" s="3" t="s">
        <v>1287</v>
      </c>
      <c r="Q960" s="8">
        <v>4.6504999999999998E-2</v>
      </c>
    </row>
    <row r="961" spans="1:17" hidden="1" x14ac:dyDescent="0.55000000000000004">
      <c r="A961" s="3" t="s">
        <v>1211</v>
      </c>
      <c r="B961" s="3" t="s">
        <v>1363</v>
      </c>
      <c r="C961" t="s">
        <v>1363</v>
      </c>
      <c r="D961" s="3" t="s">
        <v>7312</v>
      </c>
      <c r="E961" t="s">
        <v>1364</v>
      </c>
      <c r="F961" s="3" t="s">
        <v>1365</v>
      </c>
      <c r="G961" t="s">
        <v>19</v>
      </c>
      <c r="H961" s="3" t="s">
        <v>1371</v>
      </c>
      <c r="I961" t="s">
        <v>1357</v>
      </c>
      <c r="J961" s="3" t="s">
        <v>1367</v>
      </c>
      <c r="K961" s="4">
        <v>582</v>
      </c>
      <c r="L961" s="5">
        <v>126.43</v>
      </c>
      <c r="M961" s="6">
        <v>1</v>
      </c>
      <c r="N961" s="7">
        <v>0</v>
      </c>
      <c r="O961" t="s">
        <v>1372</v>
      </c>
      <c r="P961" s="3" t="s">
        <v>1287</v>
      </c>
      <c r="Q961" s="8">
        <v>4.9016999999999998E-2</v>
      </c>
    </row>
    <row r="962" spans="1:17" hidden="1" x14ac:dyDescent="0.55000000000000004">
      <c r="A962" s="3" t="s">
        <v>1211</v>
      </c>
      <c r="B962" s="3" t="s">
        <v>1363</v>
      </c>
      <c r="C962" t="s">
        <v>1363</v>
      </c>
      <c r="D962" s="3" t="s">
        <v>7312</v>
      </c>
      <c r="E962" t="s">
        <v>1364</v>
      </c>
      <c r="F962" s="3" t="s">
        <v>1365</v>
      </c>
      <c r="G962" t="s">
        <v>24</v>
      </c>
      <c r="H962" s="3" t="s">
        <v>1373</v>
      </c>
      <c r="I962" t="s">
        <v>26</v>
      </c>
      <c r="J962" s="3" t="s">
        <v>1374</v>
      </c>
      <c r="K962" s="4">
        <v>236</v>
      </c>
      <c r="L962" s="5">
        <v>10.74</v>
      </c>
      <c r="M962" s="6">
        <v>0</v>
      </c>
      <c r="N962" s="7">
        <v>0</v>
      </c>
      <c r="O962" t="s">
        <v>1375</v>
      </c>
      <c r="P962" s="3" t="s">
        <v>29</v>
      </c>
      <c r="Q962" s="8">
        <v>0.18040100000000001</v>
      </c>
    </row>
    <row r="963" spans="1:17" hidden="1" x14ac:dyDescent="0.55000000000000004">
      <c r="A963" s="3" t="s">
        <v>1211</v>
      </c>
      <c r="B963" s="3" t="s">
        <v>1363</v>
      </c>
      <c r="C963" t="s">
        <v>1363</v>
      </c>
      <c r="D963" s="3" t="s">
        <v>7312</v>
      </c>
      <c r="E963" t="s">
        <v>1376</v>
      </c>
      <c r="F963" s="3" t="s">
        <v>1377</v>
      </c>
      <c r="G963" t="s">
        <v>19</v>
      </c>
      <c r="H963" s="3" t="s">
        <v>1378</v>
      </c>
      <c r="I963" t="s">
        <v>1223</v>
      </c>
      <c r="J963" s="3" t="s">
        <v>1379</v>
      </c>
      <c r="K963" s="4">
        <v>414</v>
      </c>
      <c r="L963" s="5">
        <v>89.89</v>
      </c>
      <c r="M963" s="6">
        <v>0</v>
      </c>
      <c r="N963" s="7">
        <v>1</v>
      </c>
      <c r="O963" t="s">
        <v>1380</v>
      </c>
      <c r="P963" s="3" t="s">
        <v>212</v>
      </c>
      <c r="Q963" s="8">
        <v>6.8797999999999998E-2</v>
      </c>
    </row>
    <row r="964" spans="1:17" hidden="1" x14ac:dyDescent="0.55000000000000004">
      <c r="A964" s="3" t="s">
        <v>1211</v>
      </c>
      <c r="B964" s="3" t="s">
        <v>1363</v>
      </c>
      <c r="C964" t="s">
        <v>1363</v>
      </c>
      <c r="D964" s="3" t="s">
        <v>7312</v>
      </c>
      <c r="E964" t="s">
        <v>1376</v>
      </c>
      <c r="F964" s="3" t="s">
        <v>1377</v>
      </c>
      <c r="G964" t="s">
        <v>19</v>
      </c>
      <c r="H964" s="3" t="s">
        <v>1381</v>
      </c>
      <c r="I964" t="s">
        <v>1227</v>
      </c>
      <c r="J964" s="3" t="s">
        <v>1379</v>
      </c>
      <c r="K964" s="4">
        <v>422</v>
      </c>
      <c r="L964" s="5">
        <v>91.67</v>
      </c>
      <c r="M964" s="6">
        <v>0</v>
      </c>
      <c r="N964" s="7">
        <v>1</v>
      </c>
      <c r="O964" t="s">
        <v>1382</v>
      </c>
      <c r="P964" s="3" t="s">
        <v>212</v>
      </c>
      <c r="Q964" s="8">
        <v>6.8797999999999998E-2</v>
      </c>
    </row>
    <row r="965" spans="1:17" hidden="1" x14ac:dyDescent="0.55000000000000004">
      <c r="A965" s="3" t="s">
        <v>1211</v>
      </c>
      <c r="B965" s="3" t="s">
        <v>1363</v>
      </c>
      <c r="C965" t="s">
        <v>1363</v>
      </c>
      <c r="D965" s="3" t="s">
        <v>7312</v>
      </c>
      <c r="E965" t="s">
        <v>1376</v>
      </c>
      <c r="F965" s="3" t="s">
        <v>1377</v>
      </c>
      <c r="G965" t="s">
        <v>19</v>
      </c>
      <c r="H965" s="3" t="s">
        <v>1383</v>
      </c>
      <c r="I965" t="s">
        <v>1232</v>
      </c>
      <c r="J965" s="3" t="s">
        <v>1379</v>
      </c>
      <c r="K965" s="4">
        <v>604</v>
      </c>
      <c r="L965" s="5">
        <v>131.24</v>
      </c>
      <c r="M965" s="6">
        <v>1</v>
      </c>
      <c r="N965" s="7">
        <v>1</v>
      </c>
      <c r="O965" t="s">
        <v>1384</v>
      </c>
      <c r="P965" s="3" t="s">
        <v>212</v>
      </c>
      <c r="Q965" s="8">
        <v>6.1633E-2</v>
      </c>
    </row>
    <row r="966" spans="1:17" hidden="1" x14ac:dyDescent="0.55000000000000004">
      <c r="A966" s="3" t="s">
        <v>1211</v>
      </c>
      <c r="B966" s="3" t="s">
        <v>1363</v>
      </c>
      <c r="C966" t="s">
        <v>1363</v>
      </c>
      <c r="D966" s="3" t="s">
        <v>7312</v>
      </c>
      <c r="E966" t="s">
        <v>1376</v>
      </c>
      <c r="F966" s="3" t="s">
        <v>1377</v>
      </c>
      <c r="G966" t="s">
        <v>19</v>
      </c>
      <c r="H966" s="3" t="s">
        <v>1385</v>
      </c>
      <c r="I966" t="s">
        <v>686</v>
      </c>
      <c r="J966" s="3" t="s">
        <v>1379</v>
      </c>
      <c r="K966" s="4">
        <v>558</v>
      </c>
      <c r="L966" s="5">
        <v>121.2</v>
      </c>
      <c r="M966" s="6">
        <v>0</v>
      </c>
      <c r="N966" s="7">
        <v>1</v>
      </c>
      <c r="O966" t="s">
        <v>1386</v>
      </c>
      <c r="P966" s="3" t="s">
        <v>212</v>
      </c>
      <c r="Q966" s="8">
        <v>6.1633E-2</v>
      </c>
    </row>
    <row r="967" spans="1:17" hidden="1" x14ac:dyDescent="0.55000000000000004">
      <c r="A967" s="3" t="s">
        <v>1211</v>
      </c>
      <c r="B967" s="3" t="s">
        <v>1363</v>
      </c>
      <c r="C967" t="s">
        <v>1363</v>
      </c>
      <c r="D967" s="3" t="s">
        <v>7312</v>
      </c>
      <c r="E967" t="s">
        <v>1376</v>
      </c>
      <c r="F967" s="3" t="s">
        <v>1377</v>
      </c>
      <c r="G967" t="s">
        <v>19</v>
      </c>
      <c r="H967" s="3" t="s">
        <v>1387</v>
      </c>
      <c r="I967" t="s">
        <v>1235</v>
      </c>
      <c r="J967" s="3" t="s">
        <v>1379</v>
      </c>
      <c r="K967" s="4">
        <v>575</v>
      </c>
      <c r="L967" s="5">
        <v>124.98</v>
      </c>
      <c r="M967" s="6">
        <v>0</v>
      </c>
      <c r="N967" s="7">
        <v>1</v>
      </c>
      <c r="O967" t="s">
        <v>1388</v>
      </c>
      <c r="P967" s="3" t="s">
        <v>212</v>
      </c>
      <c r="Q967" s="8">
        <v>8.8260000000000005E-2</v>
      </c>
    </row>
    <row r="968" spans="1:17" hidden="1" x14ac:dyDescent="0.55000000000000004">
      <c r="A968" s="3" t="s">
        <v>1211</v>
      </c>
      <c r="B968" s="3" t="s">
        <v>1363</v>
      </c>
      <c r="C968" t="s">
        <v>1363</v>
      </c>
      <c r="D968" s="3" t="s">
        <v>7312</v>
      </c>
      <c r="E968" t="s">
        <v>1376</v>
      </c>
      <c r="F968" s="3" t="s">
        <v>1377</v>
      </c>
      <c r="G968" t="s">
        <v>24</v>
      </c>
      <c r="H968" s="3" t="s">
        <v>1373</v>
      </c>
      <c r="I968" t="s">
        <v>26</v>
      </c>
      <c r="J968" s="3" t="s">
        <v>1374</v>
      </c>
      <c r="K968" s="4">
        <v>236</v>
      </c>
      <c r="L968" s="5">
        <v>10.74</v>
      </c>
      <c r="M968" s="6">
        <v>0</v>
      </c>
      <c r="N968" s="7">
        <v>1</v>
      </c>
      <c r="O968" t="s">
        <v>1375</v>
      </c>
      <c r="P968" s="3" t="s">
        <v>29</v>
      </c>
      <c r="Q968" s="8">
        <v>0.18040100000000001</v>
      </c>
    </row>
    <row r="969" spans="1:17" hidden="1" x14ac:dyDescent="0.55000000000000004">
      <c r="A969" s="3" t="s">
        <v>1211</v>
      </c>
      <c r="B969" s="3" t="s">
        <v>1255</v>
      </c>
      <c r="C969" t="s">
        <v>7334</v>
      </c>
      <c r="D969" s="3" t="s">
        <v>7312</v>
      </c>
      <c r="E969" t="s">
        <v>1389</v>
      </c>
      <c r="F969" s="3" t="s">
        <v>1390</v>
      </c>
      <c r="G969" t="s">
        <v>19</v>
      </c>
      <c r="H969" s="3" t="s">
        <v>1391</v>
      </c>
      <c r="I969" t="s">
        <v>1276</v>
      </c>
      <c r="J969" s="3" t="s">
        <v>1392</v>
      </c>
      <c r="K969" s="4">
        <v>257</v>
      </c>
      <c r="L969" s="5">
        <v>55.96</v>
      </c>
      <c r="M969" s="6">
        <v>1</v>
      </c>
      <c r="N969" s="7">
        <v>1</v>
      </c>
      <c r="O969" t="s">
        <v>1393</v>
      </c>
      <c r="P969" s="3" t="s">
        <v>1279</v>
      </c>
      <c r="Q969" s="8">
        <v>2.0471E-2</v>
      </c>
    </row>
    <row r="970" spans="1:17" hidden="1" x14ac:dyDescent="0.55000000000000004">
      <c r="A970" s="3" t="s">
        <v>1211</v>
      </c>
      <c r="B970" s="3" t="s">
        <v>1255</v>
      </c>
      <c r="C970" t="s">
        <v>7334</v>
      </c>
      <c r="D970" s="3" t="s">
        <v>7312</v>
      </c>
      <c r="E970" t="s">
        <v>1389</v>
      </c>
      <c r="F970" s="3" t="s">
        <v>1390</v>
      </c>
      <c r="G970" t="s">
        <v>19</v>
      </c>
      <c r="H970" s="3" t="s">
        <v>1391</v>
      </c>
      <c r="I970" t="s">
        <v>1276</v>
      </c>
      <c r="J970" s="3" t="s">
        <v>1392</v>
      </c>
      <c r="K970" s="4">
        <v>257</v>
      </c>
      <c r="L970" s="5">
        <v>55.96</v>
      </c>
      <c r="M970" s="6">
        <v>1</v>
      </c>
      <c r="N970" s="7">
        <v>1</v>
      </c>
      <c r="O970" t="s">
        <v>1281</v>
      </c>
      <c r="P970" s="3" t="s">
        <v>1282</v>
      </c>
      <c r="Q970" s="8">
        <v>2.8874E-2</v>
      </c>
    </row>
    <row r="971" spans="1:17" hidden="1" x14ac:dyDescent="0.55000000000000004">
      <c r="A971" s="3" t="s">
        <v>1211</v>
      </c>
      <c r="B971" s="3" t="s">
        <v>1255</v>
      </c>
      <c r="C971" t="s">
        <v>7334</v>
      </c>
      <c r="D971" s="3" t="s">
        <v>7312</v>
      </c>
      <c r="E971" t="s">
        <v>1389</v>
      </c>
      <c r="F971" s="3" t="s">
        <v>1390</v>
      </c>
      <c r="G971" t="s">
        <v>24</v>
      </c>
      <c r="H971" s="3" t="s">
        <v>1269</v>
      </c>
      <c r="I971" t="s">
        <v>26</v>
      </c>
      <c r="J971" s="3" t="s">
        <v>1270</v>
      </c>
      <c r="K971" s="4">
        <v>322</v>
      </c>
      <c r="L971" s="5">
        <v>14.62</v>
      </c>
      <c r="M971" s="6">
        <v>0</v>
      </c>
      <c r="N971" s="7">
        <v>1</v>
      </c>
      <c r="O971" t="s">
        <v>1271</v>
      </c>
      <c r="P971" s="3" t="s">
        <v>29</v>
      </c>
      <c r="Q971" s="8">
        <v>0.181254</v>
      </c>
    </row>
    <row r="972" spans="1:17" hidden="1" x14ac:dyDescent="0.55000000000000004">
      <c r="A972" s="3" t="s">
        <v>1211</v>
      </c>
      <c r="B972" s="3" t="s">
        <v>1394</v>
      </c>
      <c r="C972" t="s">
        <v>1394</v>
      </c>
      <c r="D972" s="3" t="s">
        <v>7312</v>
      </c>
      <c r="E972" t="s">
        <v>1395</v>
      </c>
      <c r="F972" s="3" t="s">
        <v>1396</v>
      </c>
      <c r="G972" t="s">
        <v>19</v>
      </c>
      <c r="H972" s="3" t="s">
        <v>1397</v>
      </c>
      <c r="I972" t="s">
        <v>1276</v>
      </c>
      <c r="J972" s="3" t="s">
        <v>1398</v>
      </c>
      <c r="K972" s="4">
        <v>330</v>
      </c>
      <c r="L972" s="5">
        <v>71.739999999999995</v>
      </c>
      <c r="M972" s="6">
        <v>1</v>
      </c>
      <c r="N972" s="7">
        <v>0</v>
      </c>
      <c r="O972" t="s">
        <v>1399</v>
      </c>
      <c r="P972" s="3" t="s">
        <v>1279</v>
      </c>
      <c r="Q972" s="8">
        <v>2.6232999999999999E-2</v>
      </c>
    </row>
    <row r="973" spans="1:17" hidden="1" x14ac:dyDescent="0.55000000000000004">
      <c r="A973" s="3" t="s">
        <v>1211</v>
      </c>
      <c r="B973" s="3" t="s">
        <v>1394</v>
      </c>
      <c r="C973" t="s">
        <v>1394</v>
      </c>
      <c r="D973" s="3" t="s">
        <v>7312</v>
      </c>
      <c r="E973" t="s">
        <v>1395</v>
      </c>
      <c r="F973" s="3" t="s">
        <v>1396</v>
      </c>
      <c r="G973" t="s">
        <v>19</v>
      </c>
      <c r="H973" s="3" t="s">
        <v>1397</v>
      </c>
      <c r="I973" t="s">
        <v>1276</v>
      </c>
      <c r="J973" s="3" t="s">
        <v>1398</v>
      </c>
      <c r="K973" s="4">
        <v>330</v>
      </c>
      <c r="L973" s="5">
        <v>71.739999999999995</v>
      </c>
      <c r="M973" s="6">
        <v>1</v>
      </c>
      <c r="N973" s="7">
        <v>0</v>
      </c>
      <c r="O973" t="s">
        <v>1281</v>
      </c>
      <c r="P973" s="3" t="s">
        <v>1282</v>
      </c>
      <c r="Q973" s="8">
        <v>2.8874E-2</v>
      </c>
    </row>
    <row r="974" spans="1:17" hidden="1" x14ac:dyDescent="0.55000000000000004">
      <c r="A974" s="3" t="s">
        <v>1211</v>
      </c>
      <c r="B974" s="3" t="s">
        <v>1394</v>
      </c>
      <c r="C974" t="s">
        <v>1394</v>
      </c>
      <c r="D974" s="3" t="s">
        <v>7312</v>
      </c>
      <c r="E974" t="s">
        <v>1395</v>
      </c>
      <c r="F974" s="3" t="s">
        <v>1396</v>
      </c>
      <c r="G974" t="s">
        <v>24</v>
      </c>
      <c r="H974" s="3" t="s">
        <v>1400</v>
      </c>
      <c r="I974" t="s">
        <v>52</v>
      </c>
      <c r="J974" s="3" t="s">
        <v>1401</v>
      </c>
      <c r="K974" s="4">
        <v>266</v>
      </c>
      <c r="L974" s="5">
        <v>12.1</v>
      </c>
      <c r="M974" s="6">
        <v>0</v>
      </c>
      <c r="N974" s="7">
        <v>0</v>
      </c>
      <c r="O974" t="s">
        <v>1402</v>
      </c>
      <c r="P974" s="3" t="s">
        <v>55</v>
      </c>
      <c r="Q974" s="8">
        <v>0.180701</v>
      </c>
    </row>
    <row r="975" spans="1:17" hidden="1" x14ac:dyDescent="0.55000000000000004">
      <c r="A975" s="3" t="s">
        <v>1211</v>
      </c>
      <c r="B975" s="3" t="s">
        <v>1394</v>
      </c>
      <c r="C975" t="s">
        <v>1394</v>
      </c>
      <c r="D975" s="3" t="s">
        <v>7312</v>
      </c>
      <c r="E975" t="s">
        <v>1395</v>
      </c>
      <c r="F975" s="3" t="s">
        <v>1396</v>
      </c>
      <c r="G975" t="s">
        <v>24</v>
      </c>
      <c r="H975" s="3" t="s">
        <v>1403</v>
      </c>
      <c r="I975" t="s">
        <v>218</v>
      </c>
      <c r="J975" s="3" t="s">
        <v>1404</v>
      </c>
      <c r="K975" s="4">
        <v>366</v>
      </c>
      <c r="L975" s="5">
        <v>16.64</v>
      </c>
      <c r="M975" s="6">
        <v>0</v>
      </c>
      <c r="N975" s="7">
        <v>0</v>
      </c>
      <c r="O975" t="s">
        <v>1405</v>
      </c>
      <c r="P975" s="3" t="s">
        <v>23</v>
      </c>
      <c r="Q975" s="8" t="s">
        <v>23</v>
      </c>
    </row>
    <row r="976" spans="1:17" hidden="1" x14ac:dyDescent="0.55000000000000004">
      <c r="A976" s="3" t="s">
        <v>1211</v>
      </c>
      <c r="B976" s="3" t="s">
        <v>1307</v>
      </c>
      <c r="C976" t="s">
        <v>1307</v>
      </c>
      <c r="D976" s="3" t="s">
        <v>7312</v>
      </c>
      <c r="E976" t="s">
        <v>1406</v>
      </c>
      <c r="F976" s="3" t="s">
        <v>1407</v>
      </c>
      <c r="G976" t="s">
        <v>19</v>
      </c>
      <c r="H976" s="3" t="s">
        <v>1408</v>
      </c>
      <c r="I976" t="s">
        <v>1276</v>
      </c>
      <c r="J976" s="3" t="s">
        <v>1409</v>
      </c>
      <c r="K976" s="4">
        <v>189</v>
      </c>
      <c r="L976" s="5">
        <v>41.15</v>
      </c>
      <c r="M976" s="6">
        <v>1</v>
      </c>
      <c r="N976" s="7">
        <v>1</v>
      </c>
      <c r="O976" t="s">
        <v>1281</v>
      </c>
      <c r="P976" s="3" t="s">
        <v>1282</v>
      </c>
      <c r="Q976" s="8">
        <v>2.8874E-2</v>
      </c>
    </row>
    <row r="977" spans="1:17" hidden="1" x14ac:dyDescent="0.55000000000000004">
      <c r="A977" s="3" t="s">
        <v>1211</v>
      </c>
      <c r="B977" s="3" t="s">
        <v>1307</v>
      </c>
      <c r="C977" t="s">
        <v>1307</v>
      </c>
      <c r="D977" s="3" t="s">
        <v>7312</v>
      </c>
      <c r="E977" t="s">
        <v>1406</v>
      </c>
      <c r="F977" s="3" t="s">
        <v>1407</v>
      </c>
      <c r="G977" t="s">
        <v>19</v>
      </c>
      <c r="H977" s="3" t="s">
        <v>23</v>
      </c>
      <c r="I977" t="s">
        <v>67</v>
      </c>
      <c r="J977" s="3" t="s">
        <v>1410</v>
      </c>
      <c r="K977" s="4" t="s">
        <v>23</v>
      </c>
      <c r="L977" s="5" t="s">
        <v>23</v>
      </c>
      <c r="M977" s="6">
        <v>0</v>
      </c>
      <c r="N977" s="7">
        <v>1</v>
      </c>
      <c r="O977" t="s">
        <v>23</v>
      </c>
      <c r="P977" s="3" t="s">
        <v>23</v>
      </c>
      <c r="Q977" s="8" t="s">
        <v>23</v>
      </c>
    </row>
    <row r="978" spans="1:17" hidden="1" x14ac:dyDescent="0.55000000000000004">
      <c r="A978" s="3" t="s">
        <v>1211</v>
      </c>
      <c r="B978" s="3" t="s">
        <v>1307</v>
      </c>
      <c r="C978" t="s">
        <v>1307</v>
      </c>
      <c r="D978" s="3" t="s">
        <v>7312</v>
      </c>
      <c r="E978" t="s">
        <v>1406</v>
      </c>
      <c r="F978" s="3" t="s">
        <v>1407</v>
      </c>
      <c r="G978" t="s">
        <v>24</v>
      </c>
      <c r="H978" s="3" t="s">
        <v>1411</v>
      </c>
      <c r="I978" t="s">
        <v>52</v>
      </c>
      <c r="J978" s="3" t="s">
        <v>1412</v>
      </c>
      <c r="K978" s="4">
        <v>386</v>
      </c>
      <c r="L978" s="5">
        <v>17.55</v>
      </c>
      <c r="M978" s="6">
        <v>0</v>
      </c>
      <c r="N978" s="7">
        <v>1</v>
      </c>
      <c r="O978" t="s">
        <v>1413</v>
      </c>
      <c r="P978" s="3" t="s">
        <v>55</v>
      </c>
      <c r="Q978" s="8">
        <v>0.181895</v>
      </c>
    </row>
    <row r="979" spans="1:17" hidden="1" x14ac:dyDescent="0.55000000000000004">
      <c r="A979" s="3" t="s">
        <v>1211</v>
      </c>
      <c r="B979" s="3" t="s">
        <v>1295</v>
      </c>
      <c r="C979" t="s">
        <v>1295</v>
      </c>
      <c r="D979" s="3" t="s">
        <v>7312</v>
      </c>
      <c r="E979" t="s">
        <v>1415</v>
      </c>
      <c r="F979" s="3" t="s">
        <v>1416</v>
      </c>
      <c r="G979" t="s">
        <v>19</v>
      </c>
      <c r="H979" s="3" t="s">
        <v>1417</v>
      </c>
      <c r="I979" t="s">
        <v>1223</v>
      </c>
      <c r="J979" s="3" t="s">
        <v>1418</v>
      </c>
      <c r="K979" s="4">
        <v>239</v>
      </c>
      <c r="L979" s="5">
        <v>51.98</v>
      </c>
      <c r="M979" s="6">
        <v>0</v>
      </c>
      <c r="N979" s="7">
        <v>1</v>
      </c>
      <c r="O979" t="s">
        <v>1419</v>
      </c>
      <c r="P979" s="3" t="s">
        <v>212</v>
      </c>
      <c r="Q979" s="8">
        <v>7.6982999999999996E-2</v>
      </c>
    </row>
    <row r="980" spans="1:17" hidden="1" x14ac:dyDescent="0.55000000000000004">
      <c r="A980" s="3" t="s">
        <v>1211</v>
      </c>
      <c r="B980" s="3" t="s">
        <v>1295</v>
      </c>
      <c r="C980" t="s">
        <v>1295</v>
      </c>
      <c r="D980" s="3" t="s">
        <v>7312</v>
      </c>
      <c r="E980" t="s">
        <v>1415</v>
      </c>
      <c r="F980" s="3" t="s">
        <v>1416</v>
      </c>
      <c r="G980" t="s">
        <v>19</v>
      </c>
      <c r="H980" s="3" t="s">
        <v>1420</v>
      </c>
      <c r="I980" t="s">
        <v>1227</v>
      </c>
      <c r="J980" s="3" t="s">
        <v>1418</v>
      </c>
      <c r="K980" s="4">
        <v>247</v>
      </c>
      <c r="L980" s="5">
        <v>53.76</v>
      </c>
      <c r="M980" s="6">
        <v>0</v>
      </c>
      <c r="N980" s="7">
        <v>1</v>
      </c>
      <c r="O980" t="s">
        <v>1421</v>
      </c>
      <c r="P980" s="3" t="s">
        <v>212</v>
      </c>
      <c r="Q980" s="8">
        <v>7.6982999999999996E-2</v>
      </c>
    </row>
    <row r="981" spans="1:17" hidden="1" x14ac:dyDescent="0.55000000000000004">
      <c r="A981" s="3" t="s">
        <v>1211</v>
      </c>
      <c r="B981" s="3" t="s">
        <v>1295</v>
      </c>
      <c r="C981" t="s">
        <v>1295</v>
      </c>
      <c r="D981" s="3" t="s">
        <v>7312</v>
      </c>
      <c r="E981" t="s">
        <v>1415</v>
      </c>
      <c r="F981" s="3" t="s">
        <v>1416</v>
      </c>
      <c r="G981" t="s">
        <v>19</v>
      </c>
      <c r="H981" s="3" t="s">
        <v>1422</v>
      </c>
      <c r="I981" t="s">
        <v>686</v>
      </c>
      <c r="J981" s="3" t="s">
        <v>1418</v>
      </c>
      <c r="K981" s="4">
        <v>417</v>
      </c>
      <c r="L981" s="5">
        <v>90.65</v>
      </c>
      <c r="M981" s="6">
        <v>0</v>
      </c>
      <c r="N981" s="7">
        <v>1</v>
      </c>
      <c r="O981" t="s">
        <v>1423</v>
      </c>
      <c r="P981" s="3" t="s">
        <v>212</v>
      </c>
      <c r="Q981" s="8">
        <v>8.1833000000000003E-2</v>
      </c>
    </row>
    <row r="982" spans="1:17" hidden="1" x14ac:dyDescent="0.55000000000000004">
      <c r="A982" s="3" t="s">
        <v>1211</v>
      </c>
      <c r="B982" s="3" t="s">
        <v>1295</v>
      </c>
      <c r="C982" t="s">
        <v>1295</v>
      </c>
      <c r="D982" s="3" t="s">
        <v>7312</v>
      </c>
      <c r="E982" t="s">
        <v>1415</v>
      </c>
      <c r="F982" s="3" t="s">
        <v>1416</v>
      </c>
      <c r="G982" t="s">
        <v>19</v>
      </c>
      <c r="H982" s="3" t="s">
        <v>1424</v>
      </c>
      <c r="I982" t="s">
        <v>1232</v>
      </c>
      <c r="J982" s="3" t="s">
        <v>1418</v>
      </c>
      <c r="K982" s="4">
        <v>463</v>
      </c>
      <c r="L982" s="5">
        <v>100.7</v>
      </c>
      <c r="M982" s="6">
        <v>1</v>
      </c>
      <c r="N982" s="7">
        <v>1</v>
      </c>
      <c r="O982" t="s">
        <v>1425</v>
      </c>
      <c r="P982" s="3" t="s">
        <v>212</v>
      </c>
      <c r="Q982" s="8">
        <v>7.6982999999999996E-2</v>
      </c>
    </row>
    <row r="983" spans="1:17" hidden="1" x14ac:dyDescent="0.55000000000000004">
      <c r="A983" s="3" t="s">
        <v>1211</v>
      </c>
      <c r="B983" s="3" t="s">
        <v>1295</v>
      </c>
      <c r="C983" t="s">
        <v>1295</v>
      </c>
      <c r="D983" s="3" t="s">
        <v>7312</v>
      </c>
      <c r="E983" t="s">
        <v>1415</v>
      </c>
      <c r="F983" s="3" t="s">
        <v>1416</v>
      </c>
      <c r="G983" t="s">
        <v>19</v>
      </c>
      <c r="H983" s="3" t="s">
        <v>1426</v>
      </c>
      <c r="I983" t="s">
        <v>1235</v>
      </c>
      <c r="J983" s="3" t="s">
        <v>1418</v>
      </c>
      <c r="K983" s="4">
        <v>400</v>
      </c>
      <c r="L983" s="5">
        <v>87.07</v>
      </c>
      <c r="M983" s="6">
        <v>0</v>
      </c>
      <c r="N983" s="7">
        <v>1</v>
      </c>
      <c r="O983" t="s">
        <v>1427</v>
      </c>
      <c r="P983" s="3" t="s">
        <v>212</v>
      </c>
      <c r="Q983" s="8">
        <v>8.6875999999999995E-2</v>
      </c>
    </row>
    <row r="984" spans="1:17" hidden="1" x14ac:dyDescent="0.55000000000000004">
      <c r="A984" s="3" t="s">
        <v>1211</v>
      </c>
      <c r="B984" s="3" t="s">
        <v>1295</v>
      </c>
      <c r="C984" t="s">
        <v>1295</v>
      </c>
      <c r="D984" s="3" t="s">
        <v>7312</v>
      </c>
      <c r="E984" t="s">
        <v>1415</v>
      </c>
      <c r="F984" s="3" t="s">
        <v>1416</v>
      </c>
      <c r="G984" t="s">
        <v>24</v>
      </c>
      <c r="H984" s="3" t="s">
        <v>1428</v>
      </c>
      <c r="I984" t="s">
        <v>52</v>
      </c>
      <c r="J984" s="3" t="s">
        <v>1429</v>
      </c>
      <c r="K984" s="4">
        <v>191</v>
      </c>
      <c r="L984" s="5">
        <v>8.69</v>
      </c>
      <c r="M984" s="6">
        <v>0</v>
      </c>
      <c r="N984" s="7">
        <v>1</v>
      </c>
      <c r="O984" t="s">
        <v>1430</v>
      </c>
      <c r="P984" s="3" t="s">
        <v>55</v>
      </c>
      <c r="Q984" s="8">
        <v>0.179952</v>
      </c>
    </row>
    <row r="985" spans="1:17" hidden="1" x14ac:dyDescent="0.55000000000000004">
      <c r="A985" s="3" t="s">
        <v>1211</v>
      </c>
      <c r="B985" s="3" t="s">
        <v>1295</v>
      </c>
      <c r="C985" t="s">
        <v>1295</v>
      </c>
      <c r="D985" s="3" t="s">
        <v>7312</v>
      </c>
      <c r="E985" t="s">
        <v>1415</v>
      </c>
      <c r="F985" s="3" t="s">
        <v>1416</v>
      </c>
      <c r="G985" t="s">
        <v>24</v>
      </c>
      <c r="H985" s="3" t="s">
        <v>1304</v>
      </c>
      <c r="I985" t="s">
        <v>218</v>
      </c>
      <c r="J985" s="3" t="s">
        <v>1305</v>
      </c>
      <c r="K985" s="4">
        <v>428</v>
      </c>
      <c r="L985" s="5">
        <v>19.45</v>
      </c>
      <c r="M985" s="6">
        <v>0</v>
      </c>
      <c r="N985" s="7">
        <v>1</v>
      </c>
      <c r="O985" t="s">
        <v>1306</v>
      </c>
      <c r="P985" s="3" t="s">
        <v>23</v>
      </c>
      <c r="Q985" s="8" t="s">
        <v>23</v>
      </c>
    </row>
    <row r="986" spans="1:17" hidden="1" x14ac:dyDescent="0.55000000000000004">
      <c r="A986" s="3" t="s">
        <v>1211</v>
      </c>
      <c r="B986" s="3" t="s">
        <v>1414</v>
      </c>
      <c r="C986" t="s">
        <v>1295</v>
      </c>
      <c r="D986" s="3" t="s">
        <v>7312</v>
      </c>
      <c r="E986" t="s">
        <v>1431</v>
      </c>
      <c r="F986" s="3" t="s">
        <v>1432</v>
      </c>
      <c r="G986" t="s">
        <v>19</v>
      </c>
      <c r="H986" s="3" t="s">
        <v>1417</v>
      </c>
      <c r="I986" t="s">
        <v>1223</v>
      </c>
      <c r="J986" s="3" t="s">
        <v>1418</v>
      </c>
      <c r="K986" s="4">
        <v>239</v>
      </c>
      <c r="L986" s="5">
        <v>51.98</v>
      </c>
      <c r="M986" s="6">
        <v>0</v>
      </c>
      <c r="N986" s="7">
        <v>0</v>
      </c>
      <c r="O986" t="s">
        <v>1419</v>
      </c>
      <c r="P986" s="3" t="s">
        <v>212</v>
      </c>
      <c r="Q986" s="8">
        <v>7.6982999999999996E-2</v>
      </c>
    </row>
    <row r="987" spans="1:17" hidden="1" x14ac:dyDescent="0.55000000000000004">
      <c r="A987" s="3" t="s">
        <v>1211</v>
      </c>
      <c r="B987" s="3" t="s">
        <v>1414</v>
      </c>
      <c r="C987" t="s">
        <v>1295</v>
      </c>
      <c r="D987" s="3" t="s">
        <v>7312</v>
      </c>
      <c r="E987" t="s">
        <v>1431</v>
      </c>
      <c r="F987" s="3" t="s">
        <v>1432</v>
      </c>
      <c r="G987" t="s">
        <v>19</v>
      </c>
      <c r="H987" s="3" t="s">
        <v>1420</v>
      </c>
      <c r="I987" t="s">
        <v>1227</v>
      </c>
      <c r="J987" s="3" t="s">
        <v>1418</v>
      </c>
      <c r="K987" s="4">
        <v>247</v>
      </c>
      <c r="L987" s="5">
        <v>53.76</v>
      </c>
      <c r="M987" s="6">
        <v>0</v>
      </c>
      <c r="N987" s="7">
        <v>0</v>
      </c>
      <c r="O987" t="s">
        <v>1421</v>
      </c>
      <c r="P987" s="3" t="s">
        <v>212</v>
      </c>
      <c r="Q987" s="8">
        <v>7.6982999999999996E-2</v>
      </c>
    </row>
    <row r="988" spans="1:17" hidden="1" x14ac:dyDescent="0.55000000000000004">
      <c r="A988" s="3" t="s">
        <v>1211</v>
      </c>
      <c r="B988" s="3" t="s">
        <v>1414</v>
      </c>
      <c r="C988" t="s">
        <v>1295</v>
      </c>
      <c r="D988" s="3" t="s">
        <v>7312</v>
      </c>
      <c r="E988" t="s">
        <v>1431</v>
      </c>
      <c r="F988" s="3" t="s">
        <v>1432</v>
      </c>
      <c r="G988" t="s">
        <v>19</v>
      </c>
      <c r="H988" s="3" t="s">
        <v>1422</v>
      </c>
      <c r="I988" t="s">
        <v>686</v>
      </c>
      <c r="J988" s="3" t="s">
        <v>1418</v>
      </c>
      <c r="K988" s="4">
        <v>417</v>
      </c>
      <c r="L988" s="5">
        <v>90.65</v>
      </c>
      <c r="M988" s="6">
        <v>0</v>
      </c>
      <c r="N988" s="7">
        <v>0</v>
      </c>
      <c r="O988" t="s">
        <v>1423</v>
      </c>
      <c r="P988" s="3" t="s">
        <v>212</v>
      </c>
      <c r="Q988" s="8">
        <v>8.1833000000000003E-2</v>
      </c>
    </row>
    <row r="989" spans="1:17" hidden="1" x14ac:dyDescent="0.55000000000000004">
      <c r="A989" s="3" t="s">
        <v>1211</v>
      </c>
      <c r="B989" s="3" t="s">
        <v>1414</v>
      </c>
      <c r="C989" t="s">
        <v>1295</v>
      </c>
      <c r="D989" s="3" t="s">
        <v>7312</v>
      </c>
      <c r="E989" t="s">
        <v>1431</v>
      </c>
      <c r="F989" s="3" t="s">
        <v>1432</v>
      </c>
      <c r="G989" t="s">
        <v>19</v>
      </c>
      <c r="H989" s="3" t="s">
        <v>1424</v>
      </c>
      <c r="I989" t="s">
        <v>1232</v>
      </c>
      <c r="J989" s="3" t="s">
        <v>1418</v>
      </c>
      <c r="K989" s="4">
        <v>463</v>
      </c>
      <c r="L989" s="5">
        <v>100.7</v>
      </c>
      <c r="M989" s="6">
        <v>1</v>
      </c>
      <c r="N989" s="7">
        <v>0</v>
      </c>
      <c r="O989" t="s">
        <v>1425</v>
      </c>
      <c r="P989" s="3" t="s">
        <v>212</v>
      </c>
      <c r="Q989" s="8">
        <v>7.6982999999999996E-2</v>
      </c>
    </row>
    <row r="990" spans="1:17" hidden="1" x14ac:dyDescent="0.55000000000000004">
      <c r="A990" s="3" t="s">
        <v>1211</v>
      </c>
      <c r="B990" s="3" t="s">
        <v>1414</v>
      </c>
      <c r="C990" t="s">
        <v>1295</v>
      </c>
      <c r="D990" s="3" t="s">
        <v>7312</v>
      </c>
      <c r="E990" t="s">
        <v>1431</v>
      </c>
      <c r="F990" s="3" t="s">
        <v>1432</v>
      </c>
      <c r="G990" t="s">
        <v>19</v>
      </c>
      <c r="H990" s="3" t="s">
        <v>1426</v>
      </c>
      <c r="I990" t="s">
        <v>1235</v>
      </c>
      <c r="J990" s="3" t="s">
        <v>1418</v>
      </c>
      <c r="K990" s="4">
        <v>400</v>
      </c>
      <c r="L990" s="5">
        <v>87.07</v>
      </c>
      <c r="M990" s="6">
        <v>0</v>
      </c>
      <c r="N990" s="7">
        <v>0</v>
      </c>
      <c r="O990" t="s">
        <v>1427</v>
      </c>
      <c r="P990" s="3" t="s">
        <v>212</v>
      </c>
      <c r="Q990" s="8">
        <v>8.6875999999999995E-2</v>
      </c>
    </row>
    <row r="991" spans="1:17" hidden="1" x14ac:dyDescent="0.55000000000000004">
      <c r="A991" s="3" t="s">
        <v>1211</v>
      </c>
      <c r="B991" s="3" t="s">
        <v>1414</v>
      </c>
      <c r="C991" t="s">
        <v>1295</v>
      </c>
      <c r="D991" s="3" t="s">
        <v>7312</v>
      </c>
      <c r="E991" t="s">
        <v>1431</v>
      </c>
      <c r="F991" s="3" t="s">
        <v>1432</v>
      </c>
      <c r="G991" t="s">
        <v>24</v>
      </c>
      <c r="H991" s="3" t="s">
        <v>1428</v>
      </c>
      <c r="I991" t="s">
        <v>52</v>
      </c>
      <c r="J991" s="3" t="s">
        <v>1429</v>
      </c>
      <c r="K991" s="4">
        <v>191</v>
      </c>
      <c r="L991" s="5">
        <v>8.69</v>
      </c>
      <c r="M991" s="6">
        <v>0</v>
      </c>
      <c r="N991" s="7">
        <v>0</v>
      </c>
      <c r="O991" t="s">
        <v>1430</v>
      </c>
      <c r="P991" s="3" t="s">
        <v>55</v>
      </c>
      <c r="Q991" s="8">
        <v>0.179952</v>
      </c>
    </row>
    <row r="992" spans="1:17" hidden="1" x14ac:dyDescent="0.55000000000000004">
      <c r="A992" s="3" t="s">
        <v>1211</v>
      </c>
      <c r="B992" s="3" t="s">
        <v>1433</v>
      </c>
      <c r="C992" t="s">
        <v>1433</v>
      </c>
      <c r="D992" s="3" t="s">
        <v>7312</v>
      </c>
      <c r="E992" t="s">
        <v>1434</v>
      </c>
      <c r="F992" s="3" t="s">
        <v>1435</v>
      </c>
      <c r="G992" t="s">
        <v>19</v>
      </c>
      <c r="H992" s="3" t="s">
        <v>1436</v>
      </c>
      <c r="I992" t="s">
        <v>1284</v>
      </c>
      <c r="J992" s="3" t="s">
        <v>1437</v>
      </c>
      <c r="K992" s="4">
        <v>462</v>
      </c>
      <c r="L992" s="5">
        <v>100.41</v>
      </c>
      <c r="M992" s="6">
        <v>0</v>
      </c>
      <c r="N992" s="7">
        <v>1</v>
      </c>
      <c r="O992" t="s">
        <v>1438</v>
      </c>
      <c r="P992" s="3" t="s">
        <v>1287</v>
      </c>
      <c r="Q992" s="8">
        <v>6.3256999999999994E-2</v>
      </c>
    </row>
    <row r="993" spans="1:17" hidden="1" x14ac:dyDescent="0.55000000000000004">
      <c r="A993" s="3" t="s">
        <v>1211</v>
      </c>
      <c r="B993" s="3" t="s">
        <v>1433</v>
      </c>
      <c r="C993" t="s">
        <v>1433</v>
      </c>
      <c r="D993" s="3" t="s">
        <v>7312</v>
      </c>
      <c r="E993" t="s">
        <v>1434</v>
      </c>
      <c r="F993" s="3" t="s">
        <v>1435</v>
      </c>
      <c r="G993" t="s">
        <v>19</v>
      </c>
      <c r="H993" s="3" t="s">
        <v>1439</v>
      </c>
      <c r="I993" t="s">
        <v>1289</v>
      </c>
      <c r="J993" s="3" t="s">
        <v>1437</v>
      </c>
      <c r="K993" s="4">
        <v>402</v>
      </c>
      <c r="L993" s="5">
        <v>87.35</v>
      </c>
      <c r="M993" s="6">
        <v>0</v>
      </c>
      <c r="N993" s="7">
        <v>1</v>
      </c>
      <c r="O993" t="s">
        <v>1440</v>
      </c>
      <c r="P993" s="3" t="s">
        <v>1287</v>
      </c>
      <c r="Q993" s="8">
        <v>6.1231000000000001E-2</v>
      </c>
    </row>
    <row r="994" spans="1:17" hidden="1" x14ac:dyDescent="0.55000000000000004">
      <c r="A994" s="3" t="s">
        <v>1211</v>
      </c>
      <c r="B994" s="3" t="s">
        <v>1433</v>
      </c>
      <c r="C994" t="s">
        <v>1433</v>
      </c>
      <c r="D994" s="3" t="s">
        <v>7312</v>
      </c>
      <c r="E994" t="s">
        <v>1434</v>
      </c>
      <c r="F994" s="3" t="s">
        <v>1435</v>
      </c>
      <c r="G994" t="s">
        <v>19</v>
      </c>
      <c r="H994" s="3" t="s">
        <v>1441</v>
      </c>
      <c r="I994" t="s">
        <v>1357</v>
      </c>
      <c r="J994" s="3" t="s">
        <v>1437</v>
      </c>
      <c r="K994" s="4">
        <v>548</v>
      </c>
      <c r="L994" s="5">
        <v>119.07</v>
      </c>
      <c r="M994" s="6">
        <v>1</v>
      </c>
      <c r="N994" s="7">
        <v>1</v>
      </c>
      <c r="O994" t="s">
        <v>1442</v>
      </c>
      <c r="P994" s="3" t="s">
        <v>1287</v>
      </c>
      <c r="Q994" s="8">
        <v>6.3890000000000002E-2</v>
      </c>
    </row>
    <row r="995" spans="1:17" hidden="1" x14ac:dyDescent="0.55000000000000004">
      <c r="A995" s="3" t="s">
        <v>1211</v>
      </c>
      <c r="B995" s="3" t="s">
        <v>1433</v>
      </c>
      <c r="C995" t="s">
        <v>1433</v>
      </c>
      <c r="D995" s="3" t="s">
        <v>7312</v>
      </c>
      <c r="E995" t="s">
        <v>1434</v>
      </c>
      <c r="F995" s="3" t="s">
        <v>1435</v>
      </c>
      <c r="G995" t="s">
        <v>24</v>
      </c>
      <c r="H995" s="3" t="s">
        <v>1443</v>
      </c>
      <c r="I995" t="s">
        <v>52</v>
      </c>
      <c r="J995" s="3" t="s">
        <v>1444</v>
      </c>
      <c r="K995" s="4">
        <v>228</v>
      </c>
      <c r="L995" s="5">
        <v>10.36</v>
      </c>
      <c r="M995" s="6">
        <v>0</v>
      </c>
      <c r="N995" s="7">
        <v>1</v>
      </c>
      <c r="O995" t="s">
        <v>1445</v>
      </c>
      <c r="P995" s="3" t="s">
        <v>55</v>
      </c>
      <c r="Q995" s="8">
        <v>0.18031700000000001</v>
      </c>
    </row>
    <row r="996" spans="1:17" hidden="1" x14ac:dyDescent="0.55000000000000004">
      <c r="A996" s="3" t="s">
        <v>1211</v>
      </c>
      <c r="B996" s="3" t="s">
        <v>1348</v>
      </c>
      <c r="C996" t="s">
        <v>1348</v>
      </c>
      <c r="D996" s="3" t="s">
        <v>7312</v>
      </c>
      <c r="E996" t="s">
        <v>1446</v>
      </c>
      <c r="F996" s="3" t="s">
        <v>1447</v>
      </c>
      <c r="G996" t="s">
        <v>19</v>
      </c>
      <c r="H996" s="3" t="s">
        <v>1448</v>
      </c>
      <c r="I996" t="s">
        <v>1227</v>
      </c>
      <c r="J996" s="3" t="s">
        <v>1449</v>
      </c>
      <c r="K996" s="4">
        <v>338</v>
      </c>
      <c r="L996" s="5">
        <v>73.37</v>
      </c>
      <c r="M996" s="6">
        <v>0</v>
      </c>
      <c r="N996" s="7">
        <v>1</v>
      </c>
      <c r="O996" t="s">
        <v>1450</v>
      </c>
      <c r="P996" s="3" t="s">
        <v>212</v>
      </c>
      <c r="Q996" s="8">
        <v>7.3588000000000001E-2</v>
      </c>
    </row>
    <row r="997" spans="1:17" hidden="1" x14ac:dyDescent="0.55000000000000004">
      <c r="A997" s="3" t="s">
        <v>1211</v>
      </c>
      <c r="B997" s="3" t="s">
        <v>1348</v>
      </c>
      <c r="C997" t="s">
        <v>1348</v>
      </c>
      <c r="D997" s="3" t="s">
        <v>7312</v>
      </c>
      <c r="E997" t="s">
        <v>1446</v>
      </c>
      <c r="F997" s="3" t="s">
        <v>1447</v>
      </c>
      <c r="G997" t="s">
        <v>19</v>
      </c>
      <c r="H997" s="3" t="s">
        <v>1451</v>
      </c>
      <c r="I997" t="s">
        <v>1232</v>
      </c>
      <c r="J997" s="3" t="s">
        <v>1449</v>
      </c>
      <c r="K997" s="4">
        <v>520</v>
      </c>
      <c r="L997" s="5">
        <v>112.93</v>
      </c>
      <c r="M997" s="6">
        <v>0</v>
      </c>
      <c r="N997" s="7">
        <v>1</v>
      </c>
      <c r="O997" t="s">
        <v>1452</v>
      </c>
      <c r="P997" s="3" t="s">
        <v>212</v>
      </c>
      <c r="Q997" s="8">
        <v>7.8899999999999998E-2</v>
      </c>
    </row>
    <row r="998" spans="1:17" hidden="1" x14ac:dyDescent="0.55000000000000004">
      <c r="A998" s="3" t="s">
        <v>1211</v>
      </c>
      <c r="B998" s="3" t="s">
        <v>1348</v>
      </c>
      <c r="C998" t="s">
        <v>1348</v>
      </c>
      <c r="D998" s="3" t="s">
        <v>7312</v>
      </c>
      <c r="E998" t="s">
        <v>1446</v>
      </c>
      <c r="F998" s="3" t="s">
        <v>1447</v>
      </c>
      <c r="G998" t="s">
        <v>19</v>
      </c>
      <c r="H998" s="3" t="s">
        <v>1453</v>
      </c>
      <c r="I998" t="s">
        <v>686</v>
      </c>
      <c r="J998" s="3" t="s">
        <v>1449</v>
      </c>
      <c r="K998" s="4">
        <v>473</v>
      </c>
      <c r="L998" s="5">
        <v>102.89</v>
      </c>
      <c r="M998" s="6">
        <v>0</v>
      </c>
      <c r="N998" s="7">
        <v>1</v>
      </c>
      <c r="O998" t="s">
        <v>1454</v>
      </c>
      <c r="P998" s="3" t="s">
        <v>212</v>
      </c>
      <c r="Q998" s="8">
        <v>7.8899999999999998E-2</v>
      </c>
    </row>
    <row r="999" spans="1:17" hidden="1" x14ac:dyDescent="0.55000000000000004">
      <c r="A999" s="3" t="s">
        <v>1211</v>
      </c>
      <c r="B999" s="3" t="s">
        <v>1348</v>
      </c>
      <c r="C999" t="s">
        <v>1348</v>
      </c>
      <c r="D999" s="3" t="s">
        <v>7312</v>
      </c>
      <c r="E999" t="s">
        <v>1446</v>
      </c>
      <c r="F999" s="3" t="s">
        <v>1447</v>
      </c>
      <c r="G999" t="s">
        <v>19</v>
      </c>
      <c r="H999" s="3" t="s">
        <v>1455</v>
      </c>
      <c r="I999" t="s">
        <v>1235</v>
      </c>
      <c r="J999" s="3" t="s">
        <v>1449</v>
      </c>
      <c r="K999" s="4">
        <v>491</v>
      </c>
      <c r="L999" s="5">
        <v>106.67</v>
      </c>
      <c r="M999" s="6">
        <v>0</v>
      </c>
      <c r="N999" s="7">
        <v>1</v>
      </c>
      <c r="O999" t="s">
        <v>1456</v>
      </c>
      <c r="P999" s="3" t="s">
        <v>212</v>
      </c>
      <c r="Q999" s="8">
        <v>8.9233000000000007E-2</v>
      </c>
    </row>
    <row r="1000" spans="1:17" hidden="1" x14ac:dyDescent="0.55000000000000004">
      <c r="A1000" s="3" t="s">
        <v>1211</v>
      </c>
      <c r="B1000" s="3" t="s">
        <v>1348</v>
      </c>
      <c r="C1000" t="s">
        <v>1348</v>
      </c>
      <c r="D1000" s="3" t="s">
        <v>7312</v>
      </c>
      <c r="E1000" t="s">
        <v>1446</v>
      </c>
      <c r="F1000" s="3" t="s">
        <v>1447</v>
      </c>
      <c r="G1000" t="s">
        <v>19</v>
      </c>
      <c r="H1000" s="3" t="s">
        <v>1457</v>
      </c>
      <c r="I1000" t="s">
        <v>1223</v>
      </c>
      <c r="J1000" s="3" t="s">
        <v>1449</v>
      </c>
      <c r="K1000" s="4">
        <v>329</v>
      </c>
      <c r="L1000" s="5">
        <v>71.59</v>
      </c>
      <c r="M1000" s="6">
        <v>0</v>
      </c>
      <c r="N1000" s="7">
        <v>1</v>
      </c>
      <c r="O1000" t="s">
        <v>1458</v>
      </c>
      <c r="P1000" s="3" t="s">
        <v>212</v>
      </c>
      <c r="Q1000" s="8">
        <v>7.3588000000000001E-2</v>
      </c>
    </row>
    <row r="1001" spans="1:17" hidden="1" x14ac:dyDescent="0.55000000000000004">
      <c r="A1001" s="3" t="s">
        <v>1211</v>
      </c>
      <c r="B1001" s="3" t="s">
        <v>1348</v>
      </c>
      <c r="C1001" t="s">
        <v>1348</v>
      </c>
      <c r="D1001" s="3" t="s">
        <v>7312</v>
      </c>
      <c r="E1001" t="s">
        <v>1446</v>
      </c>
      <c r="F1001" s="3" t="s">
        <v>1447</v>
      </c>
      <c r="G1001" t="s">
        <v>24</v>
      </c>
      <c r="H1001" s="3" t="s">
        <v>1459</v>
      </c>
      <c r="I1001" t="s">
        <v>52</v>
      </c>
      <c r="J1001" s="3" t="s">
        <v>1460</v>
      </c>
      <c r="K1001" s="4">
        <v>148</v>
      </c>
      <c r="L1001" s="5">
        <v>6.71</v>
      </c>
      <c r="M1001" s="6">
        <v>0</v>
      </c>
      <c r="N1001" s="7">
        <v>1</v>
      </c>
      <c r="O1001" t="s">
        <v>1461</v>
      </c>
      <c r="P1001" s="3" t="s">
        <v>55</v>
      </c>
      <c r="Q1001" s="8">
        <v>0.17951700000000001</v>
      </c>
    </row>
    <row r="1002" spans="1:17" hidden="1" x14ac:dyDescent="0.55000000000000004">
      <c r="A1002" s="3" t="s">
        <v>1211</v>
      </c>
      <c r="B1002" s="3" t="s">
        <v>1238</v>
      </c>
      <c r="C1002" t="s">
        <v>1238</v>
      </c>
      <c r="D1002" s="3" t="s">
        <v>7312</v>
      </c>
      <c r="E1002" t="s">
        <v>1462</v>
      </c>
      <c r="F1002" s="3" t="s">
        <v>1463</v>
      </c>
      <c r="G1002" t="s">
        <v>19</v>
      </c>
      <c r="H1002" s="3" t="s">
        <v>1464</v>
      </c>
      <c r="I1002" t="s">
        <v>1232</v>
      </c>
      <c r="J1002" s="3" t="s">
        <v>1465</v>
      </c>
      <c r="K1002" s="4">
        <v>568</v>
      </c>
      <c r="L1002" s="5">
        <v>123.39</v>
      </c>
      <c r="M1002" s="6">
        <v>1</v>
      </c>
      <c r="N1002" s="7">
        <v>1</v>
      </c>
      <c r="O1002" t="s">
        <v>1466</v>
      </c>
      <c r="P1002" s="3" t="s">
        <v>212</v>
      </c>
      <c r="Q1002" s="8">
        <v>9.3175999999999995E-2</v>
      </c>
    </row>
    <row r="1003" spans="1:17" hidden="1" x14ac:dyDescent="0.55000000000000004">
      <c r="A1003" s="3" t="s">
        <v>1211</v>
      </c>
      <c r="B1003" s="3" t="s">
        <v>1238</v>
      </c>
      <c r="C1003" t="s">
        <v>1238</v>
      </c>
      <c r="D1003" s="3" t="s">
        <v>7312</v>
      </c>
      <c r="E1003" t="s">
        <v>1462</v>
      </c>
      <c r="F1003" s="3" t="s">
        <v>1463</v>
      </c>
      <c r="G1003" t="s">
        <v>19</v>
      </c>
      <c r="H1003" s="3" t="s">
        <v>1467</v>
      </c>
      <c r="I1003" t="s">
        <v>686</v>
      </c>
      <c r="J1003" s="3" t="s">
        <v>1465</v>
      </c>
      <c r="K1003" s="4">
        <v>521</v>
      </c>
      <c r="L1003" s="5">
        <v>113.35</v>
      </c>
      <c r="M1003" s="6">
        <v>0</v>
      </c>
      <c r="N1003" s="7">
        <v>1</v>
      </c>
      <c r="O1003" t="s">
        <v>1468</v>
      </c>
      <c r="P1003" s="3" t="s">
        <v>212</v>
      </c>
      <c r="Q1003" s="8">
        <v>9.8017000000000007E-2</v>
      </c>
    </row>
    <row r="1004" spans="1:17" hidden="1" x14ac:dyDescent="0.55000000000000004">
      <c r="A1004" s="3" t="s">
        <v>1211</v>
      </c>
      <c r="B1004" s="3" t="s">
        <v>1238</v>
      </c>
      <c r="C1004" t="s">
        <v>1238</v>
      </c>
      <c r="D1004" s="3" t="s">
        <v>7312</v>
      </c>
      <c r="E1004" t="s">
        <v>1462</v>
      </c>
      <c r="F1004" s="3" t="s">
        <v>1463</v>
      </c>
      <c r="G1004" t="s">
        <v>19</v>
      </c>
      <c r="H1004" s="3" t="s">
        <v>1469</v>
      </c>
      <c r="I1004" t="s">
        <v>1223</v>
      </c>
      <c r="J1004" s="3" t="s">
        <v>1465</v>
      </c>
      <c r="K1004" s="4">
        <v>343</v>
      </c>
      <c r="L1004" s="5">
        <v>74.67</v>
      </c>
      <c r="M1004" s="6">
        <v>0</v>
      </c>
      <c r="N1004" s="7">
        <v>1</v>
      </c>
      <c r="O1004" t="s">
        <v>1470</v>
      </c>
      <c r="P1004" s="3" t="s">
        <v>212</v>
      </c>
      <c r="Q1004" s="8">
        <v>7.7911999999999995E-2</v>
      </c>
    </row>
    <row r="1005" spans="1:17" hidden="1" x14ac:dyDescent="0.55000000000000004">
      <c r="A1005" s="3" t="s">
        <v>1211</v>
      </c>
      <c r="B1005" s="3" t="s">
        <v>1238</v>
      </c>
      <c r="C1005" t="s">
        <v>1238</v>
      </c>
      <c r="D1005" s="3" t="s">
        <v>7312</v>
      </c>
      <c r="E1005" t="s">
        <v>1462</v>
      </c>
      <c r="F1005" s="3" t="s">
        <v>1463</v>
      </c>
      <c r="G1005" t="s">
        <v>19</v>
      </c>
      <c r="H1005" s="3" t="s">
        <v>1471</v>
      </c>
      <c r="I1005" t="s">
        <v>1227</v>
      </c>
      <c r="J1005" s="3" t="s">
        <v>1465</v>
      </c>
      <c r="K1005" s="4">
        <v>352</v>
      </c>
      <c r="L1005" s="5">
        <v>76.459999999999994</v>
      </c>
      <c r="M1005" s="6">
        <v>0</v>
      </c>
      <c r="N1005" s="7">
        <v>1</v>
      </c>
      <c r="O1005" t="s">
        <v>1472</v>
      </c>
      <c r="P1005" s="3" t="s">
        <v>212</v>
      </c>
      <c r="Q1005" s="8">
        <v>7.7911999999999995E-2</v>
      </c>
    </row>
    <row r="1006" spans="1:17" hidden="1" x14ac:dyDescent="0.55000000000000004">
      <c r="A1006" s="3" t="s">
        <v>1211</v>
      </c>
      <c r="B1006" s="3" t="s">
        <v>1238</v>
      </c>
      <c r="C1006" t="s">
        <v>1238</v>
      </c>
      <c r="D1006" s="3" t="s">
        <v>7312</v>
      </c>
      <c r="E1006" t="s">
        <v>1462</v>
      </c>
      <c r="F1006" s="3" t="s">
        <v>1463</v>
      </c>
      <c r="G1006" t="s">
        <v>19</v>
      </c>
      <c r="H1006" s="3" t="s">
        <v>1473</v>
      </c>
      <c r="I1006" t="s">
        <v>1235</v>
      </c>
      <c r="J1006" s="3" t="s">
        <v>1465</v>
      </c>
      <c r="K1006" s="4">
        <v>505</v>
      </c>
      <c r="L1006" s="5">
        <v>109.76</v>
      </c>
      <c r="M1006" s="6">
        <v>0</v>
      </c>
      <c r="N1006" s="7">
        <v>1</v>
      </c>
      <c r="O1006" t="s">
        <v>1474</v>
      </c>
      <c r="P1006" s="3" t="s">
        <v>212</v>
      </c>
      <c r="Q1006" s="8">
        <v>9.3175999999999995E-2</v>
      </c>
    </row>
    <row r="1007" spans="1:17" hidden="1" x14ac:dyDescent="0.55000000000000004">
      <c r="A1007" s="9" t="s">
        <v>1211</v>
      </c>
      <c r="B1007" s="3" t="s">
        <v>1238</v>
      </c>
      <c r="C1007" t="s">
        <v>1238</v>
      </c>
      <c r="D1007" s="3" t="s">
        <v>7312</v>
      </c>
      <c r="E1007" t="s">
        <v>1462</v>
      </c>
      <c r="F1007" s="3" t="s">
        <v>1463</v>
      </c>
      <c r="G1007" t="s">
        <v>24</v>
      </c>
      <c r="H1007" s="3" t="s">
        <v>1475</v>
      </c>
      <c r="I1007" t="s">
        <v>218</v>
      </c>
      <c r="J1007" s="3" t="s">
        <v>1476</v>
      </c>
      <c r="K1007" s="4">
        <v>354</v>
      </c>
      <c r="L1007" s="5">
        <v>16.079999999999998</v>
      </c>
      <c r="M1007" s="6">
        <v>0</v>
      </c>
      <c r="N1007" s="7">
        <v>1</v>
      </c>
      <c r="O1007" t="s">
        <v>1477</v>
      </c>
      <c r="P1007" s="3" t="s">
        <v>23</v>
      </c>
      <c r="Q1007" s="8" t="s">
        <v>23</v>
      </c>
    </row>
    <row r="1008" spans="1:17" hidden="1" x14ac:dyDescent="0.55000000000000004">
      <c r="A1008" s="3" t="s">
        <v>1478</v>
      </c>
      <c r="B1008" s="3" t="s">
        <v>1479</v>
      </c>
      <c r="C1008" t="s">
        <v>1479</v>
      </c>
      <c r="D1008" s="3" t="s">
        <v>7326</v>
      </c>
      <c r="E1008" t="s">
        <v>1480</v>
      </c>
      <c r="F1008" s="3" t="s">
        <v>1481</v>
      </c>
      <c r="G1008" t="s">
        <v>19</v>
      </c>
      <c r="H1008" s="3" t="s">
        <v>1482</v>
      </c>
      <c r="I1008" t="s">
        <v>1483</v>
      </c>
      <c r="J1008" s="3" t="s">
        <v>1484</v>
      </c>
      <c r="K1008" s="4">
        <v>328</v>
      </c>
      <c r="L1008" s="5">
        <v>71.33</v>
      </c>
      <c r="M1008" s="6">
        <v>1</v>
      </c>
      <c r="N1008" s="7">
        <v>0</v>
      </c>
      <c r="O1008" t="s">
        <v>1485</v>
      </c>
      <c r="P1008" s="3" t="s">
        <v>1486</v>
      </c>
      <c r="Q1008" s="8">
        <v>5.4938000000000001E-2</v>
      </c>
    </row>
    <row r="1009" spans="1:17" hidden="1" x14ac:dyDescent="0.55000000000000004">
      <c r="A1009" s="3" t="s">
        <v>1478</v>
      </c>
      <c r="B1009" s="3" t="s">
        <v>1479</v>
      </c>
      <c r="C1009" t="s">
        <v>1479</v>
      </c>
      <c r="D1009" s="3" t="s">
        <v>7326</v>
      </c>
      <c r="E1009" t="s">
        <v>1480</v>
      </c>
      <c r="F1009" s="3" t="s">
        <v>1481</v>
      </c>
      <c r="G1009" t="s">
        <v>24</v>
      </c>
      <c r="H1009" s="3" t="s">
        <v>1487</v>
      </c>
      <c r="I1009" t="s">
        <v>26</v>
      </c>
      <c r="J1009" s="3" t="s">
        <v>1488</v>
      </c>
      <c r="K1009" s="4">
        <v>1316</v>
      </c>
      <c r="L1009" s="5">
        <v>59.82</v>
      </c>
      <c r="M1009" s="6">
        <v>1</v>
      </c>
      <c r="N1009" s="7">
        <v>0</v>
      </c>
      <c r="O1009" t="s">
        <v>1489</v>
      </c>
      <c r="P1009" s="3" t="s">
        <v>76</v>
      </c>
      <c r="Q1009" s="8">
        <v>0.27583299999999999</v>
      </c>
    </row>
    <row r="1010" spans="1:17" hidden="1" x14ac:dyDescent="0.55000000000000004">
      <c r="A1010" s="3" t="s">
        <v>1478</v>
      </c>
      <c r="B1010" s="3" t="s">
        <v>1479</v>
      </c>
      <c r="C1010" t="s">
        <v>1479</v>
      </c>
      <c r="D1010" s="3" t="s">
        <v>7326</v>
      </c>
      <c r="E1010" t="s">
        <v>1480</v>
      </c>
      <c r="F1010" s="3" t="s">
        <v>1481</v>
      </c>
      <c r="G1010" t="s">
        <v>24</v>
      </c>
      <c r="H1010" s="3" t="s">
        <v>1490</v>
      </c>
      <c r="I1010" t="s">
        <v>218</v>
      </c>
      <c r="J1010" s="3" t="s">
        <v>1488</v>
      </c>
      <c r="K1010" s="4">
        <v>1944</v>
      </c>
      <c r="L1010" s="5">
        <v>88.35</v>
      </c>
      <c r="M1010" s="6">
        <v>0</v>
      </c>
      <c r="N1010" s="7">
        <v>0</v>
      </c>
      <c r="O1010" t="s">
        <v>1491</v>
      </c>
      <c r="P1010" s="3" t="s">
        <v>23</v>
      </c>
      <c r="Q1010" s="8" t="s">
        <v>23</v>
      </c>
    </row>
    <row r="1011" spans="1:17" hidden="1" x14ac:dyDescent="0.55000000000000004">
      <c r="A1011" s="3" t="s">
        <v>1478</v>
      </c>
      <c r="B1011" s="3" t="s">
        <v>1479</v>
      </c>
      <c r="C1011" t="s">
        <v>1479</v>
      </c>
      <c r="D1011" s="3" t="s">
        <v>7326</v>
      </c>
      <c r="E1011" t="s">
        <v>1492</v>
      </c>
      <c r="F1011" s="3" t="s">
        <v>1493</v>
      </c>
      <c r="G1011" t="s">
        <v>19</v>
      </c>
      <c r="H1011" s="3" t="s">
        <v>1482</v>
      </c>
      <c r="I1011" t="s">
        <v>1483</v>
      </c>
      <c r="J1011" s="3" t="s">
        <v>1484</v>
      </c>
      <c r="K1011" s="4">
        <v>328</v>
      </c>
      <c r="L1011" s="5">
        <v>71.33</v>
      </c>
      <c r="M1011" s="6">
        <v>1</v>
      </c>
      <c r="N1011" s="7">
        <v>1</v>
      </c>
      <c r="O1011" t="s">
        <v>1485</v>
      </c>
      <c r="P1011" s="3" t="s">
        <v>1486</v>
      </c>
      <c r="Q1011" s="8">
        <v>5.4938000000000001E-2</v>
      </c>
    </row>
    <row r="1012" spans="1:17" hidden="1" x14ac:dyDescent="0.55000000000000004">
      <c r="A1012" s="3" t="s">
        <v>1478</v>
      </c>
      <c r="B1012" s="3" t="s">
        <v>1479</v>
      </c>
      <c r="C1012" t="s">
        <v>1479</v>
      </c>
      <c r="D1012" s="3" t="s">
        <v>7326</v>
      </c>
      <c r="E1012" t="s">
        <v>1492</v>
      </c>
      <c r="F1012" s="3" t="s">
        <v>1493</v>
      </c>
      <c r="G1012" t="s">
        <v>24</v>
      </c>
      <c r="H1012" s="3" t="s">
        <v>1487</v>
      </c>
      <c r="I1012" t="s">
        <v>26</v>
      </c>
      <c r="J1012" s="3" t="s">
        <v>1488</v>
      </c>
      <c r="K1012" s="4">
        <v>1316</v>
      </c>
      <c r="L1012" s="5">
        <v>59.82</v>
      </c>
      <c r="M1012" s="6">
        <v>1</v>
      </c>
      <c r="N1012" s="7">
        <v>1</v>
      </c>
      <c r="O1012" t="s">
        <v>1489</v>
      </c>
      <c r="P1012" s="3" t="s">
        <v>76</v>
      </c>
      <c r="Q1012" s="8">
        <v>0.27583299999999999</v>
      </c>
    </row>
    <row r="1013" spans="1:17" hidden="1" x14ac:dyDescent="0.55000000000000004">
      <c r="A1013" s="3" t="s">
        <v>1478</v>
      </c>
      <c r="B1013" s="3" t="s">
        <v>1479</v>
      </c>
      <c r="C1013" t="s">
        <v>1479</v>
      </c>
      <c r="D1013" s="3" t="s">
        <v>7326</v>
      </c>
      <c r="E1013" t="s">
        <v>1492</v>
      </c>
      <c r="F1013" s="3" t="s">
        <v>1493</v>
      </c>
      <c r="G1013" t="s">
        <v>24</v>
      </c>
      <c r="H1013" s="3" t="s">
        <v>1490</v>
      </c>
      <c r="I1013" t="s">
        <v>218</v>
      </c>
      <c r="J1013" s="3" t="s">
        <v>1488</v>
      </c>
      <c r="K1013" s="4">
        <v>1944</v>
      </c>
      <c r="L1013" s="5">
        <v>88.35</v>
      </c>
      <c r="M1013" s="6">
        <v>0</v>
      </c>
      <c r="N1013" s="7">
        <v>1</v>
      </c>
      <c r="O1013" t="s">
        <v>1491</v>
      </c>
      <c r="P1013" s="3" t="s">
        <v>23</v>
      </c>
      <c r="Q1013" s="8" t="s">
        <v>23</v>
      </c>
    </row>
    <row r="1014" spans="1:17" hidden="1" x14ac:dyDescent="0.55000000000000004">
      <c r="A1014" s="3" t="s">
        <v>1478</v>
      </c>
      <c r="B1014" s="3" t="s">
        <v>1494</v>
      </c>
      <c r="C1014" t="s">
        <v>1494</v>
      </c>
      <c r="D1014" s="3" t="s">
        <v>7326</v>
      </c>
      <c r="E1014" t="s">
        <v>1495</v>
      </c>
      <c r="F1014" s="3" t="s">
        <v>1496</v>
      </c>
      <c r="G1014" t="s">
        <v>19</v>
      </c>
      <c r="H1014" s="3" t="s">
        <v>1497</v>
      </c>
      <c r="I1014" t="s">
        <v>1483</v>
      </c>
      <c r="J1014" s="3" t="s">
        <v>1498</v>
      </c>
      <c r="K1014" s="4">
        <v>172</v>
      </c>
      <c r="L1014" s="5">
        <v>37.39</v>
      </c>
      <c r="M1014" s="6">
        <v>1</v>
      </c>
      <c r="N1014" s="7">
        <v>1</v>
      </c>
      <c r="O1014" t="s">
        <v>1499</v>
      </c>
      <c r="P1014" s="3" t="s">
        <v>1486</v>
      </c>
      <c r="Q1014" s="8">
        <v>3.4486000000000003E-2</v>
      </c>
    </row>
    <row r="1015" spans="1:17" hidden="1" x14ac:dyDescent="0.55000000000000004">
      <c r="A1015" s="3" t="s">
        <v>1478</v>
      </c>
      <c r="B1015" s="3" t="s">
        <v>1494</v>
      </c>
      <c r="C1015" t="s">
        <v>1494</v>
      </c>
      <c r="D1015" s="3" t="s">
        <v>7326</v>
      </c>
      <c r="E1015" t="s">
        <v>1495</v>
      </c>
      <c r="F1015" s="3" t="s">
        <v>1496</v>
      </c>
      <c r="G1015" t="s">
        <v>24</v>
      </c>
      <c r="H1015" s="3" t="s">
        <v>1500</v>
      </c>
      <c r="I1015" t="s">
        <v>26</v>
      </c>
      <c r="J1015" s="3" t="s">
        <v>1501</v>
      </c>
      <c r="K1015" s="4">
        <v>1135</v>
      </c>
      <c r="L1015" s="5">
        <v>51.59</v>
      </c>
      <c r="M1015" s="6">
        <v>1</v>
      </c>
      <c r="N1015" s="7">
        <v>1</v>
      </c>
      <c r="O1015" t="s">
        <v>1502</v>
      </c>
      <c r="P1015" s="3" t="s">
        <v>76</v>
      </c>
      <c r="Q1015" s="8">
        <v>0.27583299999999999</v>
      </c>
    </row>
    <row r="1016" spans="1:17" hidden="1" x14ac:dyDescent="0.55000000000000004">
      <c r="A1016" s="3" t="s">
        <v>1478</v>
      </c>
      <c r="B1016" s="3" t="s">
        <v>1494</v>
      </c>
      <c r="C1016" t="s">
        <v>1494</v>
      </c>
      <c r="D1016" s="3" t="s">
        <v>7326</v>
      </c>
      <c r="E1016" t="s">
        <v>1495</v>
      </c>
      <c r="F1016" s="3" t="s">
        <v>1496</v>
      </c>
      <c r="G1016" t="s">
        <v>24</v>
      </c>
      <c r="H1016" s="3" t="s">
        <v>1503</v>
      </c>
      <c r="I1016" t="s">
        <v>218</v>
      </c>
      <c r="J1016" s="3" t="s">
        <v>1501</v>
      </c>
      <c r="K1016" s="4">
        <v>1786</v>
      </c>
      <c r="L1016" s="5">
        <v>81.16</v>
      </c>
      <c r="M1016" s="6">
        <v>0</v>
      </c>
      <c r="N1016" s="7">
        <v>1</v>
      </c>
      <c r="O1016" t="s">
        <v>1504</v>
      </c>
      <c r="P1016" s="3" t="s">
        <v>23</v>
      </c>
      <c r="Q1016" s="8" t="s">
        <v>23</v>
      </c>
    </row>
    <row r="1017" spans="1:17" hidden="1" x14ac:dyDescent="0.55000000000000004">
      <c r="A1017" s="3" t="s">
        <v>1478</v>
      </c>
      <c r="B1017" s="3" t="s">
        <v>1494</v>
      </c>
      <c r="C1017" t="s">
        <v>1494</v>
      </c>
      <c r="D1017" s="3" t="s">
        <v>7326</v>
      </c>
      <c r="E1017" t="s">
        <v>1505</v>
      </c>
      <c r="F1017" s="3" t="s">
        <v>1506</v>
      </c>
      <c r="G1017" t="s">
        <v>19</v>
      </c>
      <c r="H1017" s="3" t="s">
        <v>1497</v>
      </c>
      <c r="I1017" t="s">
        <v>1483</v>
      </c>
      <c r="J1017" s="3" t="s">
        <v>1498</v>
      </c>
      <c r="K1017" s="4">
        <v>172</v>
      </c>
      <c r="L1017" s="5">
        <v>37.39</v>
      </c>
      <c r="M1017" s="6">
        <v>1</v>
      </c>
      <c r="N1017" s="7">
        <v>0</v>
      </c>
      <c r="O1017" t="s">
        <v>1499</v>
      </c>
      <c r="P1017" s="3" t="s">
        <v>1486</v>
      </c>
      <c r="Q1017" s="8">
        <v>3.4486000000000003E-2</v>
      </c>
    </row>
    <row r="1018" spans="1:17" hidden="1" x14ac:dyDescent="0.55000000000000004">
      <c r="A1018" s="3" t="s">
        <v>1478</v>
      </c>
      <c r="B1018" s="3" t="s">
        <v>1494</v>
      </c>
      <c r="C1018" t="s">
        <v>1494</v>
      </c>
      <c r="D1018" s="3" t="s">
        <v>7326</v>
      </c>
      <c r="E1018" t="s">
        <v>1505</v>
      </c>
      <c r="F1018" s="3" t="s">
        <v>1506</v>
      </c>
      <c r="G1018" t="s">
        <v>24</v>
      </c>
      <c r="H1018" s="3" t="s">
        <v>1500</v>
      </c>
      <c r="I1018" t="s">
        <v>26</v>
      </c>
      <c r="J1018" s="3" t="s">
        <v>1501</v>
      </c>
      <c r="K1018" s="4">
        <v>1135</v>
      </c>
      <c r="L1018" s="5">
        <v>51.59</v>
      </c>
      <c r="M1018" s="6">
        <v>1</v>
      </c>
      <c r="N1018" s="7">
        <v>0</v>
      </c>
      <c r="O1018" t="s">
        <v>1502</v>
      </c>
      <c r="P1018" s="3" t="s">
        <v>76</v>
      </c>
      <c r="Q1018" s="8">
        <v>0.27583299999999999</v>
      </c>
    </row>
    <row r="1019" spans="1:17" hidden="1" x14ac:dyDescent="0.55000000000000004">
      <c r="A1019" s="3" t="s">
        <v>1478</v>
      </c>
      <c r="B1019" s="3" t="s">
        <v>1494</v>
      </c>
      <c r="C1019" t="s">
        <v>1494</v>
      </c>
      <c r="D1019" s="3" t="s">
        <v>7326</v>
      </c>
      <c r="E1019" t="s">
        <v>1505</v>
      </c>
      <c r="F1019" s="3" t="s">
        <v>1506</v>
      </c>
      <c r="G1019" t="s">
        <v>24</v>
      </c>
      <c r="H1019" s="3" t="s">
        <v>1503</v>
      </c>
      <c r="I1019" t="s">
        <v>218</v>
      </c>
      <c r="J1019" s="3" t="s">
        <v>1501</v>
      </c>
      <c r="K1019" s="4">
        <v>1786</v>
      </c>
      <c r="L1019" s="5">
        <v>81.16</v>
      </c>
      <c r="M1019" s="6">
        <v>0</v>
      </c>
      <c r="N1019" s="7">
        <v>0</v>
      </c>
      <c r="O1019" t="s">
        <v>1504</v>
      </c>
      <c r="P1019" s="3" t="s">
        <v>23</v>
      </c>
      <c r="Q1019" s="8" t="s">
        <v>23</v>
      </c>
    </row>
    <row r="1020" spans="1:17" hidden="1" x14ac:dyDescent="0.55000000000000004">
      <c r="A1020" s="3" t="s">
        <v>1478</v>
      </c>
      <c r="B1020" s="3" t="s">
        <v>1507</v>
      </c>
      <c r="C1020" t="s">
        <v>1507</v>
      </c>
      <c r="D1020" s="3" t="s">
        <v>7326</v>
      </c>
      <c r="E1020" t="s">
        <v>1508</v>
      </c>
      <c r="F1020" s="3" t="s">
        <v>1509</v>
      </c>
      <c r="G1020" t="s">
        <v>19</v>
      </c>
      <c r="H1020" s="3" t="s">
        <v>1510</v>
      </c>
      <c r="I1020" t="s">
        <v>1483</v>
      </c>
      <c r="J1020" s="3" t="s">
        <v>1511</v>
      </c>
      <c r="K1020" s="4">
        <v>211</v>
      </c>
      <c r="L1020" s="5">
        <v>45.78</v>
      </c>
      <c r="M1020" s="6">
        <v>1</v>
      </c>
      <c r="N1020" s="7">
        <v>1</v>
      </c>
      <c r="O1020" t="s">
        <v>1512</v>
      </c>
      <c r="P1020" s="3" t="s">
        <v>1486</v>
      </c>
      <c r="Q1020" s="8">
        <v>4.2980999999999998E-2</v>
      </c>
    </row>
    <row r="1021" spans="1:17" hidden="1" x14ac:dyDescent="0.55000000000000004">
      <c r="A1021" s="3" t="s">
        <v>1478</v>
      </c>
      <c r="B1021" s="3" t="s">
        <v>1507</v>
      </c>
      <c r="C1021" t="s">
        <v>1507</v>
      </c>
      <c r="D1021" s="3" t="s">
        <v>7326</v>
      </c>
      <c r="E1021" t="s">
        <v>1508</v>
      </c>
      <c r="F1021" s="3" t="s">
        <v>1509</v>
      </c>
      <c r="G1021" t="s">
        <v>24</v>
      </c>
      <c r="H1021" s="3" t="s">
        <v>1513</v>
      </c>
      <c r="I1021" t="s">
        <v>26</v>
      </c>
      <c r="J1021" s="3" t="s">
        <v>1514</v>
      </c>
      <c r="K1021" s="4">
        <v>1055</v>
      </c>
      <c r="L1021" s="5">
        <v>47.95</v>
      </c>
      <c r="M1021" s="6">
        <v>1</v>
      </c>
      <c r="N1021" s="7">
        <v>1</v>
      </c>
      <c r="O1021" t="s">
        <v>1515</v>
      </c>
      <c r="P1021" s="3" t="s">
        <v>76</v>
      </c>
      <c r="Q1021" s="8">
        <v>0.27583299999999999</v>
      </c>
    </row>
    <row r="1022" spans="1:17" hidden="1" x14ac:dyDescent="0.55000000000000004">
      <c r="A1022" s="9" t="s">
        <v>1478</v>
      </c>
      <c r="B1022" s="3" t="s">
        <v>1507</v>
      </c>
      <c r="C1022" t="s">
        <v>1507</v>
      </c>
      <c r="D1022" s="3" t="s">
        <v>7326</v>
      </c>
      <c r="E1022" t="s">
        <v>1508</v>
      </c>
      <c r="F1022" s="3" t="s">
        <v>1509</v>
      </c>
      <c r="G1022" t="s">
        <v>24</v>
      </c>
      <c r="H1022" s="3" t="s">
        <v>1516</v>
      </c>
      <c r="I1022" t="s">
        <v>218</v>
      </c>
      <c r="J1022" s="3" t="s">
        <v>1514</v>
      </c>
      <c r="K1022" s="4">
        <v>1703</v>
      </c>
      <c r="L1022" s="5">
        <v>77.41</v>
      </c>
      <c r="M1022" s="6">
        <v>0</v>
      </c>
      <c r="N1022" s="7">
        <v>1</v>
      </c>
      <c r="O1022" t="s">
        <v>1517</v>
      </c>
      <c r="P1022" s="3" t="s">
        <v>23</v>
      </c>
      <c r="Q1022" s="8" t="s">
        <v>23</v>
      </c>
    </row>
    <row r="1023" spans="1:17" hidden="1" x14ac:dyDescent="0.55000000000000004">
      <c r="A1023" s="3" t="s">
        <v>1518</v>
      </c>
      <c r="B1023" s="3" t="s">
        <v>1519</v>
      </c>
      <c r="C1023" t="s">
        <v>1520</v>
      </c>
      <c r="D1023" s="3" t="s">
        <v>7312</v>
      </c>
      <c r="E1023" t="s">
        <v>1521</v>
      </c>
      <c r="F1023" s="3" t="s">
        <v>1522</v>
      </c>
      <c r="G1023" t="s">
        <v>24</v>
      </c>
      <c r="H1023" s="3" t="s">
        <v>1523</v>
      </c>
      <c r="I1023" t="s">
        <v>296</v>
      </c>
      <c r="J1023" s="3" t="s">
        <v>304</v>
      </c>
      <c r="K1023" s="4">
        <v>590</v>
      </c>
      <c r="L1023" s="5">
        <v>0</v>
      </c>
      <c r="M1023" s="6">
        <v>0</v>
      </c>
      <c r="N1023" s="7">
        <v>0</v>
      </c>
      <c r="O1023" t="s">
        <v>23</v>
      </c>
      <c r="P1023" s="3" t="s">
        <v>23</v>
      </c>
      <c r="Q1023" s="8" t="s">
        <v>23</v>
      </c>
    </row>
    <row r="1024" spans="1:17" hidden="1" x14ac:dyDescent="0.55000000000000004">
      <c r="A1024" s="3" t="s">
        <v>1518</v>
      </c>
      <c r="B1024" s="3" t="s">
        <v>1519</v>
      </c>
      <c r="C1024" t="s">
        <v>1520</v>
      </c>
      <c r="D1024" s="3" t="s">
        <v>7312</v>
      </c>
      <c r="E1024" t="s">
        <v>1521</v>
      </c>
      <c r="F1024" s="3" t="s">
        <v>1522</v>
      </c>
      <c r="G1024" t="s">
        <v>24</v>
      </c>
      <c r="H1024" s="3" t="s">
        <v>1524</v>
      </c>
      <c r="I1024" t="s">
        <v>298</v>
      </c>
      <c r="J1024" s="3" t="s">
        <v>304</v>
      </c>
      <c r="K1024" s="4">
        <v>157</v>
      </c>
      <c r="L1024" s="5">
        <v>0</v>
      </c>
      <c r="M1024" s="6">
        <v>0</v>
      </c>
      <c r="N1024" s="7">
        <v>0</v>
      </c>
      <c r="O1024" t="s">
        <v>23</v>
      </c>
      <c r="P1024" s="3" t="s">
        <v>23</v>
      </c>
      <c r="Q1024" s="8" t="s">
        <v>23</v>
      </c>
    </row>
    <row r="1025" spans="1:17" hidden="1" x14ac:dyDescent="0.55000000000000004">
      <c r="A1025" s="3" t="s">
        <v>1518</v>
      </c>
      <c r="B1025" s="3" t="s">
        <v>1519</v>
      </c>
      <c r="C1025" t="s">
        <v>1520</v>
      </c>
      <c r="D1025" s="3" t="s">
        <v>7312</v>
      </c>
      <c r="E1025" t="s">
        <v>1521</v>
      </c>
      <c r="F1025" s="3" t="s">
        <v>1522</v>
      </c>
      <c r="G1025" t="s">
        <v>24</v>
      </c>
      <c r="H1025" s="3" t="s">
        <v>1525</v>
      </c>
      <c r="I1025" t="s">
        <v>300</v>
      </c>
      <c r="J1025" s="3" t="s">
        <v>304</v>
      </c>
      <c r="K1025" s="4">
        <v>523</v>
      </c>
      <c r="L1025" s="5">
        <v>0</v>
      </c>
      <c r="M1025" s="6">
        <v>0</v>
      </c>
      <c r="N1025" s="7">
        <v>0</v>
      </c>
      <c r="O1025" t="s">
        <v>23</v>
      </c>
      <c r="P1025" s="3" t="s">
        <v>23</v>
      </c>
      <c r="Q1025" s="8" t="s">
        <v>23</v>
      </c>
    </row>
    <row r="1026" spans="1:17" hidden="1" x14ac:dyDescent="0.55000000000000004">
      <c r="A1026" s="3" t="s">
        <v>1518</v>
      </c>
      <c r="B1026" s="3" t="s">
        <v>1519</v>
      </c>
      <c r="C1026" t="s">
        <v>1520</v>
      </c>
      <c r="D1026" s="3" t="s">
        <v>7312</v>
      </c>
      <c r="E1026" t="s">
        <v>1521</v>
      </c>
      <c r="F1026" s="3" t="s">
        <v>1522</v>
      </c>
      <c r="G1026" t="s">
        <v>24</v>
      </c>
      <c r="H1026" s="3" t="s">
        <v>1526</v>
      </c>
      <c r="I1026" t="s">
        <v>302</v>
      </c>
      <c r="J1026" s="3" t="s">
        <v>304</v>
      </c>
      <c r="K1026" s="4">
        <v>373</v>
      </c>
      <c r="L1026" s="5">
        <v>0</v>
      </c>
      <c r="M1026" s="6">
        <v>0</v>
      </c>
      <c r="N1026" s="7">
        <v>0</v>
      </c>
      <c r="O1026" t="s">
        <v>23</v>
      </c>
      <c r="P1026" s="3" t="s">
        <v>23</v>
      </c>
      <c r="Q1026" s="8" t="s">
        <v>23</v>
      </c>
    </row>
    <row r="1027" spans="1:17" hidden="1" x14ac:dyDescent="0.55000000000000004">
      <c r="A1027" s="3" t="s">
        <v>1518</v>
      </c>
      <c r="B1027" s="3" t="s">
        <v>1519</v>
      </c>
      <c r="C1027" t="s">
        <v>1520</v>
      </c>
      <c r="D1027" s="3" t="s">
        <v>7312</v>
      </c>
      <c r="E1027" t="s">
        <v>1521</v>
      </c>
      <c r="F1027" s="3" t="s">
        <v>1522</v>
      </c>
      <c r="G1027" t="s">
        <v>24</v>
      </c>
      <c r="H1027" s="3" t="s">
        <v>1527</v>
      </c>
      <c r="I1027" t="s">
        <v>52</v>
      </c>
      <c r="J1027" s="3" t="s">
        <v>304</v>
      </c>
      <c r="K1027" s="4">
        <v>444</v>
      </c>
      <c r="L1027" s="5">
        <v>0</v>
      </c>
      <c r="M1027" s="6">
        <v>0</v>
      </c>
      <c r="N1027" s="7">
        <v>0</v>
      </c>
      <c r="O1027" t="s">
        <v>23</v>
      </c>
      <c r="P1027" s="3" t="s">
        <v>23</v>
      </c>
      <c r="Q1027" s="8" t="s">
        <v>23</v>
      </c>
    </row>
    <row r="1028" spans="1:17" hidden="1" x14ac:dyDescent="0.55000000000000004">
      <c r="A1028" s="3" t="s">
        <v>1518</v>
      </c>
      <c r="B1028" s="3" t="s">
        <v>1519</v>
      </c>
      <c r="C1028" t="s">
        <v>1520</v>
      </c>
      <c r="D1028" s="3" t="s">
        <v>7312</v>
      </c>
      <c r="E1028" t="s">
        <v>1521</v>
      </c>
      <c r="F1028" s="3" t="s">
        <v>1522</v>
      </c>
      <c r="G1028" t="s">
        <v>24</v>
      </c>
      <c r="H1028" s="3" t="s">
        <v>1528</v>
      </c>
      <c r="I1028" t="s">
        <v>26</v>
      </c>
      <c r="J1028" s="3" t="s">
        <v>1529</v>
      </c>
      <c r="K1028" s="4">
        <v>478</v>
      </c>
      <c r="L1028" s="5">
        <v>21.73</v>
      </c>
      <c r="M1028" s="6">
        <v>0</v>
      </c>
      <c r="N1028" s="7">
        <v>0</v>
      </c>
      <c r="O1028" t="s">
        <v>1530</v>
      </c>
      <c r="P1028" s="3" t="s">
        <v>76</v>
      </c>
      <c r="Q1028" s="8">
        <v>0.17749999999999999</v>
      </c>
    </row>
    <row r="1029" spans="1:17" hidden="1" x14ac:dyDescent="0.55000000000000004">
      <c r="A1029" s="3" t="s">
        <v>1518</v>
      </c>
      <c r="B1029" s="3" t="s">
        <v>1519</v>
      </c>
      <c r="C1029" t="s">
        <v>1520</v>
      </c>
      <c r="D1029" s="3" t="s">
        <v>7312</v>
      </c>
      <c r="E1029" t="s">
        <v>1521</v>
      </c>
      <c r="F1029" s="3" t="s">
        <v>1522</v>
      </c>
      <c r="G1029" t="s">
        <v>24</v>
      </c>
      <c r="H1029" s="3" t="s">
        <v>1531</v>
      </c>
      <c r="I1029" t="s">
        <v>218</v>
      </c>
      <c r="J1029" s="3" t="s">
        <v>1529</v>
      </c>
      <c r="K1029" s="4">
        <v>42</v>
      </c>
      <c r="L1029" s="5">
        <v>1.91</v>
      </c>
      <c r="M1029" s="6">
        <v>0</v>
      </c>
      <c r="N1029" s="7">
        <v>0</v>
      </c>
      <c r="O1029" t="s">
        <v>1532</v>
      </c>
      <c r="P1029" s="3" t="s">
        <v>23</v>
      </c>
      <c r="Q1029" s="8" t="s">
        <v>23</v>
      </c>
    </row>
    <row r="1030" spans="1:17" hidden="1" x14ac:dyDescent="0.55000000000000004">
      <c r="A1030" s="3" t="s">
        <v>1518</v>
      </c>
      <c r="B1030" s="3" t="s">
        <v>1519</v>
      </c>
      <c r="C1030" t="s">
        <v>1520</v>
      </c>
      <c r="D1030" s="3" t="s">
        <v>7312</v>
      </c>
      <c r="E1030" t="s">
        <v>1521</v>
      </c>
      <c r="F1030" s="3" t="s">
        <v>1522</v>
      </c>
      <c r="G1030" t="s">
        <v>24</v>
      </c>
      <c r="H1030" s="3" t="s">
        <v>1533</v>
      </c>
      <c r="I1030" t="s">
        <v>317</v>
      </c>
      <c r="J1030" s="3" t="s">
        <v>218</v>
      </c>
      <c r="K1030" s="4">
        <v>395</v>
      </c>
      <c r="L1030" s="5">
        <v>0</v>
      </c>
      <c r="M1030" s="6">
        <v>0</v>
      </c>
      <c r="N1030" s="7">
        <v>0</v>
      </c>
      <c r="O1030" t="s">
        <v>23</v>
      </c>
      <c r="P1030" s="3" t="s">
        <v>23</v>
      </c>
      <c r="Q1030" s="8" t="s">
        <v>23</v>
      </c>
    </row>
    <row r="1031" spans="1:17" hidden="1" x14ac:dyDescent="0.55000000000000004">
      <c r="A1031" s="3" t="s">
        <v>1518</v>
      </c>
      <c r="B1031" s="3" t="s">
        <v>1519</v>
      </c>
      <c r="C1031" t="s">
        <v>1520</v>
      </c>
      <c r="D1031" s="3" t="s">
        <v>7312</v>
      </c>
      <c r="E1031" t="s">
        <v>1521</v>
      </c>
      <c r="F1031" s="3" t="s">
        <v>1522</v>
      </c>
      <c r="G1031" t="s">
        <v>24</v>
      </c>
      <c r="H1031" s="3" t="s">
        <v>1534</v>
      </c>
      <c r="I1031" t="s">
        <v>313</v>
      </c>
      <c r="J1031" s="3" t="s">
        <v>218</v>
      </c>
      <c r="K1031" s="4">
        <v>368</v>
      </c>
      <c r="L1031" s="5">
        <v>0</v>
      </c>
      <c r="M1031" s="6">
        <v>0</v>
      </c>
      <c r="N1031" s="7">
        <v>0</v>
      </c>
      <c r="O1031" t="s">
        <v>23</v>
      </c>
      <c r="P1031" s="3" t="s">
        <v>23</v>
      </c>
      <c r="Q1031" s="8" t="s">
        <v>23</v>
      </c>
    </row>
    <row r="1032" spans="1:17" hidden="1" x14ac:dyDescent="0.55000000000000004">
      <c r="A1032" s="3" t="s">
        <v>1518</v>
      </c>
      <c r="B1032" s="3" t="s">
        <v>1519</v>
      </c>
      <c r="C1032" t="s">
        <v>1520</v>
      </c>
      <c r="D1032" s="3" t="s">
        <v>7312</v>
      </c>
      <c r="E1032" t="s">
        <v>1521</v>
      </c>
      <c r="F1032" s="3" t="s">
        <v>1522</v>
      </c>
      <c r="G1032" t="s">
        <v>24</v>
      </c>
      <c r="H1032" s="3" t="s">
        <v>1535</v>
      </c>
      <c r="I1032" t="s">
        <v>315</v>
      </c>
      <c r="J1032" s="3" t="s">
        <v>218</v>
      </c>
      <c r="K1032" s="4">
        <v>600</v>
      </c>
      <c r="L1032" s="5">
        <v>0</v>
      </c>
      <c r="M1032" s="6">
        <v>0</v>
      </c>
      <c r="N1032" s="7">
        <v>0</v>
      </c>
      <c r="O1032" t="s">
        <v>23</v>
      </c>
      <c r="P1032" s="3" t="s">
        <v>23</v>
      </c>
      <c r="Q1032" s="8" t="s">
        <v>23</v>
      </c>
    </row>
    <row r="1033" spans="1:17" hidden="1" x14ac:dyDescent="0.55000000000000004">
      <c r="A1033" s="3" t="s">
        <v>1518</v>
      </c>
      <c r="B1033" s="3" t="s">
        <v>1519</v>
      </c>
      <c r="C1033" t="s">
        <v>1520</v>
      </c>
      <c r="D1033" s="3" t="s">
        <v>7312</v>
      </c>
      <c r="E1033" t="s">
        <v>1521</v>
      </c>
      <c r="F1033" s="3" t="s">
        <v>1522</v>
      </c>
      <c r="G1033" t="s">
        <v>24</v>
      </c>
      <c r="H1033" s="3" t="s">
        <v>1536</v>
      </c>
      <c r="I1033" t="s">
        <v>309</v>
      </c>
      <c r="J1033" s="3" t="s">
        <v>218</v>
      </c>
      <c r="K1033" s="4">
        <v>216</v>
      </c>
      <c r="L1033" s="5">
        <v>0</v>
      </c>
      <c r="M1033" s="6">
        <v>0</v>
      </c>
      <c r="N1033" s="7">
        <v>0</v>
      </c>
      <c r="O1033" t="s">
        <v>23</v>
      </c>
      <c r="P1033" s="3" t="s">
        <v>23</v>
      </c>
      <c r="Q1033" s="8" t="s">
        <v>23</v>
      </c>
    </row>
    <row r="1034" spans="1:17" hidden="1" x14ac:dyDescent="0.55000000000000004">
      <c r="A1034" s="3" t="s">
        <v>1518</v>
      </c>
      <c r="B1034" s="3" t="s">
        <v>1519</v>
      </c>
      <c r="C1034" t="s">
        <v>1520</v>
      </c>
      <c r="D1034" s="3" t="s">
        <v>7312</v>
      </c>
      <c r="E1034" t="s">
        <v>1521</v>
      </c>
      <c r="F1034" s="3" t="s">
        <v>1522</v>
      </c>
      <c r="G1034" t="s">
        <v>24</v>
      </c>
      <c r="H1034" s="3" t="s">
        <v>23</v>
      </c>
      <c r="I1034" t="s">
        <v>67</v>
      </c>
      <c r="J1034" s="3" t="s">
        <v>37</v>
      </c>
      <c r="K1034" s="4" t="s">
        <v>23</v>
      </c>
      <c r="L1034" s="5" t="s">
        <v>23</v>
      </c>
      <c r="M1034" s="6">
        <v>0</v>
      </c>
      <c r="N1034" s="7">
        <v>0</v>
      </c>
      <c r="O1034" t="s">
        <v>23</v>
      </c>
      <c r="P1034" s="3" t="s">
        <v>23</v>
      </c>
      <c r="Q1034" s="8" t="s">
        <v>23</v>
      </c>
    </row>
    <row r="1035" spans="1:17" hidden="1" x14ac:dyDescent="0.55000000000000004">
      <c r="A1035" s="3" t="s">
        <v>1518</v>
      </c>
      <c r="B1035" s="3" t="s">
        <v>1519</v>
      </c>
      <c r="C1035" t="s">
        <v>1520</v>
      </c>
      <c r="D1035" s="3" t="s">
        <v>7312</v>
      </c>
      <c r="E1035" t="s">
        <v>1521</v>
      </c>
      <c r="F1035" s="3" t="s">
        <v>1522</v>
      </c>
      <c r="G1035" t="s">
        <v>24</v>
      </c>
      <c r="H1035" s="3" t="s">
        <v>23</v>
      </c>
      <c r="I1035" t="s">
        <v>67</v>
      </c>
      <c r="J1035" s="3" t="s">
        <v>48</v>
      </c>
      <c r="K1035" s="4" t="s">
        <v>23</v>
      </c>
      <c r="L1035" s="5" t="s">
        <v>23</v>
      </c>
      <c r="M1035" s="6">
        <v>0</v>
      </c>
      <c r="N1035" s="7">
        <v>0</v>
      </c>
      <c r="O1035" t="s">
        <v>23</v>
      </c>
      <c r="P1035" s="3" t="s">
        <v>23</v>
      </c>
      <c r="Q1035" s="8" t="s">
        <v>23</v>
      </c>
    </row>
    <row r="1036" spans="1:17" hidden="1" x14ac:dyDescent="0.55000000000000004">
      <c r="A1036" s="3" t="s">
        <v>1518</v>
      </c>
      <c r="B1036" s="3" t="s">
        <v>1519</v>
      </c>
      <c r="C1036" t="s">
        <v>1520</v>
      </c>
      <c r="D1036" s="3" t="s">
        <v>7312</v>
      </c>
      <c r="E1036" t="s">
        <v>1537</v>
      </c>
      <c r="F1036" s="3" t="s">
        <v>1538</v>
      </c>
      <c r="G1036" t="s">
        <v>19</v>
      </c>
      <c r="H1036" s="3" t="s">
        <v>1539</v>
      </c>
      <c r="I1036" t="s">
        <v>1540</v>
      </c>
      <c r="J1036" s="3" t="s">
        <v>1541</v>
      </c>
      <c r="K1036" s="4">
        <v>255</v>
      </c>
      <c r="L1036" s="5">
        <v>55.48</v>
      </c>
      <c r="M1036" s="6">
        <v>1</v>
      </c>
      <c r="N1036" s="7">
        <v>1</v>
      </c>
      <c r="O1036" t="s">
        <v>1542</v>
      </c>
      <c r="P1036" s="3" t="s">
        <v>1543</v>
      </c>
      <c r="Q1036" s="8">
        <v>3.6200000000000003E-2</v>
      </c>
    </row>
    <row r="1037" spans="1:17" hidden="1" x14ac:dyDescent="0.55000000000000004">
      <c r="A1037" s="3" t="s">
        <v>1518</v>
      </c>
      <c r="B1037" s="3" t="s">
        <v>1519</v>
      </c>
      <c r="C1037" t="s">
        <v>1520</v>
      </c>
      <c r="D1037" s="3" t="s">
        <v>7312</v>
      </c>
      <c r="E1037" t="s">
        <v>1537</v>
      </c>
      <c r="F1037" s="3" t="s">
        <v>1538</v>
      </c>
      <c r="G1037" t="s">
        <v>24</v>
      </c>
      <c r="H1037" s="3" t="s">
        <v>1523</v>
      </c>
      <c r="I1037" t="s">
        <v>296</v>
      </c>
      <c r="J1037" s="3" t="s">
        <v>304</v>
      </c>
      <c r="K1037" s="4">
        <v>590</v>
      </c>
      <c r="L1037" s="5">
        <v>0</v>
      </c>
      <c r="M1037" s="6">
        <v>0</v>
      </c>
      <c r="N1037" s="7">
        <v>1</v>
      </c>
      <c r="O1037" t="s">
        <v>23</v>
      </c>
      <c r="P1037" s="3" t="s">
        <v>23</v>
      </c>
      <c r="Q1037" s="8" t="s">
        <v>23</v>
      </c>
    </row>
    <row r="1038" spans="1:17" hidden="1" x14ac:dyDescent="0.55000000000000004">
      <c r="A1038" s="3" t="s">
        <v>1518</v>
      </c>
      <c r="B1038" s="3" t="s">
        <v>1519</v>
      </c>
      <c r="C1038" t="s">
        <v>1520</v>
      </c>
      <c r="D1038" s="3" t="s">
        <v>7312</v>
      </c>
      <c r="E1038" t="s">
        <v>1537</v>
      </c>
      <c r="F1038" s="3" t="s">
        <v>1538</v>
      </c>
      <c r="G1038" t="s">
        <v>24</v>
      </c>
      <c r="H1038" s="3" t="s">
        <v>1524</v>
      </c>
      <c r="I1038" t="s">
        <v>298</v>
      </c>
      <c r="J1038" s="3" t="s">
        <v>304</v>
      </c>
      <c r="K1038" s="4">
        <v>157</v>
      </c>
      <c r="L1038" s="5">
        <v>0</v>
      </c>
      <c r="M1038" s="6">
        <v>0</v>
      </c>
      <c r="N1038" s="7">
        <v>1</v>
      </c>
      <c r="O1038" t="s">
        <v>23</v>
      </c>
      <c r="P1038" s="3" t="s">
        <v>23</v>
      </c>
      <c r="Q1038" s="8" t="s">
        <v>23</v>
      </c>
    </row>
    <row r="1039" spans="1:17" hidden="1" x14ac:dyDescent="0.55000000000000004">
      <c r="A1039" s="3" t="s">
        <v>1518</v>
      </c>
      <c r="B1039" s="3" t="s">
        <v>1519</v>
      </c>
      <c r="C1039" t="s">
        <v>1520</v>
      </c>
      <c r="D1039" s="3" t="s">
        <v>7312</v>
      </c>
      <c r="E1039" t="s">
        <v>1537</v>
      </c>
      <c r="F1039" s="3" t="s">
        <v>1538</v>
      </c>
      <c r="G1039" t="s">
        <v>24</v>
      </c>
      <c r="H1039" s="3" t="s">
        <v>1525</v>
      </c>
      <c r="I1039" t="s">
        <v>300</v>
      </c>
      <c r="J1039" s="3" t="s">
        <v>304</v>
      </c>
      <c r="K1039" s="4">
        <v>523</v>
      </c>
      <c r="L1039" s="5">
        <v>0</v>
      </c>
      <c r="M1039" s="6">
        <v>0</v>
      </c>
      <c r="N1039" s="7">
        <v>1</v>
      </c>
      <c r="O1039" t="s">
        <v>23</v>
      </c>
      <c r="P1039" s="3" t="s">
        <v>23</v>
      </c>
      <c r="Q1039" s="8" t="s">
        <v>23</v>
      </c>
    </row>
    <row r="1040" spans="1:17" hidden="1" x14ac:dyDescent="0.55000000000000004">
      <c r="A1040" s="3" t="s">
        <v>1518</v>
      </c>
      <c r="B1040" s="3" t="s">
        <v>1519</v>
      </c>
      <c r="C1040" t="s">
        <v>1520</v>
      </c>
      <c r="D1040" s="3" t="s">
        <v>7312</v>
      </c>
      <c r="E1040" t="s">
        <v>1537</v>
      </c>
      <c r="F1040" s="3" t="s">
        <v>1538</v>
      </c>
      <c r="G1040" t="s">
        <v>24</v>
      </c>
      <c r="H1040" s="3" t="s">
        <v>1526</v>
      </c>
      <c r="I1040" t="s">
        <v>302</v>
      </c>
      <c r="J1040" s="3" t="s">
        <v>304</v>
      </c>
      <c r="K1040" s="4">
        <v>373</v>
      </c>
      <c r="L1040" s="5">
        <v>0</v>
      </c>
      <c r="M1040" s="6">
        <v>0</v>
      </c>
      <c r="N1040" s="7">
        <v>1</v>
      </c>
      <c r="O1040" t="s">
        <v>23</v>
      </c>
      <c r="P1040" s="3" t="s">
        <v>23</v>
      </c>
      <c r="Q1040" s="8" t="s">
        <v>23</v>
      </c>
    </row>
    <row r="1041" spans="1:17" hidden="1" x14ac:dyDescent="0.55000000000000004">
      <c r="A1041" s="3" t="s">
        <v>1518</v>
      </c>
      <c r="B1041" s="3" t="s">
        <v>1519</v>
      </c>
      <c r="C1041" t="s">
        <v>1520</v>
      </c>
      <c r="D1041" s="3" t="s">
        <v>7312</v>
      </c>
      <c r="E1041" t="s">
        <v>1537</v>
      </c>
      <c r="F1041" s="3" t="s">
        <v>1538</v>
      </c>
      <c r="G1041" t="s">
        <v>24</v>
      </c>
      <c r="H1041" s="3" t="s">
        <v>1527</v>
      </c>
      <c r="I1041" t="s">
        <v>52</v>
      </c>
      <c r="J1041" s="3" t="s">
        <v>304</v>
      </c>
      <c r="K1041" s="4">
        <v>444</v>
      </c>
      <c r="L1041" s="5">
        <v>0</v>
      </c>
      <c r="M1041" s="6">
        <v>0</v>
      </c>
      <c r="N1041" s="7">
        <v>1</v>
      </c>
      <c r="O1041" t="s">
        <v>23</v>
      </c>
      <c r="P1041" s="3" t="s">
        <v>23</v>
      </c>
      <c r="Q1041" s="8" t="s">
        <v>23</v>
      </c>
    </row>
    <row r="1042" spans="1:17" hidden="1" x14ac:dyDescent="0.55000000000000004">
      <c r="A1042" s="3" t="s">
        <v>1518</v>
      </c>
      <c r="B1042" s="3" t="s">
        <v>1519</v>
      </c>
      <c r="C1042" t="s">
        <v>1520</v>
      </c>
      <c r="D1042" s="3" t="s">
        <v>7312</v>
      </c>
      <c r="E1042" t="s">
        <v>1537</v>
      </c>
      <c r="F1042" s="3" t="s">
        <v>1538</v>
      </c>
      <c r="G1042" t="s">
        <v>24</v>
      </c>
      <c r="H1042" s="3" t="s">
        <v>1528</v>
      </c>
      <c r="I1042" t="s">
        <v>26</v>
      </c>
      <c r="J1042" s="3" t="s">
        <v>1529</v>
      </c>
      <c r="K1042" s="4">
        <v>478</v>
      </c>
      <c r="L1042" s="5">
        <v>21.73</v>
      </c>
      <c r="M1042" s="6">
        <v>0</v>
      </c>
      <c r="N1042" s="7">
        <v>1</v>
      </c>
      <c r="O1042" t="s">
        <v>1530</v>
      </c>
      <c r="P1042" s="3" t="s">
        <v>76</v>
      </c>
      <c r="Q1042" s="8">
        <v>0.17749999999999999</v>
      </c>
    </row>
    <row r="1043" spans="1:17" hidden="1" x14ac:dyDescent="0.55000000000000004">
      <c r="A1043" s="3" t="s">
        <v>1518</v>
      </c>
      <c r="B1043" s="3" t="s">
        <v>1519</v>
      </c>
      <c r="C1043" t="s">
        <v>1520</v>
      </c>
      <c r="D1043" s="3" t="s">
        <v>7312</v>
      </c>
      <c r="E1043" t="s">
        <v>1537</v>
      </c>
      <c r="F1043" s="3" t="s">
        <v>1538</v>
      </c>
      <c r="G1043" t="s">
        <v>24</v>
      </c>
      <c r="H1043" s="3" t="s">
        <v>1531</v>
      </c>
      <c r="I1043" t="s">
        <v>218</v>
      </c>
      <c r="J1043" s="3" t="s">
        <v>1529</v>
      </c>
      <c r="K1043" s="4">
        <v>42</v>
      </c>
      <c r="L1043" s="5">
        <v>1.91</v>
      </c>
      <c r="M1043" s="6">
        <v>0</v>
      </c>
      <c r="N1043" s="7">
        <v>1</v>
      </c>
      <c r="O1043" t="s">
        <v>1532</v>
      </c>
      <c r="P1043" s="3" t="s">
        <v>23</v>
      </c>
      <c r="Q1043" s="8" t="s">
        <v>23</v>
      </c>
    </row>
    <row r="1044" spans="1:17" hidden="1" x14ac:dyDescent="0.55000000000000004">
      <c r="A1044" s="3" t="s">
        <v>1518</v>
      </c>
      <c r="B1044" s="3" t="s">
        <v>1519</v>
      </c>
      <c r="C1044" t="s">
        <v>1520</v>
      </c>
      <c r="D1044" s="3" t="s">
        <v>7312</v>
      </c>
      <c r="E1044" t="s">
        <v>1537</v>
      </c>
      <c r="F1044" s="3" t="s">
        <v>1538</v>
      </c>
      <c r="G1044" t="s">
        <v>24</v>
      </c>
      <c r="H1044" s="3" t="s">
        <v>1533</v>
      </c>
      <c r="I1044" t="s">
        <v>317</v>
      </c>
      <c r="J1044" s="3" t="s">
        <v>218</v>
      </c>
      <c r="K1044" s="4">
        <v>395</v>
      </c>
      <c r="L1044" s="5">
        <v>0</v>
      </c>
      <c r="M1044" s="6">
        <v>0</v>
      </c>
      <c r="N1044" s="7">
        <v>1</v>
      </c>
      <c r="O1044" t="s">
        <v>23</v>
      </c>
      <c r="P1044" s="3" t="s">
        <v>23</v>
      </c>
      <c r="Q1044" s="8" t="s">
        <v>23</v>
      </c>
    </row>
    <row r="1045" spans="1:17" hidden="1" x14ac:dyDescent="0.55000000000000004">
      <c r="A1045" s="3" t="s">
        <v>1518</v>
      </c>
      <c r="B1045" s="3" t="s">
        <v>1519</v>
      </c>
      <c r="C1045" t="s">
        <v>1520</v>
      </c>
      <c r="D1045" s="3" t="s">
        <v>7312</v>
      </c>
      <c r="E1045" t="s">
        <v>1537</v>
      </c>
      <c r="F1045" s="3" t="s">
        <v>1538</v>
      </c>
      <c r="G1045" t="s">
        <v>24</v>
      </c>
      <c r="H1045" s="3" t="s">
        <v>1534</v>
      </c>
      <c r="I1045" t="s">
        <v>313</v>
      </c>
      <c r="J1045" s="3" t="s">
        <v>218</v>
      </c>
      <c r="K1045" s="4">
        <v>368</v>
      </c>
      <c r="L1045" s="5">
        <v>0</v>
      </c>
      <c r="M1045" s="6">
        <v>0</v>
      </c>
      <c r="N1045" s="7">
        <v>1</v>
      </c>
      <c r="O1045" t="s">
        <v>23</v>
      </c>
      <c r="P1045" s="3" t="s">
        <v>23</v>
      </c>
      <c r="Q1045" s="8" t="s">
        <v>23</v>
      </c>
    </row>
    <row r="1046" spans="1:17" hidden="1" x14ac:dyDescent="0.55000000000000004">
      <c r="A1046" s="3" t="s">
        <v>1518</v>
      </c>
      <c r="B1046" s="3" t="s">
        <v>1519</v>
      </c>
      <c r="C1046" t="s">
        <v>1520</v>
      </c>
      <c r="D1046" s="3" t="s">
        <v>7312</v>
      </c>
      <c r="E1046" t="s">
        <v>1537</v>
      </c>
      <c r="F1046" s="3" t="s">
        <v>1538</v>
      </c>
      <c r="G1046" t="s">
        <v>24</v>
      </c>
      <c r="H1046" s="3" t="s">
        <v>1535</v>
      </c>
      <c r="I1046" t="s">
        <v>315</v>
      </c>
      <c r="J1046" s="3" t="s">
        <v>218</v>
      </c>
      <c r="K1046" s="4">
        <v>600</v>
      </c>
      <c r="L1046" s="5">
        <v>0</v>
      </c>
      <c r="M1046" s="6">
        <v>0</v>
      </c>
      <c r="N1046" s="7">
        <v>1</v>
      </c>
      <c r="O1046" t="s">
        <v>23</v>
      </c>
      <c r="P1046" s="3" t="s">
        <v>23</v>
      </c>
      <c r="Q1046" s="8" t="s">
        <v>23</v>
      </c>
    </row>
    <row r="1047" spans="1:17" hidden="1" x14ac:dyDescent="0.55000000000000004">
      <c r="A1047" s="3" t="s">
        <v>1518</v>
      </c>
      <c r="B1047" s="3" t="s">
        <v>1519</v>
      </c>
      <c r="C1047" t="s">
        <v>1520</v>
      </c>
      <c r="D1047" s="3" t="s">
        <v>7312</v>
      </c>
      <c r="E1047" t="s">
        <v>1537</v>
      </c>
      <c r="F1047" s="3" t="s">
        <v>1538</v>
      </c>
      <c r="G1047" t="s">
        <v>24</v>
      </c>
      <c r="H1047" s="3" t="s">
        <v>1536</v>
      </c>
      <c r="I1047" t="s">
        <v>309</v>
      </c>
      <c r="J1047" s="3" t="s">
        <v>218</v>
      </c>
      <c r="K1047" s="4">
        <v>216</v>
      </c>
      <c r="L1047" s="5">
        <v>0</v>
      </c>
      <c r="M1047" s="6">
        <v>0</v>
      </c>
      <c r="N1047" s="7">
        <v>1</v>
      </c>
      <c r="O1047" t="s">
        <v>23</v>
      </c>
      <c r="P1047" s="3" t="s">
        <v>23</v>
      </c>
      <c r="Q1047" s="8" t="s">
        <v>23</v>
      </c>
    </row>
    <row r="1048" spans="1:17" hidden="1" x14ac:dyDescent="0.55000000000000004">
      <c r="A1048" s="3" t="s">
        <v>1518</v>
      </c>
      <c r="B1048" s="3" t="s">
        <v>1519</v>
      </c>
      <c r="C1048" t="s">
        <v>1520</v>
      </c>
      <c r="D1048" s="3" t="s">
        <v>7312</v>
      </c>
      <c r="E1048" t="s">
        <v>1537</v>
      </c>
      <c r="F1048" s="3" t="s">
        <v>1538</v>
      </c>
      <c r="G1048" t="s">
        <v>24</v>
      </c>
      <c r="H1048" s="3" t="s">
        <v>23</v>
      </c>
      <c r="I1048" t="s">
        <v>67</v>
      </c>
      <c r="J1048" s="3" t="s">
        <v>37</v>
      </c>
      <c r="K1048" s="4" t="s">
        <v>23</v>
      </c>
      <c r="L1048" s="5" t="s">
        <v>23</v>
      </c>
      <c r="M1048" s="6">
        <v>0</v>
      </c>
      <c r="N1048" s="7">
        <v>1</v>
      </c>
      <c r="O1048" t="s">
        <v>23</v>
      </c>
      <c r="P1048" s="3" t="s">
        <v>23</v>
      </c>
      <c r="Q1048" s="8" t="s">
        <v>23</v>
      </c>
    </row>
    <row r="1049" spans="1:17" hidden="1" x14ac:dyDescent="0.55000000000000004">
      <c r="A1049" s="3" t="s">
        <v>1518</v>
      </c>
      <c r="B1049" s="3" t="s">
        <v>1519</v>
      </c>
      <c r="C1049" t="s">
        <v>1520</v>
      </c>
      <c r="D1049" s="3" t="s">
        <v>7312</v>
      </c>
      <c r="E1049" t="s">
        <v>1537</v>
      </c>
      <c r="F1049" s="3" t="s">
        <v>1538</v>
      </c>
      <c r="G1049" t="s">
        <v>24</v>
      </c>
      <c r="H1049" s="3" t="s">
        <v>23</v>
      </c>
      <c r="I1049" t="s">
        <v>67</v>
      </c>
      <c r="J1049" s="3" t="s">
        <v>48</v>
      </c>
      <c r="K1049" s="4" t="s">
        <v>23</v>
      </c>
      <c r="L1049" s="5" t="s">
        <v>23</v>
      </c>
      <c r="M1049" s="6">
        <v>0</v>
      </c>
      <c r="N1049" s="7">
        <v>1</v>
      </c>
      <c r="O1049" t="s">
        <v>23</v>
      </c>
      <c r="P1049" s="3" t="s">
        <v>23</v>
      </c>
      <c r="Q1049" s="8" t="s">
        <v>23</v>
      </c>
    </row>
    <row r="1050" spans="1:17" hidden="1" x14ac:dyDescent="0.55000000000000004">
      <c r="A1050" s="3" t="s">
        <v>1518</v>
      </c>
      <c r="B1050" s="3" t="s">
        <v>7336</v>
      </c>
      <c r="C1050" t="s">
        <v>1520</v>
      </c>
      <c r="D1050" s="3" t="s">
        <v>7312</v>
      </c>
      <c r="E1050" t="s">
        <v>1544</v>
      </c>
      <c r="F1050" s="3" t="s">
        <v>1545</v>
      </c>
      <c r="G1050" t="s">
        <v>19</v>
      </c>
      <c r="H1050" s="3" t="s">
        <v>1546</v>
      </c>
      <c r="I1050" t="s">
        <v>21</v>
      </c>
      <c r="J1050" s="3" t="s">
        <v>1547</v>
      </c>
      <c r="K1050" s="4">
        <v>80</v>
      </c>
      <c r="L1050" s="5">
        <v>17.41</v>
      </c>
      <c r="M1050" s="6">
        <v>1</v>
      </c>
      <c r="N1050" s="7">
        <v>1</v>
      </c>
      <c r="O1050" t="s">
        <v>1548</v>
      </c>
      <c r="P1050" s="3" t="s">
        <v>1549</v>
      </c>
      <c r="Q1050" s="8">
        <v>4.2182999999999998E-2</v>
      </c>
    </row>
    <row r="1051" spans="1:17" hidden="1" x14ac:dyDescent="0.55000000000000004">
      <c r="A1051" s="3" t="s">
        <v>1518</v>
      </c>
      <c r="B1051" s="3" t="s">
        <v>7336</v>
      </c>
      <c r="C1051" t="s">
        <v>1520</v>
      </c>
      <c r="D1051" s="3" t="s">
        <v>7312</v>
      </c>
      <c r="E1051" t="s">
        <v>1544</v>
      </c>
      <c r="F1051" s="3" t="s">
        <v>1545</v>
      </c>
      <c r="G1051" t="s">
        <v>19</v>
      </c>
      <c r="H1051" s="3" t="s">
        <v>1550</v>
      </c>
      <c r="I1051" t="s">
        <v>1551</v>
      </c>
      <c r="J1051" s="3" t="s">
        <v>1552</v>
      </c>
      <c r="K1051" s="4">
        <v>1</v>
      </c>
      <c r="L1051" s="5">
        <v>0.3</v>
      </c>
      <c r="M1051" s="6">
        <v>0</v>
      </c>
      <c r="N1051" s="7">
        <v>1</v>
      </c>
      <c r="O1051" t="s">
        <v>1553</v>
      </c>
      <c r="P1051" s="3" t="s">
        <v>23</v>
      </c>
      <c r="Q1051" s="8" t="s">
        <v>23</v>
      </c>
    </row>
    <row r="1052" spans="1:17" hidden="1" x14ac:dyDescent="0.55000000000000004">
      <c r="A1052" s="3" t="s">
        <v>1518</v>
      </c>
      <c r="B1052" s="3" t="s">
        <v>7336</v>
      </c>
      <c r="C1052" t="s">
        <v>1520</v>
      </c>
      <c r="D1052" s="3" t="s">
        <v>7312</v>
      </c>
      <c r="E1052" t="s">
        <v>1544</v>
      </c>
      <c r="F1052" s="3" t="s">
        <v>1545</v>
      </c>
      <c r="G1052" t="s">
        <v>24</v>
      </c>
      <c r="H1052" s="3" t="s">
        <v>1523</v>
      </c>
      <c r="I1052" t="s">
        <v>296</v>
      </c>
      <c r="J1052" s="3" t="s">
        <v>304</v>
      </c>
      <c r="K1052" s="4">
        <v>590</v>
      </c>
      <c r="L1052" s="5">
        <v>0</v>
      </c>
      <c r="M1052" s="6">
        <v>0</v>
      </c>
      <c r="N1052" s="7">
        <v>1</v>
      </c>
      <c r="O1052" t="s">
        <v>23</v>
      </c>
      <c r="P1052" s="3" t="s">
        <v>23</v>
      </c>
      <c r="Q1052" s="8" t="s">
        <v>23</v>
      </c>
    </row>
    <row r="1053" spans="1:17" hidden="1" x14ac:dyDescent="0.55000000000000004">
      <c r="A1053" s="3" t="s">
        <v>1518</v>
      </c>
      <c r="B1053" s="3" t="s">
        <v>7336</v>
      </c>
      <c r="C1053" t="s">
        <v>1520</v>
      </c>
      <c r="D1053" s="3" t="s">
        <v>7312</v>
      </c>
      <c r="E1053" t="s">
        <v>1544</v>
      </c>
      <c r="F1053" s="3" t="s">
        <v>1545</v>
      </c>
      <c r="G1053" t="s">
        <v>24</v>
      </c>
      <c r="H1053" s="3" t="s">
        <v>1524</v>
      </c>
      <c r="I1053" t="s">
        <v>298</v>
      </c>
      <c r="J1053" s="3" t="s">
        <v>304</v>
      </c>
      <c r="K1053" s="4">
        <v>157</v>
      </c>
      <c r="L1053" s="5">
        <v>0</v>
      </c>
      <c r="M1053" s="6">
        <v>0</v>
      </c>
      <c r="N1053" s="7">
        <v>1</v>
      </c>
      <c r="O1053" t="s">
        <v>23</v>
      </c>
      <c r="P1053" s="3" t="s">
        <v>23</v>
      </c>
      <c r="Q1053" s="8" t="s">
        <v>23</v>
      </c>
    </row>
    <row r="1054" spans="1:17" hidden="1" x14ac:dyDescent="0.55000000000000004">
      <c r="A1054" s="3" t="s">
        <v>1518</v>
      </c>
      <c r="B1054" s="3" t="s">
        <v>7336</v>
      </c>
      <c r="C1054" t="s">
        <v>1520</v>
      </c>
      <c r="D1054" s="3" t="s">
        <v>7312</v>
      </c>
      <c r="E1054" t="s">
        <v>1544</v>
      </c>
      <c r="F1054" s="3" t="s">
        <v>1545</v>
      </c>
      <c r="G1054" t="s">
        <v>24</v>
      </c>
      <c r="H1054" s="3" t="s">
        <v>1525</v>
      </c>
      <c r="I1054" t="s">
        <v>300</v>
      </c>
      <c r="J1054" s="3" t="s">
        <v>304</v>
      </c>
      <c r="K1054" s="4">
        <v>523</v>
      </c>
      <c r="L1054" s="5">
        <v>0</v>
      </c>
      <c r="M1054" s="6">
        <v>0</v>
      </c>
      <c r="N1054" s="7">
        <v>1</v>
      </c>
      <c r="O1054" t="s">
        <v>23</v>
      </c>
      <c r="P1054" s="3" t="s">
        <v>23</v>
      </c>
      <c r="Q1054" s="8" t="s">
        <v>23</v>
      </c>
    </row>
    <row r="1055" spans="1:17" hidden="1" x14ac:dyDescent="0.55000000000000004">
      <c r="A1055" s="3" t="s">
        <v>1518</v>
      </c>
      <c r="B1055" s="3" t="s">
        <v>7336</v>
      </c>
      <c r="C1055" t="s">
        <v>1520</v>
      </c>
      <c r="D1055" s="3" t="s">
        <v>7312</v>
      </c>
      <c r="E1055" t="s">
        <v>1544</v>
      </c>
      <c r="F1055" s="3" t="s">
        <v>1545</v>
      </c>
      <c r="G1055" t="s">
        <v>24</v>
      </c>
      <c r="H1055" s="3" t="s">
        <v>1526</v>
      </c>
      <c r="I1055" t="s">
        <v>302</v>
      </c>
      <c r="J1055" s="3" t="s">
        <v>304</v>
      </c>
      <c r="K1055" s="4">
        <v>373</v>
      </c>
      <c r="L1055" s="5">
        <v>0</v>
      </c>
      <c r="M1055" s="6">
        <v>0</v>
      </c>
      <c r="N1055" s="7">
        <v>1</v>
      </c>
      <c r="O1055" t="s">
        <v>23</v>
      </c>
      <c r="P1055" s="3" t="s">
        <v>23</v>
      </c>
      <c r="Q1055" s="8" t="s">
        <v>23</v>
      </c>
    </row>
    <row r="1056" spans="1:17" hidden="1" x14ac:dyDescent="0.55000000000000004">
      <c r="A1056" s="3" t="s">
        <v>1518</v>
      </c>
      <c r="B1056" s="3" t="s">
        <v>7336</v>
      </c>
      <c r="C1056" t="s">
        <v>1520</v>
      </c>
      <c r="D1056" s="3" t="s">
        <v>7312</v>
      </c>
      <c r="E1056" t="s">
        <v>1544</v>
      </c>
      <c r="F1056" s="3" t="s">
        <v>1545</v>
      </c>
      <c r="G1056" t="s">
        <v>24</v>
      </c>
      <c r="H1056" s="3" t="s">
        <v>1527</v>
      </c>
      <c r="I1056" t="s">
        <v>52</v>
      </c>
      <c r="J1056" s="3" t="s">
        <v>304</v>
      </c>
      <c r="K1056" s="4">
        <v>444</v>
      </c>
      <c r="L1056" s="5">
        <v>0</v>
      </c>
      <c r="M1056" s="6">
        <v>0</v>
      </c>
      <c r="N1056" s="7">
        <v>1</v>
      </c>
      <c r="O1056" t="s">
        <v>23</v>
      </c>
      <c r="P1056" s="3" t="s">
        <v>23</v>
      </c>
      <c r="Q1056" s="8" t="s">
        <v>23</v>
      </c>
    </row>
    <row r="1057" spans="1:17" hidden="1" x14ac:dyDescent="0.55000000000000004">
      <c r="A1057" s="3" t="s">
        <v>1518</v>
      </c>
      <c r="B1057" s="3" t="s">
        <v>7336</v>
      </c>
      <c r="C1057" t="s">
        <v>1520</v>
      </c>
      <c r="D1057" s="3" t="s">
        <v>7312</v>
      </c>
      <c r="E1057" t="s">
        <v>1544</v>
      </c>
      <c r="F1057" s="3" t="s">
        <v>1545</v>
      </c>
      <c r="G1057" t="s">
        <v>24</v>
      </c>
      <c r="H1057" s="3" t="s">
        <v>1554</v>
      </c>
      <c r="I1057" t="s">
        <v>26</v>
      </c>
      <c r="J1057" s="3" t="s">
        <v>1555</v>
      </c>
      <c r="K1057" s="4">
        <v>482</v>
      </c>
      <c r="L1057" s="5">
        <v>21.91</v>
      </c>
      <c r="M1057" s="6">
        <v>0</v>
      </c>
      <c r="N1057" s="7">
        <v>1</v>
      </c>
      <c r="O1057" t="s">
        <v>1556</v>
      </c>
      <c r="P1057" s="3" t="s">
        <v>76</v>
      </c>
      <c r="Q1057" s="8">
        <v>0.17749999999999999</v>
      </c>
    </row>
    <row r="1058" spans="1:17" hidden="1" x14ac:dyDescent="0.55000000000000004">
      <c r="A1058" s="3" t="s">
        <v>1518</v>
      </c>
      <c r="B1058" s="3" t="s">
        <v>7336</v>
      </c>
      <c r="C1058" t="s">
        <v>1520</v>
      </c>
      <c r="D1058" s="3" t="s">
        <v>7312</v>
      </c>
      <c r="E1058" t="s">
        <v>1544</v>
      </c>
      <c r="F1058" s="3" t="s">
        <v>1545</v>
      </c>
      <c r="G1058" t="s">
        <v>24</v>
      </c>
      <c r="H1058" s="3" t="s">
        <v>1557</v>
      </c>
      <c r="I1058" t="s">
        <v>218</v>
      </c>
      <c r="J1058" s="3" t="s">
        <v>1555</v>
      </c>
      <c r="K1058" s="4">
        <v>50</v>
      </c>
      <c r="L1058" s="5">
        <v>2.29</v>
      </c>
      <c r="M1058" s="6">
        <v>0</v>
      </c>
      <c r="N1058" s="7">
        <v>1</v>
      </c>
      <c r="O1058" t="s">
        <v>1558</v>
      </c>
      <c r="P1058" s="3" t="s">
        <v>23</v>
      </c>
      <c r="Q1058" s="8" t="s">
        <v>23</v>
      </c>
    </row>
    <row r="1059" spans="1:17" hidden="1" x14ac:dyDescent="0.55000000000000004">
      <c r="A1059" s="3" t="s">
        <v>1518</v>
      </c>
      <c r="B1059" s="3" t="s">
        <v>7336</v>
      </c>
      <c r="C1059" t="s">
        <v>1520</v>
      </c>
      <c r="D1059" s="3" t="s">
        <v>7312</v>
      </c>
      <c r="E1059" t="s">
        <v>1544</v>
      </c>
      <c r="F1059" s="3" t="s">
        <v>1545</v>
      </c>
      <c r="G1059" t="s">
        <v>24</v>
      </c>
      <c r="H1059" s="3" t="s">
        <v>1533</v>
      </c>
      <c r="I1059" t="s">
        <v>317</v>
      </c>
      <c r="J1059" s="3" t="s">
        <v>218</v>
      </c>
      <c r="K1059" s="4">
        <v>395</v>
      </c>
      <c r="L1059" s="5">
        <v>0</v>
      </c>
      <c r="M1059" s="6">
        <v>0</v>
      </c>
      <c r="N1059" s="7">
        <v>1</v>
      </c>
      <c r="O1059" t="s">
        <v>23</v>
      </c>
      <c r="P1059" s="3" t="s">
        <v>23</v>
      </c>
      <c r="Q1059" s="8" t="s">
        <v>23</v>
      </c>
    </row>
    <row r="1060" spans="1:17" hidden="1" x14ac:dyDescent="0.55000000000000004">
      <c r="A1060" s="3" t="s">
        <v>1518</v>
      </c>
      <c r="B1060" s="3" t="s">
        <v>7336</v>
      </c>
      <c r="C1060" t="s">
        <v>1520</v>
      </c>
      <c r="D1060" s="3" t="s">
        <v>7312</v>
      </c>
      <c r="E1060" t="s">
        <v>1544</v>
      </c>
      <c r="F1060" s="3" t="s">
        <v>1545</v>
      </c>
      <c r="G1060" t="s">
        <v>24</v>
      </c>
      <c r="H1060" s="3" t="s">
        <v>1534</v>
      </c>
      <c r="I1060" t="s">
        <v>313</v>
      </c>
      <c r="J1060" s="3" t="s">
        <v>218</v>
      </c>
      <c r="K1060" s="4">
        <v>368</v>
      </c>
      <c r="L1060" s="5">
        <v>0</v>
      </c>
      <c r="M1060" s="6">
        <v>0</v>
      </c>
      <c r="N1060" s="7">
        <v>1</v>
      </c>
      <c r="O1060" t="s">
        <v>23</v>
      </c>
      <c r="P1060" s="3" t="s">
        <v>23</v>
      </c>
      <c r="Q1060" s="8" t="s">
        <v>23</v>
      </c>
    </row>
    <row r="1061" spans="1:17" hidden="1" x14ac:dyDescent="0.55000000000000004">
      <c r="A1061" s="3" t="s">
        <v>1518</v>
      </c>
      <c r="B1061" s="3" t="s">
        <v>7336</v>
      </c>
      <c r="C1061" t="s">
        <v>1520</v>
      </c>
      <c r="D1061" s="3" t="s">
        <v>7312</v>
      </c>
      <c r="E1061" t="s">
        <v>1544</v>
      </c>
      <c r="F1061" s="3" t="s">
        <v>1545</v>
      </c>
      <c r="G1061" t="s">
        <v>24</v>
      </c>
      <c r="H1061" s="3" t="s">
        <v>1535</v>
      </c>
      <c r="I1061" t="s">
        <v>315</v>
      </c>
      <c r="J1061" s="3" t="s">
        <v>218</v>
      </c>
      <c r="K1061" s="4">
        <v>600</v>
      </c>
      <c r="L1061" s="5">
        <v>0</v>
      </c>
      <c r="M1061" s="6">
        <v>0</v>
      </c>
      <c r="N1061" s="7">
        <v>1</v>
      </c>
      <c r="O1061" t="s">
        <v>23</v>
      </c>
      <c r="P1061" s="3" t="s">
        <v>23</v>
      </c>
      <c r="Q1061" s="8" t="s">
        <v>23</v>
      </c>
    </row>
    <row r="1062" spans="1:17" hidden="1" x14ac:dyDescent="0.55000000000000004">
      <c r="A1062" s="3" t="s">
        <v>1518</v>
      </c>
      <c r="B1062" s="3" t="s">
        <v>7336</v>
      </c>
      <c r="C1062" t="s">
        <v>1520</v>
      </c>
      <c r="D1062" s="3" t="s">
        <v>7312</v>
      </c>
      <c r="E1062" t="s">
        <v>1544</v>
      </c>
      <c r="F1062" s="3" t="s">
        <v>1545</v>
      </c>
      <c r="G1062" t="s">
        <v>24</v>
      </c>
      <c r="H1062" s="3" t="s">
        <v>1536</v>
      </c>
      <c r="I1062" t="s">
        <v>309</v>
      </c>
      <c r="J1062" s="3" t="s">
        <v>218</v>
      </c>
      <c r="K1062" s="4">
        <v>216</v>
      </c>
      <c r="L1062" s="5">
        <v>0</v>
      </c>
      <c r="M1062" s="6">
        <v>0</v>
      </c>
      <c r="N1062" s="7">
        <v>1</v>
      </c>
      <c r="O1062" t="s">
        <v>23</v>
      </c>
      <c r="P1062" s="3" t="s">
        <v>23</v>
      </c>
      <c r="Q1062" s="8" t="s">
        <v>23</v>
      </c>
    </row>
    <row r="1063" spans="1:17" hidden="1" x14ac:dyDescent="0.55000000000000004">
      <c r="A1063" s="3" t="s">
        <v>1518</v>
      </c>
      <c r="B1063" s="3" t="s">
        <v>7336</v>
      </c>
      <c r="C1063" t="s">
        <v>1520</v>
      </c>
      <c r="D1063" s="3" t="s">
        <v>7312</v>
      </c>
      <c r="E1063" t="s">
        <v>1544</v>
      </c>
      <c r="F1063" s="3" t="s">
        <v>1545</v>
      </c>
      <c r="G1063" t="s">
        <v>24</v>
      </c>
      <c r="H1063" s="3" t="s">
        <v>23</v>
      </c>
      <c r="I1063" t="s">
        <v>67</v>
      </c>
      <c r="J1063" s="3" t="s">
        <v>37</v>
      </c>
      <c r="K1063" s="4" t="s">
        <v>23</v>
      </c>
      <c r="L1063" s="5" t="s">
        <v>23</v>
      </c>
      <c r="M1063" s="6">
        <v>0</v>
      </c>
      <c r="N1063" s="7">
        <v>1</v>
      </c>
      <c r="O1063" t="s">
        <v>23</v>
      </c>
      <c r="P1063" s="3" t="s">
        <v>23</v>
      </c>
      <c r="Q1063" s="8" t="s">
        <v>23</v>
      </c>
    </row>
    <row r="1064" spans="1:17" hidden="1" x14ac:dyDescent="0.55000000000000004">
      <c r="A1064" s="3" t="s">
        <v>1518</v>
      </c>
      <c r="B1064" s="3" t="s">
        <v>7336</v>
      </c>
      <c r="C1064" t="s">
        <v>1520</v>
      </c>
      <c r="D1064" s="3" t="s">
        <v>7312</v>
      </c>
      <c r="E1064" t="s">
        <v>1544</v>
      </c>
      <c r="F1064" s="3" t="s">
        <v>1545</v>
      </c>
      <c r="G1064" t="s">
        <v>24</v>
      </c>
      <c r="H1064" s="3" t="s">
        <v>23</v>
      </c>
      <c r="I1064" t="s">
        <v>67</v>
      </c>
      <c r="J1064" s="3" t="s">
        <v>48</v>
      </c>
      <c r="K1064" s="4" t="s">
        <v>23</v>
      </c>
      <c r="L1064" s="5" t="s">
        <v>23</v>
      </c>
      <c r="M1064" s="6">
        <v>0</v>
      </c>
      <c r="N1064" s="7">
        <v>1</v>
      </c>
      <c r="O1064" t="s">
        <v>23</v>
      </c>
      <c r="P1064" s="3" t="s">
        <v>23</v>
      </c>
      <c r="Q1064" s="8" t="s">
        <v>23</v>
      </c>
    </row>
    <row r="1065" spans="1:17" hidden="1" x14ac:dyDescent="0.55000000000000004">
      <c r="A1065" s="3" t="s">
        <v>1518</v>
      </c>
      <c r="B1065" s="3" t="s">
        <v>7337</v>
      </c>
      <c r="C1065" t="s">
        <v>1520</v>
      </c>
      <c r="D1065" s="3" t="s">
        <v>7312</v>
      </c>
      <c r="E1065" t="s">
        <v>1559</v>
      </c>
      <c r="F1065" s="3" t="s">
        <v>1560</v>
      </c>
      <c r="G1065" t="s">
        <v>19</v>
      </c>
      <c r="H1065" s="3" t="s">
        <v>1561</v>
      </c>
      <c r="I1065" t="s">
        <v>1540</v>
      </c>
      <c r="J1065" s="3" t="s">
        <v>1562</v>
      </c>
      <c r="K1065" s="4">
        <v>275</v>
      </c>
      <c r="L1065" s="5">
        <v>59.8</v>
      </c>
      <c r="M1065" s="6">
        <v>0</v>
      </c>
      <c r="N1065" s="7">
        <v>0</v>
      </c>
      <c r="O1065" t="s">
        <v>1563</v>
      </c>
      <c r="P1065" s="3" t="s">
        <v>1543</v>
      </c>
      <c r="Q1065" s="8">
        <v>3.9348000000000001E-2</v>
      </c>
    </row>
    <row r="1066" spans="1:17" hidden="1" x14ac:dyDescent="0.55000000000000004">
      <c r="A1066" s="3" t="s">
        <v>1518</v>
      </c>
      <c r="B1066" s="3" t="s">
        <v>7337</v>
      </c>
      <c r="C1066" t="s">
        <v>1520</v>
      </c>
      <c r="D1066" s="3" t="s">
        <v>7312</v>
      </c>
      <c r="E1066" t="s">
        <v>1559</v>
      </c>
      <c r="F1066" s="3" t="s">
        <v>1560</v>
      </c>
      <c r="G1066" t="s">
        <v>19</v>
      </c>
      <c r="H1066" s="3" t="s">
        <v>1564</v>
      </c>
      <c r="I1066" t="s">
        <v>1565</v>
      </c>
      <c r="J1066" s="3" t="s">
        <v>1551</v>
      </c>
      <c r="K1066" s="4">
        <v>52</v>
      </c>
      <c r="L1066" s="5">
        <v>11.26</v>
      </c>
      <c r="M1066" s="6">
        <v>0</v>
      </c>
      <c r="N1066" s="7">
        <v>0</v>
      </c>
      <c r="O1066" t="s">
        <v>1566</v>
      </c>
      <c r="P1066" s="3" t="s">
        <v>1567</v>
      </c>
      <c r="Q1066" s="8">
        <v>1.9130999999999999E-2</v>
      </c>
    </row>
    <row r="1067" spans="1:17" hidden="1" x14ac:dyDescent="0.55000000000000004">
      <c r="A1067" s="3" t="s">
        <v>1518</v>
      </c>
      <c r="B1067" s="3" t="s">
        <v>7337</v>
      </c>
      <c r="C1067" t="s">
        <v>1520</v>
      </c>
      <c r="D1067" s="3" t="s">
        <v>7312</v>
      </c>
      <c r="E1067" t="s">
        <v>1559</v>
      </c>
      <c r="F1067" s="3" t="s">
        <v>1560</v>
      </c>
      <c r="G1067" t="s">
        <v>19</v>
      </c>
      <c r="H1067" s="3" t="s">
        <v>1568</v>
      </c>
      <c r="I1067" t="s">
        <v>1569</v>
      </c>
      <c r="J1067" s="3" t="s">
        <v>1551</v>
      </c>
      <c r="K1067" s="4">
        <v>31</v>
      </c>
      <c r="L1067" s="5">
        <v>6.7</v>
      </c>
      <c r="M1067" s="6">
        <v>0</v>
      </c>
      <c r="N1067" s="7">
        <v>0</v>
      </c>
      <c r="O1067" t="s">
        <v>1570</v>
      </c>
      <c r="P1067" s="3" t="s">
        <v>1571</v>
      </c>
      <c r="Q1067" s="8">
        <v>1.9130999999999999E-2</v>
      </c>
    </row>
    <row r="1068" spans="1:17" hidden="1" x14ac:dyDescent="0.55000000000000004">
      <c r="A1068" s="3" t="s">
        <v>1518</v>
      </c>
      <c r="B1068" s="3" t="s">
        <v>7337</v>
      </c>
      <c r="C1068" t="s">
        <v>1520</v>
      </c>
      <c r="D1068" s="3" t="s">
        <v>7312</v>
      </c>
      <c r="E1068" t="s">
        <v>1559</v>
      </c>
      <c r="F1068" s="3" t="s">
        <v>1560</v>
      </c>
      <c r="G1068" t="s">
        <v>19</v>
      </c>
      <c r="H1068" s="3" t="s">
        <v>1572</v>
      </c>
      <c r="I1068" t="s">
        <v>1573</v>
      </c>
      <c r="J1068" s="3" t="s">
        <v>1574</v>
      </c>
      <c r="K1068" s="4">
        <v>62</v>
      </c>
      <c r="L1068" s="5">
        <v>13.59</v>
      </c>
      <c r="M1068" s="6">
        <v>0</v>
      </c>
      <c r="N1068" s="7">
        <v>0</v>
      </c>
      <c r="O1068" t="s">
        <v>1575</v>
      </c>
      <c r="P1068" s="3" t="s">
        <v>1567</v>
      </c>
      <c r="Q1068" s="8">
        <v>1.9130999999999999E-2</v>
      </c>
    </row>
    <row r="1069" spans="1:17" hidden="1" x14ac:dyDescent="0.55000000000000004">
      <c r="A1069" s="3" t="s">
        <v>1518</v>
      </c>
      <c r="B1069" s="3" t="s">
        <v>7337</v>
      </c>
      <c r="C1069" t="s">
        <v>1520</v>
      </c>
      <c r="D1069" s="3" t="s">
        <v>7312</v>
      </c>
      <c r="E1069" t="s">
        <v>1559</v>
      </c>
      <c r="F1069" s="3" t="s">
        <v>1560</v>
      </c>
      <c r="G1069" t="s">
        <v>19</v>
      </c>
      <c r="H1069" s="3" t="s">
        <v>1576</v>
      </c>
      <c r="I1069" t="s">
        <v>1577</v>
      </c>
      <c r="J1069" s="3" t="s">
        <v>1574</v>
      </c>
      <c r="K1069" s="4">
        <v>29</v>
      </c>
      <c r="L1069" s="5">
        <v>6.26</v>
      </c>
      <c r="M1069" s="6">
        <v>0</v>
      </c>
      <c r="N1069" s="7">
        <v>0</v>
      </c>
      <c r="O1069" t="s">
        <v>1578</v>
      </c>
      <c r="P1069" s="3" t="s">
        <v>1571</v>
      </c>
      <c r="Q1069" s="8">
        <v>1.9130999999999999E-2</v>
      </c>
    </row>
    <row r="1070" spans="1:17" hidden="1" x14ac:dyDescent="0.55000000000000004">
      <c r="A1070" s="3" t="s">
        <v>1518</v>
      </c>
      <c r="B1070" s="3" t="s">
        <v>7337</v>
      </c>
      <c r="C1070" t="s">
        <v>1520</v>
      </c>
      <c r="D1070" s="3" t="s">
        <v>7312</v>
      </c>
      <c r="E1070" t="s">
        <v>1559</v>
      </c>
      <c r="F1070" s="3" t="s">
        <v>1560</v>
      </c>
      <c r="G1070" t="s">
        <v>24</v>
      </c>
      <c r="H1070" s="3" t="s">
        <v>1523</v>
      </c>
      <c r="I1070" t="s">
        <v>296</v>
      </c>
      <c r="J1070" s="3" t="s">
        <v>304</v>
      </c>
      <c r="K1070" s="4">
        <v>590</v>
      </c>
      <c r="L1070" s="5">
        <v>0</v>
      </c>
      <c r="M1070" s="6">
        <v>0</v>
      </c>
      <c r="N1070" s="7">
        <v>0</v>
      </c>
      <c r="O1070" t="s">
        <v>23</v>
      </c>
      <c r="P1070" s="3" t="s">
        <v>23</v>
      </c>
      <c r="Q1070" s="8" t="s">
        <v>23</v>
      </c>
    </row>
    <row r="1071" spans="1:17" hidden="1" x14ac:dyDescent="0.55000000000000004">
      <c r="A1071" s="3" t="s">
        <v>1518</v>
      </c>
      <c r="B1071" s="3" t="s">
        <v>7337</v>
      </c>
      <c r="C1071" t="s">
        <v>1520</v>
      </c>
      <c r="D1071" s="3" t="s">
        <v>7312</v>
      </c>
      <c r="E1071" t="s">
        <v>1559</v>
      </c>
      <c r="F1071" s="3" t="s">
        <v>1560</v>
      </c>
      <c r="G1071" t="s">
        <v>24</v>
      </c>
      <c r="H1071" s="3" t="s">
        <v>1524</v>
      </c>
      <c r="I1071" t="s">
        <v>298</v>
      </c>
      <c r="J1071" s="3" t="s">
        <v>304</v>
      </c>
      <c r="K1071" s="4">
        <v>157</v>
      </c>
      <c r="L1071" s="5">
        <v>0</v>
      </c>
      <c r="M1071" s="6">
        <v>0</v>
      </c>
      <c r="N1071" s="7">
        <v>0</v>
      </c>
      <c r="O1071" t="s">
        <v>23</v>
      </c>
      <c r="P1071" s="3" t="s">
        <v>23</v>
      </c>
      <c r="Q1071" s="8" t="s">
        <v>23</v>
      </c>
    </row>
    <row r="1072" spans="1:17" hidden="1" x14ac:dyDescent="0.55000000000000004">
      <c r="A1072" s="3" t="s">
        <v>1518</v>
      </c>
      <c r="B1072" s="3" t="s">
        <v>7337</v>
      </c>
      <c r="C1072" t="s">
        <v>1520</v>
      </c>
      <c r="D1072" s="3" t="s">
        <v>7312</v>
      </c>
      <c r="E1072" t="s">
        <v>1559</v>
      </c>
      <c r="F1072" s="3" t="s">
        <v>1560</v>
      </c>
      <c r="G1072" t="s">
        <v>24</v>
      </c>
      <c r="H1072" s="3" t="s">
        <v>1525</v>
      </c>
      <c r="I1072" t="s">
        <v>300</v>
      </c>
      <c r="J1072" s="3" t="s">
        <v>304</v>
      </c>
      <c r="K1072" s="4">
        <v>523</v>
      </c>
      <c r="L1072" s="5">
        <v>0</v>
      </c>
      <c r="M1072" s="6">
        <v>0</v>
      </c>
      <c r="N1072" s="7">
        <v>0</v>
      </c>
      <c r="O1072" t="s">
        <v>23</v>
      </c>
      <c r="P1072" s="3" t="s">
        <v>23</v>
      </c>
      <c r="Q1072" s="8" t="s">
        <v>23</v>
      </c>
    </row>
    <row r="1073" spans="1:17" hidden="1" x14ac:dyDescent="0.55000000000000004">
      <c r="A1073" s="3" t="s">
        <v>1518</v>
      </c>
      <c r="B1073" s="3" t="s">
        <v>7337</v>
      </c>
      <c r="C1073" t="s">
        <v>1520</v>
      </c>
      <c r="D1073" s="3" t="s">
        <v>7312</v>
      </c>
      <c r="E1073" t="s">
        <v>1559</v>
      </c>
      <c r="F1073" s="3" t="s">
        <v>1560</v>
      </c>
      <c r="G1073" t="s">
        <v>24</v>
      </c>
      <c r="H1073" s="3" t="s">
        <v>1526</v>
      </c>
      <c r="I1073" t="s">
        <v>302</v>
      </c>
      <c r="J1073" s="3" t="s">
        <v>304</v>
      </c>
      <c r="K1073" s="4">
        <v>373</v>
      </c>
      <c r="L1073" s="5">
        <v>0</v>
      </c>
      <c r="M1073" s="6">
        <v>0</v>
      </c>
      <c r="N1073" s="7">
        <v>0</v>
      </c>
      <c r="O1073" t="s">
        <v>23</v>
      </c>
      <c r="P1073" s="3" t="s">
        <v>23</v>
      </c>
      <c r="Q1073" s="8" t="s">
        <v>23</v>
      </c>
    </row>
    <row r="1074" spans="1:17" hidden="1" x14ac:dyDescent="0.55000000000000004">
      <c r="A1074" s="3" t="s">
        <v>1518</v>
      </c>
      <c r="B1074" s="3" t="s">
        <v>7337</v>
      </c>
      <c r="C1074" t="s">
        <v>1520</v>
      </c>
      <c r="D1074" s="3" t="s">
        <v>7312</v>
      </c>
      <c r="E1074" t="s">
        <v>1559</v>
      </c>
      <c r="F1074" s="3" t="s">
        <v>1560</v>
      </c>
      <c r="G1074" t="s">
        <v>24</v>
      </c>
      <c r="H1074" s="3" t="s">
        <v>1527</v>
      </c>
      <c r="I1074" t="s">
        <v>52</v>
      </c>
      <c r="J1074" s="3" t="s">
        <v>304</v>
      </c>
      <c r="K1074" s="4">
        <v>444</v>
      </c>
      <c r="L1074" s="5">
        <v>0</v>
      </c>
      <c r="M1074" s="6">
        <v>0</v>
      </c>
      <c r="N1074" s="7">
        <v>0</v>
      </c>
      <c r="O1074" t="s">
        <v>23</v>
      </c>
      <c r="P1074" s="3" t="s">
        <v>23</v>
      </c>
      <c r="Q1074" s="8" t="s">
        <v>23</v>
      </c>
    </row>
    <row r="1075" spans="1:17" hidden="1" x14ac:dyDescent="0.55000000000000004">
      <c r="A1075" s="3" t="s">
        <v>1518</v>
      </c>
      <c r="B1075" s="3" t="s">
        <v>7337</v>
      </c>
      <c r="C1075" t="s">
        <v>1520</v>
      </c>
      <c r="D1075" s="3" t="s">
        <v>7312</v>
      </c>
      <c r="E1075" t="s">
        <v>1559</v>
      </c>
      <c r="F1075" s="3" t="s">
        <v>1560</v>
      </c>
      <c r="G1075" t="s">
        <v>24</v>
      </c>
      <c r="H1075" s="3" t="s">
        <v>1554</v>
      </c>
      <c r="I1075" t="s">
        <v>26</v>
      </c>
      <c r="J1075" s="3" t="s">
        <v>1555</v>
      </c>
      <c r="K1075" s="4">
        <v>482</v>
      </c>
      <c r="L1075" s="5">
        <v>21.91</v>
      </c>
      <c r="M1075" s="6">
        <v>0</v>
      </c>
      <c r="N1075" s="7">
        <v>0</v>
      </c>
      <c r="O1075" t="s">
        <v>1556</v>
      </c>
      <c r="P1075" s="3" t="s">
        <v>76</v>
      </c>
      <c r="Q1075" s="8">
        <v>0.17749999999999999</v>
      </c>
    </row>
    <row r="1076" spans="1:17" hidden="1" x14ac:dyDescent="0.55000000000000004">
      <c r="A1076" s="3" t="s">
        <v>1518</v>
      </c>
      <c r="B1076" s="3" t="s">
        <v>7337</v>
      </c>
      <c r="C1076" t="s">
        <v>1520</v>
      </c>
      <c r="D1076" s="3" t="s">
        <v>7312</v>
      </c>
      <c r="E1076" t="s">
        <v>1559</v>
      </c>
      <c r="F1076" s="3" t="s">
        <v>1560</v>
      </c>
      <c r="G1076" t="s">
        <v>24</v>
      </c>
      <c r="H1076" s="3" t="s">
        <v>1557</v>
      </c>
      <c r="I1076" t="s">
        <v>218</v>
      </c>
      <c r="J1076" s="3" t="s">
        <v>1555</v>
      </c>
      <c r="K1076" s="4">
        <v>50</v>
      </c>
      <c r="L1076" s="5">
        <v>2.29</v>
      </c>
      <c r="M1076" s="6">
        <v>0</v>
      </c>
      <c r="N1076" s="7">
        <v>0</v>
      </c>
      <c r="O1076" t="s">
        <v>1558</v>
      </c>
      <c r="P1076" s="3" t="s">
        <v>23</v>
      </c>
      <c r="Q1076" s="8" t="s">
        <v>23</v>
      </c>
    </row>
    <row r="1077" spans="1:17" hidden="1" x14ac:dyDescent="0.55000000000000004">
      <c r="A1077" s="3" t="s">
        <v>1518</v>
      </c>
      <c r="B1077" s="3" t="s">
        <v>7337</v>
      </c>
      <c r="C1077" t="s">
        <v>1520</v>
      </c>
      <c r="D1077" s="3" t="s">
        <v>7312</v>
      </c>
      <c r="E1077" t="s">
        <v>1559</v>
      </c>
      <c r="F1077" s="3" t="s">
        <v>1560</v>
      </c>
      <c r="G1077" t="s">
        <v>24</v>
      </c>
      <c r="H1077" s="3" t="s">
        <v>1533</v>
      </c>
      <c r="I1077" t="s">
        <v>317</v>
      </c>
      <c r="J1077" s="3" t="s">
        <v>218</v>
      </c>
      <c r="K1077" s="4">
        <v>395</v>
      </c>
      <c r="L1077" s="5">
        <v>0</v>
      </c>
      <c r="M1077" s="6">
        <v>0</v>
      </c>
      <c r="N1077" s="7">
        <v>0</v>
      </c>
      <c r="O1077" t="s">
        <v>23</v>
      </c>
      <c r="P1077" s="3" t="s">
        <v>23</v>
      </c>
      <c r="Q1077" s="8" t="s">
        <v>23</v>
      </c>
    </row>
    <row r="1078" spans="1:17" hidden="1" x14ac:dyDescent="0.55000000000000004">
      <c r="A1078" s="3" t="s">
        <v>1518</v>
      </c>
      <c r="B1078" s="3" t="s">
        <v>7337</v>
      </c>
      <c r="C1078" t="s">
        <v>1520</v>
      </c>
      <c r="D1078" s="3" t="s">
        <v>7312</v>
      </c>
      <c r="E1078" t="s">
        <v>1559</v>
      </c>
      <c r="F1078" s="3" t="s">
        <v>1560</v>
      </c>
      <c r="G1078" t="s">
        <v>24</v>
      </c>
      <c r="H1078" s="3" t="s">
        <v>1534</v>
      </c>
      <c r="I1078" t="s">
        <v>313</v>
      </c>
      <c r="J1078" s="3" t="s">
        <v>218</v>
      </c>
      <c r="K1078" s="4">
        <v>368</v>
      </c>
      <c r="L1078" s="5">
        <v>0</v>
      </c>
      <c r="M1078" s="6">
        <v>0</v>
      </c>
      <c r="N1078" s="7">
        <v>0</v>
      </c>
      <c r="O1078" t="s">
        <v>23</v>
      </c>
      <c r="P1078" s="3" t="s">
        <v>23</v>
      </c>
      <c r="Q1078" s="8" t="s">
        <v>23</v>
      </c>
    </row>
    <row r="1079" spans="1:17" hidden="1" x14ac:dyDescent="0.55000000000000004">
      <c r="A1079" s="3" t="s">
        <v>1518</v>
      </c>
      <c r="B1079" s="3" t="s">
        <v>7337</v>
      </c>
      <c r="C1079" t="s">
        <v>1520</v>
      </c>
      <c r="D1079" s="3" t="s">
        <v>7312</v>
      </c>
      <c r="E1079" t="s">
        <v>1559</v>
      </c>
      <c r="F1079" s="3" t="s">
        <v>1560</v>
      </c>
      <c r="G1079" t="s">
        <v>24</v>
      </c>
      <c r="H1079" s="3" t="s">
        <v>1535</v>
      </c>
      <c r="I1079" t="s">
        <v>315</v>
      </c>
      <c r="J1079" s="3" t="s">
        <v>218</v>
      </c>
      <c r="K1079" s="4">
        <v>600</v>
      </c>
      <c r="L1079" s="5">
        <v>0</v>
      </c>
      <c r="M1079" s="6">
        <v>0</v>
      </c>
      <c r="N1079" s="7">
        <v>0</v>
      </c>
      <c r="O1079" t="s">
        <v>23</v>
      </c>
      <c r="P1079" s="3" t="s">
        <v>23</v>
      </c>
      <c r="Q1079" s="8" t="s">
        <v>23</v>
      </c>
    </row>
    <row r="1080" spans="1:17" hidden="1" x14ac:dyDescent="0.55000000000000004">
      <c r="A1080" s="3" t="s">
        <v>1518</v>
      </c>
      <c r="B1080" s="3" t="s">
        <v>7337</v>
      </c>
      <c r="C1080" t="s">
        <v>1520</v>
      </c>
      <c r="D1080" s="3" t="s">
        <v>7312</v>
      </c>
      <c r="E1080" t="s">
        <v>1559</v>
      </c>
      <c r="F1080" s="3" t="s">
        <v>1560</v>
      </c>
      <c r="G1080" t="s">
        <v>24</v>
      </c>
      <c r="H1080" s="3" t="s">
        <v>1536</v>
      </c>
      <c r="I1080" t="s">
        <v>309</v>
      </c>
      <c r="J1080" s="3" t="s">
        <v>218</v>
      </c>
      <c r="K1080" s="4">
        <v>216</v>
      </c>
      <c r="L1080" s="5">
        <v>0</v>
      </c>
      <c r="M1080" s="6">
        <v>0</v>
      </c>
      <c r="N1080" s="7">
        <v>0</v>
      </c>
      <c r="O1080" t="s">
        <v>23</v>
      </c>
      <c r="P1080" s="3" t="s">
        <v>23</v>
      </c>
      <c r="Q1080" s="8" t="s">
        <v>23</v>
      </c>
    </row>
    <row r="1081" spans="1:17" hidden="1" x14ac:dyDescent="0.55000000000000004">
      <c r="A1081" s="3" t="s">
        <v>1518</v>
      </c>
      <c r="B1081" s="3" t="s">
        <v>7337</v>
      </c>
      <c r="C1081" t="s">
        <v>1520</v>
      </c>
      <c r="D1081" s="3" t="s">
        <v>7312</v>
      </c>
      <c r="E1081" t="s">
        <v>1559</v>
      </c>
      <c r="F1081" s="3" t="s">
        <v>1560</v>
      </c>
      <c r="G1081" t="s">
        <v>24</v>
      </c>
      <c r="H1081" s="3" t="s">
        <v>23</v>
      </c>
      <c r="I1081" t="s">
        <v>67</v>
      </c>
      <c r="J1081" s="3" t="s">
        <v>37</v>
      </c>
      <c r="K1081" s="4" t="s">
        <v>23</v>
      </c>
      <c r="L1081" s="5" t="s">
        <v>23</v>
      </c>
      <c r="M1081" s="6">
        <v>0</v>
      </c>
      <c r="N1081" s="7">
        <v>0</v>
      </c>
      <c r="O1081" t="s">
        <v>23</v>
      </c>
      <c r="P1081" s="3" t="s">
        <v>23</v>
      </c>
      <c r="Q1081" s="8" t="s">
        <v>23</v>
      </c>
    </row>
    <row r="1082" spans="1:17" hidden="1" x14ac:dyDescent="0.55000000000000004">
      <c r="A1082" s="3" t="s">
        <v>1518</v>
      </c>
      <c r="B1082" s="3" t="s">
        <v>7337</v>
      </c>
      <c r="C1082" t="s">
        <v>1520</v>
      </c>
      <c r="D1082" s="3" t="s">
        <v>7312</v>
      </c>
      <c r="E1082" t="s">
        <v>1559</v>
      </c>
      <c r="F1082" s="3" t="s">
        <v>1560</v>
      </c>
      <c r="G1082" t="s">
        <v>24</v>
      </c>
      <c r="H1082" s="3" t="s">
        <v>23</v>
      </c>
      <c r="I1082" t="s">
        <v>67</v>
      </c>
      <c r="J1082" s="3" t="s">
        <v>48</v>
      </c>
      <c r="K1082" s="4" t="s">
        <v>23</v>
      </c>
      <c r="L1082" s="5" t="s">
        <v>23</v>
      </c>
      <c r="M1082" s="6">
        <v>0</v>
      </c>
      <c r="N1082" s="7">
        <v>0</v>
      </c>
      <c r="O1082" t="s">
        <v>23</v>
      </c>
      <c r="P1082" s="3" t="s">
        <v>23</v>
      </c>
      <c r="Q1082" s="8" t="s">
        <v>23</v>
      </c>
    </row>
    <row r="1083" spans="1:17" hidden="1" x14ac:dyDescent="0.55000000000000004">
      <c r="A1083" s="3" t="s">
        <v>1518</v>
      </c>
      <c r="B1083" s="3" t="s">
        <v>7336</v>
      </c>
      <c r="C1083" t="s">
        <v>1520</v>
      </c>
      <c r="D1083" s="3" t="s">
        <v>7312</v>
      </c>
      <c r="E1083" t="s">
        <v>1579</v>
      </c>
      <c r="F1083" s="3" t="s">
        <v>1580</v>
      </c>
      <c r="G1083" t="s">
        <v>19</v>
      </c>
      <c r="H1083" s="3" t="s">
        <v>1561</v>
      </c>
      <c r="I1083" t="s">
        <v>1540</v>
      </c>
      <c r="J1083" s="3" t="s">
        <v>1562</v>
      </c>
      <c r="K1083" s="4">
        <v>275</v>
      </c>
      <c r="L1083" s="5">
        <v>59.8</v>
      </c>
      <c r="M1083" s="6">
        <v>0</v>
      </c>
      <c r="N1083" s="7">
        <v>0</v>
      </c>
      <c r="O1083" t="s">
        <v>1563</v>
      </c>
      <c r="P1083" s="3" t="s">
        <v>1543</v>
      </c>
      <c r="Q1083" s="8">
        <v>3.9348000000000001E-2</v>
      </c>
    </row>
    <row r="1084" spans="1:17" hidden="1" x14ac:dyDescent="0.55000000000000004">
      <c r="A1084" s="3" t="s">
        <v>1518</v>
      </c>
      <c r="B1084" s="3" t="s">
        <v>7336</v>
      </c>
      <c r="C1084" t="s">
        <v>1520</v>
      </c>
      <c r="D1084" s="3" t="s">
        <v>7312</v>
      </c>
      <c r="E1084" t="s">
        <v>1579</v>
      </c>
      <c r="F1084" s="3" t="s">
        <v>1580</v>
      </c>
      <c r="G1084" t="s">
        <v>19</v>
      </c>
      <c r="H1084" s="3" t="s">
        <v>1564</v>
      </c>
      <c r="I1084" t="s">
        <v>1565</v>
      </c>
      <c r="J1084" s="3" t="s">
        <v>1551</v>
      </c>
      <c r="K1084" s="4">
        <v>52</v>
      </c>
      <c r="L1084" s="5">
        <v>11.26</v>
      </c>
      <c r="M1084" s="6">
        <v>0</v>
      </c>
      <c r="N1084" s="7">
        <v>0</v>
      </c>
      <c r="O1084" t="s">
        <v>1566</v>
      </c>
      <c r="P1084" s="3" t="s">
        <v>1567</v>
      </c>
      <c r="Q1084" s="8">
        <v>1.9130999999999999E-2</v>
      </c>
    </row>
    <row r="1085" spans="1:17" hidden="1" x14ac:dyDescent="0.55000000000000004">
      <c r="A1085" s="3" t="s">
        <v>1518</v>
      </c>
      <c r="B1085" s="3" t="s">
        <v>7336</v>
      </c>
      <c r="C1085" t="s">
        <v>1520</v>
      </c>
      <c r="D1085" s="3" t="s">
        <v>7312</v>
      </c>
      <c r="E1085" t="s">
        <v>1579</v>
      </c>
      <c r="F1085" s="3" t="s">
        <v>1580</v>
      </c>
      <c r="G1085" t="s">
        <v>19</v>
      </c>
      <c r="H1085" s="3" t="s">
        <v>1568</v>
      </c>
      <c r="I1085" t="s">
        <v>1569</v>
      </c>
      <c r="J1085" s="3" t="s">
        <v>1551</v>
      </c>
      <c r="K1085" s="4">
        <v>31</v>
      </c>
      <c r="L1085" s="5">
        <v>6.7</v>
      </c>
      <c r="M1085" s="6">
        <v>0</v>
      </c>
      <c r="N1085" s="7">
        <v>0</v>
      </c>
      <c r="O1085" t="s">
        <v>1570</v>
      </c>
      <c r="P1085" s="3" t="s">
        <v>1571</v>
      </c>
      <c r="Q1085" s="8">
        <v>1.9130999999999999E-2</v>
      </c>
    </row>
    <row r="1086" spans="1:17" hidden="1" x14ac:dyDescent="0.55000000000000004">
      <c r="A1086" s="3" t="s">
        <v>1518</v>
      </c>
      <c r="B1086" s="3" t="s">
        <v>7336</v>
      </c>
      <c r="C1086" t="s">
        <v>1520</v>
      </c>
      <c r="D1086" s="3" t="s">
        <v>7312</v>
      </c>
      <c r="E1086" t="s">
        <v>1579</v>
      </c>
      <c r="F1086" s="3" t="s">
        <v>1580</v>
      </c>
      <c r="G1086" t="s">
        <v>19</v>
      </c>
      <c r="H1086" s="3" t="s">
        <v>1572</v>
      </c>
      <c r="I1086" t="s">
        <v>1573</v>
      </c>
      <c r="J1086" s="3" t="s">
        <v>1574</v>
      </c>
      <c r="K1086" s="4">
        <v>62</v>
      </c>
      <c r="L1086" s="5">
        <v>13.59</v>
      </c>
      <c r="M1086" s="6">
        <v>0</v>
      </c>
      <c r="N1086" s="7">
        <v>0</v>
      </c>
      <c r="O1086" t="s">
        <v>1575</v>
      </c>
      <c r="P1086" s="3" t="s">
        <v>1567</v>
      </c>
      <c r="Q1086" s="8">
        <v>1.9130999999999999E-2</v>
      </c>
    </row>
    <row r="1087" spans="1:17" hidden="1" x14ac:dyDescent="0.55000000000000004">
      <c r="A1087" s="3" t="s">
        <v>1518</v>
      </c>
      <c r="B1087" s="3" t="s">
        <v>7336</v>
      </c>
      <c r="C1087" t="s">
        <v>1520</v>
      </c>
      <c r="D1087" s="3" t="s">
        <v>7312</v>
      </c>
      <c r="E1087" t="s">
        <v>1579</v>
      </c>
      <c r="F1087" s="3" t="s">
        <v>1580</v>
      </c>
      <c r="G1087" t="s">
        <v>19</v>
      </c>
      <c r="H1087" s="3" t="s">
        <v>1576</v>
      </c>
      <c r="I1087" t="s">
        <v>1577</v>
      </c>
      <c r="J1087" s="3" t="s">
        <v>1574</v>
      </c>
      <c r="K1087" s="4">
        <v>29</v>
      </c>
      <c r="L1087" s="5">
        <v>6.26</v>
      </c>
      <c r="M1087" s="6">
        <v>0</v>
      </c>
      <c r="N1087" s="7">
        <v>0</v>
      </c>
      <c r="O1087" t="s">
        <v>1578</v>
      </c>
      <c r="P1087" s="3" t="s">
        <v>1571</v>
      </c>
      <c r="Q1087" s="8">
        <v>1.9130999999999999E-2</v>
      </c>
    </row>
    <row r="1088" spans="1:17" hidden="1" x14ac:dyDescent="0.55000000000000004">
      <c r="A1088" s="3" t="s">
        <v>1518</v>
      </c>
      <c r="B1088" s="3" t="s">
        <v>7336</v>
      </c>
      <c r="C1088" t="s">
        <v>1520</v>
      </c>
      <c r="D1088" s="3" t="s">
        <v>7312</v>
      </c>
      <c r="E1088" t="s">
        <v>1579</v>
      </c>
      <c r="F1088" s="3" t="s">
        <v>1580</v>
      </c>
      <c r="G1088" t="s">
        <v>24</v>
      </c>
      <c r="H1088" s="3" t="s">
        <v>1523</v>
      </c>
      <c r="I1088" t="s">
        <v>296</v>
      </c>
      <c r="J1088" s="3" t="s">
        <v>304</v>
      </c>
      <c r="K1088" s="4">
        <v>590</v>
      </c>
      <c r="L1088" s="5">
        <v>0</v>
      </c>
      <c r="M1088" s="6">
        <v>0</v>
      </c>
      <c r="N1088" s="7">
        <v>0</v>
      </c>
      <c r="O1088" t="s">
        <v>23</v>
      </c>
      <c r="P1088" s="3" t="s">
        <v>23</v>
      </c>
      <c r="Q1088" s="8" t="s">
        <v>23</v>
      </c>
    </row>
    <row r="1089" spans="1:17" hidden="1" x14ac:dyDescent="0.55000000000000004">
      <c r="A1089" s="3" t="s">
        <v>1518</v>
      </c>
      <c r="B1089" s="3" t="s">
        <v>7336</v>
      </c>
      <c r="C1089" t="s">
        <v>1520</v>
      </c>
      <c r="D1089" s="3" t="s">
        <v>7312</v>
      </c>
      <c r="E1089" t="s">
        <v>1579</v>
      </c>
      <c r="F1089" s="3" t="s">
        <v>1580</v>
      </c>
      <c r="G1089" t="s">
        <v>24</v>
      </c>
      <c r="H1089" s="3" t="s">
        <v>1524</v>
      </c>
      <c r="I1089" t="s">
        <v>298</v>
      </c>
      <c r="J1089" s="3" t="s">
        <v>304</v>
      </c>
      <c r="K1089" s="4">
        <v>157</v>
      </c>
      <c r="L1089" s="5">
        <v>0</v>
      </c>
      <c r="M1089" s="6">
        <v>0</v>
      </c>
      <c r="N1089" s="7">
        <v>0</v>
      </c>
      <c r="O1089" t="s">
        <v>23</v>
      </c>
      <c r="P1089" s="3" t="s">
        <v>23</v>
      </c>
      <c r="Q1089" s="8" t="s">
        <v>23</v>
      </c>
    </row>
    <row r="1090" spans="1:17" hidden="1" x14ac:dyDescent="0.55000000000000004">
      <c r="A1090" s="3" t="s">
        <v>1518</v>
      </c>
      <c r="B1090" s="3" t="s">
        <v>7336</v>
      </c>
      <c r="C1090" t="s">
        <v>1520</v>
      </c>
      <c r="D1090" s="3" t="s">
        <v>7312</v>
      </c>
      <c r="E1090" t="s">
        <v>1579</v>
      </c>
      <c r="F1090" s="3" t="s">
        <v>1580</v>
      </c>
      <c r="G1090" t="s">
        <v>24</v>
      </c>
      <c r="H1090" s="3" t="s">
        <v>1525</v>
      </c>
      <c r="I1090" t="s">
        <v>300</v>
      </c>
      <c r="J1090" s="3" t="s">
        <v>304</v>
      </c>
      <c r="K1090" s="4">
        <v>523</v>
      </c>
      <c r="L1090" s="5">
        <v>0</v>
      </c>
      <c r="M1090" s="6">
        <v>0</v>
      </c>
      <c r="N1090" s="7">
        <v>0</v>
      </c>
      <c r="O1090" t="s">
        <v>23</v>
      </c>
      <c r="P1090" s="3" t="s">
        <v>23</v>
      </c>
      <c r="Q1090" s="8" t="s">
        <v>23</v>
      </c>
    </row>
    <row r="1091" spans="1:17" hidden="1" x14ac:dyDescent="0.55000000000000004">
      <c r="A1091" s="3" t="s">
        <v>1518</v>
      </c>
      <c r="B1091" s="3" t="s">
        <v>7336</v>
      </c>
      <c r="C1091" t="s">
        <v>1520</v>
      </c>
      <c r="D1091" s="3" t="s">
        <v>7312</v>
      </c>
      <c r="E1091" t="s">
        <v>1579</v>
      </c>
      <c r="F1091" s="3" t="s">
        <v>1580</v>
      </c>
      <c r="G1091" t="s">
        <v>24</v>
      </c>
      <c r="H1091" s="3" t="s">
        <v>1526</v>
      </c>
      <c r="I1091" t="s">
        <v>302</v>
      </c>
      <c r="J1091" s="3" t="s">
        <v>304</v>
      </c>
      <c r="K1091" s="4">
        <v>373</v>
      </c>
      <c r="L1091" s="5">
        <v>0</v>
      </c>
      <c r="M1091" s="6">
        <v>0</v>
      </c>
      <c r="N1091" s="7">
        <v>0</v>
      </c>
      <c r="O1091" t="s">
        <v>23</v>
      </c>
      <c r="P1091" s="3" t="s">
        <v>23</v>
      </c>
      <c r="Q1091" s="8" t="s">
        <v>23</v>
      </c>
    </row>
    <row r="1092" spans="1:17" hidden="1" x14ac:dyDescent="0.55000000000000004">
      <c r="A1092" s="3" t="s">
        <v>1518</v>
      </c>
      <c r="B1092" s="3" t="s">
        <v>7336</v>
      </c>
      <c r="C1092" t="s">
        <v>1520</v>
      </c>
      <c r="D1092" s="3" t="s">
        <v>7312</v>
      </c>
      <c r="E1092" t="s">
        <v>1579</v>
      </c>
      <c r="F1092" s="3" t="s">
        <v>1580</v>
      </c>
      <c r="G1092" t="s">
        <v>24</v>
      </c>
      <c r="H1092" s="3" t="s">
        <v>1527</v>
      </c>
      <c r="I1092" t="s">
        <v>52</v>
      </c>
      <c r="J1092" s="3" t="s">
        <v>304</v>
      </c>
      <c r="K1092" s="4">
        <v>444</v>
      </c>
      <c r="L1092" s="5">
        <v>0</v>
      </c>
      <c r="M1092" s="6">
        <v>0</v>
      </c>
      <c r="N1092" s="7">
        <v>0</v>
      </c>
      <c r="O1092" t="s">
        <v>23</v>
      </c>
      <c r="P1092" s="3" t="s">
        <v>23</v>
      </c>
      <c r="Q1092" s="8" t="s">
        <v>23</v>
      </c>
    </row>
    <row r="1093" spans="1:17" hidden="1" x14ac:dyDescent="0.55000000000000004">
      <c r="A1093" s="3" t="s">
        <v>1518</v>
      </c>
      <c r="B1093" s="3" t="s">
        <v>7336</v>
      </c>
      <c r="C1093" t="s">
        <v>1520</v>
      </c>
      <c r="D1093" s="3" t="s">
        <v>7312</v>
      </c>
      <c r="E1093" t="s">
        <v>1579</v>
      </c>
      <c r="F1093" s="3" t="s">
        <v>1580</v>
      </c>
      <c r="G1093" t="s">
        <v>24</v>
      </c>
      <c r="H1093" s="3" t="s">
        <v>1554</v>
      </c>
      <c r="I1093" t="s">
        <v>26</v>
      </c>
      <c r="J1093" s="3" t="s">
        <v>1555</v>
      </c>
      <c r="K1093" s="4">
        <v>482</v>
      </c>
      <c r="L1093" s="5">
        <v>21.91</v>
      </c>
      <c r="M1093" s="6">
        <v>0</v>
      </c>
      <c r="N1093" s="7">
        <v>0</v>
      </c>
      <c r="O1093" t="s">
        <v>1556</v>
      </c>
      <c r="P1093" s="3" t="s">
        <v>76</v>
      </c>
      <c r="Q1093" s="8">
        <v>0.17749999999999999</v>
      </c>
    </row>
    <row r="1094" spans="1:17" hidden="1" x14ac:dyDescent="0.55000000000000004">
      <c r="A1094" s="3" t="s">
        <v>1518</v>
      </c>
      <c r="B1094" s="3" t="s">
        <v>7336</v>
      </c>
      <c r="C1094" t="s">
        <v>1520</v>
      </c>
      <c r="D1094" s="3" t="s">
        <v>7312</v>
      </c>
      <c r="E1094" t="s">
        <v>1579</v>
      </c>
      <c r="F1094" s="3" t="s">
        <v>1580</v>
      </c>
      <c r="G1094" t="s">
        <v>24</v>
      </c>
      <c r="H1094" s="3" t="s">
        <v>1557</v>
      </c>
      <c r="I1094" t="s">
        <v>218</v>
      </c>
      <c r="J1094" s="3" t="s">
        <v>1555</v>
      </c>
      <c r="K1094" s="4">
        <v>50</v>
      </c>
      <c r="L1094" s="5">
        <v>2.29</v>
      </c>
      <c r="M1094" s="6">
        <v>0</v>
      </c>
      <c r="N1094" s="7">
        <v>0</v>
      </c>
      <c r="O1094" t="s">
        <v>1558</v>
      </c>
      <c r="P1094" s="3" t="s">
        <v>23</v>
      </c>
      <c r="Q1094" s="8" t="s">
        <v>23</v>
      </c>
    </row>
    <row r="1095" spans="1:17" hidden="1" x14ac:dyDescent="0.55000000000000004">
      <c r="A1095" s="3" t="s">
        <v>1518</v>
      </c>
      <c r="B1095" s="3" t="s">
        <v>7336</v>
      </c>
      <c r="C1095" t="s">
        <v>1520</v>
      </c>
      <c r="D1095" s="3" t="s">
        <v>7312</v>
      </c>
      <c r="E1095" t="s">
        <v>1579</v>
      </c>
      <c r="F1095" s="3" t="s">
        <v>1580</v>
      </c>
      <c r="G1095" t="s">
        <v>24</v>
      </c>
      <c r="H1095" s="3" t="s">
        <v>1533</v>
      </c>
      <c r="I1095" t="s">
        <v>317</v>
      </c>
      <c r="J1095" s="3" t="s">
        <v>218</v>
      </c>
      <c r="K1095" s="4">
        <v>395</v>
      </c>
      <c r="L1095" s="5">
        <v>0</v>
      </c>
      <c r="M1095" s="6">
        <v>0</v>
      </c>
      <c r="N1095" s="7">
        <v>0</v>
      </c>
      <c r="O1095" t="s">
        <v>23</v>
      </c>
      <c r="P1095" s="3" t="s">
        <v>23</v>
      </c>
      <c r="Q1095" s="8" t="s">
        <v>23</v>
      </c>
    </row>
    <row r="1096" spans="1:17" hidden="1" x14ac:dyDescent="0.55000000000000004">
      <c r="A1096" s="3" t="s">
        <v>1518</v>
      </c>
      <c r="B1096" s="3" t="s">
        <v>7336</v>
      </c>
      <c r="C1096" t="s">
        <v>1520</v>
      </c>
      <c r="D1096" s="3" t="s">
        <v>7312</v>
      </c>
      <c r="E1096" t="s">
        <v>1579</v>
      </c>
      <c r="F1096" s="3" t="s">
        <v>1580</v>
      </c>
      <c r="G1096" t="s">
        <v>24</v>
      </c>
      <c r="H1096" s="3" t="s">
        <v>1534</v>
      </c>
      <c r="I1096" t="s">
        <v>313</v>
      </c>
      <c r="J1096" s="3" t="s">
        <v>218</v>
      </c>
      <c r="K1096" s="4">
        <v>368</v>
      </c>
      <c r="L1096" s="5">
        <v>0</v>
      </c>
      <c r="M1096" s="6">
        <v>0</v>
      </c>
      <c r="N1096" s="7">
        <v>0</v>
      </c>
      <c r="O1096" t="s">
        <v>23</v>
      </c>
      <c r="P1096" s="3" t="s">
        <v>23</v>
      </c>
      <c r="Q1096" s="8" t="s">
        <v>23</v>
      </c>
    </row>
    <row r="1097" spans="1:17" hidden="1" x14ac:dyDescent="0.55000000000000004">
      <c r="A1097" s="3" t="s">
        <v>1518</v>
      </c>
      <c r="B1097" s="3" t="s">
        <v>7336</v>
      </c>
      <c r="C1097" t="s">
        <v>1520</v>
      </c>
      <c r="D1097" s="3" t="s">
        <v>7312</v>
      </c>
      <c r="E1097" t="s">
        <v>1579</v>
      </c>
      <c r="F1097" s="3" t="s">
        <v>1580</v>
      </c>
      <c r="G1097" t="s">
        <v>24</v>
      </c>
      <c r="H1097" s="3" t="s">
        <v>1535</v>
      </c>
      <c r="I1097" t="s">
        <v>315</v>
      </c>
      <c r="J1097" s="3" t="s">
        <v>218</v>
      </c>
      <c r="K1097" s="4">
        <v>600</v>
      </c>
      <c r="L1097" s="5">
        <v>0</v>
      </c>
      <c r="M1097" s="6">
        <v>0</v>
      </c>
      <c r="N1097" s="7">
        <v>0</v>
      </c>
      <c r="O1097" t="s">
        <v>23</v>
      </c>
      <c r="P1097" s="3" t="s">
        <v>23</v>
      </c>
      <c r="Q1097" s="8" t="s">
        <v>23</v>
      </c>
    </row>
    <row r="1098" spans="1:17" hidden="1" x14ac:dyDescent="0.55000000000000004">
      <c r="A1098" s="3" t="s">
        <v>1518</v>
      </c>
      <c r="B1098" s="3" t="s">
        <v>7336</v>
      </c>
      <c r="C1098" t="s">
        <v>1520</v>
      </c>
      <c r="D1098" s="3" t="s">
        <v>7312</v>
      </c>
      <c r="E1098" t="s">
        <v>1579</v>
      </c>
      <c r="F1098" s="3" t="s">
        <v>1580</v>
      </c>
      <c r="G1098" t="s">
        <v>24</v>
      </c>
      <c r="H1098" s="3" t="s">
        <v>1536</v>
      </c>
      <c r="I1098" t="s">
        <v>309</v>
      </c>
      <c r="J1098" s="3" t="s">
        <v>218</v>
      </c>
      <c r="K1098" s="4">
        <v>216</v>
      </c>
      <c r="L1098" s="5">
        <v>0</v>
      </c>
      <c r="M1098" s="6">
        <v>0</v>
      </c>
      <c r="N1098" s="7">
        <v>0</v>
      </c>
      <c r="O1098" t="s">
        <v>23</v>
      </c>
      <c r="P1098" s="3" t="s">
        <v>23</v>
      </c>
      <c r="Q1098" s="8" t="s">
        <v>23</v>
      </c>
    </row>
    <row r="1099" spans="1:17" hidden="1" x14ac:dyDescent="0.55000000000000004">
      <c r="A1099" s="3" t="s">
        <v>1518</v>
      </c>
      <c r="B1099" s="3" t="s">
        <v>7336</v>
      </c>
      <c r="C1099" t="s">
        <v>1520</v>
      </c>
      <c r="D1099" s="3" t="s">
        <v>7312</v>
      </c>
      <c r="E1099" t="s">
        <v>1579</v>
      </c>
      <c r="F1099" s="3" t="s">
        <v>1580</v>
      </c>
      <c r="G1099" t="s">
        <v>24</v>
      </c>
      <c r="H1099" s="3" t="s">
        <v>23</v>
      </c>
      <c r="I1099" t="s">
        <v>67</v>
      </c>
      <c r="J1099" s="3" t="s">
        <v>37</v>
      </c>
      <c r="K1099" s="4" t="s">
        <v>23</v>
      </c>
      <c r="L1099" s="5" t="s">
        <v>23</v>
      </c>
      <c r="M1099" s="6">
        <v>0</v>
      </c>
      <c r="N1099" s="7">
        <v>0</v>
      </c>
      <c r="O1099" t="s">
        <v>23</v>
      </c>
      <c r="P1099" s="3" t="s">
        <v>23</v>
      </c>
      <c r="Q1099" s="8" t="s">
        <v>23</v>
      </c>
    </row>
    <row r="1100" spans="1:17" hidden="1" x14ac:dyDescent="0.55000000000000004">
      <c r="A1100" s="3" t="s">
        <v>1518</v>
      </c>
      <c r="B1100" s="3" t="s">
        <v>7336</v>
      </c>
      <c r="C1100" t="s">
        <v>1520</v>
      </c>
      <c r="D1100" s="3" t="s">
        <v>7312</v>
      </c>
      <c r="E1100" t="s">
        <v>1579</v>
      </c>
      <c r="F1100" s="3" t="s">
        <v>1580</v>
      </c>
      <c r="G1100" t="s">
        <v>24</v>
      </c>
      <c r="H1100" s="3" t="s">
        <v>23</v>
      </c>
      <c r="I1100" t="s">
        <v>67</v>
      </c>
      <c r="J1100" s="3" t="s">
        <v>48</v>
      </c>
      <c r="K1100" s="4" t="s">
        <v>23</v>
      </c>
      <c r="L1100" s="5" t="s">
        <v>23</v>
      </c>
      <c r="M1100" s="6">
        <v>0</v>
      </c>
      <c r="N1100" s="7">
        <v>0</v>
      </c>
      <c r="O1100" t="s">
        <v>23</v>
      </c>
      <c r="P1100" s="3" t="s">
        <v>23</v>
      </c>
      <c r="Q1100" s="8" t="s">
        <v>23</v>
      </c>
    </row>
    <row r="1101" spans="1:17" hidden="1" x14ac:dyDescent="0.55000000000000004">
      <c r="A1101" s="3" t="s">
        <v>1518</v>
      </c>
      <c r="B1101" s="3" t="s">
        <v>7336</v>
      </c>
      <c r="C1101" t="s">
        <v>1520</v>
      </c>
      <c r="D1101" s="3" t="s">
        <v>7312</v>
      </c>
      <c r="E1101" t="s">
        <v>1581</v>
      </c>
      <c r="F1101" s="3" t="s">
        <v>1582</v>
      </c>
      <c r="G1101" t="s">
        <v>19</v>
      </c>
      <c r="H1101" s="3" t="s">
        <v>1561</v>
      </c>
      <c r="I1101" t="s">
        <v>1540</v>
      </c>
      <c r="J1101" s="3" t="s">
        <v>1562</v>
      </c>
      <c r="K1101" s="4">
        <v>275</v>
      </c>
      <c r="L1101" s="5">
        <v>59.8</v>
      </c>
      <c r="M1101" s="6">
        <v>0</v>
      </c>
      <c r="N1101" s="7">
        <v>0</v>
      </c>
      <c r="O1101" t="s">
        <v>1563</v>
      </c>
      <c r="P1101" s="3" t="s">
        <v>1543</v>
      </c>
      <c r="Q1101" s="8">
        <v>3.9348000000000001E-2</v>
      </c>
    </row>
    <row r="1102" spans="1:17" hidden="1" x14ac:dyDescent="0.55000000000000004">
      <c r="A1102" s="3" t="s">
        <v>1518</v>
      </c>
      <c r="B1102" s="3" t="s">
        <v>7336</v>
      </c>
      <c r="C1102" t="s">
        <v>1520</v>
      </c>
      <c r="D1102" s="3" t="s">
        <v>7312</v>
      </c>
      <c r="E1102" t="s">
        <v>1581</v>
      </c>
      <c r="F1102" s="3" t="s">
        <v>1582</v>
      </c>
      <c r="G1102" t="s">
        <v>19</v>
      </c>
      <c r="H1102" s="3" t="s">
        <v>1564</v>
      </c>
      <c r="I1102" t="s">
        <v>1565</v>
      </c>
      <c r="J1102" s="3" t="s">
        <v>1551</v>
      </c>
      <c r="K1102" s="4">
        <v>52</v>
      </c>
      <c r="L1102" s="5">
        <v>11.26</v>
      </c>
      <c r="M1102" s="6">
        <v>0</v>
      </c>
      <c r="N1102" s="7">
        <v>0</v>
      </c>
      <c r="O1102" t="s">
        <v>1566</v>
      </c>
      <c r="P1102" s="3" t="s">
        <v>1567</v>
      </c>
      <c r="Q1102" s="8">
        <v>1.9130999999999999E-2</v>
      </c>
    </row>
    <row r="1103" spans="1:17" hidden="1" x14ac:dyDescent="0.55000000000000004">
      <c r="A1103" s="3" t="s">
        <v>1518</v>
      </c>
      <c r="B1103" s="3" t="s">
        <v>7336</v>
      </c>
      <c r="C1103" t="s">
        <v>1520</v>
      </c>
      <c r="D1103" s="3" t="s">
        <v>7312</v>
      </c>
      <c r="E1103" t="s">
        <v>1581</v>
      </c>
      <c r="F1103" s="3" t="s">
        <v>1582</v>
      </c>
      <c r="G1103" t="s">
        <v>19</v>
      </c>
      <c r="H1103" s="3" t="s">
        <v>1568</v>
      </c>
      <c r="I1103" t="s">
        <v>1569</v>
      </c>
      <c r="J1103" s="3" t="s">
        <v>1551</v>
      </c>
      <c r="K1103" s="4">
        <v>31</v>
      </c>
      <c r="L1103" s="5">
        <v>6.7</v>
      </c>
      <c r="M1103" s="6">
        <v>0</v>
      </c>
      <c r="N1103" s="7">
        <v>0</v>
      </c>
      <c r="O1103" t="s">
        <v>1570</v>
      </c>
      <c r="P1103" s="3" t="s">
        <v>1571</v>
      </c>
      <c r="Q1103" s="8">
        <v>1.9130999999999999E-2</v>
      </c>
    </row>
    <row r="1104" spans="1:17" hidden="1" x14ac:dyDescent="0.55000000000000004">
      <c r="A1104" s="3" t="s">
        <v>1518</v>
      </c>
      <c r="B1104" s="3" t="s">
        <v>7336</v>
      </c>
      <c r="C1104" t="s">
        <v>1520</v>
      </c>
      <c r="D1104" s="3" t="s">
        <v>7312</v>
      </c>
      <c r="E1104" t="s">
        <v>1581</v>
      </c>
      <c r="F1104" s="3" t="s">
        <v>1582</v>
      </c>
      <c r="G1104" t="s">
        <v>19</v>
      </c>
      <c r="H1104" s="3" t="s">
        <v>1572</v>
      </c>
      <c r="I1104" t="s">
        <v>1573</v>
      </c>
      <c r="J1104" s="3" t="s">
        <v>1574</v>
      </c>
      <c r="K1104" s="4">
        <v>62</v>
      </c>
      <c r="L1104" s="5">
        <v>13.59</v>
      </c>
      <c r="M1104" s="6">
        <v>0</v>
      </c>
      <c r="N1104" s="7">
        <v>0</v>
      </c>
      <c r="O1104" t="s">
        <v>1575</v>
      </c>
      <c r="P1104" s="3" t="s">
        <v>1567</v>
      </c>
      <c r="Q1104" s="8">
        <v>1.9130999999999999E-2</v>
      </c>
    </row>
    <row r="1105" spans="1:17" hidden="1" x14ac:dyDescent="0.55000000000000004">
      <c r="A1105" s="3" t="s">
        <v>1518</v>
      </c>
      <c r="B1105" s="3" t="s">
        <v>7336</v>
      </c>
      <c r="C1105" t="s">
        <v>1520</v>
      </c>
      <c r="D1105" s="3" t="s">
        <v>7312</v>
      </c>
      <c r="E1105" t="s">
        <v>1581</v>
      </c>
      <c r="F1105" s="3" t="s">
        <v>1582</v>
      </c>
      <c r="G1105" t="s">
        <v>19</v>
      </c>
      <c r="H1105" s="3" t="s">
        <v>1576</v>
      </c>
      <c r="I1105" t="s">
        <v>1577</v>
      </c>
      <c r="J1105" s="3" t="s">
        <v>1574</v>
      </c>
      <c r="K1105" s="4">
        <v>29</v>
      </c>
      <c r="L1105" s="5">
        <v>6.26</v>
      </c>
      <c r="M1105" s="6">
        <v>0</v>
      </c>
      <c r="N1105" s="7">
        <v>0</v>
      </c>
      <c r="O1105" t="s">
        <v>1578</v>
      </c>
      <c r="P1105" s="3" t="s">
        <v>1571</v>
      </c>
      <c r="Q1105" s="8">
        <v>1.9130999999999999E-2</v>
      </c>
    </row>
    <row r="1106" spans="1:17" hidden="1" x14ac:dyDescent="0.55000000000000004">
      <c r="A1106" s="3" t="s">
        <v>1518</v>
      </c>
      <c r="B1106" s="3" t="s">
        <v>7336</v>
      </c>
      <c r="C1106" t="s">
        <v>1520</v>
      </c>
      <c r="D1106" s="3" t="s">
        <v>7312</v>
      </c>
      <c r="E1106" t="s">
        <v>1581</v>
      </c>
      <c r="F1106" s="3" t="s">
        <v>1582</v>
      </c>
      <c r="G1106" t="s">
        <v>24</v>
      </c>
      <c r="H1106" s="3" t="s">
        <v>1523</v>
      </c>
      <c r="I1106" t="s">
        <v>296</v>
      </c>
      <c r="J1106" s="3" t="s">
        <v>304</v>
      </c>
      <c r="K1106" s="4">
        <v>590</v>
      </c>
      <c r="L1106" s="5">
        <v>0</v>
      </c>
      <c r="M1106" s="6">
        <v>0</v>
      </c>
      <c r="N1106" s="7">
        <v>0</v>
      </c>
      <c r="O1106" t="s">
        <v>23</v>
      </c>
      <c r="P1106" s="3" t="s">
        <v>23</v>
      </c>
      <c r="Q1106" s="8" t="s">
        <v>23</v>
      </c>
    </row>
    <row r="1107" spans="1:17" hidden="1" x14ac:dyDescent="0.55000000000000004">
      <c r="A1107" s="3" t="s">
        <v>1518</v>
      </c>
      <c r="B1107" s="3" t="s">
        <v>7336</v>
      </c>
      <c r="C1107" t="s">
        <v>1520</v>
      </c>
      <c r="D1107" s="3" t="s">
        <v>7312</v>
      </c>
      <c r="E1107" t="s">
        <v>1581</v>
      </c>
      <c r="F1107" s="3" t="s">
        <v>1582</v>
      </c>
      <c r="G1107" t="s">
        <v>24</v>
      </c>
      <c r="H1107" s="3" t="s">
        <v>1524</v>
      </c>
      <c r="I1107" t="s">
        <v>298</v>
      </c>
      <c r="J1107" s="3" t="s">
        <v>304</v>
      </c>
      <c r="K1107" s="4">
        <v>157</v>
      </c>
      <c r="L1107" s="5">
        <v>0</v>
      </c>
      <c r="M1107" s="6">
        <v>0</v>
      </c>
      <c r="N1107" s="7">
        <v>0</v>
      </c>
      <c r="O1107" t="s">
        <v>23</v>
      </c>
      <c r="P1107" s="3" t="s">
        <v>23</v>
      </c>
      <c r="Q1107" s="8" t="s">
        <v>23</v>
      </c>
    </row>
    <row r="1108" spans="1:17" hidden="1" x14ac:dyDescent="0.55000000000000004">
      <c r="A1108" s="3" t="s">
        <v>1518</v>
      </c>
      <c r="B1108" s="3" t="s">
        <v>7336</v>
      </c>
      <c r="C1108" t="s">
        <v>1520</v>
      </c>
      <c r="D1108" s="3" t="s">
        <v>7312</v>
      </c>
      <c r="E1108" t="s">
        <v>1581</v>
      </c>
      <c r="F1108" s="3" t="s">
        <v>1582</v>
      </c>
      <c r="G1108" t="s">
        <v>24</v>
      </c>
      <c r="H1108" s="3" t="s">
        <v>1525</v>
      </c>
      <c r="I1108" t="s">
        <v>300</v>
      </c>
      <c r="J1108" s="3" t="s">
        <v>304</v>
      </c>
      <c r="K1108" s="4">
        <v>523</v>
      </c>
      <c r="L1108" s="5">
        <v>0</v>
      </c>
      <c r="M1108" s="6">
        <v>0</v>
      </c>
      <c r="N1108" s="7">
        <v>0</v>
      </c>
      <c r="O1108" t="s">
        <v>23</v>
      </c>
      <c r="P1108" s="3" t="s">
        <v>23</v>
      </c>
      <c r="Q1108" s="8" t="s">
        <v>23</v>
      </c>
    </row>
    <row r="1109" spans="1:17" hidden="1" x14ac:dyDescent="0.55000000000000004">
      <c r="A1109" s="3" t="s">
        <v>1518</v>
      </c>
      <c r="B1109" s="3" t="s">
        <v>7336</v>
      </c>
      <c r="C1109" t="s">
        <v>1520</v>
      </c>
      <c r="D1109" s="3" t="s">
        <v>7312</v>
      </c>
      <c r="E1109" t="s">
        <v>1581</v>
      </c>
      <c r="F1109" s="3" t="s">
        <v>1582</v>
      </c>
      <c r="G1109" t="s">
        <v>24</v>
      </c>
      <c r="H1109" s="3" t="s">
        <v>1526</v>
      </c>
      <c r="I1109" t="s">
        <v>302</v>
      </c>
      <c r="J1109" s="3" t="s">
        <v>304</v>
      </c>
      <c r="K1109" s="4">
        <v>373</v>
      </c>
      <c r="L1109" s="5">
        <v>0</v>
      </c>
      <c r="M1109" s="6">
        <v>0</v>
      </c>
      <c r="N1109" s="7">
        <v>0</v>
      </c>
      <c r="O1109" t="s">
        <v>23</v>
      </c>
      <c r="P1109" s="3" t="s">
        <v>23</v>
      </c>
      <c r="Q1109" s="8" t="s">
        <v>23</v>
      </c>
    </row>
    <row r="1110" spans="1:17" hidden="1" x14ac:dyDescent="0.55000000000000004">
      <c r="A1110" s="3" t="s">
        <v>1518</v>
      </c>
      <c r="B1110" s="3" t="s">
        <v>7336</v>
      </c>
      <c r="C1110" t="s">
        <v>1520</v>
      </c>
      <c r="D1110" s="3" t="s">
        <v>7312</v>
      </c>
      <c r="E1110" t="s">
        <v>1581</v>
      </c>
      <c r="F1110" s="3" t="s">
        <v>1582</v>
      </c>
      <c r="G1110" t="s">
        <v>24</v>
      </c>
      <c r="H1110" s="3" t="s">
        <v>1527</v>
      </c>
      <c r="I1110" t="s">
        <v>52</v>
      </c>
      <c r="J1110" s="3" t="s">
        <v>304</v>
      </c>
      <c r="K1110" s="4">
        <v>444</v>
      </c>
      <c r="L1110" s="5">
        <v>0</v>
      </c>
      <c r="M1110" s="6">
        <v>0</v>
      </c>
      <c r="N1110" s="7">
        <v>0</v>
      </c>
      <c r="O1110" t="s">
        <v>23</v>
      </c>
      <c r="P1110" s="3" t="s">
        <v>23</v>
      </c>
      <c r="Q1110" s="8" t="s">
        <v>23</v>
      </c>
    </row>
    <row r="1111" spans="1:17" hidden="1" x14ac:dyDescent="0.55000000000000004">
      <c r="A1111" s="3" t="s">
        <v>1518</v>
      </c>
      <c r="B1111" s="3" t="s">
        <v>7336</v>
      </c>
      <c r="C1111" t="s">
        <v>1520</v>
      </c>
      <c r="D1111" s="3" t="s">
        <v>7312</v>
      </c>
      <c r="E1111" t="s">
        <v>1581</v>
      </c>
      <c r="F1111" s="3" t="s">
        <v>1582</v>
      </c>
      <c r="G1111" t="s">
        <v>24</v>
      </c>
      <c r="H1111" s="3" t="s">
        <v>1554</v>
      </c>
      <c r="I1111" t="s">
        <v>26</v>
      </c>
      <c r="J1111" s="3" t="s">
        <v>1555</v>
      </c>
      <c r="K1111" s="4">
        <v>482</v>
      </c>
      <c r="L1111" s="5">
        <v>21.91</v>
      </c>
      <c r="M1111" s="6">
        <v>0</v>
      </c>
      <c r="N1111" s="7">
        <v>0</v>
      </c>
      <c r="O1111" t="s">
        <v>1556</v>
      </c>
      <c r="P1111" s="3" t="s">
        <v>76</v>
      </c>
      <c r="Q1111" s="8">
        <v>0.17749999999999999</v>
      </c>
    </row>
    <row r="1112" spans="1:17" hidden="1" x14ac:dyDescent="0.55000000000000004">
      <c r="A1112" s="3" t="s">
        <v>1518</v>
      </c>
      <c r="B1112" s="3" t="s">
        <v>7336</v>
      </c>
      <c r="C1112" t="s">
        <v>1520</v>
      </c>
      <c r="D1112" s="3" t="s">
        <v>7312</v>
      </c>
      <c r="E1112" t="s">
        <v>1581</v>
      </c>
      <c r="F1112" s="3" t="s">
        <v>1582</v>
      </c>
      <c r="G1112" t="s">
        <v>24</v>
      </c>
      <c r="H1112" s="3" t="s">
        <v>1557</v>
      </c>
      <c r="I1112" t="s">
        <v>218</v>
      </c>
      <c r="J1112" s="3" t="s">
        <v>1555</v>
      </c>
      <c r="K1112" s="4">
        <v>50</v>
      </c>
      <c r="L1112" s="5">
        <v>2.29</v>
      </c>
      <c r="M1112" s="6">
        <v>0</v>
      </c>
      <c r="N1112" s="7">
        <v>0</v>
      </c>
      <c r="O1112" t="s">
        <v>1558</v>
      </c>
      <c r="P1112" s="3" t="s">
        <v>23</v>
      </c>
      <c r="Q1112" s="8" t="s">
        <v>23</v>
      </c>
    </row>
    <row r="1113" spans="1:17" hidden="1" x14ac:dyDescent="0.55000000000000004">
      <c r="A1113" s="3" t="s">
        <v>1518</v>
      </c>
      <c r="B1113" s="3" t="s">
        <v>7336</v>
      </c>
      <c r="C1113" t="s">
        <v>1520</v>
      </c>
      <c r="D1113" s="3" t="s">
        <v>7312</v>
      </c>
      <c r="E1113" t="s">
        <v>1581</v>
      </c>
      <c r="F1113" s="3" t="s">
        <v>1582</v>
      </c>
      <c r="G1113" t="s">
        <v>24</v>
      </c>
      <c r="H1113" s="3" t="s">
        <v>1533</v>
      </c>
      <c r="I1113" t="s">
        <v>317</v>
      </c>
      <c r="J1113" s="3" t="s">
        <v>218</v>
      </c>
      <c r="K1113" s="4">
        <v>395</v>
      </c>
      <c r="L1113" s="5">
        <v>0</v>
      </c>
      <c r="M1113" s="6">
        <v>0</v>
      </c>
      <c r="N1113" s="7">
        <v>0</v>
      </c>
      <c r="O1113" t="s">
        <v>23</v>
      </c>
      <c r="P1113" s="3" t="s">
        <v>23</v>
      </c>
      <c r="Q1113" s="8" t="s">
        <v>23</v>
      </c>
    </row>
    <row r="1114" spans="1:17" hidden="1" x14ac:dyDescent="0.55000000000000004">
      <c r="A1114" s="3" t="s">
        <v>1518</v>
      </c>
      <c r="B1114" s="3" t="s">
        <v>7336</v>
      </c>
      <c r="C1114" t="s">
        <v>1520</v>
      </c>
      <c r="D1114" s="3" t="s">
        <v>7312</v>
      </c>
      <c r="E1114" t="s">
        <v>1581</v>
      </c>
      <c r="F1114" s="3" t="s">
        <v>1582</v>
      </c>
      <c r="G1114" t="s">
        <v>24</v>
      </c>
      <c r="H1114" s="3" t="s">
        <v>1534</v>
      </c>
      <c r="I1114" t="s">
        <v>313</v>
      </c>
      <c r="J1114" s="3" t="s">
        <v>218</v>
      </c>
      <c r="K1114" s="4">
        <v>368</v>
      </c>
      <c r="L1114" s="5">
        <v>0</v>
      </c>
      <c r="M1114" s="6">
        <v>0</v>
      </c>
      <c r="N1114" s="7">
        <v>0</v>
      </c>
      <c r="O1114" t="s">
        <v>23</v>
      </c>
      <c r="P1114" s="3" t="s">
        <v>23</v>
      </c>
      <c r="Q1114" s="8" t="s">
        <v>23</v>
      </c>
    </row>
    <row r="1115" spans="1:17" hidden="1" x14ac:dyDescent="0.55000000000000004">
      <c r="A1115" s="3" t="s">
        <v>1518</v>
      </c>
      <c r="B1115" s="3" t="s">
        <v>7336</v>
      </c>
      <c r="C1115" t="s">
        <v>1520</v>
      </c>
      <c r="D1115" s="3" t="s">
        <v>7312</v>
      </c>
      <c r="E1115" t="s">
        <v>1581</v>
      </c>
      <c r="F1115" s="3" t="s">
        <v>1582</v>
      </c>
      <c r="G1115" t="s">
        <v>24</v>
      </c>
      <c r="H1115" s="3" t="s">
        <v>1535</v>
      </c>
      <c r="I1115" t="s">
        <v>315</v>
      </c>
      <c r="J1115" s="3" t="s">
        <v>218</v>
      </c>
      <c r="K1115" s="4">
        <v>600</v>
      </c>
      <c r="L1115" s="5">
        <v>0</v>
      </c>
      <c r="M1115" s="6">
        <v>0</v>
      </c>
      <c r="N1115" s="7">
        <v>0</v>
      </c>
      <c r="O1115" t="s">
        <v>23</v>
      </c>
      <c r="P1115" s="3" t="s">
        <v>23</v>
      </c>
      <c r="Q1115" s="8" t="s">
        <v>23</v>
      </c>
    </row>
    <row r="1116" spans="1:17" hidden="1" x14ac:dyDescent="0.55000000000000004">
      <c r="A1116" s="3" t="s">
        <v>1518</v>
      </c>
      <c r="B1116" s="3" t="s">
        <v>7336</v>
      </c>
      <c r="C1116" t="s">
        <v>1520</v>
      </c>
      <c r="D1116" s="3" t="s">
        <v>7312</v>
      </c>
      <c r="E1116" t="s">
        <v>1581</v>
      </c>
      <c r="F1116" s="3" t="s">
        <v>1582</v>
      </c>
      <c r="G1116" t="s">
        <v>24</v>
      </c>
      <c r="H1116" s="3" t="s">
        <v>1536</v>
      </c>
      <c r="I1116" t="s">
        <v>309</v>
      </c>
      <c r="J1116" s="3" t="s">
        <v>218</v>
      </c>
      <c r="K1116" s="4">
        <v>216</v>
      </c>
      <c r="L1116" s="5">
        <v>0</v>
      </c>
      <c r="M1116" s="6">
        <v>0</v>
      </c>
      <c r="N1116" s="7">
        <v>0</v>
      </c>
      <c r="O1116" t="s">
        <v>23</v>
      </c>
      <c r="P1116" s="3" t="s">
        <v>23</v>
      </c>
      <c r="Q1116" s="8" t="s">
        <v>23</v>
      </c>
    </row>
    <row r="1117" spans="1:17" hidden="1" x14ac:dyDescent="0.55000000000000004">
      <c r="A1117" s="3" t="s">
        <v>1518</v>
      </c>
      <c r="B1117" s="3" t="s">
        <v>7336</v>
      </c>
      <c r="C1117" t="s">
        <v>1520</v>
      </c>
      <c r="D1117" s="3" t="s">
        <v>7312</v>
      </c>
      <c r="E1117" t="s">
        <v>1581</v>
      </c>
      <c r="F1117" s="3" t="s">
        <v>1582</v>
      </c>
      <c r="G1117" t="s">
        <v>24</v>
      </c>
      <c r="H1117" s="3" t="s">
        <v>23</v>
      </c>
      <c r="I1117" t="s">
        <v>67</v>
      </c>
      <c r="J1117" s="3" t="s">
        <v>37</v>
      </c>
      <c r="K1117" s="4" t="s">
        <v>23</v>
      </c>
      <c r="L1117" s="5" t="s">
        <v>23</v>
      </c>
      <c r="M1117" s="6">
        <v>0</v>
      </c>
      <c r="N1117" s="7">
        <v>0</v>
      </c>
      <c r="O1117" t="s">
        <v>23</v>
      </c>
      <c r="P1117" s="3" t="s">
        <v>23</v>
      </c>
      <c r="Q1117" s="8" t="s">
        <v>23</v>
      </c>
    </row>
    <row r="1118" spans="1:17" hidden="1" x14ac:dyDescent="0.55000000000000004">
      <c r="A1118" s="3" t="s">
        <v>1518</v>
      </c>
      <c r="B1118" s="3" t="s">
        <v>7336</v>
      </c>
      <c r="C1118" t="s">
        <v>1520</v>
      </c>
      <c r="D1118" s="3" t="s">
        <v>7312</v>
      </c>
      <c r="E1118" t="s">
        <v>1581</v>
      </c>
      <c r="F1118" s="3" t="s">
        <v>1582</v>
      </c>
      <c r="G1118" t="s">
        <v>24</v>
      </c>
      <c r="H1118" s="3" t="s">
        <v>23</v>
      </c>
      <c r="I1118" t="s">
        <v>67</v>
      </c>
      <c r="J1118" s="3" t="s">
        <v>48</v>
      </c>
      <c r="K1118" s="4" t="s">
        <v>23</v>
      </c>
      <c r="L1118" s="5" t="s">
        <v>23</v>
      </c>
      <c r="M1118" s="6">
        <v>0</v>
      </c>
      <c r="N1118" s="7">
        <v>0</v>
      </c>
      <c r="O1118" t="s">
        <v>23</v>
      </c>
      <c r="P1118" s="3" t="s">
        <v>23</v>
      </c>
      <c r="Q1118" s="8" t="s">
        <v>23</v>
      </c>
    </row>
    <row r="1119" spans="1:17" hidden="1" x14ac:dyDescent="0.55000000000000004">
      <c r="A1119" s="3" t="s">
        <v>1518</v>
      </c>
      <c r="B1119" s="3" t="s">
        <v>7336</v>
      </c>
      <c r="C1119" t="s">
        <v>1520</v>
      </c>
      <c r="D1119" s="3" t="s">
        <v>7312</v>
      </c>
      <c r="E1119" t="s">
        <v>1583</v>
      </c>
      <c r="F1119" s="3" t="s">
        <v>1584</v>
      </c>
      <c r="G1119" t="s">
        <v>19</v>
      </c>
      <c r="H1119" s="3" t="s">
        <v>1561</v>
      </c>
      <c r="I1119" t="s">
        <v>1540</v>
      </c>
      <c r="J1119" s="3" t="s">
        <v>1562</v>
      </c>
      <c r="K1119" s="4">
        <v>275</v>
      </c>
      <c r="L1119" s="5">
        <v>59.8</v>
      </c>
      <c r="M1119" s="6">
        <v>0</v>
      </c>
      <c r="N1119" s="7">
        <v>0</v>
      </c>
      <c r="O1119" t="s">
        <v>1563</v>
      </c>
      <c r="P1119" s="3" t="s">
        <v>1543</v>
      </c>
      <c r="Q1119" s="8">
        <v>3.9348000000000001E-2</v>
      </c>
    </row>
    <row r="1120" spans="1:17" hidden="1" x14ac:dyDescent="0.55000000000000004">
      <c r="A1120" s="3" t="s">
        <v>1518</v>
      </c>
      <c r="B1120" s="3" t="s">
        <v>7336</v>
      </c>
      <c r="C1120" t="s">
        <v>1520</v>
      </c>
      <c r="D1120" s="3" t="s">
        <v>7312</v>
      </c>
      <c r="E1120" t="s">
        <v>1583</v>
      </c>
      <c r="F1120" s="3" t="s">
        <v>1584</v>
      </c>
      <c r="G1120" t="s">
        <v>19</v>
      </c>
      <c r="H1120" s="3" t="s">
        <v>1564</v>
      </c>
      <c r="I1120" t="s">
        <v>1565</v>
      </c>
      <c r="J1120" s="3" t="s">
        <v>1551</v>
      </c>
      <c r="K1120" s="4">
        <v>52</v>
      </c>
      <c r="L1120" s="5">
        <v>11.26</v>
      </c>
      <c r="M1120" s="6">
        <v>0</v>
      </c>
      <c r="N1120" s="7">
        <v>0</v>
      </c>
      <c r="O1120" t="s">
        <v>1566</v>
      </c>
      <c r="P1120" s="3" t="s">
        <v>1567</v>
      </c>
      <c r="Q1120" s="8">
        <v>1.9130999999999999E-2</v>
      </c>
    </row>
    <row r="1121" spans="1:17" hidden="1" x14ac:dyDescent="0.55000000000000004">
      <c r="A1121" s="3" t="s">
        <v>1518</v>
      </c>
      <c r="B1121" s="3" t="s">
        <v>7336</v>
      </c>
      <c r="C1121" t="s">
        <v>1520</v>
      </c>
      <c r="D1121" s="3" t="s">
        <v>7312</v>
      </c>
      <c r="E1121" t="s">
        <v>1583</v>
      </c>
      <c r="F1121" s="3" t="s">
        <v>1584</v>
      </c>
      <c r="G1121" t="s">
        <v>19</v>
      </c>
      <c r="H1121" s="3" t="s">
        <v>1568</v>
      </c>
      <c r="I1121" t="s">
        <v>1569</v>
      </c>
      <c r="J1121" s="3" t="s">
        <v>1551</v>
      </c>
      <c r="K1121" s="4">
        <v>31</v>
      </c>
      <c r="L1121" s="5">
        <v>6.7</v>
      </c>
      <c r="M1121" s="6">
        <v>0</v>
      </c>
      <c r="N1121" s="7">
        <v>0</v>
      </c>
      <c r="O1121" t="s">
        <v>1570</v>
      </c>
      <c r="P1121" s="3" t="s">
        <v>1571</v>
      </c>
      <c r="Q1121" s="8">
        <v>1.9130999999999999E-2</v>
      </c>
    </row>
    <row r="1122" spans="1:17" hidden="1" x14ac:dyDescent="0.55000000000000004">
      <c r="A1122" s="3" t="s">
        <v>1518</v>
      </c>
      <c r="B1122" s="3" t="s">
        <v>7336</v>
      </c>
      <c r="C1122" t="s">
        <v>1520</v>
      </c>
      <c r="D1122" s="3" t="s">
        <v>7312</v>
      </c>
      <c r="E1122" t="s">
        <v>1583</v>
      </c>
      <c r="F1122" s="3" t="s">
        <v>1584</v>
      </c>
      <c r="G1122" t="s">
        <v>19</v>
      </c>
      <c r="H1122" s="3" t="s">
        <v>1572</v>
      </c>
      <c r="I1122" t="s">
        <v>1573</v>
      </c>
      <c r="J1122" s="3" t="s">
        <v>1574</v>
      </c>
      <c r="K1122" s="4">
        <v>62</v>
      </c>
      <c r="L1122" s="5">
        <v>13.59</v>
      </c>
      <c r="M1122" s="6">
        <v>0</v>
      </c>
      <c r="N1122" s="7">
        <v>0</v>
      </c>
      <c r="O1122" t="s">
        <v>1575</v>
      </c>
      <c r="P1122" s="3" t="s">
        <v>1567</v>
      </c>
      <c r="Q1122" s="8">
        <v>1.9130999999999999E-2</v>
      </c>
    </row>
    <row r="1123" spans="1:17" hidden="1" x14ac:dyDescent="0.55000000000000004">
      <c r="A1123" s="3" t="s">
        <v>1518</v>
      </c>
      <c r="B1123" s="3" t="s">
        <v>7336</v>
      </c>
      <c r="C1123" t="s">
        <v>1520</v>
      </c>
      <c r="D1123" s="3" t="s">
        <v>7312</v>
      </c>
      <c r="E1123" t="s">
        <v>1583</v>
      </c>
      <c r="F1123" s="3" t="s">
        <v>1584</v>
      </c>
      <c r="G1123" t="s">
        <v>19</v>
      </c>
      <c r="H1123" s="3" t="s">
        <v>1576</v>
      </c>
      <c r="I1123" t="s">
        <v>1577</v>
      </c>
      <c r="J1123" s="3" t="s">
        <v>1574</v>
      </c>
      <c r="K1123" s="4">
        <v>29</v>
      </c>
      <c r="L1123" s="5">
        <v>6.26</v>
      </c>
      <c r="M1123" s="6">
        <v>0</v>
      </c>
      <c r="N1123" s="7">
        <v>0</v>
      </c>
      <c r="O1123" t="s">
        <v>1578</v>
      </c>
      <c r="P1123" s="3" t="s">
        <v>1571</v>
      </c>
      <c r="Q1123" s="8">
        <v>1.9130999999999999E-2</v>
      </c>
    </row>
    <row r="1124" spans="1:17" hidden="1" x14ac:dyDescent="0.55000000000000004">
      <c r="A1124" s="3" t="s">
        <v>1518</v>
      </c>
      <c r="B1124" s="3" t="s">
        <v>7336</v>
      </c>
      <c r="C1124" t="s">
        <v>1520</v>
      </c>
      <c r="D1124" s="3" t="s">
        <v>7312</v>
      </c>
      <c r="E1124" t="s">
        <v>1583</v>
      </c>
      <c r="F1124" s="3" t="s">
        <v>1584</v>
      </c>
      <c r="G1124" t="s">
        <v>24</v>
      </c>
      <c r="H1124" s="3" t="s">
        <v>1523</v>
      </c>
      <c r="I1124" t="s">
        <v>296</v>
      </c>
      <c r="J1124" s="3" t="s">
        <v>304</v>
      </c>
      <c r="K1124" s="4">
        <v>590</v>
      </c>
      <c r="L1124" s="5">
        <v>0</v>
      </c>
      <c r="M1124" s="6">
        <v>0</v>
      </c>
      <c r="N1124" s="7">
        <v>0</v>
      </c>
      <c r="O1124" t="s">
        <v>23</v>
      </c>
      <c r="P1124" s="3" t="s">
        <v>23</v>
      </c>
      <c r="Q1124" s="8" t="s">
        <v>23</v>
      </c>
    </row>
    <row r="1125" spans="1:17" hidden="1" x14ac:dyDescent="0.55000000000000004">
      <c r="A1125" s="3" t="s">
        <v>1518</v>
      </c>
      <c r="B1125" s="3" t="s">
        <v>7336</v>
      </c>
      <c r="C1125" t="s">
        <v>1520</v>
      </c>
      <c r="D1125" s="3" t="s">
        <v>7312</v>
      </c>
      <c r="E1125" t="s">
        <v>1583</v>
      </c>
      <c r="F1125" s="3" t="s">
        <v>1584</v>
      </c>
      <c r="G1125" t="s">
        <v>24</v>
      </c>
      <c r="H1125" s="3" t="s">
        <v>1524</v>
      </c>
      <c r="I1125" t="s">
        <v>298</v>
      </c>
      <c r="J1125" s="3" t="s">
        <v>304</v>
      </c>
      <c r="K1125" s="4">
        <v>157</v>
      </c>
      <c r="L1125" s="5">
        <v>0</v>
      </c>
      <c r="M1125" s="6">
        <v>0</v>
      </c>
      <c r="N1125" s="7">
        <v>0</v>
      </c>
      <c r="O1125" t="s">
        <v>23</v>
      </c>
      <c r="P1125" s="3" t="s">
        <v>23</v>
      </c>
      <c r="Q1125" s="8" t="s">
        <v>23</v>
      </c>
    </row>
    <row r="1126" spans="1:17" hidden="1" x14ac:dyDescent="0.55000000000000004">
      <c r="A1126" s="3" t="s">
        <v>1518</v>
      </c>
      <c r="B1126" s="3" t="s">
        <v>7336</v>
      </c>
      <c r="C1126" t="s">
        <v>1520</v>
      </c>
      <c r="D1126" s="3" t="s">
        <v>7312</v>
      </c>
      <c r="E1126" t="s">
        <v>1583</v>
      </c>
      <c r="F1126" s="3" t="s">
        <v>1584</v>
      </c>
      <c r="G1126" t="s">
        <v>24</v>
      </c>
      <c r="H1126" s="3" t="s">
        <v>1525</v>
      </c>
      <c r="I1126" t="s">
        <v>300</v>
      </c>
      <c r="J1126" s="3" t="s">
        <v>304</v>
      </c>
      <c r="K1126" s="4">
        <v>523</v>
      </c>
      <c r="L1126" s="5">
        <v>0</v>
      </c>
      <c r="M1126" s="6">
        <v>0</v>
      </c>
      <c r="N1126" s="7">
        <v>0</v>
      </c>
      <c r="O1126" t="s">
        <v>23</v>
      </c>
      <c r="P1126" s="3" t="s">
        <v>23</v>
      </c>
      <c r="Q1126" s="8" t="s">
        <v>23</v>
      </c>
    </row>
    <row r="1127" spans="1:17" hidden="1" x14ac:dyDescent="0.55000000000000004">
      <c r="A1127" s="3" t="s">
        <v>1518</v>
      </c>
      <c r="B1127" s="3" t="s">
        <v>7336</v>
      </c>
      <c r="C1127" t="s">
        <v>1520</v>
      </c>
      <c r="D1127" s="3" t="s">
        <v>7312</v>
      </c>
      <c r="E1127" t="s">
        <v>1583</v>
      </c>
      <c r="F1127" s="3" t="s">
        <v>1584</v>
      </c>
      <c r="G1127" t="s">
        <v>24</v>
      </c>
      <c r="H1127" s="3" t="s">
        <v>1526</v>
      </c>
      <c r="I1127" t="s">
        <v>302</v>
      </c>
      <c r="J1127" s="3" t="s">
        <v>304</v>
      </c>
      <c r="K1127" s="4">
        <v>373</v>
      </c>
      <c r="L1127" s="5">
        <v>0</v>
      </c>
      <c r="M1127" s="6">
        <v>0</v>
      </c>
      <c r="N1127" s="7">
        <v>0</v>
      </c>
      <c r="O1127" t="s">
        <v>23</v>
      </c>
      <c r="P1127" s="3" t="s">
        <v>23</v>
      </c>
      <c r="Q1127" s="8" t="s">
        <v>23</v>
      </c>
    </row>
    <row r="1128" spans="1:17" hidden="1" x14ac:dyDescent="0.55000000000000004">
      <c r="A1128" s="3" t="s">
        <v>1518</v>
      </c>
      <c r="B1128" s="3" t="s">
        <v>7336</v>
      </c>
      <c r="C1128" t="s">
        <v>1520</v>
      </c>
      <c r="D1128" s="3" t="s">
        <v>7312</v>
      </c>
      <c r="E1128" t="s">
        <v>1583</v>
      </c>
      <c r="F1128" s="3" t="s">
        <v>1584</v>
      </c>
      <c r="G1128" t="s">
        <v>24</v>
      </c>
      <c r="H1128" s="3" t="s">
        <v>1527</v>
      </c>
      <c r="I1128" t="s">
        <v>52</v>
      </c>
      <c r="J1128" s="3" t="s">
        <v>304</v>
      </c>
      <c r="K1128" s="4">
        <v>444</v>
      </c>
      <c r="L1128" s="5">
        <v>0</v>
      </c>
      <c r="M1128" s="6">
        <v>0</v>
      </c>
      <c r="N1128" s="7">
        <v>0</v>
      </c>
      <c r="O1128" t="s">
        <v>23</v>
      </c>
      <c r="P1128" s="3" t="s">
        <v>23</v>
      </c>
      <c r="Q1128" s="8" t="s">
        <v>23</v>
      </c>
    </row>
    <row r="1129" spans="1:17" hidden="1" x14ac:dyDescent="0.55000000000000004">
      <c r="A1129" s="3" t="s">
        <v>1518</v>
      </c>
      <c r="B1129" s="3" t="s">
        <v>7336</v>
      </c>
      <c r="C1129" t="s">
        <v>1520</v>
      </c>
      <c r="D1129" s="3" t="s">
        <v>7312</v>
      </c>
      <c r="E1129" t="s">
        <v>1583</v>
      </c>
      <c r="F1129" s="3" t="s">
        <v>1584</v>
      </c>
      <c r="G1129" t="s">
        <v>24</v>
      </c>
      <c r="H1129" s="3" t="s">
        <v>1554</v>
      </c>
      <c r="I1129" t="s">
        <v>26</v>
      </c>
      <c r="J1129" s="3" t="s">
        <v>1555</v>
      </c>
      <c r="K1129" s="4">
        <v>482</v>
      </c>
      <c r="L1129" s="5">
        <v>21.91</v>
      </c>
      <c r="M1129" s="6">
        <v>0</v>
      </c>
      <c r="N1129" s="7">
        <v>0</v>
      </c>
      <c r="O1129" t="s">
        <v>1556</v>
      </c>
      <c r="P1129" s="3" t="s">
        <v>76</v>
      </c>
      <c r="Q1129" s="8">
        <v>0.17749999999999999</v>
      </c>
    </row>
    <row r="1130" spans="1:17" hidden="1" x14ac:dyDescent="0.55000000000000004">
      <c r="A1130" s="3" t="s">
        <v>1518</v>
      </c>
      <c r="B1130" s="3" t="s">
        <v>7336</v>
      </c>
      <c r="C1130" t="s">
        <v>1520</v>
      </c>
      <c r="D1130" s="3" t="s">
        <v>7312</v>
      </c>
      <c r="E1130" t="s">
        <v>1583</v>
      </c>
      <c r="F1130" s="3" t="s">
        <v>1584</v>
      </c>
      <c r="G1130" t="s">
        <v>24</v>
      </c>
      <c r="H1130" s="3" t="s">
        <v>1557</v>
      </c>
      <c r="I1130" t="s">
        <v>218</v>
      </c>
      <c r="J1130" s="3" t="s">
        <v>1555</v>
      </c>
      <c r="K1130" s="4">
        <v>50</v>
      </c>
      <c r="L1130" s="5">
        <v>2.29</v>
      </c>
      <c r="M1130" s="6">
        <v>0</v>
      </c>
      <c r="N1130" s="7">
        <v>0</v>
      </c>
      <c r="O1130" t="s">
        <v>1558</v>
      </c>
      <c r="P1130" s="3" t="s">
        <v>23</v>
      </c>
      <c r="Q1130" s="8" t="s">
        <v>23</v>
      </c>
    </row>
    <row r="1131" spans="1:17" hidden="1" x14ac:dyDescent="0.55000000000000004">
      <c r="A1131" s="3" t="s">
        <v>1518</v>
      </c>
      <c r="B1131" s="3" t="s">
        <v>7336</v>
      </c>
      <c r="C1131" t="s">
        <v>1520</v>
      </c>
      <c r="D1131" s="3" t="s">
        <v>7312</v>
      </c>
      <c r="E1131" t="s">
        <v>1583</v>
      </c>
      <c r="F1131" s="3" t="s">
        <v>1584</v>
      </c>
      <c r="G1131" t="s">
        <v>24</v>
      </c>
      <c r="H1131" s="3" t="s">
        <v>1533</v>
      </c>
      <c r="I1131" t="s">
        <v>317</v>
      </c>
      <c r="J1131" s="3" t="s">
        <v>218</v>
      </c>
      <c r="K1131" s="4">
        <v>395</v>
      </c>
      <c r="L1131" s="5">
        <v>0</v>
      </c>
      <c r="M1131" s="6">
        <v>0</v>
      </c>
      <c r="N1131" s="7">
        <v>0</v>
      </c>
      <c r="O1131" t="s">
        <v>23</v>
      </c>
      <c r="P1131" s="3" t="s">
        <v>23</v>
      </c>
      <c r="Q1131" s="8" t="s">
        <v>23</v>
      </c>
    </row>
    <row r="1132" spans="1:17" hidden="1" x14ac:dyDescent="0.55000000000000004">
      <c r="A1132" s="3" t="s">
        <v>1518</v>
      </c>
      <c r="B1132" s="3" t="s">
        <v>7336</v>
      </c>
      <c r="C1132" t="s">
        <v>1520</v>
      </c>
      <c r="D1132" s="3" t="s">
        <v>7312</v>
      </c>
      <c r="E1132" t="s">
        <v>1583</v>
      </c>
      <c r="F1132" s="3" t="s">
        <v>1584</v>
      </c>
      <c r="G1132" t="s">
        <v>24</v>
      </c>
      <c r="H1132" s="3" t="s">
        <v>1534</v>
      </c>
      <c r="I1132" t="s">
        <v>313</v>
      </c>
      <c r="J1132" s="3" t="s">
        <v>218</v>
      </c>
      <c r="K1132" s="4">
        <v>368</v>
      </c>
      <c r="L1132" s="5">
        <v>0</v>
      </c>
      <c r="M1132" s="6">
        <v>0</v>
      </c>
      <c r="N1132" s="7">
        <v>0</v>
      </c>
      <c r="O1132" t="s">
        <v>23</v>
      </c>
      <c r="P1132" s="3" t="s">
        <v>23</v>
      </c>
      <c r="Q1132" s="8" t="s">
        <v>23</v>
      </c>
    </row>
    <row r="1133" spans="1:17" hidden="1" x14ac:dyDescent="0.55000000000000004">
      <c r="A1133" s="3" t="s">
        <v>1518</v>
      </c>
      <c r="B1133" s="3" t="s">
        <v>7336</v>
      </c>
      <c r="C1133" t="s">
        <v>1520</v>
      </c>
      <c r="D1133" s="3" t="s">
        <v>7312</v>
      </c>
      <c r="E1133" t="s">
        <v>1583</v>
      </c>
      <c r="F1133" s="3" t="s">
        <v>1584</v>
      </c>
      <c r="G1133" t="s">
        <v>24</v>
      </c>
      <c r="H1133" s="3" t="s">
        <v>1535</v>
      </c>
      <c r="I1133" t="s">
        <v>315</v>
      </c>
      <c r="J1133" s="3" t="s">
        <v>218</v>
      </c>
      <c r="K1133" s="4">
        <v>600</v>
      </c>
      <c r="L1133" s="5">
        <v>0</v>
      </c>
      <c r="M1133" s="6">
        <v>0</v>
      </c>
      <c r="N1133" s="7">
        <v>0</v>
      </c>
      <c r="O1133" t="s">
        <v>23</v>
      </c>
      <c r="P1133" s="3" t="s">
        <v>23</v>
      </c>
      <c r="Q1133" s="8" t="s">
        <v>23</v>
      </c>
    </row>
    <row r="1134" spans="1:17" hidden="1" x14ac:dyDescent="0.55000000000000004">
      <c r="A1134" s="3" t="s">
        <v>1518</v>
      </c>
      <c r="B1134" s="3" t="s">
        <v>7336</v>
      </c>
      <c r="C1134" t="s">
        <v>1520</v>
      </c>
      <c r="D1134" s="3" t="s">
        <v>7312</v>
      </c>
      <c r="E1134" t="s">
        <v>1583</v>
      </c>
      <c r="F1134" s="3" t="s">
        <v>1584</v>
      </c>
      <c r="G1134" t="s">
        <v>24</v>
      </c>
      <c r="H1134" s="3" t="s">
        <v>1536</v>
      </c>
      <c r="I1134" t="s">
        <v>309</v>
      </c>
      <c r="J1134" s="3" t="s">
        <v>218</v>
      </c>
      <c r="K1134" s="4">
        <v>216</v>
      </c>
      <c r="L1134" s="5">
        <v>0</v>
      </c>
      <c r="M1134" s="6">
        <v>0</v>
      </c>
      <c r="N1134" s="7">
        <v>0</v>
      </c>
      <c r="O1134" t="s">
        <v>23</v>
      </c>
      <c r="P1134" s="3" t="s">
        <v>23</v>
      </c>
      <c r="Q1134" s="8" t="s">
        <v>23</v>
      </c>
    </row>
    <row r="1135" spans="1:17" hidden="1" x14ac:dyDescent="0.55000000000000004">
      <c r="A1135" s="3" t="s">
        <v>1518</v>
      </c>
      <c r="B1135" s="3" t="s">
        <v>7336</v>
      </c>
      <c r="C1135" t="s">
        <v>1520</v>
      </c>
      <c r="D1135" s="3" t="s">
        <v>7312</v>
      </c>
      <c r="E1135" t="s">
        <v>1583</v>
      </c>
      <c r="F1135" s="3" t="s">
        <v>1584</v>
      </c>
      <c r="G1135" t="s">
        <v>24</v>
      </c>
      <c r="H1135" s="3" t="s">
        <v>23</v>
      </c>
      <c r="I1135" t="s">
        <v>67</v>
      </c>
      <c r="J1135" s="3" t="s">
        <v>37</v>
      </c>
      <c r="K1135" s="4" t="s">
        <v>23</v>
      </c>
      <c r="L1135" s="5" t="s">
        <v>23</v>
      </c>
      <c r="M1135" s="6">
        <v>0</v>
      </c>
      <c r="N1135" s="7">
        <v>0</v>
      </c>
      <c r="O1135" t="s">
        <v>23</v>
      </c>
      <c r="P1135" s="3" t="s">
        <v>23</v>
      </c>
      <c r="Q1135" s="8" t="s">
        <v>23</v>
      </c>
    </row>
    <row r="1136" spans="1:17" hidden="1" x14ac:dyDescent="0.55000000000000004">
      <c r="A1136" s="3" t="s">
        <v>1518</v>
      </c>
      <c r="B1136" s="3" t="s">
        <v>7336</v>
      </c>
      <c r="C1136" t="s">
        <v>1520</v>
      </c>
      <c r="D1136" s="3" t="s">
        <v>7312</v>
      </c>
      <c r="E1136" t="s">
        <v>1583</v>
      </c>
      <c r="F1136" s="3" t="s">
        <v>1584</v>
      </c>
      <c r="G1136" t="s">
        <v>24</v>
      </c>
      <c r="H1136" s="3" t="s">
        <v>23</v>
      </c>
      <c r="I1136" t="s">
        <v>67</v>
      </c>
      <c r="J1136" s="3" t="s">
        <v>48</v>
      </c>
      <c r="K1136" s="4" t="s">
        <v>23</v>
      </c>
      <c r="L1136" s="5" t="s">
        <v>23</v>
      </c>
      <c r="M1136" s="6">
        <v>0</v>
      </c>
      <c r="N1136" s="7">
        <v>0</v>
      </c>
      <c r="O1136" t="s">
        <v>23</v>
      </c>
      <c r="P1136" s="3" t="s">
        <v>23</v>
      </c>
      <c r="Q1136" s="8" t="s">
        <v>23</v>
      </c>
    </row>
    <row r="1137" spans="1:17" hidden="1" x14ac:dyDescent="0.55000000000000004">
      <c r="A1137" s="3" t="s">
        <v>1518</v>
      </c>
      <c r="B1137" s="3" t="s">
        <v>1585</v>
      </c>
      <c r="C1137" t="s">
        <v>1586</v>
      </c>
      <c r="D1137" s="3" t="s">
        <v>7312</v>
      </c>
      <c r="E1137" t="s">
        <v>1587</v>
      </c>
      <c r="F1137" s="3" t="s">
        <v>1588</v>
      </c>
      <c r="G1137" t="s">
        <v>24</v>
      </c>
      <c r="H1137" s="3" t="s">
        <v>1589</v>
      </c>
      <c r="I1137" t="s">
        <v>37</v>
      </c>
      <c r="J1137" s="3" t="s">
        <v>1590</v>
      </c>
      <c r="K1137" s="4">
        <v>123</v>
      </c>
      <c r="L1137" s="5">
        <v>5.58</v>
      </c>
      <c r="M1137" s="6">
        <v>0</v>
      </c>
      <c r="N1137" s="7">
        <v>0</v>
      </c>
      <c r="O1137" t="s">
        <v>1591</v>
      </c>
      <c r="P1137" s="3" t="s">
        <v>40</v>
      </c>
      <c r="Q1137" s="8">
        <v>0.17926900000000001</v>
      </c>
    </row>
    <row r="1138" spans="1:17" hidden="1" x14ac:dyDescent="0.55000000000000004">
      <c r="A1138" s="3" t="s">
        <v>1518</v>
      </c>
      <c r="B1138" s="3" t="s">
        <v>1585</v>
      </c>
      <c r="C1138" t="s">
        <v>1586</v>
      </c>
      <c r="D1138" s="3" t="s">
        <v>7312</v>
      </c>
      <c r="E1138" t="s">
        <v>1587</v>
      </c>
      <c r="F1138" s="3" t="s">
        <v>1588</v>
      </c>
      <c r="G1138" t="s">
        <v>24</v>
      </c>
      <c r="H1138" s="3" t="s">
        <v>23</v>
      </c>
      <c r="I1138" t="s">
        <v>67</v>
      </c>
      <c r="J1138" s="3" t="s">
        <v>1592</v>
      </c>
      <c r="K1138" s="4" t="s">
        <v>23</v>
      </c>
      <c r="L1138" s="5" t="s">
        <v>23</v>
      </c>
      <c r="M1138" s="6">
        <v>0</v>
      </c>
      <c r="N1138" s="7">
        <v>0</v>
      </c>
      <c r="O1138" t="s">
        <v>23</v>
      </c>
      <c r="P1138" s="3" t="s">
        <v>23</v>
      </c>
      <c r="Q1138" s="8" t="s">
        <v>23</v>
      </c>
    </row>
    <row r="1139" spans="1:17" hidden="1" x14ac:dyDescent="0.55000000000000004">
      <c r="A1139" s="3" t="s">
        <v>1518</v>
      </c>
      <c r="B1139" s="3" t="s">
        <v>1593</v>
      </c>
      <c r="C1139" t="s">
        <v>1520</v>
      </c>
      <c r="D1139" s="3" t="s">
        <v>7312</v>
      </c>
      <c r="E1139" t="s">
        <v>1594</v>
      </c>
      <c r="F1139" s="3" t="s">
        <v>1595</v>
      </c>
      <c r="G1139" t="s">
        <v>24</v>
      </c>
      <c r="H1139" s="3" t="s">
        <v>1523</v>
      </c>
      <c r="I1139" t="s">
        <v>296</v>
      </c>
      <c r="J1139" s="3" t="s">
        <v>304</v>
      </c>
      <c r="K1139" s="4">
        <v>590</v>
      </c>
      <c r="L1139" s="5">
        <v>0</v>
      </c>
      <c r="M1139" s="6">
        <v>0</v>
      </c>
      <c r="N1139" s="7">
        <v>0</v>
      </c>
      <c r="O1139" t="s">
        <v>23</v>
      </c>
      <c r="P1139" s="3" t="s">
        <v>23</v>
      </c>
      <c r="Q1139" s="8" t="s">
        <v>23</v>
      </c>
    </row>
    <row r="1140" spans="1:17" hidden="1" x14ac:dyDescent="0.55000000000000004">
      <c r="A1140" s="3" t="s">
        <v>1518</v>
      </c>
      <c r="B1140" s="3" t="s">
        <v>1593</v>
      </c>
      <c r="C1140" t="s">
        <v>1520</v>
      </c>
      <c r="D1140" s="3" t="s">
        <v>7312</v>
      </c>
      <c r="E1140" t="s">
        <v>1594</v>
      </c>
      <c r="F1140" s="3" t="s">
        <v>1595</v>
      </c>
      <c r="G1140" t="s">
        <v>24</v>
      </c>
      <c r="H1140" s="3" t="s">
        <v>1524</v>
      </c>
      <c r="I1140" t="s">
        <v>298</v>
      </c>
      <c r="J1140" s="3" t="s">
        <v>304</v>
      </c>
      <c r="K1140" s="4">
        <v>157</v>
      </c>
      <c r="L1140" s="5">
        <v>0</v>
      </c>
      <c r="M1140" s="6">
        <v>0</v>
      </c>
      <c r="N1140" s="7">
        <v>0</v>
      </c>
      <c r="O1140" t="s">
        <v>23</v>
      </c>
      <c r="P1140" s="3" t="s">
        <v>23</v>
      </c>
      <c r="Q1140" s="8" t="s">
        <v>23</v>
      </c>
    </row>
    <row r="1141" spans="1:17" hidden="1" x14ac:dyDescent="0.55000000000000004">
      <c r="A1141" s="3" t="s">
        <v>1518</v>
      </c>
      <c r="B1141" s="3" t="s">
        <v>1593</v>
      </c>
      <c r="C1141" t="s">
        <v>1520</v>
      </c>
      <c r="D1141" s="3" t="s">
        <v>7312</v>
      </c>
      <c r="E1141" t="s">
        <v>1594</v>
      </c>
      <c r="F1141" s="3" t="s">
        <v>1595</v>
      </c>
      <c r="G1141" t="s">
        <v>24</v>
      </c>
      <c r="H1141" s="3" t="s">
        <v>1525</v>
      </c>
      <c r="I1141" t="s">
        <v>300</v>
      </c>
      <c r="J1141" s="3" t="s">
        <v>304</v>
      </c>
      <c r="K1141" s="4">
        <v>523</v>
      </c>
      <c r="L1141" s="5">
        <v>0</v>
      </c>
      <c r="M1141" s="6">
        <v>0</v>
      </c>
      <c r="N1141" s="7">
        <v>0</v>
      </c>
      <c r="O1141" t="s">
        <v>23</v>
      </c>
      <c r="P1141" s="3" t="s">
        <v>23</v>
      </c>
      <c r="Q1141" s="8" t="s">
        <v>23</v>
      </c>
    </row>
    <row r="1142" spans="1:17" hidden="1" x14ac:dyDescent="0.55000000000000004">
      <c r="A1142" s="3" t="s">
        <v>1518</v>
      </c>
      <c r="B1142" s="3" t="s">
        <v>1593</v>
      </c>
      <c r="C1142" t="s">
        <v>1520</v>
      </c>
      <c r="D1142" s="3" t="s">
        <v>7312</v>
      </c>
      <c r="E1142" t="s">
        <v>1594</v>
      </c>
      <c r="F1142" s="3" t="s">
        <v>1595</v>
      </c>
      <c r="G1142" t="s">
        <v>24</v>
      </c>
      <c r="H1142" s="3" t="s">
        <v>1526</v>
      </c>
      <c r="I1142" t="s">
        <v>302</v>
      </c>
      <c r="J1142" s="3" t="s">
        <v>304</v>
      </c>
      <c r="K1142" s="4">
        <v>373</v>
      </c>
      <c r="L1142" s="5">
        <v>0</v>
      </c>
      <c r="M1142" s="6">
        <v>0</v>
      </c>
      <c r="N1142" s="7">
        <v>0</v>
      </c>
      <c r="O1142" t="s">
        <v>23</v>
      </c>
      <c r="P1142" s="3" t="s">
        <v>23</v>
      </c>
      <c r="Q1142" s="8" t="s">
        <v>23</v>
      </c>
    </row>
    <row r="1143" spans="1:17" hidden="1" x14ac:dyDescent="0.55000000000000004">
      <c r="A1143" s="3" t="s">
        <v>1518</v>
      </c>
      <c r="B1143" s="3" t="s">
        <v>1593</v>
      </c>
      <c r="C1143" t="s">
        <v>1520</v>
      </c>
      <c r="D1143" s="3" t="s">
        <v>7312</v>
      </c>
      <c r="E1143" t="s">
        <v>1594</v>
      </c>
      <c r="F1143" s="3" t="s">
        <v>1595</v>
      </c>
      <c r="G1143" t="s">
        <v>24</v>
      </c>
      <c r="H1143" s="3" t="s">
        <v>1527</v>
      </c>
      <c r="I1143" t="s">
        <v>52</v>
      </c>
      <c r="J1143" s="3" t="s">
        <v>304</v>
      </c>
      <c r="K1143" s="4">
        <v>444</v>
      </c>
      <c r="L1143" s="5">
        <v>0</v>
      </c>
      <c r="M1143" s="6">
        <v>0</v>
      </c>
      <c r="N1143" s="7">
        <v>0</v>
      </c>
      <c r="O1143" t="s">
        <v>23</v>
      </c>
      <c r="P1143" s="3" t="s">
        <v>23</v>
      </c>
      <c r="Q1143" s="8" t="s">
        <v>23</v>
      </c>
    </row>
    <row r="1144" spans="1:17" hidden="1" x14ac:dyDescent="0.55000000000000004">
      <c r="A1144" s="3" t="s">
        <v>1518</v>
      </c>
      <c r="B1144" s="3" t="s">
        <v>1593</v>
      </c>
      <c r="C1144" t="s">
        <v>1520</v>
      </c>
      <c r="D1144" s="3" t="s">
        <v>7312</v>
      </c>
      <c r="E1144" t="s">
        <v>1594</v>
      </c>
      <c r="F1144" s="3" t="s">
        <v>1595</v>
      </c>
      <c r="G1144" t="s">
        <v>24</v>
      </c>
      <c r="H1144" s="3" t="s">
        <v>1596</v>
      </c>
      <c r="I1144" t="s">
        <v>37</v>
      </c>
      <c r="J1144" s="3" t="s">
        <v>1597</v>
      </c>
      <c r="K1144" s="4">
        <v>49</v>
      </c>
      <c r="L1144" s="5">
        <v>2.23</v>
      </c>
      <c r="M1144" s="6">
        <v>0</v>
      </c>
      <c r="N1144" s="7">
        <v>0</v>
      </c>
      <c r="O1144" t="s">
        <v>1598</v>
      </c>
      <c r="P1144" s="3" t="s">
        <v>40</v>
      </c>
      <c r="Q1144" s="8">
        <v>0.178533</v>
      </c>
    </row>
    <row r="1145" spans="1:17" hidden="1" x14ac:dyDescent="0.55000000000000004">
      <c r="A1145" s="3" t="s">
        <v>1518</v>
      </c>
      <c r="B1145" s="3" t="s">
        <v>1593</v>
      </c>
      <c r="C1145" t="s">
        <v>1520</v>
      </c>
      <c r="D1145" s="3" t="s">
        <v>7312</v>
      </c>
      <c r="E1145" t="s">
        <v>1594</v>
      </c>
      <c r="F1145" s="3" t="s">
        <v>1595</v>
      </c>
      <c r="G1145" t="s">
        <v>24</v>
      </c>
      <c r="H1145" s="3" t="s">
        <v>1533</v>
      </c>
      <c r="I1145" t="s">
        <v>317</v>
      </c>
      <c r="J1145" s="3" t="s">
        <v>218</v>
      </c>
      <c r="K1145" s="4">
        <v>395</v>
      </c>
      <c r="L1145" s="5">
        <v>0</v>
      </c>
      <c r="M1145" s="6">
        <v>0</v>
      </c>
      <c r="N1145" s="7">
        <v>0</v>
      </c>
      <c r="O1145" t="s">
        <v>23</v>
      </c>
      <c r="P1145" s="3" t="s">
        <v>23</v>
      </c>
      <c r="Q1145" s="8" t="s">
        <v>23</v>
      </c>
    </row>
    <row r="1146" spans="1:17" hidden="1" x14ac:dyDescent="0.55000000000000004">
      <c r="A1146" s="3" t="s">
        <v>1518</v>
      </c>
      <c r="B1146" s="3" t="s">
        <v>1593</v>
      </c>
      <c r="C1146" t="s">
        <v>1520</v>
      </c>
      <c r="D1146" s="3" t="s">
        <v>7312</v>
      </c>
      <c r="E1146" t="s">
        <v>1594</v>
      </c>
      <c r="F1146" s="3" t="s">
        <v>1595</v>
      </c>
      <c r="G1146" t="s">
        <v>24</v>
      </c>
      <c r="H1146" s="3" t="s">
        <v>1534</v>
      </c>
      <c r="I1146" t="s">
        <v>313</v>
      </c>
      <c r="J1146" s="3" t="s">
        <v>218</v>
      </c>
      <c r="K1146" s="4">
        <v>368</v>
      </c>
      <c r="L1146" s="5">
        <v>0</v>
      </c>
      <c r="M1146" s="6">
        <v>0</v>
      </c>
      <c r="N1146" s="7">
        <v>0</v>
      </c>
      <c r="O1146" t="s">
        <v>23</v>
      </c>
      <c r="P1146" s="3" t="s">
        <v>23</v>
      </c>
      <c r="Q1146" s="8" t="s">
        <v>23</v>
      </c>
    </row>
    <row r="1147" spans="1:17" hidden="1" x14ac:dyDescent="0.55000000000000004">
      <c r="A1147" s="3" t="s">
        <v>1518</v>
      </c>
      <c r="B1147" s="3" t="s">
        <v>1593</v>
      </c>
      <c r="C1147" t="s">
        <v>1520</v>
      </c>
      <c r="D1147" s="3" t="s">
        <v>7312</v>
      </c>
      <c r="E1147" t="s">
        <v>1594</v>
      </c>
      <c r="F1147" s="3" t="s">
        <v>1595</v>
      </c>
      <c r="G1147" t="s">
        <v>24</v>
      </c>
      <c r="H1147" s="3" t="s">
        <v>1535</v>
      </c>
      <c r="I1147" t="s">
        <v>315</v>
      </c>
      <c r="J1147" s="3" t="s">
        <v>218</v>
      </c>
      <c r="K1147" s="4">
        <v>600</v>
      </c>
      <c r="L1147" s="5">
        <v>0</v>
      </c>
      <c r="M1147" s="6">
        <v>0</v>
      </c>
      <c r="N1147" s="7">
        <v>0</v>
      </c>
      <c r="O1147" t="s">
        <v>23</v>
      </c>
      <c r="P1147" s="3" t="s">
        <v>23</v>
      </c>
      <c r="Q1147" s="8" t="s">
        <v>23</v>
      </c>
    </row>
    <row r="1148" spans="1:17" hidden="1" x14ac:dyDescent="0.55000000000000004">
      <c r="A1148" s="3" t="s">
        <v>1518</v>
      </c>
      <c r="B1148" s="3" t="s">
        <v>1593</v>
      </c>
      <c r="C1148" t="s">
        <v>1520</v>
      </c>
      <c r="D1148" s="3" t="s">
        <v>7312</v>
      </c>
      <c r="E1148" t="s">
        <v>1594</v>
      </c>
      <c r="F1148" s="3" t="s">
        <v>1595</v>
      </c>
      <c r="G1148" t="s">
        <v>24</v>
      </c>
      <c r="H1148" s="3" t="s">
        <v>1536</v>
      </c>
      <c r="I1148" t="s">
        <v>309</v>
      </c>
      <c r="J1148" s="3" t="s">
        <v>218</v>
      </c>
      <c r="K1148" s="4">
        <v>216</v>
      </c>
      <c r="L1148" s="5">
        <v>0</v>
      </c>
      <c r="M1148" s="6">
        <v>0</v>
      </c>
      <c r="N1148" s="7">
        <v>0</v>
      </c>
      <c r="O1148" t="s">
        <v>23</v>
      </c>
      <c r="P1148" s="3" t="s">
        <v>23</v>
      </c>
      <c r="Q1148" s="8" t="s">
        <v>23</v>
      </c>
    </row>
    <row r="1149" spans="1:17" hidden="1" x14ac:dyDescent="0.55000000000000004">
      <c r="A1149" s="3" t="s">
        <v>1518</v>
      </c>
      <c r="B1149" s="3" t="s">
        <v>1593</v>
      </c>
      <c r="C1149" t="s">
        <v>1520</v>
      </c>
      <c r="D1149" s="3" t="s">
        <v>7312</v>
      </c>
      <c r="E1149" t="s">
        <v>1594</v>
      </c>
      <c r="F1149" s="3" t="s">
        <v>1595</v>
      </c>
      <c r="G1149" t="s">
        <v>24</v>
      </c>
      <c r="H1149" s="3" t="s">
        <v>23</v>
      </c>
      <c r="I1149" t="s">
        <v>67</v>
      </c>
      <c r="J1149" s="3" t="s">
        <v>37</v>
      </c>
      <c r="K1149" s="4" t="s">
        <v>23</v>
      </c>
      <c r="L1149" s="5" t="s">
        <v>23</v>
      </c>
      <c r="M1149" s="6">
        <v>0</v>
      </c>
      <c r="N1149" s="7">
        <v>0</v>
      </c>
      <c r="O1149" t="s">
        <v>23</v>
      </c>
      <c r="P1149" s="3" t="s">
        <v>23</v>
      </c>
      <c r="Q1149" s="8" t="s">
        <v>23</v>
      </c>
    </row>
    <row r="1150" spans="1:17" hidden="1" x14ac:dyDescent="0.55000000000000004">
      <c r="A1150" s="3" t="s">
        <v>1518</v>
      </c>
      <c r="B1150" s="3" t="s">
        <v>1593</v>
      </c>
      <c r="C1150" t="s">
        <v>1520</v>
      </c>
      <c r="D1150" s="3" t="s">
        <v>7312</v>
      </c>
      <c r="E1150" t="s">
        <v>1594</v>
      </c>
      <c r="F1150" s="3" t="s">
        <v>1595</v>
      </c>
      <c r="G1150" t="s">
        <v>24</v>
      </c>
      <c r="H1150" s="3" t="s">
        <v>23</v>
      </c>
      <c r="I1150" t="s">
        <v>67</v>
      </c>
      <c r="J1150" s="3" t="s">
        <v>48</v>
      </c>
      <c r="K1150" s="4" t="s">
        <v>23</v>
      </c>
      <c r="L1150" s="5" t="s">
        <v>23</v>
      </c>
      <c r="M1150" s="6">
        <v>0</v>
      </c>
      <c r="N1150" s="7">
        <v>0</v>
      </c>
      <c r="O1150" t="s">
        <v>23</v>
      </c>
      <c r="P1150" s="3" t="s">
        <v>23</v>
      </c>
      <c r="Q1150" s="8" t="s">
        <v>23</v>
      </c>
    </row>
    <row r="1151" spans="1:17" hidden="1" x14ac:dyDescent="0.55000000000000004">
      <c r="A1151" s="3" t="s">
        <v>1518</v>
      </c>
      <c r="B1151" s="3" t="s">
        <v>1593</v>
      </c>
      <c r="C1151" t="s">
        <v>1520</v>
      </c>
      <c r="D1151" s="3" t="s">
        <v>7312</v>
      </c>
      <c r="E1151" t="s">
        <v>1594</v>
      </c>
      <c r="F1151" s="3" t="s">
        <v>1595</v>
      </c>
      <c r="G1151" t="s">
        <v>24</v>
      </c>
      <c r="H1151" s="3" t="s">
        <v>23</v>
      </c>
      <c r="I1151" t="s">
        <v>67</v>
      </c>
      <c r="J1151" s="3" t="s">
        <v>1599</v>
      </c>
      <c r="K1151" s="4" t="s">
        <v>23</v>
      </c>
      <c r="L1151" s="5" t="s">
        <v>23</v>
      </c>
      <c r="M1151" s="6">
        <v>0</v>
      </c>
      <c r="N1151" s="7">
        <v>0</v>
      </c>
      <c r="O1151" t="s">
        <v>23</v>
      </c>
      <c r="P1151" s="3" t="s">
        <v>23</v>
      </c>
      <c r="Q1151" s="8" t="s">
        <v>23</v>
      </c>
    </row>
    <row r="1152" spans="1:17" hidden="1" x14ac:dyDescent="0.55000000000000004">
      <c r="A1152" s="3" t="s">
        <v>1518</v>
      </c>
      <c r="B1152" s="3" t="s">
        <v>1593</v>
      </c>
      <c r="C1152" t="s">
        <v>1520</v>
      </c>
      <c r="D1152" s="3" t="s">
        <v>7312</v>
      </c>
      <c r="E1152" t="s">
        <v>1594</v>
      </c>
      <c r="F1152" s="3" t="s">
        <v>1595</v>
      </c>
      <c r="G1152" t="s">
        <v>24</v>
      </c>
      <c r="H1152" s="3" t="s">
        <v>23</v>
      </c>
      <c r="I1152" t="s">
        <v>67</v>
      </c>
      <c r="J1152" s="3" t="s">
        <v>1600</v>
      </c>
      <c r="K1152" s="4" t="s">
        <v>23</v>
      </c>
      <c r="L1152" s="5" t="s">
        <v>23</v>
      </c>
      <c r="M1152" s="6">
        <v>0</v>
      </c>
      <c r="N1152" s="7">
        <v>0</v>
      </c>
      <c r="O1152" t="s">
        <v>23</v>
      </c>
      <c r="P1152" s="3" t="s">
        <v>23</v>
      </c>
      <c r="Q1152" s="8" t="s">
        <v>23</v>
      </c>
    </row>
    <row r="1153" spans="1:17" hidden="1" x14ac:dyDescent="0.55000000000000004">
      <c r="A1153" s="3" t="s">
        <v>1518</v>
      </c>
      <c r="B1153" s="3" t="s">
        <v>1593</v>
      </c>
      <c r="C1153" t="s">
        <v>1520</v>
      </c>
      <c r="D1153" s="3" t="s">
        <v>7312</v>
      </c>
      <c r="E1153" t="s">
        <v>1601</v>
      </c>
      <c r="F1153" s="3" t="s">
        <v>1602</v>
      </c>
      <c r="G1153" t="s">
        <v>24</v>
      </c>
      <c r="H1153" s="3" t="s">
        <v>1523</v>
      </c>
      <c r="I1153" t="s">
        <v>296</v>
      </c>
      <c r="J1153" s="3" t="s">
        <v>304</v>
      </c>
      <c r="K1153" s="4">
        <v>590</v>
      </c>
      <c r="L1153" s="5">
        <v>0</v>
      </c>
      <c r="M1153" s="6">
        <v>0</v>
      </c>
      <c r="N1153" s="7">
        <v>0</v>
      </c>
      <c r="O1153" t="s">
        <v>23</v>
      </c>
      <c r="P1153" s="3" t="s">
        <v>23</v>
      </c>
      <c r="Q1153" s="8" t="s">
        <v>23</v>
      </c>
    </row>
    <row r="1154" spans="1:17" hidden="1" x14ac:dyDescent="0.55000000000000004">
      <c r="A1154" s="3" t="s">
        <v>1518</v>
      </c>
      <c r="B1154" s="3" t="s">
        <v>1593</v>
      </c>
      <c r="C1154" t="s">
        <v>1520</v>
      </c>
      <c r="D1154" s="3" t="s">
        <v>7312</v>
      </c>
      <c r="E1154" t="s">
        <v>1601</v>
      </c>
      <c r="F1154" s="3" t="s">
        <v>1602</v>
      </c>
      <c r="G1154" t="s">
        <v>24</v>
      </c>
      <c r="H1154" s="3" t="s">
        <v>1524</v>
      </c>
      <c r="I1154" t="s">
        <v>298</v>
      </c>
      <c r="J1154" s="3" t="s">
        <v>304</v>
      </c>
      <c r="K1154" s="4">
        <v>157</v>
      </c>
      <c r="L1154" s="5">
        <v>0</v>
      </c>
      <c r="M1154" s="6">
        <v>0</v>
      </c>
      <c r="N1154" s="7">
        <v>0</v>
      </c>
      <c r="O1154" t="s">
        <v>23</v>
      </c>
      <c r="P1154" s="3" t="s">
        <v>23</v>
      </c>
      <c r="Q1154" s="8" t="s">
        <v>23</v>
      </c>
    </row>
    <row r="1155" spans="1:17" hidden="1" x14ac:dyDescent="0.55000000000000004">
      <c r="A1155" s="3" t="s">
        <v>1518</v>
      </c>
      <c r="B1155" s="3" t="s">
        <v>1593</v>
      </c>
      <c r="C1155" t="s">
        <v>1520</v>
      </c>
      <c r="D1155" s="3" t="s">
        <v>7312</v>
      </c>
      <c r="E1155" t="s">
        <v>1601</v>
      </c>
      <c r="F1155" s="3" t="s">
        <v>1602</v>
      </c>
      <c r="G1155" t="s">
        <v>24</v>
      </c>
      <c r="H1155" s="3" t="s">
        <v>1525</v>
      </c>
      <c r="I1155" t="s">
        <v>300</v>
      </c>
      <c r="J1155" s="3" t="s">
        <v>304</v>
      </c>
      <c r="K1155" s="4">
        <v>523</v>
      </c>
      <c r="L1155" s="5">
        <v>0</v>
      </c>
      <c r="M1155" s="6">
        <v>0</v>
      </c>
      <c r="N1155" s="7">
        <v>0</v>
      </c>
      <c r="O1155" t="s">
        <v>23</v>
      </c>
      <c r="P1155" s="3" t="s">
        <v>23</v>
      </c>
      <c r="Q1155" s="8" t="s">
        <v>23</v>
      </c>
    </row>
    <row r="1156" spans="1:17" hidden="1" x14ac:dyDescent="0.55000000000000004">
      <c r="A1156" s="3" t="s">
        <v>1518</v>
      </c>
      <c r="B1156" s="3" t="s">
        <v>1593</v>
      </c>
      <c r="C1156" t="s">
        <v>1520</v>
      </c>
      <c r="D1156" s="3" t="s">
        <v>7312</v>
      </c>
      <c r="E1156" t="s">
        <v>1601</v>
      </c>
      <c r="F1156" s="3" t="s">
        <v>1602</v>
      </c>
      <c r="G1156" t="s">
        <v>24</v>
      </c>
      <c r="H1156" s="3" t="s">
        <v>1526</v>
      </c>
      <c r="I1156" t="s">
        <v>302</v>
      </c>
      <c r="J1156" s="3" t="s">
        <v>304</v>
      </c>
      <c r="K1156" s="4">
        <v>373</v>
      </c>
      <c r="L1156" s="5">
        <v>0</v>
      </c>
      <c r="M1156" s="6">
        <v>0</v>
      </c>
      <c r="N1156" s="7">
        <v>0</v>
      </c>
      <c r="O1156" t="s">
        <v>23</v>
      </c>
      <c r="P1156" s="3" t="s">
        <v>23</v>
      </c>
      <c r="Q1156" s="8" t="s">
        <v>23</v>
      </c>
    </row>
    <row r="1157" spans="1:17" hidden="1" x14ac:dyDescent="0.55000000000000004">
      <c r="A1157" s="3" t="s">
        <v>1518</v>
      </c>
      <c r="B1157" s="3" t="s">
        <v>1593</v>
      </c>
      <c r="C1157" t="s">
        <v>1520</v>
      </c>
      <c r="D1157" s="3" t="s">
        <v>7312</v>
      </c>
      <c r="E1157" t="s">
        <v>1601</v>
      </c>
      <c r="F1157" s="3" t="s">
        <v>1602</v>
      </c>
      <c r="G1157" t="s">
        <v>24</v>
      </c>
      <c r="H1157" s="3" t="s">
        <v>1527</v>
      </c>
      <c r="I1157" t="s">
        <v>52</v>
      </c>
      <c r="J1157" s="3" t="s">
        <v>304</v>
      </c>
      <c r="K1157" s="4">
        <v>444</v>
      </c>
      <c r="L1157" s="5">
        <v>0</v>
      </c>
      <c r="M1157" s="6">
        <v>0</v>
      </c>
      <c r="N1157" s="7">
        <v>0</v>
      </c>
      <c r="O1157" t="s">
        <v>23</v>
      </c>
      <c r="P1157" s="3" t="s">
        <v>23</v>
      </c>
      <c r="Q1157" s="8" t="s">
        <v>23</v>
      </c>
    </row>
    <row r="1158" spans="1:17" hidden="1" x14ac:dyDescent="0.55000000000000004">
      <c r="A1158" s="3" t="s">
        <v>1518</v>
      </c>
      <c r="B1158" s="3" t="s">
        <v>1593</v>
      </c>
      <c r="C1158" t="s">
        <v>1520</v>
      </c>
      <c r="D1158" s="3" t="s">
        <v>7312</v>
      </c>
      <c r="E1158" t="s">
        <v>1601</v>
      </c>
      <c r="F1158" s="3" t="s">
        <v>1602</v>
      </c>
      <c r="G1158" t="s">
        <v>24</v>
      </c>
      <c r="H1158" s="3" t="s">
        <v>1596</v>
      </c>
      <c r="I1158" t="s">
        <v>37</v>
      </c>
      <c r="J1158" s="3" t="s">
        <v>1597</v>
      </c>
      <c r="K1158" s="4">
        <v>49</v>
      </c>
      <c r="L1158" s="5">
        <v>2.23</v>
      </c>
      <c r="M1158" s="6">
        <v>0</v>
      </c>
      <c r="N1158" s="7">
        <v>0</v>
      </c>
      <c r="O1158" t="s">
        <v>1598</v>
      </c>
      <c r="P1158" s="3" t="s">
        <v>40</v>
      </c>
      <c r="Q1158" s="8">
        <v>0.178533</v>
      </c>
    </row>
    <row r="1159" spans="1:17" hidden="1" x14ac:dyDescent="0.55000000000000004">
      <c r="A1159" s="3" t="s">
        <v>1518</v>
      </c>
      <c r="B1159" s="3" t="s">
        <v>1593</v>
      </c>
      <c r="C1159" t="s">
        <v>1520</v>
      </c>
      <c r="D1159" s="3" t="s">
        <v>7312</v>
      </c>
      <c r="E1159" t="s">
        <v>1601</v>
      </c>
      <c r="F1159" s="3" t="s">
        <v>1602</v>
      </c>
      <c r="G1159" t="s">
        <v>24</v>
      </c>
      <c r="H1159" s="3" t="s">
        <v>1533</v>
      </c>
      <c r="I1159" t="s">
        <v>317</v>
      </c>
      <c r="J1159" s="3" t="s">
        <v>218</v>
      </c>
      <c r="K1159" s="4">
        <v>395</v>
      </c>
      <c r="L1159" s="5">
        <v>0</v>
      </c>
      <c r="M1159" s="6">
        <v>0</v>
      </c>
      <c r="N1159" s="7">
        <v>0</v>
      </c>
      <c r="O1159" t="s">
        <v>23</v>
      </c>
      <c r="P1159" s="3" t="s">
        <v>23</v>
      </c>
      <c r="Q1159" s="8" t="s">
        <v>23</v>
      </c>
    </row>
    <row r="1160" spans="1:17" hidden="1" x14ac:dyDescent="0.55000000000000004">
      <c r="A1160" s="3" t="s">
        <v>1518</v>
      </c>
      <c r="B1160" s="3" t="s">
        <v>1593</v>
      </c>
      <c r="C1160" t="s">
        <v>1520</v>
      </c>
      <c r="D1160" s="3" t="s">
        <v>7312</v>
      </c>
      <c r="E1160" t="s">
        <v>1601</v>
      </c>
      <c r="F1160" s="3" t="s">
        <v>1602</v>
      </c>
      <c r="G1160" t="s">
        <v>24</v>
      </c>
      <c r="H1160" s="3" t="s">
        <v>1534</v>
      </c>
      <c r="I1160" t="s">
        <v>313</v>
      </c>
      <c r="J1160" s="3" t="s">
        <v>218</v>
      </c>
      <c r="K1160" s="4">
        <v>368</v>
      </c>
      <c r="L1160" s="5">
        <v>0</v>
      </c>
      <c r="M1160" s="6">
        <v>0</v>
      </c>
      <c r="N1160" s="7">
        <v>0</v>
      </c>
      <c r="O1160" t="s">
        <v>23</v>
      </c>
      <c r="P1160" s="3" t="s">
        <v>23</v>
      </c>
      <c r="Q1160" s="8" t="s">
        <v>23</v>
      </c>
    </row>
    <row r="1161" spans="1:17" hidden="1" x14ac:dyDescent="0.55000000000000004">
      <c r="A1161" s="3" t="s">
        <v>1518</v>
      </c>
      <c r="B1161" s="3" t="s">
        <v>1593</v>
      </c>
      <c r="C1161" t="s">
        <v>1520</v>
      </c>
      <c r="D1161" s="3" t="s">
        <v>7312</v>
      </c>
      <c r="E1161" t="s">
        <v>1601</v>
      </c>
      <c r="F1161" s="3" t="s">
        <v>1602</v>
      </c>
      <c r="G1161" t="s">
        <v>24</v>
      </c>
      <c r="H1161" s="3" t="s">
        <v>1535</v>
      </c>
      <c r="I1161" t="s">
        <v>315</v>
      </c>
      <c r="J1161" s="3" t="s">
        <v>218</v>
      </c>
      <c r="K1161" s="4">
        <v>600</v>
      </c>
      <c r="L1161" s="5">
        <v>0</v>
      </c>
      <c r="M1161" s="6">
        <v>0</v>
      </c>
      <c r="N1161" s="7">
        <v>0</v>
      </c>
      <c r="O1161" t="s">
        <v>23</v>
      </c>
      <c r="P1161" s="3" t="s">
        <v>23</v>
      </c>
      <c r="Q1161" s="8" t="s">
        <v>23</v>
      </c>
    </row>
    <row r="1162" spans="1:17" hidden="1" x14ac:dyDescent="0.55000000000000004">
      <c r="A1162" s="3" t="s">
        <v>1518</v>
      </c>
      <c r="B1162" s="3" t="s">
        <v>1593</v>
      </c>
      <c r="C1162" t="s">
        <v>1520</v>
      </c>
      <c r="D1162" s="3" t="s">
        <v>7312</v>
      </c>
      <c r="E1162" t="s">
        <v>1601</v>
      </c>
      <c r="F1162" s="3" t="s">
        <v>1602</v>
      </c>
      <c r="G1162" t="s">
        <v>24</v>
      </c>
      <c r="H1162" s="3" t="s">
        <v>1536</v>
      </c>
      <c r="I1162" t="s">
        <v>309</v>
      </c>
      <c r="J1162" s="3" t="s">
        <v>218</v>
      </c>
      <c r="K1162" s="4">
        <v>216</v>
      </c>
      <c r="L1162" s="5">
        <v>0</v>
      </c>
      <c r="M1162" s="6">
        <v>0</v>
      </c>
      <c r="N1162" s="7">
        <v>0</v>
      </c>
      <c r="O1162" t="s">
        <v>23</v>
      </c>
      <c r="P1162" s="3" t="s">
        <v>23</v>
      </c>
      <c r="Q1162" s="8" t="s">
        <v>23</v>
      </c>
    </row>
    <row r="1163" spans="1:17" hidden="1" x14ac:dyDescent="0.55000000000000004">
      <c r="A1163" s="3" t="s">
        <v>1518</v>
      </c>
      <c r="B1163" s="3" t="s">
        <v>1593</v>
      </c>
      <c r="C1163" t="s">
        <v>1520</v>
      </c>
      <c r="D1163" s="3" t="s">
        <v>7312</v>
      </c>
      <c r="E1163" t="s">
        <v>1601</v>
      </c>
      <c r="F1163" s="3" t="s">
        <v>1602</v>
      </c>
      <c r="G1163" t="s">
        <v>24</v>
      </c>
      <c r="H1163" s="3" t="s">
        <v>23</v>
      </c>
      <c r="I1163" t="s">
        <v>67</v>
      </c>
      <c r="J1163" s="3" t="s">
        <v>37</v>
      </c>
      <c r="K1163" s="4" t="s">
        <v>23</v>
      </c>
      <c r="L1163" s="5" t="s">
        <v>23</v>
      </c>
      <c r="M1163" s="6">
        <v>0</v>
      </c>
      <c r="N1163" s="7">
        <v>0</v>
      </c>
      <c r="O1163" t="s">
        <v>23</v>
      </c>
      <c r="P1163" s="3" t="s">
        <v>23</v>
      </c>
      <c r="Q1163" s="8" t="s">
        <v>23</v>
      </c>
    </row>
    <row r="1164" spans="1:17" hidden="1" x14ac:dyDescent="0.55000000000000004">
      <c r="A1164" s="3" t="s">
        <v>1518</v>
      </c>
      <c r="B1164" s="3" t="s">
        <v>1593</v>
      </c>
      <c r="C1164" t="s">
        <v>1520</v>
      </c>
      <c r="D1164" s="3" t="s">
        <v>7312</v>
      </c>
      <c r="E1164" t="s">
        <v>1601</v>
      </c>
      <c r="F1164" s="3" t="s">
        <v>1602</v>
      </c>
      <c r="G1164" t="s">
        <v>24</v>
      </c>
      <c r="H1164" s="3" t="s">
        <v>23</v>
      </c>
      <c r="I1164" t="s">
        <v>67</v>
      </c>
      <c r="J1164" s="3" t="s">
        <v>48</v>
      </c>
      <c r="K1164" s="4" t="s">
        <v>23</v>
      </c>
      <c r="L1164" s="5" t="s">
        <v>23</v>
      </c>
      <c r="M1164" s="6">
        <v>0</v>
      </c>
      <c r="N1164" s="7">
        <v>0</v>
      </c>
      <c r="O1164" t="s">
        <v>23</v>
      </c>
      <c r="P1164" s="3" t="s">
        <v>23</v>
      </c>
      <c r="Q1164" s="8" t="s">
        <v>23</v>
      </c>
    </row>
    <row r="1165" spans="1:17" hidden="1" x14ac:dyDescent="0.55000000000000004">
      <c r="A1165" s="3" t="s">
        <v>1518</v>
      </c>
      <c r="B1165" s="3" t="s">
        <v>1593</v>
      </c>
      <c r="C1165" t="s">
        <v>1520</v>
      </c>
      <c r="D1165" s="3" t="s">
        <v>7312</v>
      </c>
      <c r="E1165" t="s">
        <v>1601</v>
      </c>
      <c r="F1165" s="3" t="s">
        <v>1602</v>
      </c>
      <c r="G1165" t="s">
        <v>24</v>
      </c>
      <c r="H1165" s="3" t="s">
        <v>23</v>
      </c>
      <c r="I1165" t="s">
        <v>67</v>
      </c>
      <c r="J1165" s="3" t="s">
        <v>1599</v>
      </c>
      <c r="K1165" s="4" t="s">
        <v>23</v>
      </c>
      <c r="L1165" s="5" t="s">
        <v>23</v>
      </c>
      <c r="M1165" s="6">
        <v>0</v>
      </c>
      <c r="N1165" s="7">
        <v>0</v>
      </c>
      <c r="O1165" t="s">
        <v>23</v>
      </c>
      <c r="P1165" s="3" t="s">
        <v>23</v>
      </c>
      <c r="Q1165" s="8" t="s">
        <v>23</v>
      </c>
    </row>
    <row r="1166" spans="1:17" hidden="1" x14ac:dyDescent="0.55000000000000004">
      <c r="A1166" s="3" t="s">
        <v>1518</v>
      </c>
      <c r="B1166" s="3" t="s">
        <v>1593</v>
      </c>
      <c r="C1166" t="s">
        <v>1520</v>
      </c>
      <c r="D1166" s="3" t="s">
        <v>7312</v>
      </c>
      <c r="E1166" t="s">
        <v>1601</v>
      </c>
      <c r="F1166" s="3" t="s">
        <v>1602</v>
      </c>
      <c r="G1166" t="s">
        <v>24</v>
      </c>
      <c r="H1166" s="3" t="s">
        <v>23</v>
      </c>
      <c r="I1166" t="s">
        <v>67</v>
      </c>
      <c r="J1166" s="3" t="s">
        <v>1600</v>
      </c>
      <c r="K1166" s="4" t="s">
        <v>23</v>
      </c>
      <c r="L1166" s="5" t="s">
        <v>23</v>
      </c>
      <c r="M1166" s="6">
        <v>0</v>
      </c>
      <c r="N1166" s="7">
        <v>0</v>
      </c>
      <c r="O1166" t="s">
        <v>23</v>
      </c>
      <c r="P1166" s="3" t="s">
        <v>23</v>
      </c>
      <c r="Q1166" s="8" t="s">
        <v>23</v>
      </c>
    </row>
    <row r="1167" spans="1:17" hidden="1" x14ac:dyDescent="0.55000000000000004">
      <c r="A1167" s="3" t="s">
        <v>1518</v>
      </c>
      <c r="B1167" s="3" t="s">
        <v>1603</v>
      </c>
      <c r="C1167" t="s">
        <v>2921</v>
      </c>
      <c r="D1167" s="3" t="s">
        <v>7312</v>
      </c>
      <c r="E1167" t="s">
        <v>1604</v>
      </c>
      <c r="F1167" s="3" t="s">
        <v>1605</v>
      </c>
      <c r="G1167" t="s">
        <v>19</v>
      </c>
      <c r="H1167" s="3" t="s">
        <v>1606</v>
      </c>
      <c r="I1167" t="s">
        <v>1607</v>
      </c>
      <c r="J1167" s="3" t="s">
        <v>1608</v>
      </c>
      <c r="K1167" s="4">
        <v>422</v>
      </c>
      <c r="L1167" s="5">
        <v>91.74</v>
      </c>
      <c r="M1167" s="6">
        <v>1</v>
      </c>
      <c r="N1167" s="7">
        <v>1</v>
      </c>
      <c r="O1167" t="s">
        <v>1609</v>
      </c>
      <c r="P1167" s="3" t="s">
        <v>1610</v>
      </c>
      <c r="Q1167" s="8">
        <v>5.3880999999999998E-2</v>
      </c>
    </row>
    <row r="1168" spans="1:17" hidden="1" x14ac:dyDescent="0.55000000000000004">
      <c r="A1168" s="3" t="s">
        <v>1518</v>
      </c>
      <c r="B1168" s="3" t="s">
        <v>1603</v>
      </c>
      <c r="C1168" t="s">
        <v>2921</v>
      </c>
      <c r="D1168" s="3" t="s">
        <v>7312</v>
      </c>
      <c r="E1168" t="s">
        <v>1604</v>
      </c>
      <c r="F1168" s="3" t="s">
        <v>1605</v>
      </c>
      <c r="G1168" t="s">
        <v>19</v>
      </c>
      <c r="H1168" s="3" t="s">
        <v>1611</v>
      </c>
      <c r="I1168" t="s">
        <v>1612</v>
      </c>
      <c r="J1168" s="3" t="s">
        <v>1613</v>
      </c>
      <c r="K1168" s="4">
        <v>419</v>
      </c>
      <c r="L1168" s="5">
        <v>91.02</v>
      </c>
      <c r="M1168" s="6">
        <v>0</v>
      </c>
      <c r="N1168" s="7">
        <v>1</v>
      </c>
      <c r="O1168" t="s">
        <v>1614</v>
      </c>
      <c r="P1168" s="3" t="s">
        <v>1615</v>
      </c>
      <c r="Q1168" s="8">
        <v>6.4498E-2</v>
      </c>
    </row>
    <row r="1169" spans="1:17" hidden="1" x14ac:dyDescent="0.55000000000000004">
      <c r="A1169" s="3" t="s">
        <v>1518</v>
      </c>
      <c r="B1169" s="3" t="s">
        <v>1603</v>
      </c>
      <c r="C1169" t="s">
        <v>2921</v>
      </c>
      <c r="D1169" s="3" t="s">
        <v>7312</v>
      </c>
      <c r="E1169" t="s">
        <v>1604</v>
      </c>
      <c r="F1169" s="3" t="s">
        <v>1605</v>
      </c>
      <c r="G1169" t="s">
        <v>19</v>
      </c>
      <c r="H1169" s="3" t="s">
        <v>1616</v>
      </c>
      <c r="I1169" t="s">
        <v>1617</v>
      </c>
      <c r="J1169" s="3" t="s">
        <v>1613</v>
      </c>
      <c r="K1169" s="4">
        <v>697</v>
      </c>
      <c r="L1169" s="5">
        <v>151.5</v>
      </c>
      <c r="M1169" s="6">
        <v>0</v>
      </c>
      <c r="N1169" s="7">
        <v>1</v>
      </c>
      <c r="O1169" t="s">
        <v>1618</v>
      </c>
      <c r="P1169" s="3" t="s">
        <v>1615</v>
      </c>
      <c r="Q1169" s="8">
        <v>4.1689999999999998E-2</v>
      </c>
    </row>
    <row r="1170" spans="1:17" hidden="1" x14ac:dyDescent="0.55000000000000004">
      <c r="A1170" s="3" t="s">
        <v>1518</v>
      </c>
      <c r="B1170" s="3" t="s">
        <v>1603</v>
      </c>
      <c r="C1170" t="s">
        <v>2921</v>
      </c>
      <c r="D1170" s="3" t="s">
        <v>7312</v>
      </c>
      <c r="E1170" t="s">
        <v>1604</v>
      </c>
      <c r="F1170" s="3" t="s">
        <v>1605</v>
      </c>
      <c r="G1170" t="s">
        <v>19</v>
      </c>
      <c r="H1170" s="3" t="s">
        <v>1616</v>
      </c>
      <c r="I1170" t="s">
        <v>1617</v>
      </c>
      <c r="J1170" s="3" t="s">
        <v>1613</v>
      </c>
      <c r="K1170" s="4">
        <v>697</v>
      </c>
      <c r="L1170" s="5">
        <v>151.5</v>
      </c>
      <c r="M1170" s="6">
        <v>0</v>
      </c>
      <c r="N1170" s="7">
        <v>1</v>
      </c>
      <c r="O1170" t="s">
        <v>1614</v>
      </c>
      <c r="P1170" s="3" t="s">
        <v>1615</v>
      </c>
      <c r="Q1170" s="8">
        <v>6.4498E-2</v>
      </c>
    </row>
    <row r="1171" spans="1:17" hidden="1" x14ac:dyDescent="0.55000000000000004">
      <c r="A1171" s="3" t="s">
        <v>1518</v>
      </c>
      <c r="B1171" s="3" t="s">
        <v>1603</v>
      </c>
      <c r="C1171" t="s">
        <v>2921</v>
      </c>
      <c r="D1171" s="3" t="s">
        <v>7312</v>
      </c>
      <c r="E1171" t="s">
        <v>1604</v>
      </c>
      <c r="F1171" s="3" t="s">
        <v>1605</v>
      </c>
      <c r="G1171" t="s">
        <v>24</v>
      </c>
      <c r="H1171" s="3" t="s">
        <v>1619</v>
      </c>
      <c r="I1171" t="s">
        <v>26</v>
      </c>
      <c r="J1171" s="3" t="s">
        <v>1620</v>
      </c>
      <c r="K1171" s="4">
        <v>488</v>
      </c>
      <c r="L1171" s="5">
        <v>22.18</v>
      </c>
      <c r="M1171" s="6">
        <v>1</v>
      </c>
      <c r="N1171" s="7">
        <v>1</v>
      </c>
      <c r="O1171" t="s">
        <v>1621</v>
      </c>
      <c r="P1171" s="3" t="s">
        <v>76</v>
      </c>
      <c r="Q1171" s="8">
        <v>0.188167</v>
      </c>
    </row>
    <row r="1172" spans="1:17" hidden="1" x14ac:dyDescent="0.55000000000000004">
      <c r="A1172" s="3" t="s">
        <v>1518</v>
      </c>
      <c r="B1172" s="3" t="s">
        <v>1603</v>
      </c>
      <c r="C1172" t="s">
        <v>2921</v>
      </c>
      <c r="D1172" s="3" t="s">
        <v>7312</v>
      </c>
      <c r="E1172" t="s">
        <v>1604</v>
      </c>
      <c r="F1172" s="3" t="s">
        <v>1605</v>
      </c>
      <c r="G1172" t="s">
        <v>24</v>
      </c>
      <c r="H1172" s="3" t="s">
        <v>1622</v>
      </c>
      <c r="I1172" t="s">
        <v>218</v>
      </c>
      <c r="J1172" s="3" t="s">
        <v>1620</v>
      </c>
      <c r="K1172" s="4">
        <v>376</v>
      </c>
      <c r="L1172" s="5">
        <v>17.079999999999998</v>
      </c>
      <c r="M1172" s="6">
        <v>0</v>
      </c>
      <c r="N1172" s="7">
        <v>1</v>
      </c>
      <c r="O1172" t="s">
        <v>1623</v>
      </c>
      <c r="P1172" s="3" t="s">
        <v>23</v>
      </c>
      <c r="Q1172" s="8" t="s">
        <v>23</v>
      </c>
    </row>
    <row r="1173" spans="1:17" hidden="1" x14ac:dyDescent="0.55000000000000004">
      <c r="A1173" s="3" t="s">
        <v>1518</v>
      </c>
      <c r="B1173" s="3" t="s">
        <v>1624</v>
      </c>
      <c r="C1173" t="s">
        <v>1624</v>
      </c>
      <c r="D1173" s="3" t="s">
        <v>7312</v>
      </c>
      <c r="E1173" t="s">
        <v>1625</v>
      </c>
      <c r="F1173" s="3" t="s">
        <v>1626</v>
      </c>
      <c r="G1173" t="s">
        <v>24</v>
      </c>
      <c r="H1173" s="3" t="s">
        <v>1627</v>
      </c>
      <c r="I1173" t="s">
        <v>43</v>
      </c>
      <c r="J1173" s="3" t="s">
        <v>1628</v>
      </c>
      <c r="K1173" s="4">
        <v>93</v>
      </c>
      <c r="L1173" s="5">
        <v>4.25</v>
      </c>
      <c r="M1173" s="6">
        <v>0</v>
      </c>
      <c r="N1173" s="7">
        <v>0</v>
      </c>
      <c r="O1173" t="s">
        <v>1629</v>
      </c>
      <c r="P1173" s="3" t="s">
        <v>138</v>
      </c>
      <c r="Q1173" s="8">
        <v>0.178976</v>
      </c>
    </row>
    <row r="1174" spans="1:17" hidden="1" x14ac:dyDescent="0.55000000000000004">
      <c r="A1174" s="3" t="s">
        <v>1518</v>
      </c>
      <c r="B1174" s="3" t="s">
        <v>7339</v>
      </c>
      <c r="C1174" t="s">
        <v>7340</v>
      </c>
      <c r="D1174" s="3" t="s">
        <v>7312</v>
      </c>
      <c r="E1174" t="s">
        <v>1630</v>
      </c>
      <c r="F1174" s="3" t="s">
        <v>1631</v>
      </c>
      <c r="G1174" t="s">
        <v>24</v>
      </c>
      <c r="H1174" s="3" t="s">
        <v>1632</v>
      </c>
      <c r="I1174" t="s">
        <v>48</v>
      </c>
      <c r="J1174" s="3" t="s">
        <v>43</v>
      </c>
      <c r="K1174" s="4">
        <v>228</v>
      </c>
      <c r="L1174" s="5">
        <v>10.38</v>
      </c>
      <c r="M1174" s="6">
        <v>0</v>
      </c>
      <c r="N1174" s="7">
        <v>0</v>
      </c>
      <c r="O1174" t="s">
        <v>1633</v>
      </c>
      <c r="P1174" s="3" t="s">
        <v>23</v>
      </c>
      <c r="Q1174" s="8" t="s">
        <v>23</v>
      </c>
    </row>
    <row r="1175" spans="1:17" hidden="1" x14ac:dyDescent="0.55000000000000004">
      <c r="A1175" s="3" t="s">
        <v>1518</v>
      </c>
      <c r="B1175" s="3" t="s">
        <v>7341</v>
      </c>
      <c r="C1175" t="s">
        <v>7340</v>
      </c>
      <c r="D1175" s="3" t="s">
        <v>7312</v>
      </c>
      <c r="E1175" t="s">
        <v>1634</v>
      </c>
      <c r="F1175" s="3" t="s">
        <v>1635</v>
      </c>
      <c r="G1175" t="s">
        <v>19</v>
      </c>
      <c r="H1175" s="3" t="s">
        <v>1636</v>
      </c>
      <c r="I1175" t="s">
        <v>1540</v>
      </c>
      <c r="J1175" s="3" t="s">
        <v>1637</v>
      </c>
      <c r="K1175" s="4">
        <v>92</v>
      </c>
      <c r="L1175" s="5">
        <v>20.04</v>
      </c>
      <c r="M1175" s="6">
        <v>1</v>
      </c>
      <c r="N1175" s="7">
        <v>1</v>
      </c>
      <c r="O1175" t="s">
        <v>1638</v>
      </c>
      <c r="P1175" s="3" t="s">
        <v>1543</v>
      </c>
      <c r="Q1175" s="8">
        <v>1.7314E-2</v>
      </c>
    </row>
    <row r="1176" spans="1:17" hidden="1" x14ac:dyDescent="0.55000000000000004">
      <c r="A1176" s="3" t="s">
        <v>1518</v>
      </c>
      <c r="B1176" s="3" t="s">
        <v>7341</v>
      </c>
      <c r="C1176" t="s">
        <v>7340</v>
      </c>
      <c r="D1176" s="3" t="s">
        <v>7312</v>
      </c>
      <c r="E1176" t="s">
        <v>1634</v>
      </c>
      <c r="F1176" s="3" t="s">
        <v>1635</v>
      </c>
      <c r="G1176" t="s">
        <v>24</v>
      </c>
      <c r="H1176" s="3" t="s">
        <v>1632</v>
      </c>
      <c r="I1176" t="s">
        <v>48</v>
      </c>
      <c r="J1176" s="3" t="s">
        <v>43</v>
      </c>
      <c r="K1176" s="4">
        <v>228</v>
      </c>
      <c r="L1176" s="5">
        <v>10.38</v>
      </c>
      <c r="M1176" s="6">
        <v>0</v>
      </c>
      <c r="N1176" s="7">
        <v>1</v>
      </c>
      <c r="O1176" t="s">
        <v>1633</v>
      </c>
      <c r="P1176" s="3" t="s">
        <v>23</v>
      </c>
      <c r="Q1176" s="8" t="s">
        <v>23</v>
      </c>
    </row>
    <row r="1177" spans="1:17" hidden="1" x14ac:dyDescent="0.55000000000000004">
      <c r="A1177" s="3" t="s">
        <v>1518</v>
      </c>
      <c r="B1177" s="3" t="s">
        <v>1639</v>
      </c>
      <c r="C1177" t="s">
        <v>1714</v>
      </c>
      <c r="D1177" s="3" t="s">
        <v>7312</v>
      </c>
      <c r="E1177" t="s">
        <v>1640</v>
      </c>
      <c r="F1177" s="3" t="s">
        <v>1641</v>
      </c>
      <c r="G1177" t="s">
        <v>19</v>
      </c>
      <c r="H1177" s="3" t="s">
        <v>1642</v>
      </c>
      <c r="I1177" t="s">
        <v>1540</v>
      </c>
      <c r="J1177" s="3" t="s">
        <v>1643</v>
      </c>
      <c r="K1177" s="4">
        <v>92</v>
      </c>
      <c r="L1177" s="5">
        <v>19.96</v>
      </c>
      <c r="M1177" s="6">
        <v>1</v>
      </c>
      <c r="N1177" s="7">
        <v>1</v>
      </c>
      <c r="O1177" t="s">
        <v>1644</v>
      </c>
      <c r="P1177" s="3" t="s">
        <v>1543</v>
      </c>
      <c r="Q1177" s="8">
        <v>2.5186E-2</v>
      </c>
    </row>
    <row r="1178" spans="1:17" hidden="1" x14ac:dyDescent="0.55000000000000004">
      <c r="A1178" s="3" t="s">
        <v>1518</v>
      </c>
      <c r="B1178" s="3" t="s">
        <v>1639</v>
      </c>
      <c r="C1178" t="s">
        <v>1714</v>
      </c>
      <c r="D1178" s="3" t="s">
        <v>7312</v>
      </c>
      <c r="E1178" t="s">
        <v>1640</v>
      </c>
      <c r="F1178" s="3" t="s">
        <v>1641</v>
      </c>
      <c r="G1178" t="s">
        <v>24</v>
      </c>
      <c r="H1178" s="3" t="s">
        <v>1645</v>
      </c>
      <c r="I1178" t="s">
        <v>37</v>
      </c>
      <c r="J1178" s="3" t="s">
        <v>1646</v>
      </c>
      <c r="K1178" s="4">
        <v>289</v>
      </c>
      <c r="L1178" s="5">
        <v>13.13</v>
      </c>
      <c r="M1178" s="6">
        <v>0</v>
      </c>
      <c r="N1178" s="7">
        <v>1</v>
      </c>
      <c r="O1178" t="s">
        <v>1647</v>
      </c>
      <c r="P1178" s="3" t="s">
        <v>40</v>
      </c>
      <c r="Q1178" s="8">
        <v>0.180925</v>
      </c>
    </row>
    <row r="1179" spans="1:17" hidden="1" x14ac:dyDescent="0.55000000000000004">
      <c r="A1179" s="3" t="s">
        <v>1518</v>
      </c>
      <c r="B1179" s="3" t="s">
        <v>1648</v>
      </c>
      <c r="C1179" t="s">
        <v>1520</v>
      </c>
      <c r="D1179" s="3" t="s">
        <v>7312</v>
      </c>
      <c r="E1179" t="s">
        <v>1649</v>
      </c>
      <c r="F1179" s="3" t="s">
        <v>1650</v>
      </c>
      <c r="G1179" t="s">
        <v>19</v>
      </c>
      <c r="H1179" s="3" t="s">
        <v>1651</v>
      </c>
      <c r="I1179" t="s">
        <v>21</v>
      </c>
      <c r="J1179" s="3" t="s">
        <v>1652</v>
      </c>
      <c r="K1179" s="4">
        <v>63</v>
      </c>
      <c r="L1179" s="5">
        <v>13.78</v>
      </c>
      <c r="M1179" s="6">
        <v>1</v>
      </c>
      <c r="N1179" s="7">
        <v>1</v>
      </c>
      <c r="O1179" t="s">
        <v>1653</v>
      </c>
      <c r="P1179" s="3" t="s">
        <v>1549</v>
      </c>
      <c r="Q1179" s="8">
        <v>3.4229000000000002E-2</v>
      </c>
    </row>
    <row r="1180" spans="1:17" hidden="1" x14ac:dyDescent="0.55000000000000004">
      <c r="A1180" s="3" t="s">
        <v>1518</v>
      </c>
      <c r="B1180" s="3" t="s">
        <v>1648</v>
      </c>
      <c r="C1180" t="s">
        <v>1520</v>
      </c>
      <c r="D1180" s="3" t="s">
        <v>7312</v>
      </c>
      <c r="E1180" t="s">
        <v>1649</v>
      </c>
      <c r="F1180" s="3" t="s">
        <v>1650</v>
      </c>
      <c r="G1180" t="s">
        <v>19</v>
      </c>
      <c r="H1180" s="3" t="s">
        <v>1654</v>
      </c>
      <c r="I1180" t="s">
        <v>1565</v>
      </c>
      <c r="J1180" s="3" t="s">
        <v>1655</v>
      </c>
      <c r="K1180" s="4">
        <v>39</v>
      </c>
      <c r="L1180" s="5">
        <v>8.39</v>
      </c>
      <c r="M1180" s="6">
        <v>0</v>
      </c>
      <c r="N1180" s="7">
        <v>1</v>
      </c>
      <c r="O1180" t="s">
        <v>1656</v>
      </c>
      <c r="P1180" s="3" t="s">
        <v>1567</v>
      </c>
      <c r="Q1180" s="8">
        <v>1.9130999999999999E-2</v>
      </c>
    </row>
    <row r="1181" spans="1:17" hidden="1" x14ac:dyDescent="0.55000000000000004">
      <c r="A1181" s="3" t="s">
        <v>1518</v>
      </c>
      <c r="B1181" s="3" t="s">
        <v>1648</v>
      </c>
      <c r="C1181" t="s">
        <v>1520</v>
      </c>
      <c r="D1181" s="3" t="s">
        <v>7312</v>
      </c>
      <c r="E1181" t="s">
        <v>1649</v>
      </c>
      <c r="F1181" s="3" t="s">
        <v>1650</v>
      </c>
      <c r="G1181" t="s">
        <v>19</v>
      </c>
      <c r="H1181" s="3" t="s">
        <v>1657</v>
      </c>
      <c r="I1181" t="s">
        <v>1569</v>
      </c>
      <c r="J1181" s="3" t="s">
        <v>1655</v>
      </c>
      <c r="K1181" s="4">
        <v>18</v>
      </c>
      <c r="L1181" s="5">
        <v>3.83</v>
      </c>
      <c r="M1181" s="6">
        <v>0</v>
      </c>
      <c r="N1181" s="7">
        <v>1</v>
      </c>
      <c r="O1181" t="s">
        <v>1658</v>
      </c>
      <c r="P1181" s="3" t="s">
        <v>1571</v>
      </c>
      <c r="Q1181" s="8">
        <v>1.9130999999999999E-2</v>
      </c>
    </row>
    <row r="1182" spans="1:17" hidden="1" x14ac:dyDescent="0.55000000000000004">
      <c r="A1182" s="3" t="s">
        <v>1518</v>
      </c>
      <c r="B1182" s="3" t="s">
        <v>1648</v>
      </c>
      <c r="C1182" t="s">
        <v>1520</v>
      </c>
      <c r="D1182" s="3" t="s">
        <v>7312</v>
      </c>
      <c r="E1182" t="s">
        <v>1649</v>
      </c>
      <c r="F1182" s="3" t="s">
        <v>1650</v>
      </c>
      <c r="G1182" t="s">
        <v>24</v>
      </c>
      <c r="H1182" s="3" t="s">
        <v>1523</v>
      </c>
      <c r="I1182" t="s">
        <v>296</v>
      </c>
      <c r="J1182" s="3" t="s">
        <v>304</v>
      </c>
      <c r="K1182" s="4">
        <v>590</v>
      </c>
      <c r="L1182" s="5">
        <v>0</v>
      </c>
      <c r="M1182" s="6">
        <v>0</v>
      </c>
      <c r="N1182" s="7">
        <v>1</v>
      </c>
      <c r="O1182" t="s">
        <v>23</v>
      </c>
      <c r="P1182" s="3" t="s">
        <v>23</v>
      </c>
      <c r="Q1182" s="8" t="s">
        <v>23</v>
      </c>
    </row>
    <row r="1183" spans="1:17" hidden="1" x14ac:dyDescent="0.55000000000000004">
      <c r="A1183" s="3" t="s">
        <v>1518</v>
      </c>
      <c r="B1183" s="3" t="s">
        <v>1648</v>
      </c>
      <c r="C1183" t="s">
        <v>1520</v>
      </c>
      <c r="D1183" s="3" t="s">
        <v>7312</v>
      </c>
      <c r="E1183" t="s">
        <v>1649</v>
      </c>
      <c r="F1183" s="3" t="s">
        <v>1650</v>
      </c>
      <c r="G1183" t="s">
        <v>24</v>
      </c>
      <c r="H1183" s="3" t="s">
        <v>1524</v>
      </c>
      <c r="I1183" t="s">
        <v>298</v>
      </c>
      <c r="J1183" s="3" t="s">
        <v>304</v>
      </c>
      <c r="K1183" s="4">
        <v>157</v>
      </c>
      <c r="L1183" s="5">
        <v>0</v>
      </c>
      <c r="M1183" s="6">
        <v>0</v>
      </c>
      <c r="N1183" s="7">
        <v>1</v>
      </c>
      <c r="O1183" t="s">
        <v>23</v>
      </c>
      <c r="P1183" s="3" t="s">
        <v>23</v>
      </c>
      <c r="Q1183" s="8" t="s">
        <v>23</v>
      </c>
    </row>
    <row r="1184" spans="1:17" hidden="1" x14ac:dyDescent="0.55000000000000004">
      <c r="A1184" s="3" t="s">
        <v>1518</v>
      </c>
      <c r="B1184" s="3" t="s">
        <v>1648</v>
      </c>
      <c r="C1184" t="s">
        <v>1520</v>
      </c>
      <c r="D1184" s="3" t="s">
        <v>7312</v>
      </c>
      <c r="E1184" t="s">
        <v>1649</v>
      </c>
      <c r="F1184" s="3" t="s">
        <v>1650</v>
      </c>
      <c r="G1184" t="s">
        <v>24</v>
      </c>
      <c r="H1184" s="3" t="s">
        <v>1525</v>
      </c>
      <c r="I1184" t="s">
        <v>300</v>
      </c>
      <c r="J1184" s="3" t="s">
        <v>304</v>
      </c>
      <c r="K1184" s="4">
        <v>523</v>
      </c>
      <c r="L1184" s="5">
        <v>0</v>
      </c>
      <c r="M1184" s="6">
        <v>0</v>
      </c>
      <c r="N1184" s="7">
        <v>1</v>
      </c>
      <c r="O1184" t="s">
        <v>23</v>
      </c>
      <c r="P1184" s="3" t="s">
        <v>23</v>
      </c>
      <c r="Q1184" s="8" t="s">
        <v>23</v>
      </c>
    </row>
    <row r="1185" spans="1:17" hidden="1" x14ac:dyDescent="0.55000000000000004">
      <c r="A1185" s="3" t="s">
        <v>1518</v>
      </c>
      <c r="B1185" s="3" t="s">
        <v>1648</v>
      </c>
      <c r="C1185" t="s">
        <v>1520</v>
      </c>
      <c r="D1185" s="3" t="s">
        <v>7312</v>
      </c>
      <c r="E1185" t="s">
        <v>1649</v>
      </c>
      <c r="F1185" s="3" t="s">
        <v>1650</v>
      </c>
      <c r="G1185" t="s">
        <v>24</v>
      </c>
      <c r="H1185" s="3" t="s">
        <v>1526</v>
      </c>
      <c r="I1185" t="s">
        <v>302</v>
      </c>
      <c r="J1185" s="3" t="s">
        <v>304</v>
      </c>
      <c r="K1185" s="4">
        <v>373</v>
      </c>
      <c r="L1185" s="5">
        <v>0</v>
      </c>
      <c r="M1185" s="6">
        <v>0</v>
      </c>
      <c r="N1185" s="7">
        <v>1</v>
      </c>
      <c r="O1185" t="s">
        <v>23</v>
      </c>
      <c r="P1185" s="3" t="s">
        <v>23</v>
      </c>
      <c r="Q1185" s="8" t="s">
        <v>23</v>
      </c>
    </row>
    <row r="1186" spans="1:17" hidden="1" x14ac:dyDescent="0.55000000000000004">
      <c r="A1186" s="3" t="s">
        <v>1518</v>
      </c>
      <c r="B1186" s="3" t="s">
        <v>1648</v>
      </c>
      <c r="C1186" t="s">
        <v>1520</v>
      </c>
      <c r="D1186" s="3" t="s">
        <v>7312</v>
      </c>
      <c r="E1186" t="s">
        <v>1649</v>
      </c>
      <c r="F1186" s="3" t="s">
        <v>1650</v>
      </c>
      <c r="G1186" t="s">
        <v>24</v>
      </c>
      <c r="H1186" s="3" t="s">
        <v>1527</v>
      </c>
      <c r="I1186" t="s">
        <v>52</v>
      </c>
      <c r="J1186" s="3" t="s">
        <v>304</v>
      </c>
      <c r="K1186" s="4">
        <v>444</v>
      </c>
      <c r="L1186" s="5">
        <v>0</v>
      </c>
      <c r="M1186" s="6">
        <v>0</v>
      </c>
      <c r="N1186" s="7">
        <v>1</v>
      </c>
      <c r="O1186" t="s">
        <v>23</v>
      </c>
      <c r="P1186" s="3" t="s">
        <v>23</v>
      </c>
      <c r="Q1186" s="8" t="s">
        <v>23</v>
      </c>
    </row>
    <row r="1187" spans="1:17" hidden="1" x14ac:dyDescent="0.55000000000000004">
      <c r="A1187" s="3" t="s">
        <v>1518</v>
      </c>
      <c r="B1187" s="3" t="s">
        <v>1648</v>
      </c>
      <c r="C1187" t="s">
        <v>1520</v>
      </c>
      <c r="D1187" s="3" t="s">
        <v>7312</v>
      </c>
      <c r="E1187" t="s">
        <v>1649</v>
      </c>
      <c r="F1187" s="3" t="s">
        <v>1650</v>
      </c>
      <c r="G1187" t="s">
        <v>24</v>
      </c>
      <c r="H1187" s="3" t="s">
        <v>1659</v>
      </c>
      <c r="I1187" t="s">
        <v>26</v>
      </c>
      <c r="J1187" s="3" t="s">
        <v>1660</v>
      </c>
      <c r="K1187" s="4">
        <v>581</v>
      </c>
      <c r="L1187" s="5">
        <v>26.4</v>
      </c>
      <c r="M1187" s="6">
        <v>0</v>
      </c>
      <c r="N1187" s="7">
        <v>1</v>
      </c>
      <c r="O1187" t="s">
        <v>1661</v>
      </c>
      <c r="P1187" s="3" t="s">
        <v>76</v>
      </c>
      <c r="Q1187" s="8">
        <v>0.17749999999999999</v>
      </c>
    </row>
    <row r="1188" spans="1:17" hidden="1" x14ac:dyDescent="0.55000000000000004">
      <c r="A1188" s="3" t="s">
        <v>1518</v>
      </c>
      <c r="B1188" s="3" t="s">
        <v>1648</v>
      </c>
      <c r="C1188" t="s">
        <v>1520</v>
      </c>
      <c r="D1188" s="3" t="s">
        <v>7312</v>
      </c>
      <c r="E1188" t="s">
        <v>1649</v>
      </c>
      <c r="F1188" s="3" t="s">
        <v>1650</v>
      </c>
      <c r="G1188" t="s">
        <v>24</v>
      </c>
      <c r="H1188" s="3" t="s">
        <v>1662</v>
      </c>
      <c r="I1188" t="s">
        <v>218</v>
      </c>
      <c r="J1188" s="3" t="s">
        <v>1660</v>
      </c>
      <c r="K1188" s="4">
        <v>38</v>
      </c>
      <c r="L1188" s="5">
        <v>1.71</v>
      </c>
      <c r="M1188" s="6">
        <v>0</v>
      </c>
      <c r="N1188" s="7">
        <v>1</v>
      </c>
      <c r="O1188" t="s">
        <v>1663</v>
      </c>
      <c r="P1188" s="3" t="s">
        <v>23</v>
      </c>
      <c r="Q1188" s="8" t="s">
        <v>23</v>
      </c>
    </row>
    <row r="1189" spans="1:17" hidden="1" x14ac:dyDescent="0.55000000000000004">
      <c r="A1189" s="3" t="s">
        <v>1518</v>
      </c>
      <c r="B1189" s="3" t="s">
        <v>1648</v>
      </c>
      <c r="C1189" t="s">
        <v>1520</v>
      </c>
      <c r="D1189" s="3" t="s">
        <v>7312</v>
      </c>
      <c r="E1189" t="s">
        <v>1649</v>
      </c>
      <c r="F1189" s="3" t="s">
        <v>1650</v>
      </c>
      <c r="G1189" t="s">
        <v>24</v>
      </c>
      <c r="H1189" s="3" t="s">
        <v>1533</v>
      </c>
      <c r="I1189" t="s">
        <v>317</v>
      </c>
      <c r="J1189" s="3" t="s">
        <v>218</v>
      </c>
      <c r="K1189" s="4">
        <v>395</v>
      </c>
      <c r="L1189" s="5">
        <v>0</v>
      </c>
      <c r="M1189" s="6">
        <v>0</v>
      </c>
      <c r="N1189" s="7">
        <v>1</v>
      </c>
      <c r="O1189" t="s">
        <v>23</v>
      </c>
      <c r="P1189" s="3" t="s">
        <v>23</v>
      </c>
      <c r="Q1189" s="8" t="s">
        <v>23</v>
      </c>
    </row>
    <row r="1190" spans="1:17" hidden="1" x14ac:dyDescent="0.55000000000000004">
      <c r="A1190" s="3" t="s">
        <v>1518</v>
      </c>
      <c r="B1190" s="3" t="s">
        <v>1648</v>
      </c>
      <c r="C1190" t="s">
        <v>1520</v>
      </c>
      <c r="D1190" s="3" t="s">
        <v>7312</v>
      </c>
      <c r="E1190" t="s">
        <v>1649</v>
      </c>
      <c r="F1190" s="3" t="s">
        <v>1650</v>
      </c>
      <c r="G1190" t="s">
        <v>24</v>
      </c>
      <c r="H1190" s="3" t="s">
        <v>1534</v>
      </c>
      <c r="I1190" t="s">
        <v>313</v>
      </c>
      <c r="J1190" s="3" t="s">
        <v>218</v>
      </c>
      <c r="K1190" s="4">
        <v>368</v>
      </c>
      <c r="L1190" s="5">
        <v>0</v>
      </c>
      <c r="M1190" s="6">
        <v>0</v>
      </c>
      <c r="N1190" s="7">
        <v>1</v>
      </c>
      <c r="O1190" t="s">
        <v>23</v>
      </c>
      <c r="P1190" s="3" t="s">
        <v>23</v>
      </c>
      <c r="Q1190" s="8" t="s">
        <v>23</v>
      </c>
    </row>
    <row r="1191" spans="1:17" hidden="1" x14ac:dyDescent="0.55000000000000004">
      <c r="A1191" s="3" t="s">
        <v>1518</v>
      </c>
      <c r="B1191" s="3" t="s">
        <v>1648</v>
      </c>
      <c r="C1191" t="s">
        <v>1520</v>
      </c>
      <c r="D1191" s="3" t="s">
        <v>7312</v>
      </c>
      <c r="E1191" t="s">
        <v>1649</v>
      </c>
      <c r="F1191" s="3" t="s">
        <v>1650</v>
      </c>
      <c r="G1191" t="s">
        <v>24</v>
      </c>
      <c r="H1191" s="3" t="s">
        <v>1535</v>
      </c>
      <c r="I1191" t="s">
        <v>315</v>
      </c>
      <c r="J1191" s="3" t="s">
        <v>218</v>
      </c>
      <c r="K1191" s="4">
        <v>600</v>
      </c>
      <c r="L1191" s="5">
        <v>0</v>
      </c>
      <c r="M1191" s="6">
        <v>0</v>
      </c>
      <c r="N1191" s="7">
        <v>1</v>
      </c>
      <c r="O1191" t="s">
        <v>23</v>
      </c>
      <c r="P1191" s="3" t="s">
        <v>23</v>
      </c>
      <c r="Q1191" s="8" t="s">
        <v>23</v>
      </c>
    </row>
    <row r="1192" spans="1:17" hidden="1" x14ac:dyDescent="0.55000000000000004">
      <c r="A1192" s="3" t="s">
        <v>1518</v>
      </c>
      <c r="B1192" s="3" t="s">
        <v>1648</v>
      </c>
      <c r="C1192" t="s">
        <v>1520</v>
      </c>
      <c r="D1192" s="3" t="s">
        <v>7312</v>
      </c>
      <c r="E1192" t="s">
        <v>1649</v>
      </c>
      <c r="F1192" s="3" t="s">
        <v>1650</v>
      </c>
      <c r="G1192" t="s">
        <v>24</v>
      </c>
      <c r="H1192" s="3" t="s">
        <v>1536</v>
      </c>
      <c r="I1192" t="s">
        <v>309</v>
      </c>
      <c r="J1192" s="3" t="s">
        <v>218</v>
      </c>
      <c r="K1192" s="4">
        <v>216</v>
      </c>
      <c r="L1192" s="5">
        <v>0</v>
      </c>
      <c r="M1192" s="6">
        <v>0</v>
      </c>
      <c r="N1192" s="7">
        <v>1</v>
      </c>
      <c r="O1192" t="s">
        <v>23</v>
      </c>
      <c r="P1192" s="3" t="s">
        <v>23</v>
      </c>
      <c r="Q1192" s="8" t="s">
        <v>23</v>
      </c>
    </row>
    <row r="1193" spans="1:17" hidden="1" x14ac:dyDescent="0.55000000000000004">
      <c r="A1193" s="3" t="s">
        <v>1518</v>
      </c>
      <c r="B1193" s="3" t="s">
        <v>1648</v>
      </c>
      <c r="C1193" t="s">
        <v>1520</v>
      </c>
      <c r="D1193" s="3" t="s">
        <v>7312</v>
      </c>
      <c r="E1193" t="s">
        <v>1649</v>
      </c>
      <c r="F1193" s="3" t="s">
        <v>1650</v>
      </c>
      <c r="G1193" t="s">
        <v>24</v>
      </c>
      <c r="H1193" s="3" t="s">
        <v>23</v>
      </c>
      <c r="I1193" t="s">
        <v>67</v>
      </c>
      <c r="J1193" s="3" t="s">
        <v>37</v>
      </c>
      <c r="K1193" s="4" t="s">
        <v>23</v>
      </c>
      <c r="L1193" s="5" t="s">
        <v>23</v>
      </c>
      <c r="M1193" s="6">
        <v>0</v>
      </c>
      <c r="N1193" s="7">
        <v>1</v>
      </c>
      <c r="O1193" t="s">
        <v>23</v>
      </c>
      <c r="P1193" s="3" t="s">
        <v>23</v>
      </c>
      <c r="Q1193" s="8" t="s">
        <v>23</v>
      </c>
    </row>
    <row r="1194" spans="1:17" hidden="1" x14ac:dyDescent="0.55000000000000004">
      <c r="A1194" s="3" t="s">
        <v>1518</v>
      </c>
      <c r="B1194" s="3" t="s">
        <v>1648</v>
      </c>
      <c r="C1194" t="s">
        <v>1520</v>
      </c>
      <c r="D1194" s="3" t="s">
        <v>7312</v>
      </c>
      <c r="E1194" t="s">
        <v>1649</v>
      </c>
      <c r="F1194" s="3" t="s">
        <v>1650</v>
      </c>
      <c r="G1194" t="s">
        <v>24</v>
      </c>
      <c r="H1194" s="3" t="s">
        <v>23</v>
      </c>
      <c r="I1194" t="s">
        <v>67</v>
      </c>
      <c r="J1194" s="3" t="s">
        <v>48</v>
      </c>
      <c r="K1194" s="4" t="s">
        <v>23</v>
      </c>
      <c r="L1194" s="5" t="s">
        <v>23</v>
      </c>
      <c r="M1194" s="6">
        <v>0</v>
      </c>
      <c r="N1194" s="7">
        <v>1</v>
      </c>
      <c r="O1194" t="s">
        <v>23</v>
      </c>
      <c r="P1194" s="3" t="s">
        <v>23</v>
      </c>
      <c r="Q1194" s="8" t="s">
        <v>23</v>
      </c>
    </row>
    <row r="1195" spans="1:17" hidden="1" x14ac:dyDescent="0.55000000000000004">
      <c r="A1195" s="3" t="s">
        <v>1518</v>
      </c>
      <c r="B1195" s="3" t="s">
        <v>1648</v>
      </c>
      <c r="C1195" t="s">
        <v>1520</v>
      </c>
      <c r="D1195" s="3" t="s">
        <v>7312</v>
      </c>
      <c r="E1195" t="s">
        <v>1664</v>
      </c>
      <c r="F1195" s="3" t="s">
        <v>1665</v>
      </c>
      <c r="G1195" t="s">
        <v>24</v>
      </c>
      <c r="H1195" s="3" t="s">
        <v>1523</v>
      </c>
      <c r="I1195" t="s">
        <v>296</v>
      </c>
      <c r="J1195" s="3" t="s">
        <v>304</v>
      </c>
      <c r="K1195" s="4">
        <v>590</v>
      </c>
      <c r="L1195" s="5">
        <v>0</v>
      </c>
      <c r="M1195" s="6">
        <v>0</v>
      </c>
      <c r="N1195" s="7">
        <v>0</v>
      </c>
      <c r="O1195" t="s">
        <v>23</v>
      </c>
      <c r="P1195" s="3" t="s">
        <v>23</v>
      </c>
      <c r="Q1195" s="8" t="s">
        <v>23</v>
      </c>
    </row>
    <row r="1196" spans="1:17" hidden="1" x14ac:dyDescent="0.55000000000000004">
      <c r="A1196" s="3" t="s">
        <v>1518</v>
      </c>
      <c r="B1196" s="3" t="s">
        <v>1648</v>
      </c>
      <c r="C1196" t="s">
        <v>1520</v>
      </c>
      <c r="D1196" s="3" t="s">
        <v>7312</v>
      </c>
      <c r="E1196" t="s">
        <v>1664</v>
      </c>
      <c r="F1196" s="3" t="s">
        <v>1665</v>
      </c>
      <c r="G1196" t="s">
        <v>24</v>
      </c>
      <c r="H1196" s="3" t="s">
        <v>1524</v>
      </c>
      <c r="I1196" t="s">
        <v>298</v>
      </c>
      <c r="J1196" s="3" t="s">
        <v>304</v>
      </c>
      <c r="K1196" s="4">
        <v>157</v>
      </c>
      <c r="L1196" s="5">
        <v>0</v>
      </c>
      <c r="M1196" s="6">
        <v>0</v>
      </c>
      <c r="N1196" s="7">
        <v>0</v>
      </c>
      <c r="O1196" t="s">
        <v>23</v>
      </c>
      <c r="P1196" s="3" t="s">
        <v>23</v>
      </c>
      <c r="Q1196" s="8" t="s">
        <v>23</v>
      </c>
    </row>
    <row r="1197" spans="1:17" hidden="1" x14ac:dyDescent="0.55000000000000004">
      <c r="A1197" s="3" t="s">
        <v>1518</v>
      </c>
      <c r="B1197" s="3" t="s">
        <v>1648</v>
      </c>
      <c r="C1197" t="s">
        <v>1520</v>
      </c>
      <c r="D1197" s="3" t="s">
        <v>7312</v>
      </c>
      <c r="E1197" t="s">
        <v>1664</v>
      </c>
      <c r="F1197" s="3" t="s">
        <v>1665</v>
      </c>
      <c r="G1197" t="s">
        <v>24</v>
      </c>
      <c r="H1197" s="3" t="s">
        <v>1525</v>
      </c>
      <c r="I1197" t="s">
        <v>300</v>
      </c>
      <c r="J1197" s="3" t="s">
        <v>304</v>
      </c>
      <c r="K1197" s="4">
        <v>523</v>
      </c>
      <c r="L1197" s="5">
        <v>0</v>
      </c>
      <c r="M1197" s="6">
        <v>0</v>
      </c>
      <c r="N1197" s="7">
        <v>0</v>
      </c>
      <c r="O1197" t="s">
        <v>23</v>
      </c>
      <c r="P1197" s="3" t="s">
        <v>23</v>
      </c>
      <c r="Q1197" s="8" t="s">
        <v>23</v>
      </c>
    </row>
    <row r="1198" spans="1:17" hidden="1" x14ac:dyDescent="0.55000000000000004">
      <c r="A1198" s="3" t="s">
        <v>1518</v>
      </c>
      <c r="B1198" s="3" t="s">
        <v>1648</v>
      </c>
      <c r="C1198" t="s">
        <v>1520</v>
      </c>
      <c r="D1198" s="3" t="s">
        <v>7312</v>
      </c>
      <c r="E1198" t="s">
        <v>1664</v>
      </c>
      <c r="F1198" s="3" t="s">
        <v>1665</v>
      </c>
      <c r="G1198" t="s">
        <v>24</v>
      </c>
      <c r="H1198" s="3" t="s">
        <v>1526</v>
      </c>
      <c r="I1198" t="s">
        <v>302</v>
      </c>
      <c r="J1198" s="3" t="s">
        <v>304</v>
      </c>
      <c r="K1198" s="4">
        <v>373</v>
      </c>
      <c r="L1198" s="5">
        <v>0</v>
      </c>
      <c r="M1198" s="6">
        <v>0</v>
      </c>
      <c r="N1198" s="7">
        <v>0</v>
      </c>
      <c r="O1198" t="s">
        <v>23</v>
      </c>
      <c r="P1198" s="3" t="s">
        <v>23</v>
      </c>
      <c r="Q1198" s="8" t="s">
        <v>23</v>
      </c>
    </row>
    <row r="1199" spans="1:17" hidden="1" x14ac:dyDescent="0.55000000000000004">
      <c r="A1199" s="3" t="s">
        <v>1518</v>
      </c>
      <c r="B1199" s="3" t="s">
        <v>1648</v>
      </c>
      <c r="C1199" t="s">
        <v>1520</v>
      </c>
      <c r="D1199" s="3" t="s">
        <v>7312</v>
      </c>
      <c r="E1199" t="s">
        <v>1664</v>
      </c>
      <c r="F1199" s="3" t="s">
        <v>1665</v>
      </c>
      <c r="G1199" t="s">
        <v>24</v>
      </c>
      <c r="H1199" s="3" t="s">
        <v>1527</v>
      </c>
      <c r="I1199" t="s">
        <v>52</v>
      </c>
      <c r="J1199" s="3" t="s">
        <v>304</v>
      </c>
      <c r="K1199" s="4">
        <v>444</v>
      </c>
      <c r="L1199" s="5">
        <v>0</v>
      </c>
      <c r="M1199" s="6">
        <v>0</v>
      </c>
      <c r="N1199" s="7">
        <v>0</v>
      </c>
      <c r="O1199" t="s">
        <v>23</v>
      </c>
      <c r="P1199" s="3" t="s">
        <v>23</v>
      </c>
      <c r="Q1199" s="8" t="s">
        <v>23</v>
      </c>
    </row>
    <row r="1200" spans="1:17" hidden="1" x14ac:dyDescent="0.55000000000000004">
      <c r="A1200" s="3" t="s">
        <v>1518</v>
      </c>
      <c r="B1200" s="3" t="s">
        <v>1648</v>
      </c>
      <c r="C1200" t="s">
        <v>1520</v>
      </c>
      <c r="D1200" s="3" t="s">
        <v>7312</v>
      </c>
      <c r="E1200" t="s">
        <v>1664</v>
      </c>
      <c r="F1200" s="3" t="s">
        <v>1665</v>
      </c>
      <c r="G1200" t="s">
        <v>24</v>
      </c>
      <c r="H1200" s="3" t="s">
        <v>1659</v>
      </c>
      <c r="I1200" t="s">
        <v>26</v>
      </c>
      <c r="J1200" s="3" t="s">
        <v>1660</v>
      </c>
      <c r="K1200" s="4">
        <v>581</v>
      </c>
      <c r="L1200" s="5">
        <v>26.4</v>
      </c>
      <c r="M1200" s="6">
        <v>0</v>
      </c>
      <c r="N1200" s="7">
        <v>0</v>
      </c>
      <c r="O1200" t="s">
        <v>1661</v>
      </c>
      <c r="P1200" s="3" t="s">
        <v>76</v>
      </c>
      <c r="Q1200" s="8">
        <v>0.17749999999999999</v>
      </c>
    </row>
    <row r="1201" spans="1:17" hidden="1" x14ac:dyDescent="0.55000000000000004">
      <c r="A1201" s="3" t="s">
        <v>1518</v>
      </c>
      <c r="B1201" s="3" t="s">
        <v>1648</v>
      </c>
      <c r="C1201" t="s">
        <v>1520</v>
      </c>
      <c r="D1201" s="3" t="s">
        <v>7312</v>
      </c>
      <c r="E1201" t="s">
        <v>1664</v>
      </c>
      <c r="F1201" s="3" t="s">
        <v>1665</v>
      </c>
      <c r="G1201" t="s">
        <v>24</v>
      </c>
      <c r="H1201" s="3" t="s">
        <v>1662</v>
      </c>
      <c r="I1201" t="s">
        <v>218</v>
      </c>
      <c r="J1201" s="3" t="s">
        <v>1660</v>
      </c>
      <c r="K1201" s="4">
        <v>38</v>
      </c>
      <c r="L1201" s="5">
        <v>1.71</v>
      </c>
      <c r="M1201" s="6">
        <v>0</v>
      </c>
      <c r="N1201" s="7">
        <v>0</v>
      </c>
      <c r="O1201" t="s">
        <v>1663</v>
      </c>
      <c r="P1201" s="3" t="s">
        <v>23</v>
      </c>
      <c r="Q1201" s="8" t="s">
        <v>23</v>
      </c>
    </row>
    <row r="1202" spans="1:17" hidden="1" x14ac:dyDescent="0.55000000000000004">
      <c r="A1202" s="3" t="s">
        <v>1518</v>
      </c>
      <c r="B1202" s="3" t="s">
        <v>1648</v>
      </c>
      <c r="C1202" t="s">
        <v>1520</v>
      </c>
      <c r="D1202" s="3" t="s">
        <v>7312</v>
      </c>
      <c r="E1202" t="s">
        <v>1664</v>
      </c>
      <c r="F1202" s="3" t="s">
        <v>1665</v>
      </c>
      <c r="G1202" t="s">
        <v>24</v>
      </c>
      <c r="H1202" s="3" t="s">
        <v>1533</v>
      </c>
      <c r="I1202" t="s">
        <v>317</v>
      </c>
      <c r="J1202" s="3" t="s">
        <v>218</v>
      </c>
      <c r="K1202" s="4">
        <v>395</v>
      </c>
      <c r="L1202" s="5">
        <v>0</v>
      </c>
      <c r="M1202" s="6">
        <v>0</v>
      </c>
      <c r="N1202" s="7">
        <v>0</v>
      </c>
      <c r="O1202" t="s">
        <v>23</v>
      </c>
      <c r="P1202" s="3" t="s">
        <v>23</v>
      </c>
      <c r="Q1202" s="8" t="s">
        <v>23</v>
      </c>
    </row>
    <row r="1203" spans="1:17" hidden="1" x14ac:dyDescent="0.55000000000000004">
      <c r="A1203" s="3" t="s">
        <v>1518</v>
      </c>
      <c r="B1203" s="3" t="s">
        <v>1648</v>
      </c>
      <c r="C1203" t="s">
        <v>1520</v>
      </c>
      <c r="D1203" s="3" t="s">
        <v>7312</v>
      </c>
      <c r="E1203" t="s">
        <v>1664</v>
      </c>
      <c r="F1203" s="3" t="s">
        <v>1665</v>
      </c>
      <c r="G1203" t="s">
        <v>24</v>
      </c>
      <c r="H1203" s="3" t="s">
        <v>1534</v>
      </c>
      <c r="I1203" t="s">
        <v>313</v>
      </c>
      <c r="J1203" s="3" t="s">
        <v>218</v>
      </c>
      <c r="K1203" s="4">
        <v>368</v>
      </c>
      <c r="L1203" s="5">
        <v>0</v>
      </c>
      <c r="M1203" s="6">
        <v>0</v>
      </c>
      <c r="N1203" s="7">
        <v>0</v>
      </c>
      <c r="O1203" t="s">
        <v>23</v>
      </c>
      <c r="P1203" s="3" t="s">
        <v>23</v>
      </c>
      <c r="Q1203" s="8" t="s">
        <v>23</v>
      </c>
    </row>
    <row r="1204" spans="1:17" hidden="1" x14ac:dyDescent="0.55000000000000004">
      <c r="A1204" s="3" t="s">
        <v>1518</v>
      </c>
      <c r="B1204" s="3" t="s">
        <v>1648</v>
      </c>
      <c r="C1204" t="s">
        <v>1520</v>
      </c>
      <c r="D1204" s="3" t="s">
        <v>7312</v>
      </c>
      <c r="E1204" t="s">
        <v>1664</v>
      </c>
      <c r="F1204" s="3" t="s">
        <v>1665</v>
      </c>
      <c r="G1204" t="s">
        <v>24</v>
      </c>
      <c r="H1204" s="3" t="s">
        <v>1535</v>
      </c>
      <c r="I1204" t="s">
        <v>315</v>
      </c>
      <c r="J1204" s="3" t="s">
        <v>218</v>
      </c>
      <c r="K1204" s="4">
        <v>600</v>
      </c>
      <c r="L1204" s="5">
        <v>0</v>
      </c>
      <c r="M1204" s="6">
        <v>0</v>
      </c>
      <c r="N1204" s="7">
        <v>0</v>
      </c>
      <c r="O1204" t="s">
        <v>23</v>
      </c>
      <c r="P1204" s="3" t="s">
        <v>23</v>
      </c>
      <c r="Q1204" s="8" t="s">
        <v>23</v>
      </c>
    </row>
    <row r="1205" spans="1:17" hidden="1" x14ac:dyDescent="0.55000000000000004">
      <c r="A1205" s="3" t="s">
        <v>1518</v>
      </c>
      <c r="B1205" s="3" t="s">
        <v>1648</v>
      </c>
      <c r="C1205" t="s">
        <v>1520</v>
      </c>
      <c r="D1205" s="3" t="s">
        <v>7312</v>
      </c>
      <c r="E1205" t="s">
        <v>1664</v>
      </c>
      <c r="F1205" s="3" t="s">
        <v>1665</v>
      </c>
      <c r="G1205" t="s">
        <v>24</v>
      </c>
      <c r="H1205" s="3" t="s">
        <v>1536</v>
      </c>
      <c r="I1205" t="s">
        <v>309</v>
      </c>
      <c r="J1205" s="3" t="s">
        <v>218</v>
      </c>
      <c r="K1205" s="4">
        <v>216</v>
      </c>
      <c r="L1205" s="5">
        <v>0</v>
      </c>
      <c r="M1205" s="6">
        <v>0</v>
      </c>
      <c r="N1205" s="7">
        <v>0</v>
      </c>
      <c r="O1205" t="s">
        <v>23</v>
      </c>
      <c r="P1205" s="3" t="s">
        <v>23</v>
      </c>
      <c r="Q1205" s="8" t="s">
        <v>23</v>
      </c>
    </row>
    <row r="1206" spans="1:17" hidden="1" x14ac:dyDescent="0.55000000000000004">
      <c r="A1206" s="3" t="s">
        <v>1518</v>
      </c>
      <c r="B1206" s="3" t="s">
        <v>1648</v>
      </c>
      <c r="C1206" t="s">
        <v>1520</v>
      </c>
      <c r="D1206" s="3" t="s">
        <v>7312</v>
      </c>
      <c r="E1206" t="s">
        <v>1664</v>
      </c>
      <c r="F1206" s="3" t="s">
        <v>1665</v>
      </c>
      <c r="G1206" t="s">
        <v>24</v>
      </c>
      <c r="H1206" s="3" t="s">
        <v>23</v>
      </c>
      <c r="I1206" t="s">
        <v>67</v>
      </c>
      <c r="J1206" s="3" t="s">
        <v>37</v>
      </c>
      <c r="K1206" s="4" t="s">
        <v>23</v>
      </c>
      <c r="L1206" s="5" t="s">
        <v>23</v>
      </c>
      <c r="M1206" s="6">
        <v>0</v>
      </c>
      <c r="N1206" s="7">
        <v>0</v>
      </c>
      <c r="O1206" t="s">
        <v>23</v>
      </c>
      <c r="P1206" s="3" t="s">
        <v>23</v>
      </c>
      <c r="Q1206" s="8" t="s">
        <v>23</v>
      </c>
    </row>
    <row r="1207" spans="1:17" hidden="1" x14ac:dyDescent="0.55000000000000004">
      <c r="A1207" s="3" t="s">
        <v>1518</v>
      </c>
      <c r="B1207" s="3" t="s">
        <v>1648</v>
      </c>
      <c r="C1207" t="s">
        <v>1520</v>
      </c>
      <c r="D1207" s="3" t="s">
        <v>7312</v>
      </c>
      <c r="E1207" t="s">
        <v>1664</v>
      </c>
      <c r="F1207" s="3" t="s">
        <v>1665</v>
      </c>
      <c r="G1207" t="s">
        <v>24</v>
      </c>
      <c r="H1207" s="3" t="s">
        <v>23</v>
      </c>
      <c r="I1207" t="s">
        <v>67</v>
      </c>
      <c r="J1207" s="3" t="s">
        <v>48</v>
      </c>
      <c r="K1207" s="4" t="s">
        <v>23</v>
      </c>
      <c r="L1207" s="5" t="s">
        <v>23</v>
      </c>
      <c r="M1207" s="6">
        <v>0</v>
      </c>
      <c r="N1207" s="7">
        <v>0</v>
      </c>
      <c r="O1207" t="s">
        <v>23</v>
      </c>
      <c r="P1207" s="3" t="s">
        <v>23</v>
      </c>
      <c r="Q1207" s="8" t="s">
        <v>23</v>
      </c>
    </row>
    <row r="1208" spans="1:17" hidden="1" x14ac:dyDescent="0.55000000000000004">
      <c r="A1208" s="3" t="s">
        <v>1518</v>
      </c>
      <c r="B1208" s="3" t="s">
        <v>1666</v>
      </c>
      <c r="C1208" t="s">
        <v>1666</v>
      </c>
      <c r="D1208" s="3" t="s">
        <v>7312</v>
      </c>
      <c r="E1208" t="s">
        <v>1667</v>
      </c>
      <c r="F1208" s="3" t="s">
        <v>1668</v>
      </c>
      <c r="G1208" t="s">
        <v>19</v>
      </c>
      <c r="H1208" s="3" t="s">
        <v>1669</v>
      </c>
      <c r="I1208" t="s">
        <v>21</v>
      </c>
      <c r="J1208" s="3" t="s">
        <v>1670</v>
      </c>
      <c r="K1208" s="4">
        <v>129</v>
      </c>
      <c r="L1208" s="5">
        <v>28.13</v>
      </c>
      <c r="M1208" s="6">
        <v>1</v>
      </c>
      <c r="N1208" s="7">
        <v>1</v>
      </c>
      <c r="O1208" t="s">
        <v>1671</v>
      </c>
      <c r="P1208" s="3" t="s">
        <v>1549</v>
      </c>
      <c r="Q1208" s="8">
        <v>1.184E-2</v>
      </c>
    </row>
    <row r="1209" spans="1:17" hidden="1" x14ac:dyDescent="0.55000000000000004">
      <c r="A1209" s="3" t="s">
        <v>1518</v>
      </c>
      <c r="B1209" s="3" t="s">
        <v>1666</v>
      </c>
      <c r="C1209" t="s">
        <v>1666</v>
      </c>
      <c r="D1209" s="3" t="s">
        <v>7312</v>
      </c>
      <c r="E1209" t="s">
        <v>1667</v>
      </c>
      <c r="F1209" s="3" t="s">
        <v>1668</v>
      </c>
      <c r="G1209" t="s">
        <v>19</v>
      </c>
      <c r="H1209" s="3" t="s">
        <v>1669</v>
      </c>
      <c r="I1209" t="s">
        <v>21</v>
      </c>
      <c r="J1209" s="3" t="s">
        <v>1670</v>
      </c>
      <c r="K1209" s="4">
        <v>129</v>
      </c>
      <c r="L1209" s="5">
        <v>28.13</v>
      </c>
      <c r="M1209" s="6">
        <v>1</v>
      </c>
      <c r="N1209" s="7">
        <v>1</v>
      </c>
      <c r="O1209" t="s">
        <v>1672</v>
      </c>
      <c r="P1209" s="3" t="s">
        <v>1673</v>
      </c>
      <c r="Q1209" s="8">
        <v>3.6797999999999997E-2</v>
      </c>
    </row>
    <row r="1210" spans="1:17" hidden="1" x14ac:dyDescent="0.55000000000000004">
      <c r="A1210" s="3" t="s">
        <v>1518</v>
      </c>
      <c r="B1210" s="3" t="s">
        <v>1666</v>
      </c>
      <c r="C1210" t="s">
        <v>1666</v>
      </c>
      <c r="D1210" s="3" t="s">
        <v>7312</v>
      </c>
      <c r="E1210" t="s">
        <v>1667</v>
      </c>
      <c r="F1210" s="3" t="s">
        <v>1668</v>
      </c>
      <c r="G1210" t="s">
        <v>24</v>
      </c>
      <c r="H1210" s="3" t="s">
        <v>1674</v>
      </c>
      <c r="I1210" t="s">
        <v>43</v>
      </c>
      <c r="J1210" s="3" t="s">
        <v>1675</v>
      </c>
      <c r="K1210" s="4">
        <v>86</v>
      </c>
      <c r="L1210" s="5">
        <v>3.91</v>
      </c>
      <c r="M1210" s="6">
        <v>0</v>
      </c>
      <c r="N1210" s="7">
        <v>1</v>
      </c>
      <c r="O1210" t="s">
        <v>1676</v>
      </c>
      <c r="P1210" s="3" t="s">
        <v>138</v>
      </c>
      <c r="Q1210" s="8">
        <v>0.17890300000000001</v>
      </c>
    </row>
    <row r="1211" spans="1:17" hidden="1" x14ac:dyDescent="0.55000000000000004">
      <c r="A1211" s="3" t="s">
        <v>1518</v>
      </c>
      <c r="B1211" s="3" t="s">
        <v>1586</v>
      </c>
      <c r="C1211" t="s">
        <v>1586</v>
      </c>
      <c r="D1211" s="3" t="s">
        <v>7312</v>
      </c>
      <c r="E1211" t="s">
        <v>1677</v>
      </c>
      <c r="F1211" s="3" t="s">
        <v>1678</v>
      </c>
      <c r="G1211" t="s">
        <v>19</v>
      </c>
      <c r="H1211" s="3" t="s">
        <v>1679</v>
      </c>
      <c r="I1211" t="s">
        <v>1680</v>
      </c>
      <c r="J1211" s="3" t="s">
        <v>1681</v>
      </c>
      <c r="K1211" s="4">
        <v>43</v>
      </c>
      <c r="L1211" s="5">
        <v>9.35</v>
      </c>
      <c r="M1211" s="6">
        <v>1</v>
      </c>
      <c r="N1211" s="7">
        <v>0</v>
      </c>
      <c r="O1211" t="s">
        <v>1682</v>
      </c>
      <c r="P1211" s="3" t="s">
        <v>1683</v>
      </c>
      <c r="Q1211" s="8">
        <v>2.2355E-2</v>
      </c>
    </row>
    <row r="1212" spans="1:17" hidden="1" x14ac:dyDescent="0.55000000000000004">
      <c r="A1212" s="3" t="s">
        <v>1518</v>
      </c>
      <c r="B1212" s="3" t="s">
        <v>1586</v>
      </c>
      <c r="C1212" t="s">
        <v>1586</v>
      </c>
      <c r="D1212" s="3" t="s">
        <v>7312</v>
      </c>
      <c r="E1212" t="s">
        <v>1677</v>
      </c>
      <c r="F1212" s="3" t="s">
        <v>1678</v>
      </c>
      <c r="G1212" t="s">
        <v>24</v>
      </c>
      <c r="H1212" s="3" t="s">
        <v>1684</v>
      </c>
      <c r="I1212" t="s">
        <v>37</v>
      </c>
      <c r="J1212" s="3" t="s">
        <v>1685</v>
      </c>
      <c r="K1212" s="4">
        <v>100</v>
      </c>
      <c r="L1212" s="5">
        <v>4.55</v>
      </c>
      <c r="M1212" s="6">
        <v>0</v>
      </c>
      <c r="N1212" s="7">
        <v>0</v>
      </c>
      <c r="O1212" t="s">
        <v>1686</v>
      </c>
      <c r="P1212" s="3" t="s">
        <v>40</v>
      </c>
      <c r="Q1212" s="8">
        <v>0.17904200000000001</v>
      </c>
    </row>
    <row r="1213" spans="1:17" hidden="1" x14ac:dyDescent="0.55000000000000004">
      <c r="A1213" s="3" t="s">
        <v>1518</v>
      </c>
      <c r="B1213" s="3" t="s">
        <v>1586</v>
      </c>
      <c r="C1213" t="s">
        <v>1586</v>
      </c>
      <c r="D1213" s="3" t="s">
        <v>7312</v>
      </c>
      <c r="E1213" t="s">
        <v>1677</v>
      </c>
      <c r="F1213" s="3" t="s">
        <v>1678</v>
      </c>
      <c r="G1213" t="s">
        <v>24</v>
      </c>
      <c r="H1213" s="3" t="s">
        <v>1687</v>
      </c>
      <c r="I1213" t="s">
        <v>48</v>
      </c>
      <c r="J1213" s="3" t="s">
        <v>1688</v>
      </c>
      <c r="K1213" s="4">
        <v>87</v>
      </c>
      <c r="L1213" s="5">
        <v>3.95</v>
      </c>
      <c r="M1213" s="6">
        <v>0</v>
      </c>
      <c r="N1213" s="7">
        <v>0</v>
      </c>
      <c r="O1213" t="s">
        <v>1689</v>
      </c>
      <c r="P1213" s="3" t="s">
        <v>23</v>
      </c>
      <c r="Q1213" s="8" t="s">
        <v>23</v>
      </c>
    </row>
    <row r="1214" spans="1:17" hidden="1" x14ac:dyDescent="0.55000000000000004">
      <c r="A1214" s="3" t="s">
        <v>1518</v>
      </c>
      <c r="B1214" s="3" t="s">
        <v>1690</v>
      </c>
      <c r="C1214" t="s">
        <v>1520</v>
      </c>
      <c r="D1214" s="3" t="s">
        <v>7312</v>
      </c>
      <c r="E1214" t="s">
        <v>1691</v>
      </c>
      <c r="F1214" s="3" t="s">
        <v>1692</v>
      </c>
      <c r="G1214" t="s">
        <v>24</v>
      </c>
      <c r="H1214" s="3" t="s">
        <v>1693</v>
      </c>
      <c r="I1214" t="s">
        <v>304</v>
      </c>
      <c r="J1214" s="3" t="s">
        <v>1694</v>
      </c>
      <c r="K1214" s="4">
        <v>60</v>
      </c>
      <c r="L1214" s="5">
        <v>2.72</v>
      </c>
      <c r="M1214" s="6">
        <v>0</v>
      </c>
      <c r="N1214" s="7">
        <v>0</v>
      </c>
      <c r="O1214" t="s">
        <v>1695</v>
      </c>
      <c r="P1214" s="3" t="s">
        <v>55</v>
      </c>
      <c r="Q1214" s="8">
        <v>0.178642</v>
      </c>
    </row>
    <row r="1215" spans="1:17" hidden="1" x14ac:dyDescent="0.55000000000000004">
      <c r="A1215" s="3" t="s">
        <v>1518</v>
      </c>
      <c r="B1215" s="3" t="s">
        <v>1690</v>
      </c>
      <c r="C1215" t="s">
        <v>1520</v>
      </c>
      <c r="D1215" s="3" t="s">
        <v>7312</v>
      </c>
      <c r="E1215" t="s">
        <v>1691</v>
      </c>
      <c r="F1215" s="3" t="s">
        <v>1692</v>
      </c>
      <c r="G1215" t="s">
        <v>24</v>
      </c>
      <c r="H1215" s="3" t="s">
        <v>1523</v>
      </c>
      <c r="I1215" t="s">
        <v>296</v>
      </c>
      <c r="J1215" s="3" t="s">
        <v>304</v>
      </c>
      <c r="K1215" s="4">
        <v>590</v>
      </c>
      <c r="L1215" s="5">
        <v>0</v>
      </c>
      <c r="M1215" s="6">
        <v>0</v>
      </c>
      <c r="N1215" s="7">
        <v>0</v>
      </c>
      <c r="O1215" t="s">
        <v>23</v>
      </c>
      <c r="P1215" s="3" t="s">
        <v>23</v>
      </c>
      <c r="Q1215" s="8" t="s">
        <v>23</v>
      </c>
    </row>
    <row r="1216" spans="1:17" hidden="1" x14ac:dyDescent="0.55000000000000004">
      <c r="A1216" s="3" t="s">
        <v>1518</v>
      </c>
      <c r="B1216" s="3" t="s">
        <v>1690</v>
      </c>
      <c r="C1216" t="s">
        <v>1520</v>
      </c>
      <c r="D1216" s="3" t="s">
        <v>7312</v>
      </c>
      <c r="E1216" t="s">
        <v>1691</v>
      </c>
      <c r="F1216" s="3" t="s">
        <v>1692</v>
      </c>
      <c r="G1216" t="s">
        <v>24</v>
      </c>
      <c r="H1216" s="3" t="s">
        <v>1524</v>
      </c>
      <c r="I1216" t="s">
        <v>298</v>
      </c>
      <c r="J1216" s="3" t="s">
        <v>304</v>
      </c>
      <c r="K1216" s="4">
        <v>157</v>
      </c>
      <c r="L1216" s="5">
        <v>0</v>
      </c>
      <c r="M1216" s="6">
        <v>0</v>
      </c>
      <c r="N1216" s="7">
        <v>0</v>
      </c>
      <c r="O1216" t="s">
        <v>23</v>
      </c>
      <c r="P1216" s="3" t="s">
        <v>23</v>
      </c>
      <c r="Q1216" s="8" t="s">
        <v>23</v>
      </c>
    </row>
    <row r="1217" spans="1:17" hidden="1" x14ac:dyDescent="0.55000000000000004">
      <c r="A1217" s="3" t="s">
        <v>1518</v>
      </c>
      <c r="B1217" s="3" t="s">
        <v>1690</v>
      </c>
      <c r="C1217" t="s">
        <v>1520</v>
      </c>
      <c r="D1217" s="3" t="s">
        <v>7312</v>
      </c>
      <c r="E1217" t="s">
        <v>1691</v>
      </c>
      <c r="F1217" s="3" t="s">
        <v>1692</v>
      </c>
      <c r="G1217" t="s">
        <v>24</v>
      </c>
      <c r="H1217" s="3" t="s">
        <v>1525</v>
      </c>
      <c r="I1217" t="s">
        <v>300</v>
      </c>
      <c r="J1217" s="3" t="s">
        <v>304</v>
      </c>
      <c r="K1217" s="4">
        <v>523</v>
      </c>
      <c r="L1217" s="5">
        <v>0</v>
      </c>
      <c r="M1217" s="6">
        <v>0</v>
      </c>
      <c r="N1217" s="7">
        <v>0</v>
      </c>
      <c r="O1217" t="s">
        <v>23</v>
      </c>
      <c r="P1217" s="3" t="s">
        <v>23</v>
      </c>
      <c r="Q1217" s="8" t="s">
        <v>23</v>
      </c>
    </row>
    <row r="1218" spans="1:17" hidden="1" x14ac:dyDescent="0.55000000000000004">
      <c r="A1218" s="3" t="s">
        <v>1518</v>
      </c>
      <c r="B1218" s="3" t="s">
        <v>1690</v>
      </c>
      <c r="C1218" t="s">
        <v>1520</v>
      </c>
      <c r="D1218" s="3" t="s">
        <v>7312</v>
      </c>
      <c r="E1218" t="s">
        <v>1691</v>
      </c>
      <c r="F1218" s="3" t="s">
        <v>1692</v>
      </c>
      <c r="G1218" t="s">
        <v>24</v>
      </c>
      <c r="H1218" s="3" t="s">
        <v>1526</v>
      </c>
      <c r="I1218" t="s">
        <v>302</v>
      </c>
      <c r="J1218" s="3" t="s">
        <v>304</v>
      </c>
      <c r="K1218" s="4">
        <v>373</v>
      </c>
      <c r="L1218" s="5">
        <v>0</v>
      </c>
      <c r="M1218" s="6">
        <v>0</v>
      </c>
      <c r="N1218" s="7">
        <v>0</v>
      </c>
      <c r="O1218" t="s">
        <v>23</v>
      </c>
      <c r="P1218" s="3" t="s">
        <v>23</v>
      </c>
      <c r="Q1218" s="8" t="s">
        <v>23</v>
      </c>
    </row>
    <row r="1219" spans="1:17" hidden="1" x14ac:dyDescent="0.55000000000000004">
      <c r="A1219" s="3" t="s">
        <v>1518</v>
      </c>
      <c r="B1219" s="3" t="s">
        <v>1690</v>
      </c>
      <c r="C1219" t="s">
        <v>1520</v>
      </c>
      <c r="D1219" s="3" t="s">
        <v>7312</v>
      </c>
      <c r="E1219" t="s">
        <v>1691</v>
      </c>
      <c r="F1219" s="3" t="s">
        <v>1692</v>
      </c>
      <c r="G1219" t="s">
        <v>24</v>
      </c>
      <c r="H1219" s="3" t="s">
        <v>1527</v>
      </c>
      <c r="I1219" t="s">
        <v>52</v>
      </c>
      <c r="J1219" s="3" t="s">
        <v>304</v>
      </c>
      <c r="K1219" s="4">
        <v>444</v>
      </c>
      <c r="L1219" s="5">
        <v>0</v>
      </c>
      <c r="M1219" s="6">
        <v>0</v>
      </c>
      <c r="N1219" s="7">
        <v>0</v>
      </c>
      <c r="O1219" t="s">
        <v>23</v>
      </c>
      <c r="P1219" s="3" t="s">
        <v>23</v>
      </c>
      <c r="Q1219" s="8" t="s">
        <v>23</v>
      </c>
    </row>
    <row r="1220" spans="1:17" hidden="1" x14ac:dyDescent="0.55000000000000004">
      <c r="A1220" s="3" t="s">
        <v>1518</v>
      </c>
      <c r="B1220" s="3" t="s">
        <v>1690</v>
      </c>
      <c r="C1220" t="s">
        <v>1520</v>
      </c>
      <c r="D1220" s="3" t="s">
        <v>7312</v>
      </c>
      <c r="E1220" t="s">
        <v>1691</v>
      </c>
      <c r="F1220" s="3" t="s">
        <v>1692</v>
      </c>
      <c r="G1220" t="s">
        <v>24</v>
      </c>
      <c r="H1220" s="3" t="s">
        <v>1533</v>
      </c>
      <c r="I1220" t="s">
        <v>317</v>
      </c>
      <c r="J1220" s="3" t="s">
        <v>218</v>
      </c>
      <c r="K1220" s="4">
        <v>395</v>
      </c>
      <c r="L1220" s="5">
        <v>0</v>
      </c>
      <c r="M1220" s="6">
        <v>0</v>
      </c>
      <c r="N1220" s="7">
        <v>0</v>
      </c>
      <c r="O1220" t="s">
        <v>23</v>
      </c>
      <c r="P1220" s="3" t="s">
        <v>23</v>
      </c>
      <c r="Q1220" s="8" t="s">
        <v>23</v>
      </c>
    </row>
    <row r="1221" spans="1:17" hidden="1" x14ac:dyDescent="0.55000000000000004">
      <c r="A1221" s="3" t="s">
        <v>1518</v>
      </c>
      <c r="B1221" s="3" t="s">
        <v>1690</v>
      </c>
      <c r="C1221" t="s">
        <v>1520</v>
      </c>
      <c r="D1221" s="3" t="s">
        <v>7312</v>
      </c>
      <c r="E1221" t="s">
        <v>1691</v>
      </c>
      <c r="F1221" s="3" t="s">
        <v>1692</v>
      </c>
      <c r="G1221" t="s">
        <v>24</v>
      </c>
      <c r="H1221" s="3" t="s">
        <v>1534</v>
      </c>
      <c r="I1221" t="s">
        <v>313</v>
      </c>
      <c r="J1221" s="3" t="s">
        <v>218</v>
      </c>
      <c r="K1221" s="4">
        <v>368</v>
      </c>
      <c r="L1221" s="5">
        <v>0</v>
      </c>
      <c r="M1221" s="6">
        <v>0</v>
      </c>
      <c r="N1221" s="7">
        <v>0</v>
      </c>
      <c r="O1221" t="s">
        <v>23</v>
      </c>
      <c r="P1221" s="3" t="s">
        <v>23</v>
      </c>
      <c r="Q1221" s="8" t="s">
        <v>23</v>
      </c>
    </row>
    <row r="1222" spans="1:17" hidden="1" x14ac:dyDescent="0.55000000000000004">
      <c r="A1222" s="3" t="s">
        <v>1518</v>
      </c>
      <c r="B1222" s="3" t="s">
        <v>1690</v>
      </c>
      <c r="C1222" t="s">
        <v>1520</v>
      </c>
      <c r="D1222" s="3" t="s">
        <v>7312</v>
      </c>
      <c r="E1222" t="s">
        <v>1691</v>
      </c>
      <c r="F1222" s="3" t="s">
        <v>1692</v>
      </c>
      <c r="G1222" t="s">
        <v>24</v>
      </c>
      <c r="H1222" s="3" t="s">
        <v>1535</v>
      </c>
      <c r="I1222" t="s">
        <v>315</v>
      </c>
      <c r="J1222" s="3" t="s">
        <v>218</v>
      </c>
      <c r="K1222" s="4">
        <v>600</v>
      </c>
      <c r="L1222" s="5">
        <v>0</v>
      </c>
      <c r="M1222" s="6">
        <v>0</v>
      </c>
      <c r="N1222" s="7">
        <v>0</v>
      </c>
      <c r="O1222" t="s">
        <v>23</v>
      </c>
      <c r="P1222" s="3" t="s">
        <v>23</v>
      </c>
      <c r="Q1222" s="8" t="s">
        <v>23</v>
      </c>
    </row>
    <row r="1223" spans="1:17" hidden="1" x14ac:dyDescent="0.55000000000000004">
      <c r="A1223" s="3" t="s">
        <v>1518</v>
      </c>
      <c r="B1223" s="3" t="s">
        <v>1690</v>
      </c>
      <c r="C1223" t="s">
        <v>1520</v>
      </c>
      <c r="D1223" s="3" t="s">
        <v>7312</v>
      </c>
      <c r="E1223" t="s">
        <v>1691</v>
      </c>
      <c r="F1223" s="3" t="s">
        <v>1692</v>
      </c>
      <c r="G1223" t="s">
        <v>24</v>
      </c>
      <c r="H1223" s="3" t="s">
        <v>1536</v>
      </c>
      <c r="I1223" t="s">
        <v>309</v>
      </c>
      <c r="J1223" s="3" t="s">
        <v>218</v>
      </c>
      <c r="K1223" s="4">
        <v>216</v>
      </c>
      <c r="L1223" s="5">
        <v>0</v>
      </c>
      <c r="M1223" s="6">
        <v>0</v>
      </c>
      <c r="N1223" s="7">
        <v>0</v>
      </c>
      <c r="O1223" t="s">
        <v>23</v>
      </c>
      <c r="P1223" s="3" t="s">
        <v>23</v>
      </c>
      <c r="Q1223" s="8" t="s">
        <v>23</v>
      </c>
    </row>
    <row r="1224" spans="1:17" hidden="1" x14ac:dyDescent="0.55000000000000004">
      <c r="A1224" s="3" t="s">
        <v>1518</v>
      </c>
      <c r="B1224" s="3" t="s">
        <v>1690</v>
      </c>
      <c r="C1224" t="s">
        <v>1520</v>
      </c>
      <c r="D1224" s="3" t="s">
        <v>7312</v>
      </c>
      <c r="E1224" t="s">
        <v>1691</v>
      </c>
      <c r="F1224" s="3" t="s">
        <v>1692</v>
      </c>
      <c r="G1224" t="s">
        <v>24</v>
      </c>
      <c r="H1224" s="3" t="s">
        <v>23</v>
      </c>
      <c r="I1224" t="s">
        <v>67</v>
      </c>
      <c r="J1224" s="3" t="s">
        <v>37</v>
      </c>
      <c r="K1224" s="4" t="s">
        <v>23</v>
      </c>
      <c r="L1224" s="5" t="s">
        <v>23</v>
      </c>
      <c r="M1224" s="6">
        <v>0</v>
      </c>
      <c r="N1224" s="7">
        <v>0</v>
      </c>
      <c r="O1224" t="s">
        <v>23</v>
      </c>
      <c r="P1224" s="3" t="s">
        <v>23</v>
      </c>
      <c r="Q1224" s="8" t="s">
        <v>23</v>
      </c>
    </row>
    <row r="1225" spans="1:17" hidden="1" x14ac:dyDescent="0.55000000000000004">
      <c r="A1225" s="3" t="s">
        <v>1518</v>
      </c>
      <c r="B1225" s="3" t="s">
        <v>1690</v>
      </c>
      <c r="C1225" t="s">
        <v>1520</v>
      </c>
      <c r="D1225" s="3" t="s">
        <v>7312</v>
      </c>
      <c r="E1225" t="s">
        <v>1691</v>
      </c>
      <c r="F1225" s="3" t="s">
        <v>1692</v>
      </c>
      <c r="G1225" t="s">
        <v>24</v>
      </c>
      <c r="H1225" s="3" t="s">
        <v>23</v>
      </c>
      <c r="I1225" t="s">
        <v>67</v>
      </c>
      <c r="J1225" s="3" t="s">
        <v>48</v>
      </c>
      <c r="K1225" s="4" t="s">
        <v>23</v>
      </c>
      <c r="L1225" s="5" t="s">
        <v>23</v>
      </c>
      <c r="M1225" s="6">
        <v>0</v>
      </c>
      <c r="N1225" s="7">
        <v>0</v>
      </c>
      <c r="O1225" t="s">
        <v>23</v>
      </c>
      <c r="P1225" s="3" t="s">
        <v>23</v>
      </c>
      <c r="Q1225" s="8" t="s">
        <v>23</v>
      </c>
    </row>
    <row r="1226" spans="1:17" hidden="1" x14ac:dyDescent="0.55000000000000004">
      <c r="A1226" s="3" t="s">
        <v>1518</v>
      </c>
      <c r="B1226" s="3" t="s">
        <v>1690</v>
      </c>
      <c r="C1226" t="s">
        <v>1520</v>
      </c>
      <c r="D1226" s="3" t="s">
        <v>7312</v>
      </c>
      <c r="E1226" t="s">
        <v>1691</v>
      </c>
      <c r="F1226" s="3" t="s">
        <v>1692</v>
      </c>
      <c r="G1226" t="s">
        <v>24</v>
      </c>
      <c r="H1226" s="3" t="s">
        <v>23</v>
      </c>
      <c r="I1226" t="s">
        <v>67</v>
      </c>
      <c r="J1226" s="3" t="s">
        <v>1696</v>
      </c>
      <c r="K1226" s="4" t="s">
        <v>23</v>
      </c>
      <c r="L1226" s="5" t="s">
        <v>23</v>
      </c>
      <c r="M1226" s="6">
        <v>0</v>
      </c>
      <c r="N1226" s="7">
        <v>0</v>
      </c>
      <c r="O1226" t="s">
        <v>23</v>
      </c>
      <c r="P1226" s="3" t="s">
        <v>23</v>
      </c>
      <c r="Q1226" s="8" t="s">
        <v>23</v>
      </c>
    </row>
    <row r="1227" spans="1:17" hidden="1" x14ac:dyDescent="0.55000000000000004">
      <c r="A1227" s="3" t="s">
        <v>1518</v>
      </c>
      <c r="B1227" s="3" t="s">
        <v>7338</v>
      </c>
      <c r="C1227" t="s">
        <v>1520</v>
      </c>
      <c r="D1227" s="3" t="s">
        <v>7312</v>
      </c>
      <c r="E1227" t="s">
        <v>1697</v>
      </c>
      <c r="F1227" s="3" t="s">
        <v>1698</v>
      </c>
      <c r="G1227" t="s">
        <v>24</v>
      </c>
      <c r="H1227" s="3" t="s">
        <v>1693</v>
      </c>
      <c r="I1227" t="s">
        <v>304</v>
      </c>
      <c r="J1227" s="3" t="s">
        <v>1694</v>
      </c>
      <c r="K1227" s="4">
        <v>60</v>
      </c>
      <c r="L1227" s="5">
        <v>2.72</v>
      </c>
      <c r="M1227" s="6">
        <v>0</v>
      </c>
      <c r="N1227" s="7">
        <v>0</v>
      </c>
      <c r="O1227" t="s">
        <v>1695</v>
      </c>
      <c r="P1227" s="3" t="s">
        <v>55</v>
      </c>
      <c r="Q1227" s="8">
        <v>0.178642</v>
      </c>
    </row>
    <row r="1228" spans="1:17" hidden="1" x14ac:dyDescent="0.55000000000000004">
      <c r="A1228" s="3" t="s">
        <v>1518</v>
      </c>
      <c r="B1228" s="3" t="s">
        <v>7338</v>
      </c>
      <c r="C1228" t="s">
        <v>1520</v>
      </c>
      <c r="D1228" s="3" t="s">
        <v>7312</v>
      </c>
      <c r="E1228" t="s">
        <v>1697</v>
      </c>
      <c r="F1228" s="3" t="s">
        <v>1698</v>
      </c>
      <c r="G1228" t="s">
        <v>24</v>
      </c>
      <c r="H1228" s="3" t="s">
        <v>1523</v>
      </c>
      <c r="I1228" t="s">
        <v>296</v>
      </c>
      <c r="J1228" s="3" t="s">
        <v>304</v>
      </c>
      <c r="K1228" s="4">
        <v>590</v>
      </c>
      <c r="L1228" s="5">
        <v>0</v>
      </c>
      <c r="M1228" s="6">
        <v>0</v>
      </c>
      <c r="N1228" s="7">
        <v>0</v>
      </c>
      <c r="O1228" t="s">
        <v>23</v>
      </c>
      <c r="P1228" s="3" t="s">
        <v>23</v>
      </c>
      <c r="Q1228" s="8" t="s">
        <v>23</v>
      </c>
    </row>
    <row r="1229" spans="1:17" hidden="1" x14ac:dyDescent="0.55000000000000004">
      <c r="A1229" s="3" t="s">
        <v>1518</v>
      </c>
      <c r="B1229" s="3" t="s">
        <v>7338</v>
      </c>
      <c r="C1229" t="s">
        <v>1520</v>
      </c>
      <c r="D1229" s="3" t="s">
        <v>7312</v>
      </c>
      <c r="E1229" t="s">
        <v>1697</v>
      </c>
      <c r="F1229" s="3" t="s">
        <v>1698</v>
      </c>
      <c r="G1229" t="s">
        <v>24</v>
      </c>
      <c r="H1229" s="3" t="s">
        <v>1524</v>
      </c>
      <c r="I1229" t="s">
        <v>298</v>
      </c>
      <c r="J1229" s="3" t="s">
        <v>304</v>
      </c>
      <c r="K1229" s="4">
        <v>157</v>
      </c>
      <c r="L1229" s="5">
        <v>0</v>
      </c>
      <c r="M1229" s="6">
        <v>0</v>
      </c>
      <c r="N1229" s="7">
        <v>0</v>
      </c>
      <c r="O1229" t="s">
        <v>23</v>
      </c>
      <c r="P1229" s="3" t="s">
        <v>23</v>
      </c>
      <c r="Q1229" s="8" t="s">
        <v>23</v>
      </c>
    </row>
    <row r="1230" spans="1:17" hidden="1" x14ac:dyDescent="0.55000000000000004">
      <c r="A1230" s="3" t="s">
        <v>1518</v>
      </c>
      <c r="B1230" s="3" t="s">
        <v>7338</v>
      </c>
      <c r="C1230" t="s">
        <v>1520</v>
      </c>
      <c r="D1230" s="3" t="s">
        <v>7312</v>
      </c>
      <c r="E1230" t="s">
        <v>1697</v>
      </c>
      <c r="F1230" s="3" t="s">
        <v>1698</v>
      </c>
      <c r="G1230" t="s">
        <v>24</v>
      </c>
      <c r="H1230" s="3" t="s">
        <v>1525</v>
      </c>
      <c r="I1230" t="s">
        <v>300</v>
      </c>
      <c r="J1230" s="3" t="s">
        <v>304</v>
      </c>
      <c r="K1230" s="4">
        <v>523</v>
      </c>
      <c r="L1230" s="5">
        <v>0</v>
      </c>
      <c r="M1230" s="6">
        <v>0</v>
      </c>
      <c r="N1230" s="7">
        <v>0</v>
      </c>
      <c r="O1230" t="s">
        <v>23</v>
      </c>
      <c r="P1230" s="3" t="s">
        <v>23</v>
      </c>
      <c r="Q1230" s="8" t="s">
        <v>23</v>
      </c>
    </row>
    <row r="1231" spans="1:17" hidden="1" x14ac:dyDescent="0.55000000000000004">
      <c r="A1231" s="3" t="s">
        <v>1518</v>
      </c>
      <c r="B1231" s="3" t="s">
        <v>7338</v>
      </c>
      <c r="C1231" t="s">
        <v>1520</v>
      </c>
      <c r="D1231" s="3" t="s">
        <v>7312</v>
      </c>
      <c r="E1231" t="s">
        <v>1697</v>
      </c>
      <c r="F1231" s="3" t="s">
        <v>1698</v>
      </c>
      <c r="G1231" t="s">
        <v>24</v>
      </c>
      <c r="H1231" s="3" t="s">
        <v>1526</v>
      </c>
      <c r="I1231" t="s">
        <v>302</v>
      </c>
      <c r="J1231" s="3" t="s">
        <v>304</v>
      </c>
      <c r="K1231" s="4">
        <v>373</v>
      </c>
      <c r="L1231" s="5">
        <v>0</v>
      </c>
      <c r="M1231" s="6">
        <v>0</v>
      </c>
      <c r="N1231" s="7">
        <v>0</v>
      </c>
      <c r="O1231" t="s">
        <v>23</v>
      </c>
      <c r="P1231" s="3" t="s">
        <v>23</v>
      </c>
      <c r="Q1231" s="8" t="s">
        <v>23</v>
      </c>
    </row>
    <row r="1232" spans="1:17" hidden="1" x14ac:dyDescent="0.55000000000000004">
      <c r="A1232" s="3" t="s">
        <v>1518</v>
      </c>
      <c r="B1232" s="3" t="s">
        <v>7338</v>
      </c>
      <c r="C1232" t="s">
        <v>1520</v>
      </c>
      <c r="D1232" s="3" t="s">
        <v>7312</v>
      </c>
      <c r="E1232" t="s">
        <v>1697</v>
      </c>
      <c r="F1232" s="3" t="s">
        <v>1698</v>
      </c>
      <c r="G1232" t="s">
        <v>24</v>
      </c>
      <c r="H1232" s="3" t="s">
        <v>1527</v>
      </c>
      <c r="I1232" t="s">
        <v>52</v>
      </c>
      <c r="J1232" s="3" t="s">
        <v>304</v>
      </c>
      <c r="K1232" s="4">
        <v>444</v>
      </c>
      <c r="L1232" s="5">
        <v>0</v>
      </c>
      <c r="M1232" s="6">
        <v>0</v>
      </c>
      <c r="N1232" s="7">
        <v>0</v>
      </c>
      <c r="O1232" t="s">
        <v>23</v>
      </c>
      <c r="P1232" s="3" t="s">
        <v>23</v>
      </c>
      <c r="Q1232" s="8" t="s">
        <v>23</v>
      </c>
    </row>
    <row r="1233" spans="1:17" hidden="1" x14ac:dyDescent="0.55000000000000004">
      <c r="A1233" s="3" t="s">
        <v>1518</v>
      </c>
      <c r="B1233" s="3" t="s">
        <v>7338</v>
      </c>
      <c r="C1233" t="s">
        <v>1520</v>
      </c>
      <c r="D1233" s="3" t="s">
        <v>7312</v>
      </c>
      <c r="E1233" t="s">
        <v>1697</v>
      </c>
      <c r="F1233" s="3" t="s">
        <v>1698</v>
      </c>
      <c r="G1233" t="s">
        <v>24</v>
      </c>
      <c r="H1233" s="3" t="s">
        <v>1533</v>
      </c>
      <c r="I1233" t="s">
        <v>317</v>
      </c>
      <c r="J1233" s="3" t="s">
        <v>218</v>
      </c>
      <c r="K1233" s="4">
        <v>395</v>
      </c>
      <c r="L1233" s="5">
        <v>0</v>
      </c>
      <c r="M1233" s="6">
        <v>0</v>
      </c>
      <c r="N1233" s="7">
        <v>0</v>
      </c>
      <c r="O1233" t="s">
        <v>23</v>
      </c>
      <c r="P1233" s="3" t="s">
        <v>23</v>
      </c>
      <c r="Q1233" s="8" t="s">
        <v>23</v>
      </c>
    </row>
    <row r="1234" spans="1:17" hidden="1" x14ac:dyDescent="0.55000000000000004">
      <c r="A1234" s="3" t="s">
        <v>1518</v>
      </c>
      <c r="B1234" s="3" t="s">
        <v>7338</v>
      </c>
      <c r="C1234" t="s">
        <v>1520</v>
      </c>
      <c r="D1234" s="3" t="s">
        <v>7312</v>
      </c>
      <c r="E1234" t="s">
        <v>1697</v>
      </c>
      <c r="F1234" s="3" t="s">
        <v>1698</v>
      </c>
      <c r="G1234" t="s">
        <v>24</v>
      </c>
      <c r="H1234" s="3" t="s">
        <v>1534</v>
      </c>
      <c r="I1234" t="s">
        <v>313</v>
      </c>
      <c r="J1234" s="3" t="s">
        <v>218</v>
      </c>
      <c r="K1234" s="4">
        <v>368</v>
      </c>
      <c r="L1234" s="5">
        <v>0</v>
      </c>
      <c r="M1234" s="6">
        <v>0</v>
      </c>
      <c r="N1234" s="7">
        <v>0</v>
      </c>
      <c r="O1234" t="s">
        <v>23</v>
      </c>
      <c r="P1234" s="3" t="s">
        <v>23</v>
      </c>
      <c r="Q1234" s="8" t="s">
        <v>23</v>
      </c>
    </row>
    <row r="1235" spans="1:17" hidden="1" x14ac:dyDescent="0.55000000000000004">
      <c r="A1235" s="3" t="s">
        <v>1518</v>
      </c>
      <c r="B1235" s="3" t="s">
        <v>7338</v>
      </c>
      <c r="C1235" t="s">
        <v>1520</v>
      </c>
      <c r="D1235" s="3" t="s">
        <v>7312</v>
      </c>
      <c r="E1235" t="s">
        <v>1697</v>
      </c>
      <c r="F1235" s="3" t="s">
        <v>1698</v>
      </c>
      <c r="G1235" t="s">
        <v>24</v>
      </c>
      <c r="H1235" s="3" t="s">
        <v>1535</v>
      </c>
      <c r="I1235" t="s">
        <v>315</v>
      </c>
      <c r="J1235" s="3" t="s">
        <v>218</v>
      </c>
      <c r="K1235" s="4">
        <v>600</v>
      </c>
      <c r="L1235" s="5">
        <v>0</v>
      </c>
      <c r="M1235" s="6">
        <v>0</v>
      </c>
      <c r="N1235" s="7">
        <v>0</v>
      </c>
      <c r="O1235" t="s">
        <v>23</v>
      </c>
      <c r="P1235" s="3" t="s">
        <v>23</v>
      </c>
      <c r="Q1235" s="8" t="s">
        <v>23</v>
      </c>
    </row>
    <row r="1236" spans="1:17" hidden="1" x14ac:dyDescent="0.55000000000000004">
      <c r="A1236" s="3" t="s">
        <v>1518</v>
      </c>
      <c r="B1236" s="3" t="s">
        <v>7338</v>
      </c>
      <c r="C1236" t="s">
        <v>1520</v>
      </c>
      <c r="D1236" s="3" t="s">
        <v>7312</v>
      </c>
      <c r="E1236" t="s">
        <v>1697</v>
      </c>
      <c r="F1236" s="3" t="s">
        <v>1698</v>
      </c>
      <c r="G1236" t="s">
        <v>24</v>
      </c>
      <c r="H1236" s="3" t="s">
        <v>1536</v>
      </c>
      <c r="I1236" t="s">
        <v>309</v>
      </c>
      <c r="J1236" s="3" t="s">
        <v>218</v>
      </c>
      <c r="K1236" s="4">
        <v>216</v>
      </c>
      <c r="L1236" s="5">
        <v>0</v>
      </c>
      <c r="M1236" s="6">
        <v>0</v>
      </c>
      <c r="N1236" s="7">
        <v>0</v>
      </c>
      <c r="O1236" t="s">
        <v>23</v>
      </c>
      <c r="P1236" s="3" t="s">
        <v>23</v>
      </c>
      <c r="Q1236" s="8" t="s">
        <v>23</v>
      </c>
    </row>
    <row r="1237" spans="1:17" hidden="1" x14ac:dyDescent="0.55000000000000004">
      <c r="A1237" s="3" t="s">
        <v>1518</v>
      </c>
      <c r="B1237" s="3" t="s">
        <v>7338</v>
      </c>
      <c r="C1237" t="s">
        <v>1520</v>
      </c>
      <c r="D1237" s="3" t="s">
        <v>7312</v>
      </c>
      <c r="E1237" t="s">
        <v>1697</v>
      </c>
      <c r="F1237" s="3" t="s">
        <v>1698</v>
      </c>
      <c r="G1237" t="s">
        <v>24</v>
      </c>
      <c r="H1237" s="3" t="s">
        <v>23</v>
      </c>
      <c r="I1237" t="s">
        <v>67</v>
      </c>
      <c r="J1237" s="3" t="s">
        <v>37</v>
      </c>
      <c r="K1237" s="4" t="s">
        <v>23</v>
      </c>
      <c r="L1237" s="5" t="s">
        <v>23</v>
      </c>
      <c r="M1237" s="6">
        <v>0</v>
      </c>
      <c r="N1237" s="7">
        <v>0</v>
      </c>
      <c r="O1237" t="s">
        <v>23</v>
      </c>
      <c r="P1237" s="3" t="s">
        <v>23</v>
      </c>
      <c r="Q1237" s="8" t="s">
        <v>23</v>
      </c>
    </row>
    <row r="1238" spans="1:17" hidden="1" x14ac:dyDescent="0.55000000000000004">
      <c r="A1238" s="3" t="s">
        <v>1518</v>
      </c>
      <c r="B1238" s="3" t="s">
        <v>7338</v>
      </c>
      <c r="C1238" t="s">
        <v>1520</v>
      </c>
      <c r="D1238" s="3" t="s">
        <v>7312</v>
      </c>
      <c r="E1238" t="s">
        <v>1697</v>
      </c>
      <c r="F1238" s="3" t="s">
        <v>1698</v>
      </c>
      <c r="G1238" t="s">
        <v>24</v>
      </c>
      <c r="H1238" s="3" t="s">
        <v>23</v>
      </c>
      <c r="I1238" t="s">
        <v>67</v>
      </c>
      <c r="J1238" s="3" t="s">
        <v>48</v>
      </c>
      <c r="K1238" s="4" t="s">
        <v>23</v>
      </c>
      <c r="L1238" s="5" t="s">
        <v>23</v>
      </c>
      <c r="M1238" s="6">
        <v>0</v>
      </c>
      <c r="N1238" s="7">
        <v>0</v>
      </c>
      <c r="O1238" t="s">
        <v>23</v>
      </c>
      <c r="P1238" s="3" t="s">
        <v>23</v>
      </c>
      <c r="Q1238" s="8" t="s">
        <v>23</v>
      </c>
    </row>
    <row r="1239" spans="1:17" hidden="1" x14ac:dyDescent="0.55000000000000004">
      <c r="A1239" s="3" t="s">
        <v>1518</v>
      </c>
      <c r="B1239" s="3" t="s">
        <v>7338</v>
      </c>
      <c r="C1239" t="s">
        <v>1520</v>
      </c>
      <c r="D1239" s="3" t="s">
        <v>7312</v>
      </c>
      <c r="E1239" t="s">
        <v>1697</v>
      </c>
      <c r="F1239" s="3" t="s">
        <v>1698</v>
      </c>
      <c r="G1239" t="s">
        <v>24</v>
      </c>
      <c r="H1239" s="3" t="s">
        <v>23</v>
      </c>
      <c r="I1239" t="s">
        <v>67</v>
      </c>
      <c r="J1239" s="3" t="s">
        <v>1696</v>
      </c>
      <c r="K1239" s="4" t="s">
        <v>23</v>
      </c>
      <c r="L1239" s="5" t="s">
        <v>23</v>
      </c>
      <c r="M1239" s="6">
        <v>0</v>
      </c>
      <c r="N1239" s="7">
        <v>0</v>
      </c>
      <c r="O1239" t="s">
        <v>23</v>
      </c>
      <c r="P1239" s="3" t="s">
        <v>23</v>
      </c>
      <c r="Q1239" s="8" t="s">
        <v>23</v>
      </c>
    </row>
    <row r="1240" spans="1:17" hidden="1" x14ac:dyDescent="0.55000000000000004">
      <c r="A1240" s="3" t="s">
        <v>1518</v>
      </c>
      <c r="B1240" s="3" t="s">
        <v>1699</v>
      </c>
      <c r="C1240" t="s">
        <v>1786</v>
      </c>
      <c r="D1240" s="3" t="s">
        <v>7312</v>
      </c>
      <c r="E1240" t="s">
        <v>1700</v>
      </c>
      <c r="F1240" s="3" t="s">
        <v>1701</v>
      </c>
      <c r="G1240" t="s">
        <v>19</v>
      </c>
      <c r="H1240" s="3" t="s">
        <v>1702</v>
      </c>
      <c r="I1240" t="s">
        <v>246</v>
      </c>
      <c r="J1240" s="3" t="s">
        <v>1703</v>
      </c>
      <c r="K1240" s="4">
        <v>794</v>
      </c>
      <c r="L1240" s="5">
        <v>172.67</v>
      </c>
      <c r="M1240" s="6">
        <v>1</v>
      </c>
      <c r="N1240" s="7">
        <v>1</v>
      </c>
      <c r="O1240" t="s">
        <v>1704</v>
      </c>
      <c r="P1240" s="3" t="s">
        <v>249</v>
      </c>
      <c r="Q1240" s="8">
        <v>8.0498E-2</v>
      </c>
    </row>
    <row r="1241" spans="1:17" hidden="1" x14ac:dyDescent="0.55000000000000004">
      <c r="A1241" s="3" t="s">
        <v>1518</v>
      </c>
      <c r="B1241" s="3" t="s">
        <v>1699</v>
      </c>
      <c r="C1241" t="s">
        <v>1786</v>
      </c>
      <c r="D1241" s="3" t="s">
        <v>7312</v>
      </c>
      <c r="E1241" t="s">
        <v>1700</v>
      </c>
      <c r="F1241" s="3" t="s">
        <v>1701</v>
      </c>
      <c r="G1241" t="s">
        <v>24</v>
      </c>
      <c r="H1241" s="3" t="s">
        <v>1705</v>
      </c>
      <c r="I1241" t="s">
        <v>43</v>
      </c>
      <c r="J1241" s="3" t="s">
        <v>1706</v>
      </c>
      <c r="K1241" s="4">
        <v>173</v>
      </c>
      <c r="L1241" s="5">
        <v>7.85</v>
      </c>
      <c r="M1241" s="6">
        <v>1</v>
      </c>
      <c r="N1241" s="7">
        <v>1</v>
      </c>
      <c r="O1241" t="s">
        <v>1707</v>
      </c>
      <c r="P1241" s="3" t="s">
        <v>138</v>
      </c>
      <c r="Q1241" s="8">
        <v>0.17976700000000001</v>
      </c>
    </row>
    <row r="1242" spans="1:17" hidden="1" x14ac:dyDescent="0.55000000000000004">
      <c r="A1242" s="3" t="s">
        <v>1518</v>
      </c>
      <c r="B1242" s="3" t="s">
        <v>1708</v>
      </c>
      <c r="C1242" t="s">
        <v>1708</v>
      </c>
      <c r="D1242" s="3" t="s">
        <v>7312</v>
      </c>
      <c r="E1242" t="s">
        <v>1709</v>
      </c>
      <c r="F1242" s="3" t="s">
        <v>1710</v>
      </c>
      <c r="G1242" t="s">
        <v>24</v>
      </c>
      <c r="H1242" s="3" t="s">
        <v>1711</v>
      </c>
      <c r="I1242" t="s">
        <v>26</v>
      </c>
      <c r="J1242" s="3" t="s">
        <v>1712</v>
      </c>
      <c r="K1242" s="4">
        <v>467</v>
      </c>
      <c r="L1242" s="5">
        <v>21.25</v>
      </c>
      <c r="M1242" s="6">
        <v>0</v>
      </c>
      <c r="N1242" s="7">
        <v>0</v>
      </c>
      <c r="O1242" t="s">
        <v>1713</v>
      </c>
      <c r="P1242" s="3" t="s">
        <v>29</v>
      </c>
      <c r="Q1242" s="8">
        <v>0.18270800000000001</v>
      </c>
    </row>
    <row r="1243" spans="1:17" hidden="1" x14ac:dyDescent="0.55000000000000004">
      <c r="A1243" s="3" t="s">
        <v>1518</v>
      </c>
      <c r="B1243" s="3" t="s">
        <v>1714</v>
      </c>
      <c r="C1243" t="s">
        <v>1714</v>
      </c>
      <c r="D1243" s="3" t="s">
        <v>7312</v>
      </c>
      <c r="E1243" t="s">
        <v>1715</v>
      </c>
      <c r="F1243" s="3" t="s">
        <v>1716</v>
      </c>
      <c r="G1243" t="s">
        <v>24</v>
      </c>
      <c r="H1243" s="3" t="s">
        <v>1717</v>
      </c>
      <c r="I1243" t="s">
        <v>37</v>
      </c>
      <c r="J1243" s="3" t="s">
        <v>1718</v>
      </c>
      <c r="K1243" s="4">
        <v>292</v>
      </c>
      <c r="L1243" s="5">
        <v>13.25</v>
      </c>
      <c r="M1243" s="6">
        <v>0</v>
      </c>
      <c r="N1243" s="7">
        <v>0</v>
      </c>
      <c r="O1243" t="s">
        <v>1719</v>
      </c>
      <c r="P1243" s="3" t="s">
        <v>40</v>
      </c>
      <c r="Q1243" s="8">
        <v>0.180953</v>
      </c>
    </row>
    <row r="1244" spans="1:17" hidden="1" x14ac:dyDescent="0.55000000000000004">
      <c r="A1244" s="3" t="s">
        <v>1518</v>
      </c>
      <c r="B1244" s="3" t="s">
        <v>1720</v>
      </c>
      <c r="C1244" t="s">
        <v>1721</v>
      </c>
      <c r="D1244" s="3" t="s">
        <v>7312</v>
      </c>
      <c r="E1244" t="s">
        <v>1722</v>
      </c>
      <c r="F1244" s="3" t="s">
        <v>1723</v>
      </c>
      <c r="G1244" t="s">
        <v>19</v>
      </c>
      <c r="H1244" s="3" t="s">
        <v>1724</v>
      </c>
      <c r="I1244" t="s">
        <v>1276</v>
      </c>
      <c r="J1244" s="3" t="s">
        <v>1725</v>
      </c>
      <c r="K1244" s="4">
        <v>87</v>
      </c>
      <c r="L1244" s="5">
        <v>18.96</v>
      </c>
      <c r="M1244" s="6">
        <v>1</v>
      </c>
      <c r="N1244" s="7">
        <v>1</v>
      </c>
      <c r="O1244" t="s">
        <v>1726</v>
      </c>
      <c r="P1244" s="3" t="s">
        <v>1282</v>
      </c>
      <c r="Q1244" s="8">
        <v>2.6112E-2</v>
      </c>
    </row>
    <row r="1245" spans="1:17" hidden="1" x14ac:dyDescent="0.55000000000000004">
      <c r="A1245" s="3" t="s">
        <v>1518</v>
      </c>
      <c r="B1245" s="3" t="s">
        <v>1720</v>
      </c>
      <c r="C1245" t="s">
        <v>1721</v>
      </c>
      <c r="D1245" s="3" t="s">
        <v>7312</v>
      </c>
      <c r="E1245" t="s">
        <v>1722</v>
      </c>
      <c r="F1245" s="3" t="s">
        <v>1723</v>
      </c>
      <c r="G1245" t="s">
        <v>24</v>
      </c>
      <c r="H1245" s="3" t="s">
        <v>1727</v>
      </c>
      <c r="I1245" t="s">
        <v>26</v>
      </c>
      <c r="J1245" s="3" t="s">
        <v>1728</v>
      </c>
      <c r="K1245" s="4">
        <v>496</v>
      </c>
      <c r="L1245" s="5">
        <v>22.56</v>
      </c>
      <c r="M1245" s="6">
        <v>0</v>
      </c>
      <c r="N1245" s="7">
        <v>1</v>
      </c>
      <c r="O1245" t="s">
        <v>1729</v>
      </c>
      <c r="P1245" s="3" t="s">
        <v>76</v>
      </c>
      <c r="Q1245" s="8">
        <v>0.17749999999999999</v>
      </c>
    </row>
    <row r="1246" spans="1:17" hidden="1" x14ac:dyDescent="0.55000000000000004">
      <c r="A1246" s="3" t="s">
        <v>1518</v>
      </c>
      <c r="B1246" s="3" t="s">
        <v>1720</v>
      </c>
      <c r="C1246" t="s">
        <v>1721</v>
      </c>
      <c r="D1246" s="3" t="s">
        <v>7312</v>
      </c>
      <c r="E1246" t="s">
        <v>1722</v>
      </c>
      <c r="F1246" s="3" t="s">
        <v>1723</v>
      </c>
      <c r="G1246" t="s">
        <v>24</v>
      </c>
      <c r="H1246" s="3" t="s">
        <v>1730</v>
      </c>
      <c r="I1246" t="s">
        <v>218</v>
      </c>
      <c r="J1246" s="3" t="s">
        <v>1728</v>
      </c>
      <c r="K1246" s="4">
        <v>122</v>
      </c>
      <c r="L1246" s="5">
        <v>5.53</v>
      </c>
      <c r="M1246" s="6">
        <v>0</v>
      </c>
      <c r="N1246" s="7">
        <v>1</v>
      </c>
      <c r="O1246" t="s">
        <v>1731</v>
      </c>
      <c r="P1246" s="3" t="s">
        <v>23</v>
      </c>
      <c r="Q1246" s="8" t="s">
        <v>23</v>
      </c>
    </row>
    <row r="1247" spans="1:17" hidden="1" x14ac:dyDescent="0.55000000000000004">
      <c r="A1247" s="3" t="s">
        <v>1518</v>
      </c>
      <c r="B1247" s="3" t="s">
        <v>1721</v>
      </c>
      <c r="C1247" t="s">
        <v>1721</v>
      </c>
      <c r="D1247" s="3" t="s">
        <v>7312</v>
      </c>
      <c r="E1247" t="s">
        <v>1732</v>
      </c>
      <c r="F1247" s="3" t="s">
        <v>1733</v>
      </c>
      <c r="G1247" t="s">
        <v>19</v>
      </c>
      <c r="H1247" s="3" t="s">
        <v>1734</v>
      </c>
      <c r="I1247" t="s">
        <v>1565</v>
      </c>
      <c r="J1247" s="3" t="s">
        <v>1735</v>
      </c>
      <c r="K1247" s="4">
        <v>121</v>
      </c>
      <c r="L1247" s="5">
        <v>26.28</v>
      </c>
      <c r="M1247" s="6">
        <v>0</v>
      </c>
      <c r="N1247" s="7">
        <v>1</v>
      </c>
      <c r="O1247" t="s">
        <v>1736</v>
      </c>
      <c r="P1247" s="3" t="s">
        <v>1567</v>
      </c>
      <c r="Q1247" s="8">
        <v>3.6524000000000001E-2</v>
      </c>
    </row>
    <row r="1248" spans="1:17" hidden="1" x14ac:dyDescent="0.55000000000000004">
      <c r="A1248" s="3" t="s">
        <v>1518</v>
      </c>
      <c r="B1248" s="3" t="s">
        <v>1721</v>
      </c>
      <c r="C1248" t="s">
        <v>1721</v>
      </c>
      <c r="D1248" s="3" t="s">
        <v>7312</v>
      </c>
      <c r="E1248" t="s">
        <v>1732</v>
      </c>
      <c r="F1248" s="3" t="s">
        <v>1733</v>
      </c>
      <c r="G1248" t="s">
        <v>19</v>
      </c>
      <c r="H1248" s="3" t="s">
        <v>1737</v>
      </c>
      <c r="I1248" t="s">
        <v>1569</v>
      </c>
      <c r="J1248" s="3" t="s">
        <v>1735</v>
      </c>
      <c r="K1248" s="4">
        <v>100</v>
      </c>
      <c r="L1248" s="5">
        <v>21.72</v>
      </c>
      <c r="M1248" s="6">
        <v>1</v>
      </c>
      <c r="N1248" s="7">
        <v>1</v>
      </c>
      <c r="O1248" t="s">
        <v>1738</v>
      </c>
      <c r="P1248" s="3" t="s">
        <v>1571</v>
      </c>
      <c r="Q1248" s="8">
        <v>3.6524000000000001E-2</v>
      </c>
    </row>
    <row r="1249" spans="1:17" hidden="1" x14ac:dyDescent="0.55000000000000004">
      <c r="A1249" s="3" t="s">
        <v>1518</v>
      </c>
      <c r="B1249" s="3" t="s">
        <v>1721</v>
      </c>
      <c r="C1249" t="s">
        <v>1721</v>
      </c>
      <c r="D1249" s="3" t="s">
        <v>7312</v>
      </c>
      <c r="E1249" t="s">
        <v>1732</v>
      </c>
      <c r="F1249" s="3" t="s">
        <v>1733</v>
      </c>
      <c r="G1249" t="s">
        <v>24</v>
      </c>
      <c r="H1249" s="3" t="s">
        <v>1739</v>
      </c>
      <c r="I1249" t="s">
        <v>26</v>
      </c>
      <c r="J1249" s="3" t="s">
        <v>1740</v>
      </c>
      <c r="K1249" s="4">
        <v>492</v>
      </c>
      <c r="L1249" s="5">
        <v>22.38</v>
      </c>
      <c r="M1249" s="6">
        <v>0</v>
      </c>
      <c r="N1249" s="7">
        <v>1</v>
      </c>
      <c r="O1249" t="s">
        <v>1741</v>
      </c>
      <c r="P1249" s="3" t="s">
        <v>76</v>
      </c>
      <c r="Q1249" s="8">
        <v>0.17749999999999999</v>
      </c>
    </row>
    <row r="1250" spans="1:17" hidden="1" x14ac:dyDescent="0.55000000000000004">
      <c r="A1250" s="3" t="s">
        <v>1518</v>
      </c>
      <c r="B1250" s="3" t="s">
        <v>1721</v>
      </c>
      <c r="C1250" t="s">
        <v>1721</v>
      </c>
      <c r="D1250" s="3" t="s">
        <v>7312</v>
      </c>
      <c r="E1250" t="s">
        <v>1732</v>
      </c>
      <c r="F1250" s="3" t="s">
        <v>1733</v>
      </c>
      <c r="G1250" t="s">
        <v>24</v>
      </c>
      <c r="H1250" s="3" t="s">
        <v>1742</v>
      </c>
      <c r="I1250" t="s">
        <v>218</v>
      </c>
      <c r="J1250" s="3" t="s">
        <v>1740</v>
      </c>
      <c r="K1250" s="4">
        <v>136</v>
      </c>
      <c r="L1250" s="5">
        <v>6.18</v>
      </c>
      <c r="M1250" s="6">
        <v>0</v>
      </c>
      <c r="N1250" s="7">
        <v>1</v>
      </c>
      <c r="O1250" t="s">
        <v>1743</v>
      </c>
      <c r="P1250" s="3" t="s">
        <v>23</v>
      </c>
      <c r="Q1250" s="8" t="s">
        <v>23</v>
      </c>
    </row>
    <row r="1251" spans="1:17" hidden="1" x14ac:dyDescent="0.55000000000000004">
      <c r="A1251" s="3" t="s">
        <v>1518</v>
      </c>
      <c r="B1251" s="3" t="s">
        <v>1744</v>
      </c>
      <c r="C1251" t="s">
        <v>2921</v>
      </c>
      <c r="D1251" s="3" t="s">
        <v>7312</v>
      </c>
      <c r="E1251" t="s">
        <v>1745</v>
      </c>
      <c r="F1251" s="3" t="s">
        <v>1746</v>
      </c>
      <c r="G1251" t="s">
        <v>19</v>
      </c>
      <c r="H1251" s="3" t="s">
        <v>1747</v>
      </c>
      <c r="I1251" t="s">
        <v>1607</v>
      </c>
      <c r="J1251" s="3" t="s">
        <v>1748</v>
      </c>
      <c r="K1251" s="4">
        <v>404</v>
      </c>
      <c r="L1251" s="5">
        <v>87.93</v>
      </c>
      <c r="M1251" s="6">
        <v>1</v>
      </c>
      <c r="N1251" s="7">
        <v>0</v>
      </c>
      <c r="O1251" t="s">
        <v>1749</v>
      </c>
      <c r="P1251" s="3" t="s">
        <v>1610</v>
      </c>
      <c r="Q1251" s="8">
        <v>5.3166999999999999E-2</v>
      </c>
    </row>
    <row r="1252" spans="1:17" hidden="1" x14ac:dyDescent="0.55000000000000004">
      <c r="A1252" s="3" t="s">
        <v>1518</v>
      </c>
      <c r="B1252" s="3" t="s">
        <v>1744</v>
      </c>
      <c r="C1252" t="s">
        <v>2921</v>
      </c>
      <c r="D1252" s="3" t="s">
        <v>7312</v>
      </c>
      <c r="E1252" t="s">
        <v>1745</v>
      </c>
      <c r="F1252" s="3" t="s">
        <v>1746</v>
      </c>
      <c r="G1252" t="s">
        <v>24</v>
      </c>
      <c r="H1252" s="3" t="s">
        <v>1750</v>
      </c>
      <c r="I1252" t="s">
        <v>26</v>
      </c>
      <c r="J1252" s="3" t="s">
        <v>1751</v>
      </c>
      <c r="K1252" s="4">
        <v>486</v>
      </c>
      <c r="L1252" s="5">
        <v>22.07</v>
      </c>
      <c r="M1252" s="6">
        <v>1</v>
      </c>
      <c r="N1252" s="7">
        <v>0</v>
      </c>
      <c r="O1252" t="s">
        <v>1752</v>
      </c>
      <c r="P1252" s="3" t="s">
        <v>76</v>
      </c>
      <c r="Q1252" s="8">
        <v>0.188167</v>
      </c>
    </row>
    <row r="1253" spans="1:17" hidden="1" x14ac:dyDescent="0.55000000000000004">
      <c r="A1253" s="3" t="s">
        <v>1518</v>
      </c>
      <c r="B1253" s="3" t="s">
        <v>1744</v>
      </c>
      <c r="C1253" t="s">
        <v>2921</v>
      </c>
      <c r="D1253" s="3" t="s">
        <v>7312</v>
      </c>
      <c r="E1253" t="s">
        <v>1745</v>
      </c>
      <c r="F1253" s="3" t="s">
        <v>1746</v>
      </c>
      <c r="G1253" t="s">
        <v>24</v>
      </c>
      <c r="H1253" s="3" t="s">
        <v>1753</v>
      </c>
      <c r="I1253" t="s">
        <v>218</v>
      </c>
      <c r="J1253" s="3" t="s">
        <v>1751</v>
      </c>
      <c r="K1253" s="4">
        <v>352</v>
      </c>
      <c r="L1253" s="5">
        <v>15.99</v>
      </c>
      <c r="M1253" s="6">
        <v>0</v>
      </c>
      <c r="N1253" s="7">
        <v>0</v>
      </c>
      <c r="O1253" t="s">
        <v>1754</v>
      </c>
      <c r="P1253" s="3" t="s">
        <v>23</v>
      </c>
      <c r="Q1253" s="8" t="s">
        <v>23</v>
      </c>
    </row>
    <row r="1254" spans="1:17" hidden="1" x14ac:dyDescent="0.55000000000000004">
      <c r="A1254" s="3" t="s">
        <v>1518</v>
      </c>
      <c r="B1254" s="3" t="s">
        <v>1744</v>
      </c>
      <c r="C1254" t="s">
        <v>2921</v>
      </c>
      <c r="D1254" s="3" t="s">
        <v>7312</v>
      </c>
      <c r="E1254" t="s">
        <v>1755</v>
      </c>
      <c r="F1254" s="3" t="s">
        <v>1756</v>
      </c>
      <c r="G1254" t="s">
        <v>19</v>
      </c>
      <c r="H1254" s="3" t="s">
        <v>1747</v>
      </c>
      <c r="I1254" t="s">
        <v>1607</v>
      </c>
      <c r="J1254" s="3" t="s">
        <v>1748</v>
      </c>
      <c r="K1254" s="4">
        <v>404</v>
      </c>
      <c r="L1254" s="5">
        <v>87.93</v>
      </c>
      <c r="M1254" s="6">
        <v>1</v>
      </c>
      <c r="N1254" s="7">
        <v>0</v>
      </c>
      <c r="O1254" t="s">
        <v>1749</v>
      </c>
      <c r="P1254" s="3" t="s">
        <v>1610</v>
      </c>
      <c r="Q1254" s="8">
        <v>5.3166999999999999E-2</v>
      </c>
    </row>
    <row r="1255" spans="1:17" hidden="1" x14ac:dyDescent="0.55000000000000004">
      <c r="A1255" s="3" t="s">
        <v>1518</v>
      </c>
      <c r="B1255" s="3" t="s">
        <v>1744</v>
      </c>
      <c r="C1255" t="s">
        <v>2921</v>
      </c>
      <c r="D1255" s="3" t="s">
        <v>7312</v>
      </c>
      <c r="E1255" t="s">
        <v>1755</v>
      </c>
      <c r="F1255" s="3" t="s">
        <v>1756</v>
      </c>
      <c r="G1255" t="s">
        <v>24</v>
      </c>
      <c r="H1255" s="3" t="s">
        <v>1750</v>
      </c>
      <c r="I1255" t="s">
        <v>26</v>
      </c>
      <c r="J1255" s="3" t="s">
        <v>1751</v>
      </c>
      <c r="K1255" s="4">
        <v>486</v>
      </c>
      <c r="L1255" s="5">
        <v>22.07</v>
      </c>
      <c r="M1255" s="6">
        <v>1</v>
      </c>
      <c r="N1255" s="7">
        <v>0</v>
      </c>
      <c r="O1255" t="s">
        <v>1752</v>
      </c>
      <c r="P1255" s="3" t="s">
        <v>76</v>
      </c>
      <c r="Q1255" s="8">
        <v>0.188167</v>
      </c>
    </row>
    <row r="1256" spans="1:17" hidden="1" x14ac:dyDescent="0.55000000000000004">
      <c r="A1256" s="3" t="s">
        <v>1518</v>
      </c>
      <c r="B1256" s="3" t="s">
        <v>1744</v>
      </c>
      <c r="C1256" t="s">
        <v>2921</v>
      </c>
      <c r="D1256" s="3" t="s">
        <v>7312</v>
      </c>
      <c r="E1256" t="s">
        <v>1755</v>
      </c>
      <c r="F1256" s="3" t="s">
        <v>1756</v>
      </c>
      <c r="G1256" t="s">
        <v>24</v>
      </c>
      <c r="H1256" s="3" t="s">
        <v>1753</v>
      </c>
      <c r="I1256" t="s">
        <v>218</v>
      </c>
      <c r="J1256" s="3" t="s">
        <v>1751</v>
      </c>
      <c r="K1256" s="4">
        <v>352</v>
      </c>
      <c r="L1256" s="5">
        <v>15.99</v>
      </c>
      <c r="M1256" s="6">
        <v>0</v>
      </c>
      <c r="N1256" s="7">
        <v>0</v>
      </c>
      <c r="O1256" t="s">
        <v>1754</v>
      </c>
      <c r="P1256" s="3" t="s">
        <v>23</v>
      </c>
      <c r="Q1256" s="8" t="s">
        <v>23</v>
      </c>
    </row>
    <row r="1257" spans="1:17" hidden="1" x14ac:dyDescent="0.55000000000000004">
      <c r="A1257" s="3" t="s">
        <v>1518</v>
      </c>
      <c r="B1257" s="3" t="s">
        <v>7313</v>
      </c>
      <c r="C1257" t="s">
        <v>2921</v>
      </c>
      <c r="D1257" s="3" t="s">
        <v>7312</v>
      </c>
      <c r="E1257" t="s">
        <v>1757</v>
      </c>
      <c r="F1257" s="3" t="s">
        <v>1758</v>
      </c>
      <c r="G1257" t="s">
        <v>19</v>
      </c>
      <c r="H1257" s="3" t="s">
        <v>1747</v>
      </c>
      <c r="I1257" t="s">
        <v>1607</v>
      </c>
      <c r="J1257" s="3" t="s">
        <v>1748</v>
      </c>
      <c r="K1257" s="4">
        <v>404</v>
      </c>
      <c r="L1257" s="5">
        <v>87.93</v>
      </c>
      <c r="M1257" s="6">
        <v>1</v>
      </c>
      <c r="N1257" s="7">
        <v>0</v>
      </c>
      <c r="O1257" t="s">
        <v>1749</v>
      </c>
      <c r="P1257" s="3" t="s">
        <v>1610</v>
      </c>
      <c r="Q1257" s="8">
        <v>5.3166999999999999E-2</v>
      </c>
    </row>
    <row r="1258" spans="1:17" hidden="1" x14ac:dyDescent="0.55000000000000004">
      <c r="A1258" s="3" t="s">
        <v>1518</v>
      </c>
      <c r="B1258" s="3" t="s">
        <v>7313</v>
      </c>
      <c r="C1258" t="s">
        <v>2921</v>
      </c>
      <c r="D1258" s="3" t="s">
        <v>7312</v>
      </c>
      <c r="E1258" t="s">
        <v>1757</v>
      </c>
      <c r="F1258" s="3" t="s">
        <v>1758</v>
      </c>
      <c r="G1258" t="s">
        <v>24</v>
      </c>
      <c r="H1258" s="3" t="s">
        <v>1750</v>
      </c>
      <c r="I1258" t="s">
        <v>26</v>
      </c>
      <c r="J1258" s="3" t="s">
        <v>1751</v>
      </c>
      <c r="K1258" s="4">
        <v>486</v>
      </c>
      <c r="L1258" s="5">
        <v>22.07</v>
      </c>
      <c r="M1258" s="6">
        <v>1</v>
      </c>
      <c r="N1258" s="7">
        <v>0</v>
      </c>
      <c r="O1258" t="s">
        <v>1752</v>
      </c>
      <c r="P1258" s="3" t="s">
        <v>76</v>
      </c>
      <c r="Q1258" s="8">
        <v>0.188167</v>
      </c>
    </row>
    <row r="1259" spans="1:17" hidden="1" x14ac:dyDescent="0.55000000000000004">
      <c r="A1259" s="3" t="s">
        <v>1518</v>
      </c>
      <c r="B1259" s="3" t="s">
        <v>7313</v>
      </c>
      <c r="C1259" t="s">
        <v>2921</v>
      </c>
      <c r="D1259" s="3" t="s">
        <v>7312</v>
      </c>
      <c r="E1259" t="s">
        <v>1757</v>
      </c>
      <c r="F1259" s="3" t="s">
        <v>1758</v>
      </c>
      <c r="G1259" t="s">
        <v>24</v>
      </c>
      <c r="H1259" s="3" t="s">
        <v>1753</v>
      </c>
      <c r="I1259" t="s">
        <v>218</v>
      </c>
      <c r="J1259" s="3" t="s">
        <v>1751</v>
      </c>
      <c r="K1259" s="4">
        <v>352</v>
      </c>
      <c r="L1259" s="5">
        <v>15.99</v>
      </c>
      <c r="M1259" s="6">
        <v>0</v>
      </c>
      <c r="N1259" s="7">
        <v>0</v>
      </c>
      <c r="O1259" t="s">
        <v>1754</v>
      </c>
      <c r="P1259" s="3" t="s">
        <v>23</v>
      </c>
      <c r="Q1259" s="8" t="s">
        <v>23</v>
      </c>
    </row>
    <row r="1260" spans="1:17" hidden="1" x14ac:dyDescent="0.55000000000000004">
      <c r="A1260" s="3" t="s">
        <v>1518</v>
      </c>
      <c r="B1260" s="3" t="s">
        <v>1744</v>
      </c>
      <c r="C1260" t="s">
        <v>2921</v>
      </c>
      <c r="D1260" s="3" t="s">
        <v>7312</v>
      </c>
      <c r="E1260" t="s">
        <v>1759</v>
      </c>
      <c r="F1260" s="3" t="s">
        <v>1760</v>
      </c>
      <c r="G1260" t="s">
        <v>19</v>
      </c>
      <c r="H1260" s="3" t="s">
        <v>1747</v>
      </c>
      <c r="I1260" t="s">
        <v>1607</v>
      </c>
      <c r="J1260" s="3" t="s">
        <v>1748</v>
      </c>
      <c r="K1260" s="4">
        <v>404</v>
      </c>
      <c r="L1260" s="5">
        <v>87.93</v>
      </c>
      <c r="M1260" s="6">
        <v>1</v>
      </c>
      <c r="N1260" s="7">
        <v>1</v>
      </c>
      <c r="O1260" t="s">
        <v>1749</v>
      </c>
      <c r="P1260" s="3" t="s">
        <v>1610</v>
      </c>
      <c r="Q1260" s="8">
        <v>5.3166999999999999E-2</v>
      </c>
    </row>
    <row r="1261" spans="1:17" hidden="1" x14ac:dyDescent="0.55000000000000004">
      <c r="A1261" s="3" t="s">
        <v>1518</v>
      </c>
      <c r="B1261" s="3" t="s">
        <v>1744</v>
      </c>
      <c r="C1261" t="s">
        <v>2921</v>
      </c>
      <c r="D1261" s="3" t="s">
        <v>7312</v>
      </c>
      <c r="E1261" t="s">
        <v>1759</v>
      </c>
      <c r="F1261" s="3" t="s">
        <v>1760</v>
      </c>
      <c r="G1261" t="s">
        <v>24</v>
      </c>
      <c r="H1261" s="3" t="s">
        <v>1750</v>
      </c>
      <c r="I1261" t="s">
        <v>26</v>
      </c>
      <c r="J1261" s="3" t="s">
        <v>1751</v>
      </c>
      <c r="K1261" s="4">
        <v>486</v>
      </c>
      <c r="L1261" s="5">
        <v>22.07</v>
      </c>
      <c r="M1261" s="6">
        <v>1</v>
      </c>
      <c r="N1261" s="7">
        <v>1</v>
      </c>
      <c r="O1261" t="s">
        <v>1752</v>
      </c>
      <c r="P1261" s="3" t="s">
        <v>76</v>
      </c>
      <c r="Q1261" s="8">
        <v>0.188167</v>
      </c>
    </row>
    <row r="1262" spans="1:17" hidden="1" x14ac:dyDescent="0.55000000000000004">
      <c r="A1262" s="9" t="s">
        <v>1518</v>
      </c>
      <c r="B1262" s="3" t="s">
        <v>1744</v>
      </c>
      <c r="C1262" t="s">
        <v>2921</v>
      </c>
      <c r="D1262" s="3" t="s">
        <v>7312</v>
      </c>
      <c r="E1262" t="s">
        <v>1759</v>
      </c>
      <c r="F1262" s="3" t="s">
        <v>1760</v>
      </c>
      <c r="G1262" t="s">
        <v>24</v>
      </c>
      <c r="H1262" s="3" t="s">
        <v>1753</v>
      </c>
      <c r="I1262" t="s">
        <v>218</v>
      </c>
      <c r="J1262" s="3" t="s">
        <v>1751</v>
      </c>
      <c r="K1262" s="4">
        <v>352</v>
      </c>
      <c r="L1262" s="5">
        <v>15.99</v>
      </c>
      <c r="M1262" s="6">
        <v>0</v>
      </c>
      <c r="N1262" s="7">
        <v>1</v>
      </c>
      <c r="O1262" t="s">
        <v>1754</v>
      </c>
      <c r="P1262" s="3" t="s">
        <v>23</v>
      </c>
      <c r="Q1262" s="8" t="s">
        <v>23</v>
      </c>
    </row>
    <row r="1263" spans="1:17" hidden="1" x14ac:dyDescent="0.55000000000000004">
      <c r="A1263" s="3" t="s">
        <v>1761</v>
      </c>
      <c r="B1263" s="3" t="s">
        <v>1763</v>
      </c>
      <c r="C1263" t="s">
        <v>1763</v>
      </c>
      <c r="D1263" s="3" t="s">
        <v>7312</v>
      </c>
      <c r="E1263" t="s">
        <v>1764</v>
      </c>
      <c r="F1263" s="3" t="s">
        <v>1765</v>
      </c>
      <c r="G1263" t="s">
        <v>19</v>
      </c>
      <c r="H1263" s="3" t="s">
        <v>1766</v>
      </c>
      <c r="I1263" t="s">
        <v>1767</v>
      </c>
      <c r="J1263" s="3" t="s">
        <v>1768</v>
      </c>
      <c r="K1263" s="4">
        <v>217</v>
      </c>
      <c r="L1263" s="5">
        <v>47.2</v>
      </c>
      <c r="M1263" s="6">
        <v>1</v>
      </c>
      <c r="N1263" s="7">
        <v>1</v>
      </c>
      <c r="O1263" t="s">
        <v>1769</v>
      </c>
      <c r="P1263" s="3" t="s">
        <v>1770</v>
      </c>
      <c r="Q1263" s="8">
        <v>3.8678999999999998E-2</v>
      </c>
    </row>
    <row r="1264" spans="1:17" hidden="1" x14ac:dyDescent="0.55000000000000004">
      <c r="A1264" s="3" t="s">
        <v>1761</v>
      </c>
      <c r="B1264" s="3" t="s">
        <v>1763</v>
      </c>
      <c r="C1264" t="s">
        <v>1763</v>
      </c>
      <c r="D1264" s="3" t="s">
        <v>7312</v>
      </c>
      <c r="E1264" t="s">
        <v>1764</v>
      </c>
      <c r="F1264" s="3" t="s">
        <v>1765</v>
      </c>
      <c r="G1264" t="s">
        <v>24</v>
      </c>
      <c r="H1264" s="3" t="s">
        <v>1771</v>
      </c>
      <c r="I1264" t="s">
        <v>37</v>
      </c>
      <c r="J1264" s="3" t="s">
        <v>1772</v>
      </c>
      <c r="K1264" s="4">
        <v>238</v>
      </c>
      <c r="L1264" s="5">
        <v>10.82</v>
      </c>
      <c r="M1264" s="6">
        <v>0</v>
      </c>
      <c r="N1264" s="7">
        <v>1</v>
      </c>
      <c r="O1264" t="s">
        <v>1773</v>
      </c>
      <c r="P1264" s="3" t="s">
        <v>40</v>
      </c>
      <c r="Q1264" s="8">
        <v>0.180419</v>
      </c>
    </row>
    <row r="1265" spans="1:17" hidden="1" x14ac:dyDescent="0.55000000000000004">
      <c r="A1265" s="3" t="s">
        <v>1761</v>
      </c>
      <c r="B1265" s="3" t="s">
        <v>1763</v>
      </c>
      <c r="C1265" t="s">
        <v>1763</v>
      </c>
      <c r="D1265" s="3" t="s">
        <v>7312</v>
      </c>
      <c r="E1265" t="s">
        <v>1764</v>
      </c>
      <c r="F1265" s="3" t="s">
        <v>1765</v>
      </c>
      <c r="G1265" t="s">
        <v>24</v>
      </c>
      <c r="H1265" s="3" t="s">
        <v>1774</v>
      </c>
      <c r="I1265" t="s">
        <v>37</v>
      </c>
      <c r="J1265" s="3" t="s">
        <v>105</v>
      </c>
      <c r="K1265" s="4">
        <v>247</v>
      </c>
      <c r="L1265" s="5">
        <v>11.23</v>
      </c>
      <c r="M1265" s="6">
        <v>0</v>
      </c>
      <c r="N1265" s="7">
        <v>1</v>
      </c>
      <c r="O1265" t="s">
        <v>1775</v>
      </c>
      <c r="P1265" s="3" t="s">
        <v>40</v>
      </c>
      <c r="Q1265" s="8">
        <v>0.180509</v>
      </c>
    </row>
    <row r="1266" spans="1:17" hidden="1" x14ac:dyDescent="0.55000000000000004">
      <c r="A1266" s="3" t="s">
        <v>1761</v>
      </c>
      <c r="B1266" s="3" t="s">
        <v>1763</v>
      </c>
      <c r="C1266" t="s">
        <v>1763</v>
      </c>
      <c r="D1266" s="3" t="s">
        <v>7312</v>
      </c>
      <c r="E1266" t="s">
        <v>1764</v>
      </c>
      <c r="F1266" s="3" t="s">
        <v>1765</v>
      </c>
      <c r="G1266" t="s">
        <v>24</v>
      </c>
      <c r="H1266" s="3" t="s">
        <v>1776</v>
      </c>
      <c r="I1266" t="s">
        <v>48</v>
      </c>
      <c r="J1266" s="3" t="s">
        <v>1777</v>
      </c>
      <c r="K1266" s="4">
        <v>216</v>
      </c>
      <c r="L1266" s="5">
        <v>9.8000000000000007</v>
      </c>
      <c r="M1266" s="6">
        <v>0</v>
      </c>
      <c r="N1266" s="7">
        <v>1</v>
      </c>
      <c r="O1266" t="s">
        <v>1778</v>
      </c>
      <c r="P1266" s="3" t="s">
        <v>23</v>
      </c>
      <c r="Q1266" s="8" t="s">
        <v>23</v>
      </c>
    </row>
    <row r="1267" spans="1:17" hidden="1" x14ac:dyDescent="0.55000000000000004">
      <c r="A1267" s="3" t="s">
        <v>1761</v>
      </c>
      <c r="B1267" s="3" t="s">
        <v>1762</v>
      </c>
      <c r="C1267" t="s">
        <v>1763</v>
      </c>
      <c r="D1267" s="3" t="s">
        <v>7312</v>
      </c>
      <c r="E1267" t="s">
        <v>1779</v>
      </c>
      <c r="F1267" s="3" t="s">
        <v>1780</v>
      </c>
      <c r="G1267" t="s">
        <v>24</v>
      </c>
      <c r="H1267" s="3" t="s">
        <v>1771</v>
      </c>
      <c r="I1267" t="s">
        <v>37</v>
      </c>
      <c r="J1267" s="3" t="s">
        <v>1772</v>
      </c>
      <c r="K1267" s="4">
        <v>238</v>
      </c>
      <c r="L1267" s="5">
        <v>10.82</v>
      </c>
      <c r="M1267" s="6">
        <v>0</v>
      </c>
      <c r="N1267" s="7">
        <v>0</v>
      </c>
      <c r="O1267" t="s">
        <v>1773</v>
      </c>
      <c r="P1267" s="3" t="s">
        <v>40</v>
      </c>
      <c r="Q1267" s="8">
        <v>0.180419</v>
      </c>
    </row>
    <row r="1268" spans="1:17" hidden="1" x14ac:dyDescent="0.55000000000000004">
      <c r="A1268" s="3" t="s">
        <v>1761</v>
      </c>
      <c r="B1268" s="3" t="s">
        <v>1762</v>
      </c>
      <c r="C1268" t="s">
        <v>1763</v>
      </c>
      <c r="D1268" s="3" t="s">
        <v>7312</v>
      </c>
      <c r="E1268" t="s">
        <v>1779</v>
      </c>
      <c r="F1268" s="3" t="s">
        <v>1780</v>
      </c>
      <c r="G1268" t="s">
        <v>24</v>
      </c>
      <c r="H1268" s="3" t="s">
        <v>1774</v>
      </c>
      <c r="I1268" t="s">
        <v>37</v>
      </c>
      <c r="J1268" s="3" t="s">
        <v>105</v>
      </c>
      <c r="K1268" s="4">
        <v>247</v>
      </c>
      <c r="L1268" s="5">
        <v>11.23</v>
      </c>
      <c r="M1268" s="6">
        <v>0</v>
      </c>
      <c r="N1268" s="7">
        <v>0</v>
      </c>
      <c r="O1268" t="s">
        <v>1775</v>
      </c>
      <c r="P1268" s="3" t="s">
        <v>40</v>
      </c>
      <c r="Q1268" s="8">
        <v>0.180509</v>
      </c>
    </row>
    <row r="1269" spans="1:17" hidden="1" x14ac:dyDescent="0.55000000000000004">
      <c r="A1269" s="3" t="s">
        <v>1761</v>
      </c>
      <c r="B1269" s="3" t="s">
        <v>1762</v>
      </c>
      <c r="C1269" t="s">
        <v>1763</v>
      </c>
      <c r="D1269" s="3" t="s">
        <v>7312</v>
      </c>
      <c r="E1269" t="s">
        <v>1781</v>
      </c>
      <c r="F1269" s="3" t="s">
        <v>1782</v>
      </c>
      <c r="G1269" t="s">
        <v>19</v>
      </c>
      <c r="H1269" s="3" t="s">
        <v>1766</v>
      </c>
      <c r="I1269" t="s">
        <v>1767</v>
      </c>
      <c r="J1269" s="3" t="s">
        <v>1768</v>
      </c>
      <c r="K1269" s="4">
        <v>217</v>
      </c>
      <c r="L1269" s="5">
        <v>47.2</v>
      </c>
      <c r="M1269" s="6">
        <v>1</v>
      </c>
      <c r="N1269" s="7">
        <v>0</v>
      </c>
      <c r="O1269" t="s">
        <v>1769</v>
      </c>
      <c r="P1269" s="3" t="s">
        <v>1770</v>
      </c>
      <c r="Q1269" s="8">
        <v>3.8678999999999998E-2</v>
      </c>
    </row>
    <row r="1270" spans="1:17" hidden="1" x14ac:dyDescent="0.55000000000000004">
      <c r="A1270" s="3" t="s">
        <v>1761</v>
      </c>
      <c r="B1270" s="3" t="s">
        <v>1762</v>
      </c>
      <c r="C1270" t="s">
        <v>1763</v>
      </c>
      <c r="D1270" s="3" t="s">
        <v>7312</v>
      </c>
      <c r="E1270" t="s">
        <v>1781</v>
      </c>
      <c r="F1270" s="3" t="s">
        <v>1782</v>
      </c>
      <c r="G1270" t="s">
        <v>19</v>
      </c>
      <c r="H1270" s="3" t="s">
        <v>1783</v>
      </c>
      <c r="I1270" t="s">
        <v>246</v>
      </c>
      <c r="J1270" s="3" t="s">
        <v>1784</v>
      </c>
      <c r="K1270" s="4">
        <v>1022</v>
      </c>
      <c r="L1270" s="5">
        <v>222.13</v>
      </c>
      <c r="M1270" s="6">
        <v>0</v>
      </c>
      <c r="N1270" s="7">
        <v>0</v>
      </c>
      <c r="O1270" t="s">
        <v>1785</v>
      </c>
      <c r="P1270" s="3" t="s">
        <v>249</v>
      </c>
      <c r="Q1270" s="8">
        <v>9.9498000000000003E-2</v>
      </c>
    </row>
    <row r="1271" spans="1:17" hidden="1" x14ac:dyDescent="0.55000000000000004">
      <c r="A1271" s="3" t="s">
        <v>1761</v>
      </c>
      <c r="B1271" s="3" t="s">
        <v>1762</v>
      </c>
      <c r="C1271" t="s">
        <v>1763</v>
      </c>
      <c r="D1271" s="3" t="s">
        <v>7312</v>
      </c>
      <c r="E1271" t="s">
        <v>1781</v>
      </c>
      <c r="F1271" s="3" t="s">
        <v>1782</v>
      </c>
      <c r="G1271" t="s">
        <v>24</v>
      </c>
      <c r="H1271" s="3" t="s">
        <v>1771</v>
      </c>
      <c r="I1271" t="s">
        <v>37</v>
      </c>
      <c r="J1271" s="3" t="s">
        <v>1772</v>
      </c>
      <c r="K1271" s="4">
        <v>238</v>
      </c>
      <c r="L1271" s="5">
        <v>10.82</v>
      </c>
      <c r="M1271" s="6">
        <v>0</v>
      </c>
      <c r="N1271" s="7">
        <v>0</v>
      </c>
      <c r="O1271" t="s">
        <v>1773</v>
      </c>
      <c r="P1271" s="3" t="s">
        <v>40</v>
      </c>
      <c r="Q1271" s="8">
        <v>0.180419</v>
      </c>
    </row>
    <row r="1272" spans="1:17" hidden="1" x14ac:dyDescent="0.55000000000000004">
      <c r="A1272" s="3" t="s">
        <v>1761</v>
      </c>
      <c r="B1272" s="3" t="s">
        <v>1786</v>
      </c>
      <c r="C1272" t="s">
        <v>1786</v>
      </c>
      <c r="D1272" s="3" t="s">
        <v>7312</v>
      </c>
      <c r="E1272" t="s">
        <v>1787</v>
      </c>
      <c r="F1272" s="3" t="s">
        <v>1788</v>
      </c>
      <c r="G1272" t="s">
        <v>24</v>
      </c>
      <c r="H1272" s="3" t="s">
        <v>1789</v>
      </c>
      <c r="I1272" t="s">
        <v>37</v>
      </c>
      <c r="J1272" s="3" t="s">
        <v>1790</v>
      </c>
      <c r="K1272" s="4">
        <v>386</v>
      </c>
      <c r="L1272" s="5">
        <v>17.53</v>
      </c>
      <c r="M1272" s="6">
        <v>0</v>
      </c>
      <c r="N1272" s="7">
        <v>0</v>
      </c>
      <c r="O1272" t="s">
        <v>1791</v>
      </c>
      <c r="P1272" s="3" t="s">
        <v>40</v>
      </c>
      <c r="Q1272" s="8">
        <v>0.181892</v>
      </c>
    </row>
    <row r="1273" spans="1:17" hidden="1" x14ac:dyDescent="0.55000000000000004">
      <c r="A1273" s="3" t="s">
        <v>1761</v>
      </c>
      <c r="B1273" s="3" t="s">
        <v>1786</v>
      </c>
      <c r="C1273" t="s">
        <v>1786</v>
      </c>
      <c r="D1273" s="3" t="s">
        <v>7312</v>
      </c>
      <c r="E1273" t="s">
        <v>1787</v>
      </c>
      <c r="F1273" s="3" t="s">
        <v>1788</v>
      </c>
      <c r="G1273" t="s">
        <v>24</v>
      </c>
      <c r="H1273" s="3" t="s">
        <v>23</v>
      </c>
      <c r="I1273" t="s">
        <v>67</v>
      </c>
      <c r="J1273" s="3" t="s">
        <v>1792</v>
      </c>
      <c r="K1273" s="4" t="s">
        <v>23</v>
      </c>
      <c r="L1273" s="5" t="s">
        <v>23</v>
      </c>
      <c r="M1273" s="6">
        <v>0</v>
      </c>
      <c r="N1273" s="7">
        <v>0</v>
      </c>
      <c r="O1273" t="s">
        <v>23</v>
      </c>
      <c r="P1273" s="3" t="s">
        <v>23</v>
      </c>
      <c r="Q1273" s="8" t="s">
        <v>23</v>
      </c>
    </row>
    <row r="1274" spans="1:17" hidden="1" x14ac:dyDescent="0.55000000000000004">
      <c r="A1274" s="3" t="s">
        <v>1761</v>
      </c>
      <c r="B1274" s="3" t="s">
        <v>1786</v>
      </c>
      <c r="C1274" t="s">
        <v>1786</v>
      </c>
      <c r="D1274" s="3" t="s">
        <v>7312</v>
      </c>
      <c r="E1274" t="s">
        <v>1793</v>
      </c>
      <c r="F1274" s="3" t="s">
        <v>1794</v>
      </c>
      <c r="G1274" t="s">
        <v>24</v>
      </c>
      <c r="H1274" s="3" t="s">
        <v>1789</v>
      </c>
      <c r="I1274" t="s">
        <v>37</v>
      </c>
      <c r="J1274" s="3" t="s">
        <v>1790</v>
      </c>
      <c r="K1274" s="4">
        <v>386</v>
      </c>
      <c r="L1274" s="5">
        <v>17.53</v>
      </c>
      <c r="M1274" s="6">
        <v>0</v>
      </c>
      <c r="N1274" s="7">
        <v>0</v>
      </c>
      <c r="O1274" t="s">
        <v>1791</v>
      </c>
      <c r="P1274" s="3" t="s">
        <v>40</v>
      </c>
      <c r="Q1274" s="8">
        <v>0.181892</v>
      </c>
    </row>
    <row r="1275" spans="1:17" hidden="1" x14ac:dyDescent="0.55000000000000004">
      <c r="A1275" s="3" t="s">
        <v>1761</v>
      </c>
      <c r="B1275" s="3" t="s">
        <v>1786</v>
      </c>
      <c r="C1275" t="s">
        <v>1786</v>
      </c>
      <c r="D1275" s="3" t="s">
        <v>7312</v>
      </c>
      <c r="E1275" t="s">
        <v>1793</v>
      </c>
      <c r="F1275" s="3" t="s">
        <v>1794</v>
      </c>
      <c r="G1275" t="s">
        <v>24</v>
      </c>
      <c r="H1275" s="3" t="s">
        <v>23</v>
      </c>
      <c r="I1275" t="s">
        <v>67</v>
      </c>
      <c r="J1275" s="3" t="s">
        <v>1792</v>
      </c>
      <c r="K1275" s="4" t="s">
        <v>23</v>
      </c>
      <c r="L1275" s="5" t="s">
        <v>23</v>
      </c>
      <c r="M1275" s="6">
        <v>0</v>
      </c>
      <c r="N1275" s="7">
        <v>0</v>
      </c>
      <c r="O1275" t="s">
        <v>23</v>
      </c>
      <c r="P1275" s="3" t="s">
        <v>23</v>
      </c>
      <c r="Q1275" s="8" t="s">
        <v>23</v>
      </c>
    </row>
    <row r="1276" spans="1:17" hidden="1" x14ac:dyDescent="0.55000000000000004">
      <c r="A1276" s="3" t="s">
        <v>1761</v>
      </c>
      <c r="B1276" s="3" t="s">
        <v>1795</v>
      </c>
      <c r="C1276" t="s">
        <v>1796</v>
      </c>
      <c r="D1276" s="3" t="s">
        <v>7312</v>
      </c>
      <c r="E1276" t="s">
        <v>1797</v>
      </c>
      <c r="F1276" s="3" t="s">
        <v>1798</v>
      </c>
      <c r="G1276" t="s">
        <v>19</v>
      </c>
      <c r="H1276" s="3" t="s">
        <v>1799</v>
      </c>
      <c r="I1276" t="s">
        <v>1800</v>
      </c>
      <c r="J1276" s="3" t="s">
        <v>1801</v>
      </c>
      <c r="K1276" s="4">
        <v>74</v>
      </c>
      <c r="L1276" s="5">
        <v>16.11</v>
      </c>
      <c r="M1276" s="6">
        <v>1</v>
      </c>
      <c r="N1276" s="7">
        <v>1</v>
      </c>
      <c r="O1276" t="s">
        <v>1802</v>
      </c>
      <c r="P1276" s="3" t="s">
        <v>1803</v>
      </c>
      <c r="Q1276" s="8">
        <v>2.2416999999999999E-2</v>
      </c>
    </row>
    <row r="1277" spans="1:17" hidden="1" x14ac:dyDescent="0.55000000000000004">
      <c r="A1277" s="3" t="s">
        <v>1761</v>
      </c>
      <c r="B1277" s="3" t="s">
        <v>1795</v>
      </c>
      <c r="C1277" t="s">
        <v>1796</v>
      </c>
      <c r="D1277" s="3" t="s">
        <v>7312</v>
      </c>
      <c r="E1277" t="s">
        <v>1797</v>
      </c>
      <c r="F1277" s="3" t="s">
        <v>1798</v>
      </c>
      <c r="G1277" t="s">
        <v>24</v>
      </c>
      <c r="H1277" s="3" t="s">
        <v>1804</v>
      </c>
      <c r="I1277" t="s">
        <v>48</v>
      </c>
      <c r="J1277" s="3" t="s">
        <v>1805</v>
      </c>
      <c r="K1277" s="4">
        <v>128</v>
      </c>
      <c r="L1277" s="5">
        <v>5.82</v>
      </c>
      <c r="M1277" s="6">
        <v>0</v>
      </c>
      <c r="N1277" s="7">
        <v>1</v>
      </c>
      <c r="O1277" t="s">
        <v>1806</v>
      </c>
      <c r="P1277" s="3" t="s">
        <v>23</v>
      </c>
      <c r="Q1277" s="8" t="s">
        <v>23</v>
      </c>
    </row>
    <row r="1278" spans="1:17" hidden="1" x14ac:dyDescent="0.55000000000000004">
      <c r="A1278" s="3" t="s">
        <v>1761</v>
      </c>
      <c r="B1278" s="3" t="s">
        <v>1807</v>
      </c>
      <c r="C1278" t="s">
        <v>1807</v>
      </c>
      <c r="D1278" s="3" t="s">
        <v>7312</v>
      </c>
      <c r="E1278" t="s">
        <v>1808</v>
      </c>
      <c r="F1278" s="3" t="s">
        <v>1809</v>
      </c>
      <c r="G1278" t="s">
        <v>19</v>
      </c>
      <c r="H1278" s="3" t="s">
        <v>1810</v>
      </c>
      <c r="I1278" t="s">
        <v>1607</v>
      </c>
      <c r="J1278" s="3" t="s">
        <v>1811</v>
      </c>
      <c r="K1278" s="4">
        <v>656</v>
      </c>
      <c r="L1278" s="5">
        <v>142.59</v>
      </c>
      <c r="M1278" s="6">
        <v>1</v>
      </c>
      <c r="N1278" s="7">
        <v>0</v>
      </c>
      <c r="O1278" t="s">
        <v>1812</v>
      </c>
      <c r="P1278" s="3" t="s">
        <v>1610</v>
      </c>
      <c r="Q1278" s="8">
        <v>5.7189999999999998E-2</v>
      </c>
    </row>
    <row r="1279" spans="1:17" hidden="1" x14ac:dyDescent="0.55000000000000004">
      <c r="A1279" s="3" t="s">
        <v>1761</v>
      </c>
      <c r="B1279" s="3" t="s">
        <v>1807</v>
      </c>
      <c r="C1279" t="s">
        <v>1807</v>
      </c>
      <c r="D1279" s="3" t="s">
        <v>7312</v>
      </c>
      <c r="E1279" t="s">
        <v>1808</v>
      </c>
      <c r="F1279" s="3" t="s">
        <v>1809</v>
      </c>
      <c r="G1279" t="s">
        <v>19</v>
      </c>
      <c r="H1279" s="3" t="s">
        <v>23</v>
      </c>
      <c r="I1279" t="s">
        <v>67</v>
      </c>
      <c r="J1279" s="3" t="s">
        <v>1767</v>
      </c>
      <c r="K1279" s="4" t="s">
        <v>23</v>
      </c>
      <c r="L1279" s="5" t="s">
        <v>23</v>
      </c>
      <c r="M1279" s="6">
        <v>0</v>
      </c>
      <c r="N1279" s="7">
        <v>0</v>
      </c>
      <c r="O1279" t="s">
        <v>23</v>
      </c>
      <c r="P1279" s="3" t="s">
        <v>23</v>
      </c>
      <c r="Q1279" s="8" t="s">
        <v>23</v>
      </c>
    </row>
    <row r="1280" spans="1:17" hidden="1" x14ac:dyDescent="0.55000000000000004">
      <c r="A1280" s="3" t="s">
        <v>1761</v>
      </c>
      <c r="B1280" s="3" t="s">
        <v>1807</v>
      </c>
      <c r="C1280" t="s">
        <v>1807</v>
      </c>
      <c r="D1280" s="3" t="s">
        <v>7312</v>
      </c>
      <c r="E1280" t="s">
        <v>1808</v>
      </c>
      <c r="F1280" s="3" t="s">
        <v>1809</v>
      </c>
      <c r="G1280" t="s">
        <v>19</v>
      </c>
      <c r="H1280" s="3" t="s">
        <v>23</v>
      </c>
      <c r="I1280" t="s">
        <v>67</v>
      </c>
      <c r="J1280" s="3" t="s">
        <v>1680</v>
      </c>
      <c r="K1280" s="4" t="s">
        <v>23</v>
      </c>
      <c r="L1280" s="5" t="s">
        <v>23</v>
      </c>
      <c r="M1280" s="6">
        <v>0</v>
      </c>
      <c r="N1280" s="7">
        <v>0</v>
      </c>
      <c r="O1280" t="s">
        <v>23</v>
      </c>
      <c r="P1280" s="3" t="s">
        <v>23</v>
      </c>
      <c r="Q1280" s="8" t="s">
        <v>23</v>
      </c>
    </row>
    <row r="1281" spans="1:17" hidden="1" x14ac:dyDescent="0.55000000000000004">
      <c r="A1281" s="3" t="s">
        <v>1761</v>
      </c>
      <c r="B1281" s="3" t="s">
        <v>1807</v>
      </c>
      <c r="C1281" t="s">
        <v>1807</v>
      </c>
      <c r="D1281" s="3" t="s">
        <v>7312</v>
      </c>
      <c r="E1281" t="s">
        <v>1808</v>
      </c>
      <c r="F1281" s="3" t="s">
        <v>1809</v>
      </c>
      <c r="G1281" t="s">
        <v>19</v>
      </c>
      <c r="H1281" s="3" t="s">
        <v>23</v>
      </c>
      <c r="I1281" t="s">
        <v>67</v>
      </c>
      <c r="J1281" s="3" t="s">
        <v>1813</v>
      </c>
      <c r="K1281" s="4" t="s">
        <v>23</v>
      </c>
      <c r="L1281" s="5" t="s">
        <v>23</v>
      </c>
      <c r="M1281" s="6">
        <v>0</v>
      </c>
      <c r="N1281" s="7">
        <v>0</v>
      </c>
      <c r="O1281" t="s">
        <v>23</v>
      </c>
      <c r="P1281" s="3" t="s">
        <v>23</v>
      </c>
      <c r="Q1281" s="8" t="s">
        <v>23</v>
      </c>
    </row>
    <row r="1282" spans="1:17" hidden="1" x14ac:dyDescent="0.55000000000000004">
      <c r="A1282" s="3" t="s">
        <v>1761</v>
      </c>
      <c r="B1282" s="3" t="s">
        <v>1807</v>
      </c>
      <c r="C1282" t="s">
        <v>1807</v>
      </c>
      <c r="D1282" s="3" t="s">
        <v>7312</v>
      </c>
      <c r="E1282" t="s">
        <v>1808</v>
      </c>
      <c r="F1282" s="3" t="s">
        <v>1809</v>
      </c>
      <c r="G1282" t="s">
        <v>19</v>
      </c>
      <c r="H1282" s="3" t="s">
        <v>23</v>
      </c>
      <c r="I1282" t="s">
        <v>67</v>
      </c>
      <c r="J1282" s="3" t="s">
        <v>1573</v>
      </c>
      <c r="K1282" s="4" t="s">
        <v>23</v>
      </c>
      <c r="L1282" s="5" t="s">
        <v>23</v>
      </c>
      <c r="M1282" s="6">
        <v>0</v>
      </c>
      <c r="N1282" s="7">
        <v>0</v>
      </c>
      <c r="O1282" t="s">
        <v>23</v>
      </c>
      <c r="P1282" s="3" t="s">
        <v>23</v>
      </c>
      <c r="Q1282" s="8" t="s">
        <v>23</v>
      </c>
    </row>
    <row r="1283" spans="1:17" hidden="1" x14ac:dyDescent="0.55000000000000004">
      <c r="A1283" s="3" t="s">
        <v>1761</v>
      </c>
      <c r="B1283" s="3" t="s">
        <v>1807</v>
      </c>
      <c r="C1283" t="s">
        <v>1807</v>
      </c>
      <c r="D1283" s="3" t="s">
        <v>7312</v>
      </c>
      <c r="E1283" t="s">
        <v>1808</v>
      </c>
      <c r="F1283" s="3" t="s">
        <v>1809</v>
      </c>
      <c r="G1283" t="s">
        <v>24</v>
      </c>
      <c r="H1283" s="3" t="s">
        <v>1523</v>
      </c>
      <c r="I1283" t="s">
        <v>296</v>
      </c>
      <c r="J1283" s="3" t="s">
        <v>304</v>
      </c>
      <c r="K1283" s="4">
        <v>590</v>
      </c>
      <c r="L1283" s="5">
        <v>0</v>
      </c>
      <c r="M1283" s="6">
        <v>0</v>
      </c>
      <c r="N1283" s="7">
        <v>0</v>
      </c>
      <c r="O1283" t="s">
        <v>23</v>
      </c>
      <c r="P1283" s="3" t="s">
        <v>23</v>
      </c>
      <c r="Q1283" s="8" t="s">
        <v>23</v>
      </c>
    </row>
    <row r="1284" spans="1:17" hidden="1" x14ac:dyDescent="0.55000000000000004">
      <c r="A1284" s="3" t="s">
        <v>1761</v>
      </c>
      <c r="B1284" s="3" t="s">
        <v>1807</v>
      </c>
      <c r="C1284" t="s">
        <v>1807</v>
      </c>
      <c r="D1284" s="3" t="s">
        <v>7312</v>
      </c>
      <c r="E1284" t="s">
        <v>1808</v>
      </c>
      <c r="F1284" s="3" t="s">
        <v>1809</v>
      </c>
      <c r="G1284" t="s">
        <v>24</v>
      </c>
      <c r="H1284" s="3" t="s">
        <v>1524</v>
      </c>
      <c r="I1284" t="s">
        <v>298</v>
      </c>
      <c r="J1284" s="3" t="s">
        <v>304</v>
      </c>
      <c r="K1284" s="4">
        <v>157</v>
      </c>
      <c r="L1284" s="5">
        <v>0</v>
      </c>
      <c r="M1284" s="6">
        <v>0</v>
      </c>
      <c r="N1284" s="7">
        <v>0</v>
      </c>
      <c r="O1284" t="s">
        <v>23</v>
      </c>
      <c r="P1284" s="3" t="s">
        <v>23</v>
      </c>
      <c r="Q1284" s="8" t="s">
        <v>23</v>
      </c>
    </row>
    <row r="1285" spans="1:17" hidden="1" x14ac:dyDescent="0.55000000000000004">
      <c r="A1285" s="3" t="s">
        <v>1761</v>
      </c>
      <c r="B1285" s="3" t="s">
        <v>1807</v>
      </c>
      <c r="C1285" t="s">
        <v>1807</v>
      </c>
      <c r="D1285" s="3" t="s">
        <v>7312</v>
      </c>
      <c r="E1285" t="s">
        <v>1808</v>
      </c>
      <c r="F1285" s="3" t="s">
        <v>1809</v>
      </c>
      <c r="G1285" t="s">
        <v>24</v>
      </c>
      <c r="H1285" s="3" t="s">
        <v>1525</v>
      </c>
      <c r="I1285" t="s">
        <v>300</v>
      </c>
      <c r="J1285" s="3" t="s">
        <v>304</v>
      </c>
      <c r="K1285" s="4">
        <v>523</v>
      </c>
      <c r="L1285" s="5">
        <v>0</v>
      </c>
      <c r="M1285" s="6">
        <v>0</v>
      </c>
      <c r="N1285" s="7">
        <v>0</v>
      </c>
      <c r="O1285" t="s">
        <v>23</v>
      </c>
      <c r="P1285" s="3" t="s">
        <v>23</v>
      </c>
      <c r="Q1285" s="8" t="s">
        <v>23</v>
      </c>
    </row>
    <row r="1286" spans="1:17" hidden="1" x14ac:dyDescent="0.55000000000000004">
      <c r="A1286" s="3" t="s">
        <v>1761</v>
      </c>
      <c r="B1286" s="3" t="s">
        <v>1807</v>
      </c>
      <c r="C1286" t="s">
        <v>1807</v>
      </c>
      <c r="D1286" s="3" t="s">
        <v>7312</v>
      </c>
      <c r="E1286" t="s">
        <v>1808</v>
      </c>
      <c r="F1286" s="3" t="s">
        <v>1809</v>
      </c>
      <c r="G1286" t="s">
        <v>24</v>
      </c>
      <c r="H1286" s="3" t="s">
        <v>1526</v>
      </c>
      <c r="I1286" t="s">
        <v>302</v>
      </c>
      <c r="J1286" s="3" t="s">
        <v>304</v>
      </c>
      <c r="K1286" s="4">
        <v>373</v>
      </c>
      <c r="L1286" s="5">
        <v>0</v>
      </c>
      <c r="M1286" s="6">
        <v>0</v>
      </c>
      <c r="N1286" s="7">
        <v>0</v>
      </c>
      <c r="O1286" t="s">
        <v>23</v>
      </c>
      <c r="P1286" s="3" t="s">
        <v>23</v>
      </c>
      <c r="Q1286" s="8" t="s">
        <v>23</v>
      </c>
    </row>
    <row r="1287" spans="1:17" hidden="1" x14ac:dyDescent="0.55000000000000004">
      <c r="A1287" s="3" t="s">
        <v>1761</v>
      </c>
      <c r="B1287" s="3" t="s">
        <v>1807</v>
      </c>
      <c r="C1287" t="s">
        <v>1807</v>
      </c>
      <c r="D1287" s="3" t="s">
        <v>7312</v>
      </c>
      <c r="E1287" t="s">
        <v>1808</v>
      </c>
      <c r="F1287" s="3" t="s">
        <v>1809</v>
      </c>
      <c r="G1287" t="s">
        <v>24</v>
      </c>
      <c r="H1287" s="3" t="s">
        <v>1527</v>
      </c>
      <c r="I1287" t="s">
        <v>52</v>
      </c>
      <c r="J1287" s="3" t="s">
        <v>304</v>
      </c>
      <c r="K1287" s="4">
        <v>444</v>
      </c>
      <c r="L1287" s="5">
        <v>0</v>
      </c>
      <c r="M1287" s="6">
        <v>0</v>
      </c>
      <c r="N1287" s="7">
        <v>0</v>
      </c>
      <c r="O1287" t="s">
        <v>23</v>
      </c>
      <c r="P1287" s="3" t="s">
        <v>23</v>
      </c>
      <c r="Q1287" s="8" t="s">
        <v>23</v>
      </c>
    </row>
    <row r="1288" spans="1:17" hidden="1" x14ac:dyDescent="0.55000000000000004">
      <c r="A1288" s="3" t="s">
        <v>1761</v>
      </c>
      <c r="B1288" s="3" t="s">
        <v>1807</v>
      </c>
      <c r="C1288" t="s">
        <v>1807</v>
      </c>
      <c r="D1288" s="3" t="s">
        <v>7312</v>
      </c>
      <c r="E1288" t="s">
        <v>1808</v>
      </c>
      <c r="F1288" s="3" t="s">
        <v>1809</v>
      </c>
      <c r="G1288" t="s">
        <v>24</v>
      </c>
      <c r="H1288" s="3" t="s">
        <v>1814</v>
      </c>
      <c r="I1288" t="s">
        <v>26</v>
      </c>
      <c r="J1288" s="3" t="s">
        <v>1815</v>
      </c>
      <c r="K1288" s="4">
        <v>502</v>
      </c>
      <c r="L1288" s="5">
        <v>22.82</v>
      </c>
      <c r="M1288" s="6">
        <v>0</v>
      </c>
      <c r="N1288" s="7">
        <v>0</v>
      </c>
      <c r="O1288" t="s">
        <v>1816</v>
      </c>
      <c r="P1288" s="3" t="s">
        <v>76</v>
      </c>
      <c r="Q1288" s="8">
        <v>0.17749999999999999</v>
      </c>
    </row>
    <row r="1289" spans="1:17" hidden="1" x14ac:dyDescent="0.55000000000000004">
      <c r="A1289" s="3" t="s">
        <v>1761</v>
      </c>
      <c r="B1289" s="3" t="s">
        <v>1807</v>
      </c>
      <c r="C1289" t="s">
        <v>1807</v>
      </c>
      <c r="D1289" s="3" t="s">
        <v>7312</v>
      </c>
      <c r="E1289" t="s">
        <v>1808</v>
      </c>
      <c r="F1289" s="3" t="s">
        <v>1809</v>
      </c>
      <c r="G1289" t="s">
        <v>24</v>
      </c>
      <c r="H1289" s="3" t="s">
        <v>1817</v>
      </c>
      <c r="I1289" t="s">
        <v>218</v>
      </c>
      <c r="J1289" s="3" t="s">
        <v>1815</v>
      </c>
      <c r="K1289" s="4">
        <v>53</v>
      </c>
      <c r="L1289" s="5">
        <v>2.42</v>
      </c>
      <c r="M1289" s="6">
        <v>0</v>
      </c>
      <c r="N1289" s="7">
        <v>0</v>
      </c>
      <c r="O1289" t="s">
        <v>1818</v>
      </c>
      <c r="P1289" s="3" t="s">
        <v>23</v>
      </c>
      <c r="Q1289" s="8" t="s">
        <v>23</v>
      </c>
    </row>
    <row r="1290" spans="1:17" hidden="1" x14ac:dyDescent="0.55000000000000004">
      <c r="A1290" s="3" t="s">
        <v>1761</v>
      </c>
      <c r="B1290" s="3" t="s">
        <v>1807</v>
      </c>
      <c r="C1290" t="s">
        <v>1807</v>
      </c>
      <c r="D1290" s="3" t="s">
        <v>7312</v>
      </c>
      <c r="E1290" t="s">
        <v>1808</v>
      </c>
      <c r="F1290" s="3" t="s">
        <v>1809</v>
      </c>
      <c r="G1290" t="s">
        <v>24</v>
      </c>
      <c r="H1290" s="3" t="s">
        <v>1533</v>
      </c>
      <c r="I1290" t="s">
        <v>317</v>
      </c>
      <c r="J1290" s="3" t="s">
        <v>218</v>
      </c>
      <c r="K1290" s="4">
        <v>395</v>
      </c>
      <c r="L1290" s="5">
        <v>0</v>
      </c>
      <c r="M1290" s="6">
        <v>0</v>
      </c>
      <c r="N1290" s="7">
        <v>0</v>
      </c>
      <c r="O1290" t="s">
        <v>23</v>
      </c>
      <c r="P1290" s="3" t="s">
        <v>23</v>
      </c>
      <c r="Q1290" s="8" t="s">
        <v>23</v>
      </c>
    </row>
    <row r="1291" spans="1:17" hidden="1" x14ac:dyDescent="0.55000000000000004">
      <c r="A1291" s="3" t="s">
        <v>1761</v>
      </c>
      <c r="B1291" s="3" t="s">
        <v>1807</v>
      </c>
      <c r="C1291" t="s">
        <v>1807</v>
      </c>
      <c r="D1291" s="3" t="s">
        <v>7312</v>
      </c>
      <c r="E1291" t="s">
        <v>1808</v>
      </c>
      <c r="F1291" s="3" t="s">
        <v>1809</v>
      </c>
      <c r="G1291" t="s">
        <v>24</v>
      </c>
      <c r="H1291" s="3" t="s">
        <v>1534</v>
      </c>
      <c r="I1291" t="s">
        <v>313</v>
      </c>
      <c r="J1291" s="3" t="s">
        <v>218</v>
      </c>
      <c r="K1291" s="4">
        <v>368</v>
      </c>
      <c r="L1291" s="5">
        <v>0</v>
      </c>
      <c r="M1291" s="6">
        <v>0</v>
      </c>
      <c r="N1291" s="7">
        <v>0</v>
      </c>
      <c r="O1291" t="s">
        <v>23</v>
      </c>
      <c r="P1291" s="3" t="s">
        <v>23</v>
      </c>
      <c r="Q1291" s="8" t="s">
        <v>23</v>
      </c>
    </row>
    <row r="1292" spans="1:17" hidden="1" x14ac:dyDescent="0.55000000000000004">
      <c r="A1292" s="3" t="s">
        <v>1761</v>
      </c>
      <c r="B1292" s="3" t="s">
        <v>1807</v>
      </c>
      <c r="C1292" t="s">
        <v>1807</v>
      </c>
      <c r="D1292" s="3" t="s">
        <v>7312</v>
      </c>
      <c r="E1292" t="s">
        <v>1808</v>
      </c>
      <c r="F1292" s="3" t="s">
        <v>1809</v>
      </c>
      <c r="G1292" t="s">
        <v>24</v>
      </c>
      <c r="H1292" s="3" t="s">
        <v>1535</v>
      </c>
      <c r="I1292" t="s">
        <v>315</v>
      </c>
      <c r="J1292" s="3" t="s">
        <v>218</v>
      </c>
      <c r="K1292" s="4">
        <v>600</v>
      </c>
      <c r="L1292" s="5">
        <v>0</v>
      </c>
      <c r="M1292" s="6">
        <v>0</v>
      </c>
      <c r="N1292" s="7">
        <v>0</v>
      </c>
      <c r="O1292" t="s">
        <v>23</v>
      </c>
      <c r="P1292" s="3" t="s">
        <v>23</v>
      </c>
      <c r="Q1292" s="8" t="s">
        <v>23</v>
      </c>
    </row>
    <row r="1293" spans="1:17" hidden="1" x14ac:dyDescent="0.55000000000000004">
      <c r="A1293" s="3" t="s">
        <v>1761</v>
      </c>
      <c r="B1293" s="3" t="s">
        <v>1807</v>
      </c>
      <c r="C1293" t="s">
        <v>1807</v>
      </c>
      <c r="D1293" s="3" t="s">
        <v>7312</v>
      </c>
      <c r="E1293" t="s">
        <v>1808</v>
      </c>
      <c r="F1293" s="3" t="s">
        <v>1809</v>
      </c>
      <c r="G1293" t="s">
        <v>24</v>
      </c>
      <c r="H1293" s="3" t="s">
        <v>1536</v>
      </c>
      <c r="I1293" t="s">
        <v>309</v>
      </c>
      <c r="J1293" s="3" t="s">
        <v>218</v>
      </c>
      <c r="K1293" s="4">
        <v>216</v>
      </c>
      <c r="L1293" s="5">
        <v>0</v>
      </c>
      <c r="M1293" s="6">
        <v>0</v>
      </c>
      <c r="N1293" s="7">
        <v>0</v>
      </c>
      <c r="O1293" t="s">
        <v>23</v>
      </c>
      <c r="P1293" s="3" t="s">
        <v>23</v>
      </c>
      <c r="Q1293" s="8" t="s">
        <v>23</v>
      </c>
    </row>
    <row r="1294" spans="1:17" hidden="1" x14ac:dyDescent="0.55000000000000004">
      <c r="A1294" s="3" t="s">
        <v>1761</v>
      </c>
      <c r="B1294" s="3" t="s">
        <v>1807</v>
      </c>
      <c r="C1294" t="s">
        <v>1807</v>
      </c>
      <c r="D1294" s="3" t="s">
        <v>7312</v>
      </c>
      <c r="E1294" t="s">
        <v>1808</v>
      </c>
      <c r="F1294" s="3" t="s">
        <v>1809</v>
      </c>
      <c r="G1294" t="s">
        <v>24</v>
      </c>
      <c r="H1294" s="3" t="s">
        <v>23</v>
      </c>
      <c r="I1294" t="s">
        <v>67</v>
      </c>
      <c r="J1294" s="3" t="s">
        <v>37</v>
      </c>
      <c r="K1294" s="4" t="s">
        <v>23</v>
      </c>
      <c r="L1294" s="5" t="s">
        <v>23</v>
      </c>
      <c r="M1294" s="6">
        <v>0</v>
      </c>
      <c r="N1294" s="7">
        <v>0</v>
      </c>
      <c r="O1294" t="s">
        <v>23</v>
      </c>
      <c r="P1294" s="3" t="s">
        <v>23</v>
      </c>
      <c r="Q1294" s="8" t="s">
        <v>23</v>
      </c>
    </row>
    <row r="1295" spans="1:17" hidden="1" x14ac:dyDescent="0.55000000000000004">
      <c r="A1295" s="3" t="s">
        <v>1761</v>
      </c>
      <c r="B1295" s="3" t="s">
        <v>1807</v>
      </c>
      <c r="C1295" t="s">
        <v>1807</v>
      </c>
      <c r="D1295" s="3" t="s">
        <v>7312</v>
      </c>
      <c r="E1295" t="s">
        <v>1808</v>
      </c>
      <c r="F1295" s="3" t="s">
        <v>1809</v>
      </c>
      <c r="G1295" t="s">
        <v>24</v>
      </c>
      <c r="H1295" s="3" t="s">
        <v>23</v>
      </c>
      <c r="I1295" t="s">
        <v>67</v>
      </c>
      <c r="J1295" s="3" t="s">
        <v>48</v>
      </c>
      <c r="K1295" s="4" t="s">
        <v>23</v>
      </c>
      <c r="L1295" s="5" t="s">
        <v>23</v>
      </c>
      <c r="M1295" s="6">
        <v>0</v>
      </c>
      <c r="N1295" s="7">
        <v>0</v>
      </c>
      <c r="O1295" t="s">
        <v>23</v>
      </c>
      <c r="P1295" s="3" t="s">
        <v>23</v>
      </c>
      <c r="Q1295" s="8" t="s">
        <v>23</v>
      </c>
    </row>
    <row r="1296" spans="1:17" hidden="1" x14ac:dyDescent="0.55000000000000004">
      <c r="A1296" s="3" t="s">
        <v>1761</v>
      </c>
      <c r="B1296" s="3" t="s">
        <v>7342</v>
      </c>
      <c r="C1296" t="s">
        <v>1807</v>
      </c>
      <c r="D1296" s="3" t="s">
        <v>7312</v>
      </c>
      <c r="E1296" t="s">
        <v>1819</v>
      </c>
      <c r="F1296" s="3" t="s">
        <v>1820</v>
      </c>
      <c r="G1296" t="s">
        <v>24</v>
      </c>
      <c r="H1296" s="3" t="s">
        <v>1523</v>
      </c>
      <c r="I1296" t="s">
        <v>296</v>
      </c>
      <c r="J1296" s="3" t="s">
        <v>304</v>
      </c>
      <c r="K1296" s="4">
        <v>590</v>
      </c>
      <c r="L1296" s="5">
        <v>0</v>
      </c>
      <c r="M1296" s="6">
        <v>0</v>
      </c>
      <c r="N1296" s="7">
        <v>0</v>
      </c>
      <c r="O1296" t="s">
        <v>23</v>
      </c>
      <c r="P1296" s="3" t="s">
        <v>23</v>
      </c>
      <c r="Q1296" s="8" t="s">
        <v>23</v>
      </c>
    </row>
    <row r="1297" spans="1:17" hidden="1" x14ac:dyDescent="0.55000000000000004">
      <c r="A1297" s="3" t="s">
        <v>1761</v>
      </c>
      <c r="B1297" s="3" t="s">
        <v>7342</v>
      </c>
      <c r="C1297" t="s">
        <v>1807</v>
      </c>
      <c r="D1297" s="3" t="s">
        <v>7312</v>
      </c>
      <c r="E1297" t="s">
        <v>1819</v>
      </c>
      <c r="F1297" s="3" t="s">
        <v>1820</v>
      </c>
      <c r="G1297" t="s">
        <v>24</v>
      </c>
      <c r="H1297" s="3" t="s">
        <v>1524</v>
      </c>
      <c r="I1297" t="s">
        <v>298</v>
      </c>
      <c r="J1297" s="3" t="s">
        <v>304</v>
      </c>
      <c r="K1297" s="4">
        <v>157</v>
      </c>
      <c r="L1297" s="5">
        <v>0</v>
      </c>
      <c r="M1297" s="6">
        <v>0</v>
      </c>
      <c r="N1297" s="7">
        <v>0</v>
      </c>
      <c r="O1297" t="s">
        <v>23</v>
      </c>
      <c r="P1297" s="3" t="s">
        <v>23</v>
      </c>
      <c r="Q1297" s="8" t="s">
        <v>23</v>
      </c>
    </row>
    <row r="1298" spans="1:17" hidden="1" x14ac:dyDescent="0.55000000000000004">
      <c r="A1298" s="3" t="s">
        <v>1761</v>
      </c>
      <c r="B1298" s="3" t="s">
        <v>7342</v>
      </c>
      <c r="C1298" t="s">
        <v>1807</v>
      </c>
      <c r="D1298" s="3" t="s">
        <v>7312</v>
      </c>
      <c r="E1298" t="s">
        <v>1819</v>
      </c>
      <c r="F1298" s="3" t="s">
        <v>1820</v>
      </c>
      <c r="G1298" t="s">
        <v>24</v>
      </c>
      <c r="H1298" s="3" t="s">
        <v>1525</v>
      </c>
      <c r="I1298" t="s">
        <v>300</v>
      </c>
      <c r="J1298" s="3" t="s">
        <v>304</v>
      </c>
      <c r="K1298" s="4">
        <v>523</v>
      </c>
      <c r="L1298" s="5">
        <v>0</v>
      </c>
      <c r="M1298" s="6">
        <v>0</v>
      </c>
      <c r="N1298" s="7">
        <v>0</v>
      </c>
      <c r="O1298" t="s">
        <v>23</v>
      </c>
      <c r="P1298" s="3" t="s">
        <v>23</v>
      </c>
      <c r="Q1298" s="8" t="s">
        <v>23</v>
      </c>
    </row>
    <row r="1299" spans="1:17" hidden="1" x14ac:dyDescent="0.55000000000000004">
      <c r="A1299" s="3" t="s">
        <v>1761</v>
      </c>
      <c r="B1299" s="3" t="s">
        <v>7342</v>
      </c>
      <c r="C1299" t="s">
        <v>1807</v>
      </c>
      <c r="D1299" s="3" t="s">
        <v>7312</v>
      </c>
      <c r="E1299" t="s">
        <v>1819</v>
      </c>
      <c r="F1299" s="3" t="s">
        <v>1820</v>
      </c>
      <c r="G1299" t="s">
        <v>24</v>
      </c>
      <c r="H1299" s="3" t="s">
        <v>1526</v>
      </c>
      <c r="I1299" t="s">
        <v>302</v>
      </c>
      <c r="J1299" s="3" t="s">
        <v>304</v>
      </c>
      <c r="K1299" s="4">
        <v>373</v>
      </c>
      <c r="L1299" s="5">
        <v>0</v>
      </c>
      <c r="M1299" s="6">
        <v>0</v>
      </c>
      <c r="N1299" s="7">
        <v>0</v>
      </c>
      <c r="O1299" t="s">
        <v>23</v>
      </c>
      <c r="P1299" s="3" t="s">
        <v>23</v>
      </c>
      <c r="Q1299" s="8" t="s">
        <v>23</v>
      </c>
    </row>
    <row r="1300" spans="1:17" hidden="1" x14ac:dyDescent="0.55000000000000004">
      <c r="A1300" s="3" t="s">
        <v>1761</v>
      </c>
      <c r="B1300" s="3" t="s">
        <v>7342</v>
      </c>
      <c r="C1300" t="s">
        <v>1807</v>
      </c>
      <c r="D1300" s="3" t="s">
        <v>7312</v>
      </c>
      <c r="E1300" t="s">
        <v>1819</v>
      </c>
      <c r="F1300" s="3" t="s">
        <v>1820</v>
      </c>
      <c r="G1300" t="s">
        <v>24</v>
      </c>
      <c r="H1300" s="3" t="s">
        <v>1527</v>
      </c>
      <c r="I1300" t="s">
        <v>52</v>
      </c>
      <c r="J1300" s="3" t="s">
        <v>304</v>
      </c>
      <c r="K1300" s="4">
        <v>444</v>
      </c>
      <c r="L1300" s="5">
        <v>0</v>
      </c>
      <c r="M1300" s="6">
        <v>0</v>
      </c>
      <c r="N1300" s="7">
        <v>0</v>
      </c>
      <c r="O1300" t="s">
        <v>23</v>
      </c>
      <c r="P1300" s="3" t="s">
        <v>23</v>
      </c>
      <c r="Q1300" s="8" t="s">
        <v>23</v>
      </c>
    </row>
    <row r="1301" spans="1:17" hidden="1" x14ac:dyDescent="0.55000000000000004">
      <c r="A1301" s="3" t="s">
        <v>1761</v>
      </c>
      <c r="B1301" s="3" t="s">
        <v>7342</v>
      </c>
      <c r="C1301" t="s">
        <v>1807</v>
      </c>
      <c r="D1301" s="3" t="s">
        <v>7312</v>
      </c>
      <c r="E1301" t="s">
        <v>1819</v>
      </c>
      <c r="F1301" s="3" t="s">
        <v>1820</v>
      </c>
      <c r="G1301" t="s">
        <v>24</v>
      </c>
      <c r="H1301" s="3" t="s">
        <v>1814</v>
      </c>
      <c r="I1301" t="s">
        <v>26</v>
      </c>
      <c r="J1301" s="3" t="s">
        <v>1815</v>
      </c>
      <c r="K1301" s="4">
        <v>502</v>
      </c>
      <c r="L1301" s="5">
        <v>22.82</v>
      </c>
      <c r="M1301" s="6">
        <v>0</v>
      </c>
      <c r="N1301" s="7">
        <v>0</v>
      </c>
      <c r="O1301" t="s">
        <v>1816</v>
      </c>
      <c r="P1301" s="3" t="s">
        <v>76</v>
      </c>
      <c r="Q1301" s="8">
        <v>0.17749999999999999</v>
      </c>
    </row>
    <row r="1302" spans="1:17" hidden="1" x14ac:dyDescent="0.55000000000000004">
      <c r="A1302" s="3" t="s">
        <v>1761</v>
      </c>
      <c r="B1302" s="3" t="s">
        <v>7342</v>
      </c>
      <c r="C1302" t="s">
        <v>1807</v>
      </c>
      <c r="D1302" s="3" t="s">
        <v>7312</v>
      </c>
      <c r="E1302" t="s">
        <v>1819</v>
      </c>
      <c r="F1302" s="3" t="s">
        <v>1820</v>
      </c>
      <c r="G1302" t="s">
        <v>24</v>
      </c>
      <c r="H1302" s="3" t="s">
        <v>1817</v>
      </c>
      <c r="I1302" t="s">
        <v>218</v>
      </c>
      <c r="J1302" s="3" t="s">
        <v>1815</v>
      </c>
      <c r="K1302" s="4">
        <v>53</v>
      </c>
      <c r="L1302" s="5">
        <v>2.42</v>
      </c>
      <c r="M1302" s="6">
        <v>0</v>
      </c>
      <c r="N1302" s="7">
        <v>0</v>
      </c>
      <c r="O1302" t="s">
        <v>1818</v>
      </c>
      <c r="P1302" s="3" t="s">
        <v>23</v>
      </c>
      <c r="Q1302" s="8" t="s">
        <v>23</v>
      </c>
    </row>
    <row r="1303" spans="1:17" hidden="1" x14ac:dyDescent="0.55000000000000004">
      <c r="A1303" s="3" t="s">
        <v>1761</v>
      </c>
      <c r="B1303" s="3" t="s">
        <v>7342</v>
      </c>
      <c r="C1303" t="s">
        <v>1807</v>
      </c>
      <c r="D1303" s="3" t="s">
        <v>7312</v>
      </c>
      <c r="E1303" t="s">
        <v>1819</v>
      </c>
      <c r="F1303" s="3" t="s">
        <v>1820</v>
      </c>
      <c r="G1303" t="s">
        <v>24</v>
      </c>
      <c r="H1303" s="3" t="s">
        <v>1533</v>
      </c>
      <c r="I1303" t="s">
        <v>317</v>
      </c>
      <c r="J1303" s="3" t="s">
        <v>218</v>
      </c>
      <c r="K1303" s="4">
        <v>395</v>
      </c>
      <c r="L1303" s="5">
        <v>0</v>
      </c>
      <c r="M1303" s="6">
        <v>0</v>
      </c>
      <c r="N1303" s="7">
        <v>0</v>
      </c>
      <c r="O1303" t="s">
        <v>23</v>
      </c>
      <c r="P1303" s="3" t="s">
        <v>23</v>
      </c>
      <c r="Q1303" s="8" t="s">
        <v>23</v>
      </c>
    </row>
    <row r="1304" spans="1:17" hidden="1" x14ac:dyDescent="0.55000000000000004">
      <c r="A1304" s="3" t="s">
        <v>1761</v>
      </c>
      <c r="B1304" s="3" t="s">
        <v>7342</v>
      </c>
      <c r="C1304" t="s">
        <v>1807</v>
      </c>
      <c r="D1304" s="3" t="s">
        <v>7312</v>
      </c>
      <c r="E1304" t="s">
        <v>1819</v>
      </c>
      <c r="F1304" s="3" t="s">
        <v>1820</v>
      </c>
      <c r="G1304" t="s">
        <v>24</v>
      </c>
      <c r="H1304" s="3" t="s">
        <v>1534</v>
      </c>
      <c r="I1304" t="s">
        <v>313</v>
      </c>
      <c r="J1304" s="3" t="s">
        <v>218</v>
      </c>
      <c r="K1304" s="4">
        <v>368</v>
      </c>
      <c r="L1304" s="5">
        <v>0</v>
      </c>
      <c r="M1304" s="6">
        <v>0</v>
      </c>
      <c r="N1304" s="7">
        <v>0</v>
      </c>
      <c r="O1304" t="s">
        <v>23</v>
      </c>
      <c r="P1304" s="3" t="s">
        <v>23</v>
      </c>
      <c r="Q1304" s="8" t="s">
        <v>23</v>
      </c>
    </row>
    <row r="1305" spans="1:17" hidden="1" x14ac:dyDescent="0.55000000000000004">
      <c r="A1305" s="3" t="s">
        <v>1761</v>
      </c>
      <c r="B1305" s="3" t="s">
        <v>7342</v>
      </c>
      <c r="C1305" t="s">
        <v>1807</v>
      </c>
      <c r="D1305" s="3" t="s">
        <v>7312</v>
      </c>
      <c r="E1305" t="s">
        <v>1819</v>
      </c>
      <c r="F1305" s="3" t="s">
        <v>1820</v>
      </c>
      <c r="G1305" t="s">
        <v>24</v>
      </c>
      <c r="H1305" s="3" t="s">
        <v>1535</v>
      </c>
      <c r="I1305" t="s">
        <v>315</v>
      </c>
      <c r="J1305" s="3" t="s">
        <v>218</v>
      </c>
      <c r="K1305" s="4">
        <v>600</v>
      </c>
      <c r="L1305" s="5">
        <v>0</v>
      </c>
      <c r="M1305" s="6">
        <v>0</v>
      </c>
      <c r="N1305" s="7">
        <v>0</v>
      </c>
      <c r="O1305" t="s">
        <v>23</v>
      </c>
      <c r="P1305" s="3" t="s">
        <v>23</v>
      </c>
      <c r="Q1305" s="8" t="s">
        <v>23</v>
      </c>
    </row>
    <row r="1306" spans="1:17" hidden="1" x14ac:dyDescent="0.55000000000000004">
      <c r="A1306" s="3" t="s">
        <v>1761</v>
      </c>
      <c r="B1306" s="3" t="s">
        <v>7342</v>
      </c>
      <c r="C1306" t="s">
        <v>1807</v>
      </c>
      <c r="D1306" s="3" t="s">
        <v>7312</v>
      </c>
      <c r="E1306" t="s">
        <v>1819</v>
      </c>
      <c r="F1306" s="3" t="s">
        <v>1820</v>
      </c>
      <c r="G1306" t="s">
        <v>24</v>
      </c>
      <c r="H1306" s="3" t="s">
        <v>1536</v>
      </c>
      <c r="I1306" t="s">
        <v>309</v>
      </c>
      <c r="J1306" s="3" t="s">
        <v>218</v>
      </c>
      <c r="K1306" s="4">
        <v>216</v>
      </c>
      <c r="L1306" s="5">
        <v>0</v>
      </c>
      <c r="M1306" s="6">
        <v>0</v>
      </c>
      <c r="N1306" s="7">
        <v>0</v>
      </c>
      <c r="O1306" t="s">
        <v>23</v>
      </c>
      <c r="P1306" s="3" t="s">
        <v>23</v>
      </c>
      <c r="Q1306" s="8" t="s">
        <v>23</v>
      </c>
    </row>
    <row r="1307" spans="1:17" hidden="1" x14ac:dyDescent="0.55000000000000004">
      <c r="A1307" s="3" t="s">
        <v>1761</v>
      </c>
      <c r="B1307" s="3" t="s">
        <v>7342</v>
      </c>
      <c r="C1307" t="s">
        <v>1807</v>
      </c>
      <c r="D1307" s="3" t="s">
        <v>7312</v>
      </c>
      <c r="E1307" t="s">
        <v>1819</v>
      </c>
      <c r="F1307" s="3" t="s">
        <v>1820</v>
      </c>
      <c r="G1307" t="s">
        <v>24</v>
      </c>
      <c r="H1307" s="3" t="s">
        <v>23</v>
      </c>
      <c r="I1307" t="s">
        <v>67</v>
      </c>
      <c r="J1307" s="3" t="s">
        <v>37</v>
      </c>
      <c r="K1307" s="4" t="s">
        <v>23</v>
      </c>
      <c r="L1307" s="5" t="s">
        <v>23</v>
      </c>
      <c r="M1307" s="6">
        <v>0</v>
      </c>
      <c r="N1307" s="7">
        <v>0</v>
      </c>
      <c r="O1307" t="s">
        <v>23</v>
      </c>
      <c r="P1307" s="3" t="s">
        <v>23</v>
      </c>
      <c r="Q1307" s="8" t="s">
        <v>23</v>
      </c>
    </row>
    <row r="1308" spans="1:17" hidden="1" x14ac:dyDescent="0.55000000000000004">
      <c r="A1308" s="3" t="s">
        <v>1761</v>
      </c>
      <c r="B1308" s="3" t="s">
        <v>7342</v>
      </c>
      <c r="C1308" t="s">
        <v>1807</v>
      </c>
      <c r="D1308" s="3" t="s">
        <v>7312</v>
      </c>
      <c r="E1308" t="s">
        <v>1819</v>
      </c>
      <c r="F1308" s="3" t="s">
        <v>1820</v>
      </c>
      <c r="G1308" t="s">
        <v>24</v>
      </c>
      <c r="H1308" s="3" t="s">
        <v>23</v>
      </c>
      <c r="I1308" t="s">
        <v>67</v>
      </c>
      <c r="J1308" s="3" t="s">
        <v>48</v>
      </c>
      <c r="K1308" s="4" t="s">
        <v>23</v>
      </c>
      <c r="L1308" s="5" t="s">
        <v>23</v>
      </c>
      <c r="M1308" s="6">
        <v>0</v>
      </c>
      <c r="N1308" s="7">
        <v>0</v>
      </c>
      <c r="O1308" t="s">
        <v>23</v>
      </c>
      <c r="P1308" s="3" t="s">
        <v>23</v>
      </c>
      <c r="Q1308" s="8" t="s">
        <v>23</v>
      </c>
    </row>
    <row r="1309" spans="1:17" hidden="1" x14ac:dyDescent="0.55000000000000004">
      <c r="A1309" s="3" t="s">
        <v>1761</v>
      </c>
      <c r="B1309" s="3" t="s">
        <v>7343</v>
      </c>
      <c r="C1309" t="s">
        <v>1807</v>
      </c>
      <c r="D1309" s="3" t="s">
        <v>7312</v>
      </c>
      <c r="E1309" t="s">
        <v>1821</v>
      </c>
      <c r="F1309" s="3" t="s">
        <v>1822</v>
      </c>
      <c r="G1309" t="s">
        <v>19</v>
      </c>
      <c r="H1309" s="3" t="s">
        <v>1810</v>
      </c>
      <c r="I1309" t="s">
        <v>1607</v>
      </c>
      <c r="J1309" s="3" t="s">
        <v>1811</v>
      </c>
      <c r="K1309" s="4">
        <v>656</v>
      </c>
      <c r="L1309" s="5">
        <v>142.59</v>
      </c>
      <c r="M1309" s="6">
        <v>1</v>
      </c>
      <c r="N1309" s="7">
        <v>0</v>
      </c>
      <c r="O1309" t="s">
        <v>1812</v>
      </c>
      <c r="P1309" s="3" t="s">
        <v>1610</v>
      </c>
      <c r="Q1309" s="8">
        <v>5.7189999999999998E-2</v>
      </c>
    </row>
    <row r="1310" spans="1:17" hidden="1" x14ac:dyDescent="0.55000000000000004">
      <c r="A1310" s="3" t="s">
        <v>1761</v>
      </c>
      <c r="B1310" s="3" t="s">
        <v>7343</v>
      </c>
      <c r="C1310" t="s">
        <v>1807</v>
      </c>
      <c r="D1310" s="3" t="s">
        <v>7312</v>
      </c>
      <c r="E1310" t="s">
        <v>1821</v>
      </c>
      <c r="F1310" s="3" t="s">
        <v>1822</v>
      </c>
      <c r="G1310" t="s">
        <v>19</v>
      </c>
      <c r="H1310" s="3" t="s">
        <v>23</v>
      </c>
      <c r="I1310" t="s">
        <v>67</v>
      </c>
      <c r="J1310" s="3" t="s">
        <v>1767</v>
      </c>
      <c r="K1310" s="4" t="s">
        <v>23</v>
      </c>
      <c r="L1310" s="5" t="s">
        <v>23</v>
      </c>
      <c r="M1310" s="6">
        <v>0</v>
      </c>
      <c r="N1310" s="7">
        <v>0</v>
      </c>
      <c r="O1310" t="s">
        <v>23</v>
      </c>
      <c r="P1310" s="3" t="s">
        <v>23</v>
      </c>
      <c r="Q1310" s="8" t="s">
        <v>23</v>
      </c>
    </row>
    <row r="1311" spans="1:17" hidden="1" x14ac:dyDescent="0.55000000000000004">
      <c r="A1311" s="3" t="s">
        <v>1761</v>
      </c>
      <c r="B1311" s="3" t="s">
        <v>7343</v>
      </c>
      <c r="C1311" t="s">
        <v>1807</v>
      </c>
      <c r="D1311" s="3" t="s">
        <v>7312</v>
      </c>
      <c r="E1311" t="s">
        <v>1821</v>
      </c>
      <c r="F1311" s="3" t="s">
        <v>1822</v>
      </c>
      <c r="G1311" t="s">
        <v>19</v>
      </c>
      <c r="H1311" s="3" t="s">
        <v>23</v>
      </c>
      <c r="I1311" t="s">
        <v>67</v>
      </c>
      <c r="J1311" s="3" t="s">
        <v>1680</v>
      </c>
      <c r="K1311" s="4" t="s">
        <v>23</v>
      </c>
      <c r="L1311" s="5" t="s">
        <v>23</v>
      </c>
      <c r="M1311" s="6">
        <v>0</v>
      </c>
      <c r="N1311" s="7">
        <v>0</v>
      </c>
      <c r="O1311" t="s">
        <v>23</v>
      </c>
      <c r="P1311" s="3" t="s">
        <v>23</v>
      </c>
      <c r="Q1311" s="8" t="s">
        <v>23</v>
      </c>
    </row>
    <row r="1312" spans="1:17" hidden="1" x14ac:dyDescent="0.55000000000000004">
      <c r="A1312" s="3" t="s">
        <v>1761</v>
      </c>
      <c r="B1312" s="3" t="s">
        <v>7343</v>
      </c>
      <c r="C1312" t="s">
        <v>1807</v>
      </c>
      <c r="D1312" s="3" t="s">
        <v>7312</v>
      </c>
      <c r="E1312" t="s">
        <v>1821</v>
      </c>
      <c r="F1312" s="3" t="s">
        <v>1822</v>
      </c>
      <c r="G1312" t="s">
        <v>19</v>
      </c>
      <c r="H1312" s="3" t="s">
        <v>23</v>
      </c>
      <c r="I1312" t="s">
        <v>67</v>
      </c>
      <c r="J1312" s="3" t="s">
        <v>1813</v>
      </c>
      <c r="K1312" s="4" t="s">
        <v>23</v>
      </c>
      <c r="L1312" s="5" t="s">
        <v>23</v>
      </c>
      <c r="M1312" s="6">
        <v>0</v>
      </c>
      <c r="N1312" s="7">
        <v>0</v>
      </c>
      <c r="O1312" t="s">
        <v>23</v>
      </c>
      <c r="P1312" s="3" t="s">
        <v>23</v>
      </c>
      <c r="Q1312" s="8" t="s">
        <v>23</v>
      </c>
    </row>
    <row r="1313" spans="1:17" hidden="1" x14ac:dyDescent="0.55000000000000004">
      <c r="A1313" s="3" t="s">
        <v>1761</v>
      </c>
      <c r="B1313" s="3" t="s">
        <v>7343</v>
      </c>
      <c r="C1313" t="s">
        <v>1807</v>
      </c>
      <c r="D1313" s="3" t="s">
        <v>7312</v>
      </c>
      <c r="E1313" t="s">
        <v>1821</v>
      </c>
      <c r="F1313" s="3" t="s">
        <v>1822</v>
      </c>
      <c r="G1313" t="s">
        <v>19</v>
      </c>
      <c r="H1313" s="3" t="s">
        <v>23</v>
      </c>
      <c r="I1313" t="s">
        <v>67</v>
      </c>
      <c r="J1313" s="3" t="s">
        <v>1573</v>
      </c>
      <c r="K1313" s="4" t="s">
        <v>23</v>
      </c>
      <c r="L1313" s="5" t="s">
        <v>23</v>
      </c>
      <c r="M1313" s="6">
        <v>0</v>
      </c>
      <c r="N1313" s="7">
        <v>0</v>
      </c>
      <c r="O1313" t="s">
        <v>23</v>
      </c>
      <c r="P1313" s="3" t="s">
        <v>23</v>
      </c>
      <c r="Q1313" s="8" t="s">
        <v>23</v>
      </c>
    </row>
    <row r="1314" spans="1:17" hidden="1" x14ac:dyDescent="0.55000000000000004">
      <c r="A1314" s="3" t="s">
        <v>1761</v>
      </c>
      <c r="B1314" s="3" t="s">
        <v>7343</v>
      </c>
      <c r="C1314" t="s">
        <v>1807</v>
      </c>
      <c r="D1314" s="3" t="s">
        <v>7312</v>
      </c>
      <c r="E1314" t="s">
        <v>1821</v>
      </c>
      <c r="F1314" s="3" t="s">
        <v>1822</v>
      </c>
      <c r="G1314" t="s">
        <v>24</v>
      </c>
      <c r="H1314" s="3" t="s">
        <v>1523</v>
      </c>
      <c r="I1314" t="s">
        <v>296</v>
      </c>
      <c r="J1314" s="3" t="s">
        <v>304</v>
      </c>
      <c r="K1314" s="4">
        <v>590</v>
      </c>
      <c r="L1314" s="5">
        <v>0</v>
      </c>
      <c r="M1314" s="6">
        <v>0</v>
      </c>
      <c r="N1314" s="7">
        <v>0</v>
      </c>
      <c r="O1314" t="s">
        <v>23</v>
      </c>
      <c r="P1314" s="3" t="s">
        <v>23</v>
      </c>
      <c r="Q1314" s="8" t="s">
        <v>23</v>
      </c>
    </row>
    <row r="1315" spans="1:17" hidden="1" x14ac:dyDescent="0.55000000000000004">
      <c r="A1315" s="3" t="s">
        <v>1761</v>
      </c>
      <c r="B1315" s="3" t="s">
        <v>7343</v>
      </c>
      <c r="C1315" t="s">
        <v>1807</v>
      </c>
      <c r="D1315" s="3" t="s">
        <v>7312</v>
      </c>
      <c r="E1315" t="s">
        <v>1821</v>
      </c>
      <c r="F1315" s="3" t="s">
        <v>1822</v>
      </c>
      <c r="G1315" t="s">
        <v>24</v>
      </c>
      <c r="H1315" s="3" t="s">
        <v>1524</v>
      </c>
      <c r="I1315" t="s">
        <v>298</v>
      </c>
      <c r="J1315" s="3" t="s">
        <v>304</v>
      </c>
      <c r="K1315" s="4">
        <v>157</v>
      </c>
      <c r="L1315" s="5">
        <v>0</v>
      </c>
      <c r="M1315" s="6">
        <v>0</v>
      </c>
      <c r="N1315" s="7">
        <v>0</v>
      </c>
      <c r="O1315" t="s">
        <v>23</v>
      </c>
      <c r="P1315" s="3" t="s">
        <v>23</v>
      </c>
      <c r="Q1315" s="8" t="s">
        <v>23</v>
      </c>
    </row>
    <row r="1316" spans="1:17" hidden="1" x14ac:dyDescent="0.55000000000000004">
      <c r="A1316" s="3" t="s">
        <v>1761</v>
      </c>
      <c r="B1316" s="3" t="s">
        <v>7343</v>
      </c>
      <c r="C1316" t="s">
        <v>1807</v>
      </c>
      <c r="D1316" s="3" t="s">
        <v>7312</v>
      </c>
      <c r="E1316" t="s">
        <v>1821</v>
      </c>
      <c r="F1316" s="3" t="s">
        <v>1822</v>
      </c>
      <c r="G1316" t="s">
        <v>24</v>
      </c>
      <c r="H1316" s="3" t="s">
        <v>1525</v>
      </c>
      <c r="I1316" t="s">
        <v>300</v>
      </c>
      <c r="J1316" s="3" t="s">
        <v>304</v>
      </c>
      <c r="K1316" s="4">
        <v>523</v>
      </c>
      <c r="L1316" s="5">
        <v>0</v>
      </c>
      <c r="M1316" s="6">
        <v>0</v>
      </c>
      <c r="N1316" s="7">
        <v>0</v>
      </c>
      <c r="O1316" t="s">
        <v>23</v>
      </c>
      <c r="P1316" s="3" t="s">
        <v>23</v>
      </c>
      <c r="Q1316" s="8" t="s">
        <v>23</v>
      </c>
    </row>
    <row r="1317" spans="1:17" hidden="1" x14ac:dyDescent="0.55000000000000004">
      <c r="A1317" s="3" t="s">
        <v>1761</v>
      </c>
      <c r="B1317" s="3" t="s">
        <v>7343</v>
      </c>
      <c r="C1317" t="s">
        <v>1807</v>
      </c>
      <c r="D1317" s="3" t="s">
        <v>7312</v>
      </c>
      <c r="E1317" t="s">
        <v>1821</v>
      </c>
      <c r="F1317" s="3" t="s">
        <v>1822</v>
      </c>
      <c r="G1317" t="s">
        <v>24</v>
      </c>
      <c r="H1317" s="3" t="s">
        <v>1526</v>
      </c>
      <c r="I1317" t="s">
        <v>302</v>
      </c>
      <c r="J1317" s="3" t="s">
        <v>304</v>
      </c>
      <c r="K1317" s="4">
        <v>373</v>
      </c>
      <c r="L1317" s="5">
        <v>0</v>
      </c>
      <c r="M1317" s="6">
        <v>0</v>
      </c>
      <c r="N1317" s="7">
        <v>0</v>
      </c>
      <c r="O1317" t="s">
        <v>23</v>
      </c>
      <c r="P1317" s="3" t="s">
        <v>23</v>
      </c>
      <c r="Q1317" s="8" t="s">
        <v>23</v>
      </c>
    </row>
    <row r="1318" spans="1:17" hidden="1" x14ac:dyDescent="0.55000000000000004">
      <c r="A1318" s="3" t="s">
        <v>1761</v>
      </c>
      <c r="B1318" s="3" t="s">
        <v>7343</v>
      </c>
      <c r="C1318" t="s">
        <v>1807</v>
      </c>
      <c r="D1318" s="3" t="s">
        <v>7312</v>
      </c>
      <c r="E1318" t="s">
        <v>1821</v>
      </c>
      <c r="F1318" s="3" t="s">
        <v>1822</v>
      </c>
      <c r="G1318" t="s">
        <v>24</v>
      </c>
      <c r="H1318" s="3" t="s">
        <v>1527</v>
      </c>
      <c r="I1318" t="s">
        <v>52</v>
      </c>
      <c r="J1318" s="3" t="s">
        <v>304</v>
      </c>
      <c r="K1318" s="4">
        <v>444</v>
      </c>
      <c r="L1318" s="5">
        <v>0</v>
      </c>
      <c r="M1318" s="6">
        <v>0</v>
      </c>
      <c r="N1318" s="7">
        <v>0</v>
      </c>
      <c r="O1318" t="s">
        <v>23</v>
      </c>
      <c r="P1318" s="3" t="s">
        <v>23</v>
      </c>
      <c r="Q1318" s="8" t="s">
        <v>23</v>
      </c>
    </row>
    <row r="1319" spans="1:17" hidden="1" x14ac:dyDescent="0.55000000000000004">
      <c r="A1319" s="3" t="s">
        <v>1761</v>
      </c>
      <c r="B1319" s="3" t="s">
        <v>7343</v>
      </c>
      <c r="C1319" t="s">
        <v>1807</v>
      </c>
      <c r="D1319" s="3" t="s">
        <v>7312</v>
      </c>
      <c r="E1319" t="s">
        <v>1821</v>
      </c>
      <c r="F1319" s="3" t="s">
        <v>1822</v>
      </c>
      <c r="G1319" t="s">
        <v>24</v>
      </c>
      <c r="H1319" s="3" t="s">
        <v>1814</v>
      </c>
      <c r="I1319" t="s">
        <v>26</v>
      </c>
      <c r="J1319" s="3" t="s">
        <v>1815</v>
      </c>
      <c r="K1319" s="4">
        <v>502</v>
      </c>
      <c r="L1319" s="5">
        <v>22.82</v>
      </c>
      <c r="M1319" s="6">
        <v>0</v>
      </c>
      <c r="N1319" s="7">
        <v>0</v>
      </c>
      <c r="O1319" t="s">
        <v>1816</v>
      </c>
      <c r="P1319" s="3" t="s">
        <v>76</v>
      </c>
      <c r="Q1319" s="8">
        <v>0.17749999999999999</v>
      </c>
    </row>
    <row r="1320" spans="1:17" hidden="1" x14ac:dyDescent="0.55000000000000004">
      <c r="A1320" s="3" t="s">
        <v>1761</v>
      </c>
      <c r="B1320" s="3" t="s">
        <v>7343</v>
      </c>
      <c r="C1320" t="s">
        <v>1807</v>
      </c>
      <c r="D1320" s="3" t="s">
        <v>7312</v>
      </c>
      <c r="E1320" t="s">
        <v>1821</v>
      </c>
      <c r="F1320" s="3" t="s">
        <v>1822</v>
      </c>
      <c r="G1320" t="s">
        <v>24</v>
      </c>
      <c r="H1320" s="3" t="s">
        <v>1817</v>
      </c>
      <c r="I1320" t="s">
        <v>218</v>
      </c>
      <c r="J1320" s="3" t="s">
        <v>1815</v>
      </c>
      <c r="K1320" s="4">
        <v>53</v>
      </c>
      <c r="L1320" s="5">
        <v>2.42</v>
      </c>
      <c r="M1320" s="6">
        <v>0</v>
      </c>
      <c r="N1320" s="7">
        <v>0</v>
      </c>
      <c r="O1320" t="s">
        <v>1818</v>
      </c>
      <c r="P1320" s="3" t="s">
        <v>23</v>
      </c>
      <c r="Q1320" s="8" t="s">
        <v>23</v>
      </c>
    </row>
    <row r="1321" spans="1:17" hidden="1" x14ac:dyDescent="0.55000000000000004">
      <c r="A1321" s="3" t="s">
        <v>1761</v>
      </c>
      <c r="B1321" s="3" t="s">
        <v>7343</v>
      </c>
      <c r="C1321" t="s">
        <v>1807</v>
      </c>
      <c r="D1321" s="3" t="s">
        <v>7312</v>
      </c>
      <c r="E1321" t="s">
        <v>1821</v>
      </c>
      <c r="F1321" s="3" t="s">
        <v>1822</v>
      </c>
      <c r="G1321" t="s">
        <v>24</v>
      </c>
      <c r="H1321" s="3" t="s">
        <v>1533</v>
      </c>
      <c r="I1321" t="s">
        <v>317</v>
      </c>
      <c r="J1321" s="3" t="s">
        <v>218</v>
      </c>
      <c r="K1321" s="4">
        <v>395</v>
      </c>
      <c r="L1321" s="5">
        <v>0</v>
      </c>
      <c r="M1321" s="6">
        <v>0</v>
      </c>
      <c r="N1321" s="7">
        <v>0</v>
      </c>
      <c r="O1321" t="s">
        <v>23</v>
      </c>
      <c r="P1321" s="3" t="s">
        <v>23</v>
      </c>
      <c r="Q1321" s="8" t="s">
        <v>23</v>
      </c>
    </row>
    <row r="1322" spans="1:17" hidden="1" x14ac:dyDescent="0.55000000000000004">
      <c r="A1322" s="3" t="s">
        <v>1761</v>
      </c>
      <c r="B1322" s="3" t="s">
        <v>7343</v>
      </c>
      <c r="C1322" t="s">
        <v>1807</v>
      </c>
      <c r="D1322" s="3" t="s">
        <v>7312</v>
      </c>
      <c r="E1322" t="s">
        <v>1821</v>
      </c>
      <c r="F1322" s="3" t="s">
        <v>1822</v>
      </c>
      <c r="G1322" t="s">
        <v>24</v>
      </c>
      <c r="H1322" s="3" t="s">
        <v>1534</v>
      </c>
      <c r="I1322" t="s">
        <v>313</v>
      </c>
      <c r="J1322" s="3" t="s">
        <v>218</v>
      </c>
      <c r="K1322" s="4">
        <v>368</v>
      </c>
      <c r="L1322" s="5">
        <v>0</v>
      </c>
      <c r="M1322" s="6">
        <v>0</v>
      </c>
      <c r="N1322" s="7">
        <v>0</v>
      </c>
      <c r="O1322" t="s">
        <v>23</v>
      </c>
      <c r="P1322" s="3" t="s">
        <v>23</v>
      </c>
      <c r="Q1322" s="8" t="s">
        <v>23</v>
      </c>
    </row>
    <row r="1323" spans="1:17" hidden="1" x14ac:dyDescent="0.55000000000000004">
      <c r="A1323" s="3" t="s">
        <v>1761</v>
      </c>
      <c r="B1323" s="3" t="s">
        <v>7343</v>
      </c>
      <c r="C1323" t="s">
        <v>1807</v>
      </c>
      <c r="D1323" s="3" t="s">
        <v>7312</v>
      </c>
      <c r="E1323" t="s">
        <v>1821</v>
      </c>
      <c r="F1323" s="3" t="s">
        <v>1822</v>
      </c>
      <c r="G1323" t="s">
        <v>24</v>
      </c>
      <c r="H1323" s="3" t="s">
        <v>1535</v>
      </c>
      <c r="I1323" t="s">
        <v>315</v>
      </c>
      <c r="J1323" s="3" t="s">
        <v>218</v>
      </c>
      <c r="K1323" s="4">
        <v>600</v>
      </c>
      <c r="L1323" s="5">
        <v>0</v>
      </c>
      <c r="M1323" s="6">
        <v>0</v>
      </c>
      <c r="N1323" s="7">
        <v>0</v>
      </c>
      <c r="O1323" t="s">
        <v>23</v>
      </c>
      <c r="P1323" s="3" t="s">
        <v>23</v>
      </c>
      <c r="Q1323" s="8" t="s">
        <v>23</v>
      </c>
    </row>
    <row r="1324" spans="1:17" hidden="1" x14ac:dyDescent="0.55000000000000004">
      <c r="A1324" s="3" t="s">
        <v>1761</v>
      </c>
      <c r="B1324" s="3" t="s">
        <v>7343</v>
      </c>
      <c r="C1324" t="s">
        <v>1807</v>
      </c>
      <c r="D1324" s="3" t="s">
        <v>7312</v>
      </c>
      <c r="E1324" t="s">
        <v>1821</v>
      </c>
      <c r="F1324" s="3" t="s">
        <v>1822</v>
      </c>
      <c r="G1324" t="s">
        <v>24</v>
      </c>
      <c r="H1324" s="3" t="s">
        <v>1536</v>
      </c>
      <c r="I1324" t="s">
        <v>309</v>
      </c>
      <c r="J1324" s="3" t="s">
        <v>218</v>
      </c>
      <c r="K1324" s="4">
        <v>216</v>
      </c>
      <c r="L1324" s="5">
        <v>0</v>
      </c>
      <c r="M1324" s="6">
        <v>0</v>
      </c>
      <c r="N1324" s="7">
        <v>0</v>
      </c>
      <c r="O1324" t="s">
        <v>23</v>
      </c>
      <c r="P1324" s="3" t="s">
        <v>23</v>
      </c>
      <c r="Q1324" s="8" t="s">
        <v>23</v>
      </c>
    </row>
    <row r="1325" spans="1:17" hidden="1" x14ac:dyDescent="0.55000000000000004">
      <c r="A1325" s="3" t="s">
        <v>1761</v>
      </c>
      <c r="B1325" s="3" t="s">
        <v>7343</v>
      </c>
      <c r="C1325" t="s">
        <v>1807</v>
      </c>
      <c r="D1325" s="3" t="s">
        <v>7312</v>
      </c>
      <c r="E1325" t="s">
        <v>1821</v>
      </c>
      <c r="F1325" s="3" t="s">
        <v>1822</v>
      </c>
      <c r="G1325" t="s">
        <v>24</v>
      </c>
      <c r="H1325" s="3" t="s">
        <v>23</v>
      </c>
      <c r="I1325" t="s">
        <v>67</v>
      </c>
      <c r="J1325" s="3" t="s">
        <v>37</v>
      </c>
      <c r="K1325" s="4" t="s">
        <v>23</v>
      </c>
      <c r="L1325" s="5" t="s">
        <v>23</v>
      </c>
      <c r="M1325" s="6">
        <v>0</v>
      </c>
      <c r="N1325" s="7">
        <v>0</v>
      </c>
      <c r="O1325" t="s">
        <v>23</v>
      </c>
      <c r="P1325" s="3" t="s">
        <v>23</v>
      </c>
      <c r="Q1325" s="8" t="s">
        <v>23</v>
      </c>
    </row>
    <row r="1326" spans="1:17" hidden="1" x14ac:dyDescent="0.55000000000000004">
      <c r="A1326" s="3" t="s">
        <v>1761</v>
      </c>
      <c r="B1326" s="3" t="s">
        <v>7343</v>
      </c>
      <c r="C1326" t="s">
        <v>1807</v>
      </c>
      <c r="D1326" s="3" t="s">
        <v>7312</v>
      </c>
      <c r="E1326" t="s">
        <v>1821</v>
      </c>
      <c r="F1326" s="3" t="s">
        <v>1822</v>
      </c>
      <c r="G1326" t="s">
        <v>24</v>
      </c>
      <c r="H1326" s="3" t="s">
        <v>23</v>
      </c>
      <c r="I1326" t="s">
        <v>67</v>
      </c>
      <c r="J1326" s="3" t="s">
        <v>48</v>
      </c>
      <c r="K1326" s="4" t="s">
        <v>23</v>
      </c>
      <c r="L1326" s="5" t="s">
        <v>23</v>
      </c>
      <c r="M1326" s="6">
        <v>0</v>
      </c>
      <c r="N1326" s="7">
        <v>0</v>
      </c>
      <c r="O1326" t="s">
        <v>23</v>
      </c>
      <c r="P1326" s="3" t="s">
        <v>23</v>
      </c>
      <c r="Q1326" s="8" t="s">
        <v>23</v>
      </c>
    </row>
    <row r="1327" spans="1:17" hidden="1" x14ac:dyDescent="0.55000000000000004">
      <c r="A1327" s="3" t="s">
        <v>1761</v>
      </c>
      <c r="B1327" s="3" t="s">
        <v>1807</v>
      </c>
      <c r="C1327" t="s">
        <v>1807</v>
      </c>
      <c r="D1327" s="3" t="s">
        <v>7312</v>
      </c>
      <c r="E1327" t="s">
        <v>1823</v>
      </c>
      <c r="F1327" s="3" t="s">
        <v>1824</v>
      </c>
      <c r="G1327" t="s">
        <v>19</v>
      </c>
      <c r="H1327" s="3" t="s">
        <v>1810</v>
      </c>
      <c r="I1327" t="s">
        <v>1607</v>
      </c>
      <c r="J1327" s="3" t="s">
        <v>1811</v>
      </c>
      <c r="K1327" s="4">
        <v>656</v>
      </c>
      <c r="L1327" s="5">
        <v>142.59</v>
      </c>
      <c r="M1327" s="6">
        <v>1</v>
      </c>
      <c r="N1327" s="7">
        <v>0</v>
      </c>
      <c r="O1327" t="s">
        <v>1812</v>
      </c>
      <c r="P1327" s="3" t="s">
        <v>1610</v>
      </c>
      <c r="Q1327" s="8">
        <v>5.7189999999999998E-2</v>
      </c>
    </row>
    <row r="1328" spans="1:17" hidden="1" x14ac:dyDescent="0.55000000000000004">
      <c r="A1328" s="3" t="s">
        <v>1761</v>
      </c>
      <c r="B1328" s="3" t="s">
        <v>1807</v>
      </c>
      <c r="C1328" t="s">
        <v>1807</v>
      </c>
      <c r="D1328" s="3" t="s">
        <v>7312</v>
      </c>
      <c r="E1328" t="s">
        <v>1823</v>
      </c>
      <c r="F1328" s="3" t="s">
        <v>1824</v>
      </c>
      <c r="G1328" t="s">
        <v>19</v>
      </c>
      <c r="H1328" s="3" t="s">
        <v>23</v>
      </c>
      <c r="I1328" t="s">
        <v>67</v>
      </c>
      <c r="J1328" s="3" t="s">
        <v>1767</v>
      </c>
      <c r="K1328" s="4" t="s">
        <v>23</v>
      </c>
      <c r="L1328" s="5" t="s">
        <v>23</v>
      </c>
      <c r="M1328" s="6">
        <v>0</v>
      </c>
      <c r="N1328" s="7">
        <v>0</v>
      </c>
      <c r="O1328" t="s">
        <v>23</v>
      </c>
      <c r="P1328" s="3" t="s">
        <v>23</v>
      </c>
      <c r="Q1328" s="8" t="s">
        <v>23</v>
      </c>
    </row>
    <row r="1329" spans="1:17" hidden="1" x14ac:dyDescent="0.55000000000000004">
      <c r="A1329" s="3" t="s">
        <v>1761</v>
      </c>
      <c r="B1329" s="3" t="s">
        <v>1807</v>
      </c>
      <c r="C1329" t="s">
        <v>1807</v>
      </c>
      <c r="D1329" s="3" t="s">
        <v>7312</v>
      </c>
      <c r="E1329" t="s">
        <v>1823</v>
      </c>
      <c r="F1329" s="3" t="s">
        <v>1824</v>
      </c>
      <c r="G1329" t="s">
        <v>19</v>
      </c>
      <c r="H1329" s="3" t="s">
        <v>23</v>
      </c>
      <c r="I1329" t="s">
        <v>67</v>
      </c>
      <c r="J1329" s="3" t="s">
        <v>1680</v>
      </c>
      <c r="K1329" s="4" t="s">
        <v>23</v>
      </c>
      <c r="L1329" s="5" t="s">
        <v>23</v>
      </c>
      <c r="M1329" s="6">
        <v>0</v>
      </c>
      <c r="N1329" s="7">
        <v>0</v>
      </c>
      <c r="O1329" t="s">
        <v>23</v>
      </c>
      <c r="P1329" s="3" t="s">
        <v>23</v>
      </c>
      <c r="Q1329" s="8" t="s">
        <v>23</v>
      </c>
    </row>
    <row r="1330" spans="1:17" hidden="1" x14ac:dyDescent="0.55000000000000004">
      <c r="A1330" s="3" t="s">
        <v>1761</v>
      </c>
      <c r="B1330" s="3" t="s">
        <v>1807</v>
      </c>
      <c r="C1330" t="s">
        <v>1807</v>
      </c>
      <c r="D1330" s="3" t="s">
        <v>7312</v>
      </c>
      <c r="E1330" t="s">
        <v>1823</v>
      </c>
      <c r="F1330" s="3" t="s">
        <v>1824</v>
      </c>
      <c r="G1330" t="s">
        <v>19</v>
      </c>
      <c r="H1330" s="3" t="s">
        <v>23</v>
      </c>
      <c r="I1330" t="s">
        <v>67</v>
      </c>
      <c r="J1330" s="3" t="s">
        <v>1813</v>
      </c>
      <c r="K1330" s="4" t="s">
        <v>23</v>
      </c>
      <c r="L1330" s="5" t="s">
        <v>23</v>
      </c>
      <c r="M1330" s="6">
        <v>0</v>
      </c>
      <c r="N1330" s="7">
        <v>0</v>
      </c>
      <c r="O1330" t="s">
        <v>23</v>
      </c>
      <c r="P1330" s="3" t="s">
        <v>23</v>
      </c>
      <c r="Q1330" s="8" t="s">
        <v>23</v>
      </c>
    </row>
    <row r="1331" spans="1:17" hidden="1" x14ac:dyDescent="0.55000000000000004">
      <c r="A1331" s="3" t="s">
        <v>1761</v>
      </c>
      <c r="B1331" s="3" t="s">
        <v>1807</v>
      </c>
      <c r="C1331" t="s">
        <v>1807</v>
      </c>
      <c r="D1331" s="3" t="s">
        <v>7312</v>
      </c>
      <c r="E1331" t="s">
        <v>1823</v>
      </c>
      <c r="F1331" s="3" t="s">
        <v>1824</v>
      </c>
      <c r="G1331" t="s">
        <v>19</v>
      </c>
      <c r="H1331" s="3" t="s">
        <v>23</v>
      </c>
      <c r="I1331" t="s">
        <v>67</v>
      </c>
      <c r="J1331" s="3" t="s">
        <v>1573</v>
      </c>
      <c r="K1331" s="4" t="s">
        <v>23</v>
      </c>
      <c r="L1331" s="5" t="s">
        <v>23</v>
      </c>
      <c r="M1331" s="6">
        <v>0</v>
      </c>
      <c r="N1331" s="7">
        <v>0</v>
      </c>
      <c r="O1331" t="s">
        <v>23</v>
      </c>
      <c r="P1331" s="3" t="s">
        <v>23</v>
      </c>
      <c r="Q1331" s="8" t="s">
        <v>23</v>
      </c>
    </row>
    <row r="1332" spans="1:17" hidden="1" x14ac:dyDescent="0.55000000000000004">
      <c r="A1332" s="3" t="s">
        <v>1761</v>
      </c>
      <c r="B1332" s="3" t="s">
        <v>1807</v>
      </c>
      <c r="C1332" t="s">
        <v>1807</v>
      </c>
      <c r="D1332" s="3" t="s">
        <v>7312</v>
      </c>
      <c r="E1332" t="s">
        <v>1823</v>
      </c>
      <c r="F1332" s="3" t="s">
        <v>1824</v>
      </c>
      <c r="G1332" t="s">
        <v>24</v>
      </c>
      <c r="H1332" s="3" t="s">
        <v>1523</v>
      </c>
      <c r="I1332" t="s">
        <v>296</v>
      </c>
      <c r="J1332" s="3" t="s">
        <v>304</v>
      </c>
      <c r="K1332" s="4">
        <v>590</v>
      </c>
      <c r="L1332" s="5">
        <v>0</v>
      </c>
      <c r="M1332" s="6">
        <v>0</v>
      </c>
      <c r="N1332" s="7">
        <v>0</v>
      </c>
      <c r="O1332" t="s">
        <v>23</v>
      </c>
      <c r="P1332" s="3" t="s">
        <v>23</v>
      </c>
      <c r="Q1332" s="8" t="s">
        <v>23</v>
      </c>
    </row>
    <row r="1333" spans="1:17" hidden="1" x14ac:dyDescent="0.55000000000000004">
      <c r="A1333" s="3" t="s">
        <v>1761</v>
      </c>
      <c r="B1333" s="3" t="s">
        <v>1807</v>
      </c>
      <c r="C1333" t="s">
        <v>1807</v>
      </c>
      <c r="D1333" s="3" t="s">
        <v>7312</v>
      </c>
      <c r="E1333" t="s">
        <v>1823</v>
      </c>
      <c r="F1333" s="3" t="s">
        <v>1824</v>
      </c>
      <c r="G1333" t="s">
        <v>24</v>
      </c>
      <c r="H1333" s="3" t="s">
        <v>1524</v>
      </c>
      <c r="I1333" t="s">
        <v>298</v>
      </c>
      <c r="J1333" s="3" t="s">
        <v>304</v>
      </c>
      <c r="K1333" s="4">
        <v>157</v>
      </c>
      <c r="L1333" s="5">
        <v>0</v>
      </c>
      <c r="M1333" s="6">
        <v>0</v>
      </c>
      <c r="N1333" s="7">
        <v>0</v>
      </c>
      <c r="O1333" t="s">
        <v>23</v>
      </c>
      <c r="P1333" s="3" t="s">
        <v>23</v>
      </c>
      <c r="Q1333" s="8" t="s">
        <v>23</v>
      </c>
    </row>
    <row r="1334" spans="1:17" hidden="1" x14ac:dyDescent="0.55000000000000004">
      <c r="A1334" s="3" t="s">
        <v>1761</v>
      </c>
      <c r="B1334" s="3" t="s">
        <v>1807</v>
      </c>
      <c r="C1334" t="s">
        <v>1807</v>
      </c>
      <c r="D1334" s="3" t="s">
        <v>7312</v>
      </c>
      <c r="E1334" t="s">
        <v>1823</v>
      </c>
      <c r="F1334" s="3" t="s">
        <v>1824</v>
      </c>
      <c r="G1334" t="s">
        <v>24</v>
      </c>
      <c r="H1334" s="3" t="s">
        <v>1525</v>
      </c>
      <c r="I1334" t="s">
        <v>300</v>
      </c>
      <c r="J1334" s="3" t="s">
        <v>304</v>
      </c>
      <c r="K1334" s="4">
        <v>523</v>
      </c>
      <c r="L1334" s="5">
        <v>0</v>
      </c>
      <c r="M1334" s="6">
        <v>0</v>
      </c>
      <c r="N1334" s="7">
        <v>0</v>
      </c>
      <c r="O1334" t="s">
        <v>23</v>
      </c>
      <c r="P1334" s="3" t="s">
        <v>23</v>
      </c>
      <c r="Q1334" s="8" t="s">
        <v>23</v>
      </c>
    </row>
    <row r="1335" spans="1:17" hidden="1" x14ac:dyDescent="0.55000000000000004">
      <c r="A1335" s="3" t="s">
        <v>1761</v>
      </c>
      <c r="B1335" s="3" t="s">
        <v>1807</v>
      </c>
      <c r="C1335" t="s">
        <v>1807</v>
      </c>
      <c r="D1335" s="3" t="s">
        <v>7312</v>
      </c>
      <c r="E1335" t="s">
        <v>1823</v>
      </c>
      <c r="F1335" s="3" t="s">
        <v>1824</v>
      </c>
      <c r="G1335" t="s">
        <v>24</v>
      </c>
      <c r="H1335" s="3" t="s">
        <v>1526</v>
      </c>
      <c r="I1335" t="s">
        <v>302</v>
      </c>
      <c r="J1335" s="3" t="s">
        <v>304</v>
      </c>
      <c r="K1335" s="4">
        <v>373</v>
      </c>
      <c r="L1335" s="5">
        <v>0</v>
      </c>
      <c r="M1335" s="6">
        <v>0</v>
      </c>
      <c r="N1335" s="7">
        <v>0</v>
      </c>
      <c r="O1335" t="s">
        <v>23</v>
      </c>
      <c r="P1335" s="3" t="s">
        <v>23</v>
      </c>
      <c r="Q1335" s="8" t="s">
        <v>23</v>
      </c>
    </row>
    <row r="1336" spans="1:17" hidden="1" x14ac:dyDescent="0.55000000000000004">
      <c r="A1336" s="3" t="s">
        <v>1761</v>
      </c>
      <c r="B1336" s="3" t="s">
        <v>1807</v>
      </c>
      <c r="C1336" t="s">
        <v>1807</v>
      </c>
      <c r="D1336" s="3" t="s">
        <v>7312</v>
      </c>
      <c r="E1336" t="s">
        <v>1823</v>
      </c>
      <c r="F1336" s="3" t="s">
        <v>1824</v>
      </c>
      <c r="G1336" t="s">
        <v>24</v>
      </c>
      <c r="H1336" s="3" t="s">
        <v>1527</v>
      </c>
      <c r="I1336" t="s">
        <v>52</v>
      </c>
      <c r="J1336" s="3" t="s">
        <v>304</v>
      </c>
      <c r="K1336" s="4">
        <v>444</v>
      </c>
      <c r="L1336" s="5">
        <v>0</v>
      </c>
      <c r="M1336" s="6">
        <v>0</v>
      </c>
      <c r="N1336" s="7">
        <v>0</v>
      </c>
      <c r="O1336" t="s">
        <v>23</v>
      </c>
      <c r="P1336" s="3" t="s">
        <v>23</v>
      </c>
      <c r="Q1336" s="8" t="s">
        <v>23</v>
      </c>
    </row>
    <row r="1337" spans="1:17" hidden="1" x14ac:dyDescent="0.55000000000000004">
      <c r="A1337" s="3" t="s">
        <v>1761</v>
      </c>
      <c r="B1337" s="3" t="s">
        <v>1807</v>
      </c>
      <c r="C1337" t="s">
        <v>1807</v>
      </c>
      <c r="D1337" s="3" t="s">
        <v>7312</v>
      </c>
      <c r="E1337" t="s">
        <v>1823</v>
      </c>
      <c r="F1337" s="3" t="s">
        <v>1824</v>
      </c>
      <c r="G1337" t="s">
        <v>24</v>
      </c>
      <c r="H1337" s="3" t="s">
        <v>1814</v>
      </c>
      <c r="I1337" t="s">
        <v>26</v>
      </c>
      <c r="J1337" s="3" t="s">
        <v>1815</v>
      </c>
      <c r="K1337" s="4">
        <v>502</v>
      </c>
      <c r="L1337" s="5">
        <v>22.82</v>
      </c>
      <c r="M1337" s="6">
        <v>0</v>
      </c>
      <c r="N1337" s="7">
        <v>0</v>
      </c>
      <c r="O1337" t="s">
        <v>1816</v>
      </c>
      <c r="P1337" s="3" t="s">
        <v>76</v>
      </c>
      <c r="Q1337" s="8">
        <v>0.17749999999999999</v>
      </c>
    </row>
    <row r="1338" spans="1:17" hidden="1" x14ac:dyDescent="0.55000000000000004">
      <c r="A1338" s="3" t="s">
        <v>1761</v>
      </c>
      <c r="B1338" s="3" t="s">
        <v>1807</v>
      </c>
      <c r="C1338" t="s">
        <v>1807</v>
      </c>
      <c r="D1338" s="3" t="s">
        <v>7312</v>
      </c>
      <c r="E1338" t="s">
        <v>1823</v>
      </c>
      <c r="F1338" s="3" t="s">
        <v>1824</v>
      </c>
      <c r="G1338" t="s">
        <v>24</v>
      </c>
      <c r="H1338" s="3" t="s">
        <v>1817</v>
      </c>
      <c r="I1338" t="s">
        <v>218</v>
      </c>
      <c r="J1338" s="3" t="s">
        <v>1815</v>
      </c>
      <c r="K1338" s="4">
        <v>53</v>
      </c>
      <c r="L1338" s="5">
        <v>2.42</v>
      </c>
      <c r="M1338" s="6">
        <v>0</v>
      </c>
      <c r="N1338" s="7">
        <v>0</v>
      </c>
      <c r="O1338" t="s">
        <v>1818</v>
      </c>
      <c r="P1338" s="3" t="s">
        <v>23</v>
      </c>
      <c r="Q1338" s="8" t="s">
        <v>23</v>
      </c>
    </row>
    <row r="1339" spans="1:17" hidden="1" x14ac:dyDescent="0.55000000000000004">
      <c r="A1339" s="3" t="s">
        <v>1761</v>
      </c>
      <c r="B1339" s="3" t="s">
        <v>1807</v>
      </c>
      <c r="C1339" t="s">
        <v>1807</v>
      </c>
      <c r="D1339" s="3" t="s">
        <v>7312</v>
      </c>
      <c r="E1339" t="s">
        <v>1823</v>
      </c>
      <c r="F1339" s="3" t="s">
        <v>1824</v>
      </c>
      <c r="G1339" t="s">
        <v>24</v>
      </c>
      <c r="H1339" s="3" t="s">
        <v>1533</v>
      </c>
      <c r="I1339" t="s">
        <v>317</v>
      </c>
      <c r="J1339" s="3" t="s">
        <v>218</v>
      </c>
      <c r="K1339" s="4">
        <v>395</v>
      </c>
      <c r="L1339" s="5">
        <v>0</v>
      </c>
      <c r="M1339" s="6">
        <v>0</v>
      </c>
      <c r="N1339" s="7">
        <v>0</v>
      </c>
      <c r="O1339" t="s">
        <v>23</v>
      </c>
      <c r="P1339" s="3" t="s">
        <v>23</v>
      </c>
      <c r="Q1339" s="8" t="s">
        <v>23</v>
      </c>
    </row>
    <row r="1340" spans="1:17" hidden="1" x14ac:dyDescent="0.55000000000000004">
      <c r="A1340" s="3" t="s">
        <v>1761</v>
      </c>
      <c r="B1340" s="3" t="s">
        <v>1807</v>
      </c>
      <c r="C1340" t="s">
        <v>1807</v>
      </c>
      <c r="D1340" s="3" t="s">
        <v>7312</v>
      </c>
      <c r="E1340" t="s">
        <v>1823</v>
      </c>
      <c r="F1340" s="3" t="s">
        <v>1824</v>
      </c>
      <c r="G1340" t="s">
        <v>24</v>
      </c>
      <c r="H1340" s="3" t="s">
        <v>1534</v>
      </c>
      <c r="I1340" t="s">
        <v>313</v>
      </c>
      <c r="J1340" s="3" t="s">
        <v>218</v>
      </c>
      <c r="K1340" s="4">
        <v>368</v>
      </c>
      <c r="L1340" s="5">
        <v>0</v>
      </c>
      <c r="M1340" s="6">
        <v>0</v>
      </c>
      <c r="N1340" s="7">
        <v>0</v>
      </c>
      <c r="O1340" t="s">
        <v>23</v>
      </c>
      <c r="P1340" s="3" t="s">
        <v>23</v>
      </c>
      <c r="Q1340" s="8" t="s">
        <v>23</v>
      </c>
    </row>
    <row r="1341" spans="1:17" hidden="1" x14ac:dyDescent="0.55000000000000004">
      <c r="A1341" s="3" t="s">
        <v>1761</v>
      </c>
      <c r="B1341" s="3" t="s">
        <v>1807</v>
      </c>
      <c r="C1341" t="s">
        <v>1807</v>
      </c>
      <c r="D1341" s="3" t="s">
        <v>7312</v>
      </c>
      <c r="E1341" t="s">
        <v>1823</v>
      </c>
      <c r="F1341" s="3" t="s">
        <v>1824</v>
      </c>
      <c r="G1341" t="s">
        <v>24</v>
      </c>
      <c r="H1341" s="3" t="s">
        <v>1535</v>
      </c>
      <c r="I1341" t="s">
        <v>315</v>
      </c>
      <c r="J1341" s="3" t="s">
        <v>218</v>
      </c>
      <c r="K1341" s="4">
        <v>600</v>
      </c>
      <c r="L1341" s="5">
        <v>0</v>
      </c>
      <c r="M1341" s="6">
        <v>0</v>
      </c>
      <c r="N1341" s="7">
        <v>0</v>
      </c>
      <c r="O1341" t="s">
        <v>23</v>
      </c>
      <c r="P1341" s="3" t="s">
        <v>23</v>
      </c>
      <c r="Q1341" s="8" t="s">
        <v>23</v>
      </c>
    </row>
    <row r="1342" spans="1:17" hidden="1" x14ac:dyDescent="0.55000000000000004">
      <c r="A1342" s="3" t="s">
        <v>1761</v>
      </c>
      <c r="B1342" s="3" t="s">
        <v>1807</v>
      </c>
      <c r="C1342" t="s">
        <v>1807</v>
      </c>
      <c r="D1342" s="3" t="s">
        <v>7312</v>
      </c>
      <c r="E1342" t="s">
        <v>1823</v>
      </c>
      <c r="F1342" s="3" t="s">
        <v>1824</v>
      </c>
      <c r="G1342" t="s">
        <v>24</v>
      </c>
      <c r="H1342" s="3" t="s">
        <v>1536</v>
      </c>
      <c r="I1342" t="s">
        <v>309</v>
      </c>
      <c r="J1342" s="3" t="s">
        <v>218</v>
      </c>
      <c r="K1342" s="4">
        <v>216</v>
      </c>
      <c r="L1342" s="5">
        <v>0</v>
      </c>
      <c r="M1342" s="6">
        <v>0</v>
      </c>
      <c r="N1342" s="7">
        <v>0</v>
      </c>
      <c r="O1342" t="s">
        <v>23</v>
      </c>
      <c r="P1342" s="3" t="s">
        <v>23</v>
      </c>
      <c r="Q1342" s="8" t="s">
        <v>23</v>
      </c>
    </row>
    <row r="1343" spans="1:17" hidden="1" x14ac:dyDescent="0.55000000000000004">
      <c r="A1343" s="3" t="s">
        <v>1761</v>
      </c>
      <c r="B1343" s="3" t="s">
        <v>1807</v>
      </c>
      <c r="C1343" t="s">
        <v>1807</v>
      </c>
      <c r="D1343" s="3" t="s">
        <v>7312</v>
      </c>
      <c r="E1343" t="s">
        <v>1823</v>
      </c>
      <c r="F1343" s="3" t="s">
        <v>1824</v>
      </c>
      <c r="G1343" t="s">
        <v>24</v>
      </c>
      <c r="H1343" s="3" t="s">
        <v>23</v>
      </c>
      <c r="I1343" t="s">
        <v>67</v>
      </c>
      <c r="J1343" s="3" t="s">
        <v>37</v>
      </c>
      <c r="K1343" s="4" t="s">
        <v>23</v>
      </c>
      <c r="L1343" s="5" t="s">
        <v>23</v>
      </c>
      <c r="M1343" s="6">
        <v>0</v>
      </c>
      <c r="N1343" s="7">
        <v>0</v>
      </c>
      <c r="O1343" t="s">
        <v>23</v>
      </c>
      <c r="P1343" s="3" t="s">
        <v>23</v>
      </c>
      <c r="Q1343" s="8" t="s">
        <v>23</v>
      </c>
    </row>
    <row r="1344" spans="1:17" hidden="1" x14ac:dyDescent="0.55000000000000004">
      <c r="A1344" s="3" t="s">
        <v>1761</v>
      </c>
      <c r="B1344" s="3" t="s">
        <v>1807</v>
      </c>
      <c r="C1344" t="s">
        <v>1807</v>
      </c>
      <c r="D1344" s="3" t="s">
        <v>7312</v>
      </c>
      <c r="E1344" t="s">
        <v>1823</v>
      </c>
      <c r="F1344" s="3" t="s">
        <v>1824</v>
      </c>
      <c r="G1344" t="s">
        <v>24</v>
      </c>
      <c r="H1344" s="3" t="s">
        <v>23</v>
      </c>
      <c r="I1344" t="s">
        <v>67</v>
      </c>
      <c r="J1344" s="3" t="s">
        <v>48</v>
      </c>
      <c r="K1344" s="4" t="s">
        <v>23</v>
      </c>
      <c r="L1344" s="5" t="s">
        <v>23</v>
      </c>
      <c r="M1344" s="6">
        <v>0</v>
      </c>
      <c r="N1344" s="7">
        <v>0</v>
      </c>
      <c r="O1344" t="s">
        <v>23</v>
      </c>
      <c r="P1344" s="3" t="s">
        <v>23</v>
      </c>
      <c r="Q1344" s="8" t="s">
        <v>23</v>
      </c>
    </row>
    <row r="1345" spans="1:17" hidden="1" x14ac:dyDescent="0.55000000000000004">
      <c r="A1345" s="3" t="s">
        <v>1761</v>
      </c>
      <c r="B1345" s="3" t="s">
        <v>1807</v>
      </c>
      <c r="C1345" t="s">
        <v>1807</v>
      </c>
      <c r="D1345" s="3" t="s">
        <v>7312</v>
      </c>
      <c r="E1345" t="s">
        <v>1825</v>
      </c>
      <c r="F1345" s="3" t="s">
        <v>1826</v>
      </c>
      <c r="G1345" t="s">
        <v>19</v>
      </c>
      <c r="H1345" s="3" t="s">
        <v>1810</v>
      </c>
      <c r="I1345" t="s">
        <v>1607</v>
      </c>
      <c r="J1345" s="3" t="s">
        <v>1811</v>
      </c>
      <c r="K1345" s="4">
        <v>656</v>
      </c>
      <c r="L1345" s="5">
        <v>142.59</v>
      </c>
      <c r="M1345" s="6">
        <v>1</v>
      </c>
      <c r="N1345" s="7">
        <v>0</v>
      </c>
      <c r="O1345" t="s">
        <v>1812</v>
      </c>
      <c r="P1345" s="3" t="s">
        <v>1610</v>
      </c>
      <c r="Q1345" s="8">
        <v>5.7189999999999998E-2</v>
      </c>
    </row>
    <row r="1346" spans="1:17" hidden="1" x14ac:dyDescent="0.55000000000000004">
      <c r="A1346" s="3" t="s">
        <v>1761</v>
      </c>
      <c r="B1346" s="3" t="s">
        <v>1807</v>
      </c>
      <c r="C1346" t="s">
        <v>1807</v>
      </c>
      <c r="D1346" s="3" t="s">
        <v>7312</v>
      </c>
      <c r="E1346" t="s">
        <v>1825</v>
      </c>
      <c r="F1346" s="3" t="s">
        <v>1826</v>
      </c>
      <c r="G1346" t="s">
        <v>19</v>
      </c>
      <c r="H1346" s="3" t="s">
        <v>23</v>
      </c>
      <c r="I1346" t="s">
        <v>67</v>
      </c>
      <c r="J1346" s="3" t="s">
        <v>1767</v>
      </c>
      <c r="K1346" s="4" t="s">
        <v>23</v>
      </c>
      <c r="L1346" s="5" t="s">
        <v>23</v>
      </c>
      <c r="M1346" s="6">
        <v>0</v>
      </c>
      <c r="N1346" s="7">
        <v>0</v>
      </c>
      <c r="O1346" t="s">
        <v>23</v>
      </c>
      <c r="P1346" s="3" t="s">
        <v>23</v>
      </c>
      <c r="Q1346" s="8" t="s">
        <v>23</v>
      </c>
    </row>
    <row r="1347" spans="1:17" hidden="1" x14ac:dyDescent="0.55000000000000004">
      <c r="A1347" s="3" t="s">
        <v>1761</v>
      </c>
      <c r="B1347" s="3" t="s">
        <v>1807</v>
      </c>
      <c r="C1347" t="s">
        <v>1807</v>
      </c>
      <c r="D1347" s="3" t="s">
        <v>7312</v>
      </c>
      <c r="E1347" t="s">
        <v>1825</v>
      </c>
      <c r="F1347" s="3" t="s">
        <v>1826</v>
      </c>
      <c r="G1347" t="s">
        <v>19</v>
      </c>
      <c r="H1347" s="3" t="s">
        <v>23</v>
      </c>
      <c r="I1347" t="s">
        <v>67</v>
      </c>
      <c r="J1347" s="3" t="s">
        <v>1680</v>
      </c>
      <c r="K1347" s="4" t="s">
        <v>23</v>
      </c>
      <c r="L1347" s="5" t="s">
        <v>23</v>
      </c>
      <c r="M1347" s="6">
        <v>0</v>
      </c>
      <c r="N1347" s="7">
        <v>0</v>
      </c>
      <c r="O1347" t="s">
        <v>23</v>
      </c>
      <c r="P1347" s="3" t="s">
        <v>23</v>
      </c>
      <c r="Q1347" s="8" t="s">
        <v>23</v>
      </c>
    </row>
    <row r="1348" spans="1:17" hidden="1" x14ac:dyDescent="0.55000000000000004">
      <c r="A1348" s="3" t="s">
        <v>1761</v>
      </c>
      <c r="B1348" s="3" t="s">
        <v>1807</v>
      </c>
      <c r="C1348" t="s">
        <v>1807</v>
      </c>
      <c r="D1348" s="3" t="s">
        <v>7312</v>
      </c>
      <c r="E1348" t="s">
        <v>1825</v>
      </c>
      <c r="F1348" s="3" t="s">
        <v>1826</v>
      </c>
      <c r="G1348" t="s">
        <v>19</v>
      </c>
      <c r="H1348" s="3" t="s">
        <v>23</v>
      </c>
      <c r="I1348" t="s">
        <v>67</v>
      </c>
      <c r="J1348" s="3" t="s">
        <v>1813</v>
      </c>
      <c r="K1348" s="4" t="s">
        <v>23</v>
      </c>
      <c r="L1348" s="5" t="s">
        <v>23</v>
      </c>
      <c r="M1348" s="6">
        <v>0</v>
      </c>
      <c r="N1348" s="7">
        <v>0</v>
      </c>
      <c r="O1348" t="s">
        <v>23</v>
      </c>
      <c r="P1348" s="3" t="s">
        <v>23</v>
      </c>
      <c r="Q1348" s="8" t="s">
        <v>23</v>
      </c>
    </row>
    <row r="1349" spans="1:17" hidden="1" x14ac:dyDescent="0.55000000000000004">
      <c r="A1349" s="3" t="s">
        <v>1761</v>
      </c>
      <c r="B1349" s="3" t="s">
        <v>1807</v>
      </c>
      <c r="C1349" t="s">
        <v>1807</v>
      </c>
      <c r="D1349" s="3" t="s">
        <v>7312</v>
      </c>
      <c r="E1349" t="s">
        <v>1825</v>
      </c>
      <c r="F1349" s="3" t="s">
        <v>1826</v>
      </c>
      <c r="G1349" t="s">
        <v>19</v>
      </c>
      <c r="H1349" s="3" t="s">
        <v>23</v>
      </c>
      <c r="I1349" t="s">
        <v>67</v>
      </c>
      <c r="J1349" s="3" t="s">
        <v>1573</v>
      </c>
      <c r="K1349" s="4" t="s">
        <v>23</v>
      </c>
      <c r="L1349" s="5" t="s">
        <v>23</v>
      </c>
      <c r="M1349" s="6">
        <v>0</v>
      </c>
      <c r="N1349" s="7">
        <v>0</v>
      </c>
      <c r="O1349" t="s">
        <v>23</v>
      </c>
      <c r="P1349" s="3" t="s">
        <v>23</v>
      </c>
      <c r="Q1349" s="8" t="s">
        <v>23</v>
      </c>
    </row>
    <row r="1350" spans="1:17" hidden="1" x14ac:dyDescent="0.55000000000000004">
      <c r="A1350" s="3" t="s">
        <v>1761</v>
      </c>
      <c r="B1350" s="3" t="s">
        <v>1807</v>
      </c>
      <c r="C1350" t="s">
        <v>1807</v>
      </c>
      <c r="D1350" s="3" t="s">
        <v>7312</v>
      </c>
      <c r="E1350" t="s">
        <v>1825</v>
      </c>
      <c r="F1350" s="3" t="s">
        <v>1826</v>
      </c>
      <c r="G1350" t="s">
        <v>24</v>
      </c>
      <c r="H1350" s="3" t="s">
        <v>1523</v>
      </c>
      <c r="I1350" t="s">
        <v>296</v>
      </c>
      <c r="J1350" s="3" t="s">
        <v>304</v>
      </c>
      <c r="K1350" s="4">
        <v>590</v>
      </c>
      <c r="L1350" s="5">
        <v>0</v>
      </c>
      <c r="M1350" s="6">
        <v>0</v>
      </c>
      <c r="N1350" s="7">
        <v>0</v>
      </c>
      <c r="O1350" t="s">
        <v>23</v>
      </c>
      <c r="P1350" s="3" t="s">
        <v>23</v>
      </c>
      <c r="Q1350" s="8" t="s">
        <v>23</v>
      </c>
    </row>
    <row r="1351" spans="1:17" hidden="1" x14ac:dyDescent="0.55000000000000004">
      <c r="A1351" s="3" t="s">
        <v>1761</v>
      </c>
      <c r="B1351" s="3" t="s">
        <v>1807</v>
      </c>
      <c r="C1351" t="s">
        <v>1807</v>
      </c>
      <c r="D1351" s="3" t="s">
        <v>7312</v>
      </c>
      <c r="E1351" t="s">
        <v>1825</v>
      </c>
      <c r="F1351" s="3" t="s">
        <v>1826</v>
      </c>
      <c r="G1351" t="s">
        <v>24</v>
      </c>
      <c r="H1351" s="3" t="s">
        <v>1524</v>
      </c>
      <c r="I1351" t="s">
        <v>298</v>
      </c>
      <c r="J1351" s="3" t="s">
        <v>304</v>
      </c>
      <c r="K1351" s="4">
        <v>157</v>
      </c>
      <c r="L1351" s="5">
        <v>0</v>
      </c>
      <c r="M1351" s="6">
        <v>0</v>
      </c>
      <c r="N1351" s="7">
        <v>0</v>
      </c>
      <c r="O1351" t="s">
        <v>23</v>
      </c>
      <c r="P1351" s="3" t="s">
        <v>23</v>
      </c>
      <c r="Q1351" s="8" t="s">
        <v>23</v>
      </c>
    </row>
    <row r="1352" spans="1:17" hidden="1" x14ac:dyDescent="0.55000000000000004">
      <c r="A1352" s="3" t="s">
        <v>1761</v>
      </c>
      <c r="B1352" s="3" t="s">
        <v>1807</v>
      </c>
      <c r="C1352" t="s">
        <v>1807</v>
      </c>
      <c r="D1352" s="3" t="s">
        <v>7312</v>
      </c>
      <c r="E1352" t="s">
        <v>1825</v>
      </c>
      <c r="F1352" s="3" t="s">
        <v>1826</v>
      </c>
      <c r="G1352" t="s">
        <v>24</v>
      </c>
      <c r="H1352" s="3" t="s">
        <v>1525</v>
      </c>
      <c r="I1352" t="s">
        <v>300</v>
      </c>
      <c r="J1352" s="3" t="s">
        <v>304</v>
      </c>
      <c r="K1352" s="4">
        <v>523</v>
      </c>
      <c r="L1352" s="5">
        <v>0</v>
      </c>
      <c r="M1352" s="6">
        <v>0</v>
      </c>
      <c r="N1352" s="7">
        <v>0</v>
      </c>
      <c r="O1352" t="s">
        <v>23</v>
      </c>
      <c r="P1352" s="3" t="s">
        <v>23</v>
      </c>
      <c r="Q1352" s="8" t="s">
        <v>23</v>
      </c>
    </row>
    <row r="1353" spans="1:17" hidden="1" x14ac:dyDescent="0.55000000000000004">
      <c r="A1353" s="3" t="s">
        <v>1761</v>
      </c>
      <c r="B1353" s="3" t="s">
        <v>1807</v>
      </c>
      <c r="C1353" t="s">
        <v>1807</v>
      </c>
      <c r="D1353" s="3" t="s">
        <v>7312</v>
      </c>
      <c r="E1353" t="s">
        <v>1825</v>
      </c>
      <c r="F1353" s="3" t="s">
        <v>1826</v>
      </c>
      <c r="G1353" t="s">
        <v>24</v>
      </c>
      <c r="H1353" s="3" t="s">
        <v>1526</v>
      </c>
      <c r="I1353" t="s">
        <v>302</v>
      </c>
      <c r="J1353" s="3" t="s">
        <v>304</v>
      </c>
      <c r="K1353" s="4">
        <v>373</v>
      </c>
      <c r="L1353" s="5">
        <v>0</v>
      </c>
      <c r="M1353" s="6">
        <v>0</v>
      </c>
      <c r="N1353" s="7">
        <v>0</v>
      </c>
      <c r="O1353" t="s">
        <v>23</v>
      </c>
      <c r="P1353" s="3" t="s">
        <v>23</v>
      </c>
      <c r="Q1353" s="8" t="s">
        <v>23</v>
      </c>
    </row>
    <row r="1354" spans="1:17" hidden="1" x14ac:dyDescent="0.55000000000000004">
      <c r="A1354" s="3" t="s">
        <v>1761</v>
      </c>
      <c r="B1354" s="3" t="s">
        <v>1807</v>
      </c>
      <c r="C1354" t="s">
        <v>1807</v>
      </c>
      <c r="D1354" s="3" t="s">
        <v>7312</v>
      </c>
      <c r="E1354" t="s">
        <v>1825</v>
      </c>
      <c r="F1354" s="3" t="s">
        <v>1826</v>
      </c>
      <c r="G1354" t="s">
        <v>24</v>
      </c>
      <c r="H1354" s="3" t="s">
        <v>1527</v>
      </c>
      <c r="I1354" t="s">
        <v>52</v>
      </c>
      <c r="J1354" s="3" t="s">
        <v>304</v>
      </c>
      <c r="K1354" s="4">
        <v>444</v>
      </c>
      <c r="L1354" s="5">
        <v>0</v>
      </c>
      <c r="M1354" s="6">
        <v>0</v>
      </c>
      <c r="N1354" s="7">
        <v>0</v>
      </c>
      <c r="O1354" t="s">
        <v>23</v>
      </c>
      <c r="P1354" s="3" t="s">
        <v>23</v>
      </c>
      <c r="Q1354" s="8" t="s">
        <v>23</v>
      </c>
    </row>
    <row r="1355" spans="1:17" hidden="1" x14ac:dyDescent="0.55000000000000004">
      <c r="A1355" s="3" t="s">
        <v>1761</v>
      </c>
      <c r="B1355" s="3" t="s">
        <v>1807</v>
      </c>
      <c r="C1355" t="s">
        <v>1807</v>
      </c>
      <c r="D1355" s="3" t="s">
        <v>7312</v>
      </c>
      <c r="E1355" t="s">
        <v>1825</v>
      </c>
      <c r="F1355" s="3" t="s">
        <v>1826</v>
      </c>
      <c r="G1355" t="s">
        <v>24</v>
      </c>
      <c r="H1355" s="3" t="s">
        <v>1814</v>
      </c>
      <c r="I1355" t="s">
        <v>26</v>
      </c>
      <c r="J1355" s="3" t="s">
        <v>1815</v>
      </c>
      <c r="K1355" s="4">
        <v>502</v>
      </c>
      <c r="L1355" s="5">
        <v>22.82</v>
      </c>
      <c r="M1355" s="6">
        <v>0</v>
      </c>
      <c r="N1355" s="7">
        <v>0</v>
      </c>
      <c r="O1355" t="s">
        <v>1816</v>
      </c>
      <c r="P1355" s="3" t="s">
        <v>76</v>
      </c>
      <c r="Q1355" s="8">
        <v>0.17749999999999999</v>
      </c>
    </row>
    <row r="1356" spans="1:17" hidden="1" x14ac:dyDescent="0.55000000000000004">
      <c r="A1356" s="3" t="s">
        <v>1761</v>
      </c>
      <c r="B1356" s="3" t="s">
        <v>1807</v>
      </c>
      <c r="C1356" t="s">
        <v>1807</v>
      </c>
      <c r="D1356" s="3" t="s">
        <v>7312</v>
      </c>
      <c r="E1356" t="s">
        <v>1825</v>
      </c>
      <c r="F1356" s="3" t="s">
        <v>1826</v>
      </c>
      <c r="G1356" t="s">
        <v>24</v>
      </c>
      <c r="H1356" s="3" t="s">
        <v>1817</v>
      </c>
      <c r="I1356" t="s">
        <v>218</v>
      </c>
      <c r="J1356" s="3" t="s">
        <v>1815</v>
      </c>
      <c r="K1356" s="4">
        <v>53</v>
      </c>
      <c r="L1356" s="5">
        <v>2.42</v>
      </c>
      <c r="M1356" s="6">
        <v>0</v>
      </c>
      <c r="N1356" s="7">
        <v>0</v>
      </c>
      <c r="O1356" t="s">
        <v>1818</v>
      </c>
      <c r="P1356" s="3" t="s">
        <v>23</v>
      </c>
      <c r="Q1356" s="8" t="s">
        <v>23</v>
      </c>
    </row>
    <row r="1357" spans="1:17" hidden="1" x14ac:dyDescent="0.55000000000000004">
      <c r="A1357" s="3" t="s">
        <v>1761</v>
      </c>
      <c r="B1357" s="3" t="s">
        <v>1807</v>
      </c>
      <c r="C1357" t="s">
        <v>1807</v>
      </c>
      <c r="D1357" s="3" t="s">
        <v>7312</v>
      </c>
      <c r="E1357" t="s">
        <v>1825</v>
      </c>
      <c r="F1357" s="3" t="s">
        <v>1826</v>
      </c>
      <c r="G1357" t="s">
        <v>24</v>
      </c>
      <c r="H1357" s="3" t="s">
        <v>1533</v>
      </c>
      <c r="I1357" t="s">
        <v>317</v>
      </c>
      <c r="J1357" s="3" t="s">
        <v>218</v>
      </c>
      <c r="K1357" s="4">
        <v>395</v>
      </c>
      <c r="L1357" s="5">
        <v>0</v>
      </c>
      <c r="M1357" s="6">
        <v>0</v>
      </c>
      <c r="N1357" s="7">
        <v>0</v>
      </c>
      <c r="O1357" t="s">
        <v>23</v>
      </c>
      <c r="P1357" s="3" t="s">
        <v>23</v>
      </c>
      <c r="Q1357" s="8" t="s">
        <v>23</v>
      </c>
    </row>
    <row r="1358" spans="1:17" hidden="1" x14ac:dyDescent="0.55000000000000004">
      <c r="A1358" s="3" t="s">
        <v>1761</v>
      </c>
      <c r="B1358" s="3" t="s">
        <v>1807</v>
      </c>
      <c r="C1358" t="s">
        <v>1807</v>
      </c>
      <c r="D1358" s="3" t="s">
        <v>7312</v>
      </c>
      <c r="E1358" t="s">
        <v>1825</v>
      </c>
      <c r="F1358" s="3" t="s">
        <v>1826</v>
      </c>
      <c r="G1358" t="s">
        <v>24</v>
      </c>
      <c r="H1358" s="3" t="s">
        <v>1534</v>
      </c>
      <c r="I1358" t="s">
        <v>313</v>
      </c>
      <c r="J1358" s="3" t="s">
        <v>218</v>
      </c>
      <c r="K1358" s="4">
        <v>368</v>
      </c>
      <c r="L1358" s="5">
        <v>0</v>
      </c>
      <c r="M1358" s="6">
        <v>0</v>
      </c>
      <c r="N1358" s="7">
        <v>0</v>
      </c>
      <c r="O1358" t="s">
        <v>23</v>
      </c>
      <c r="P1358" s="3" t="s">
        <v>23</v>
      </c>
      <c r="Q1358" s="8" t="s">
        <v>23</v>
      </c>
    </row>
    <row r="1359" spans="1:17" hidden="1" x14ac:dyDescent="0.55000000000000004">
      <c r="A1359" s="3" t="s">
        <v>1761</v>
      </c>
      <c r="B1359" s="3" t="s">
        <v>1807</v>
      </c>
      <c r="C1359" t="s">
        <v>1807</v>
      </c>
      <c r="D1359" s="3" t="s">
        <v>7312</v>
      </c>
      <c r="E1359" t="s">
        <v>1825</v>
      </c>
      <c r="F1359" s="3" t="s">
        <v>1826</v>
      </c>
      <c r="G1359" t="s">
        <v>24</v>
      </c>
      <c r="H1359" s="3" t="s">
        <v>1535</v>
      </c>
      <c r="I1359" t="s">
        <v>315</v>
      </c>
      <c r="J1359" s="3" t="s">
        <v>218</v>
      </c>
      <c r="K1359" s="4">
        <v>600</v>
      </c>
      <c r="L1359" s="5">
        <v>0</v>
      </c>
      <c r="M1359" s="6">
        <v>0</v>
      </c>
      <c r="N1359" s="7">
        <v>0</v>
      </c>
      <c r="O1359" t="s">
        <v>23</v>
      </c>
      <c r="P1359" s="3" t="s">
        <v>23</v>
      </c>
      <c r="Q1359" s="8" t="s">
        <v>23</v>
      </c>
    </row>
    <row r="1360" spans="1:17" hidden="1" x14ac:dyDescent="0.55000000000000004">
      <c r="A1360" s="3" t="s">
        <v>1761</v>
      </c>
      <c r="B1360" s="3" t="s">
        <v>1807</v>
      </c>
      <c r="C1360" t="s">
        <v>1807</v>
      </c>
      <c r="D1360" s="3" t="s">
        <v>7312</v>
      </c>
      <c r="E1360" t="s">
        <v>1825</v>
      </c>
      <c r="F1360" s="3" t="s">
        <v>1826</v>
      </c>
      <c r="G1360" t="s">
        <v>24</v>
      </c>
      <c r="H1360" s="3" t="s">
        <v>1536</v>
      </c>
      <c r="I1360" t="s">
        <v>309</v>
      </c>
      <c r="J1360" s="3" t="s">
        <v>218</v>
      </c>
      <c r="K1360" s="4">
        <v>216</v>
      </c>
      <c r="L1360" s="5">
        <v>0</v>
      </c>
      <c r="M1360" s="6">
        <v>0</v>
      </c>
      <c r="N1360" s="7">
        <v>0</v>
      </c>
      <c r="O1360" t="s">
        <v>23</v>
      </c>
      <c r="P1360" s="3" t="s">
        <v>23</v>
      </c>
      <c r="Q1360" s="8" t="s">
        <v>23</v>
      </c>
    </row>
    <row r="1361" spans="1:17" hidden="1" x14ac:dyDescent="0.55000000000000004">
      <c r="A1361" s="3" t="s">
        <v>1761</v>
      </c>
      <c r="B1361" s="3" t="s">
        <v>1807</v>
      </c>
      <c r="C1361" t="s">
        <v>1807</v>
      </c>
      <c r="D1361" s="3" t="s">
        <v>7312</v>
      </c>
      <c r="E1361" t="s">
        <v>1825</v>
      </c>
      <c r="F1361" s="3" t="s">
        <v>1826</v>
      </c>
      <c r="G1361" t="s">
        <v>24</v>
      </c>
      <c r="H1361" s="3" t="s">
        <v>23</v>
      </c>
      <c r="I1361" t="s">
        <v>67</v>
      </c>
      <c r="J1361" s="3" t="s">
        <v>37</v>
      </c>
      <c r="K1361" s="4" t="s">
        <v>23</v>
      </c>
      <c r="L1361" s="5" t="s">
        <v>23</v>
      </c>
      <c r="M1361" s="6">
        <v>0</v>
      </c>
      <c r="N1361" s="7">
        <v>0</v>
      </c>
      <c r="O1361" t="s">
        <v>23</v>
      </c>
      <c r="P1361" s="3" t="s">
        <v>23</v>
      </c>
      <c r="Q1361" s="8" t="s">
        <v>23</v>
      </c>
    </row>
    <row r="1362" spans="1:17" hidden="1" x14ac:dyDescent="0.55000000000000004">
      <c r="A1362" s="3" t="s">
        <v>1761</v>
      </c>
      <c r="B1362" s="3" t="s">
        <v>1807</v>
      </c>
      <c r="C1362" t="s">
        <v>1807</v>
      </c>
      <c r="D1362" s="3" t="s">
        <v>7312</v>
      </c>
      <c r="E1362" t="s">
        <v>1825</v>
      </c>
      <c r="F1362" s="3" t="s">
        <v>1826</v>
      </c>
      <c r="G1362" t="s">
        <v>24</v>
      </c>
      <c r="H1362" s="3" t="s">
        <v>23</v>
      </c>
      <c r="I1362" t="s">
        <v>67</v>
      </c>
      <c r="J1362" s="3" t="s">
        <v>48</v>
      </c>
      <c r="K1362" s="4" t="s">
        <v>23</v>
      </c>
      <c r="L1362" s="5" t="s">
        <v>23</v>
      </c>
      <c r="M1362" s="6">
        <v>0</v>
      </c>
      <c r="N1362" s="7">
        <v>0</v>
      </c>
      <c r="O1362" t="s">
        <v>23</v>
      </c>
      <c r="P1362" s="3" t="s">
        <v>23</v>
      </c>
      <c r="Q1362" s="8" t="s">
        <v>23</v>
      </c>
    </row>
    <row r="1363" spans="1:17" hidden="1" x14ac:dyDescent="0.55000000000000004">
      <c r="A1363" s="3" t="s">
        <v>1761</v>
      </c>
      <c r="B1363" s="3" t="s">
        <v>7343</v>
      </c>
      <c r="C1363" t="s">
        <v>1807</v>
      </c>
      <c r="D1363" s="3" t="s">
        <v>7312</v>
      </c>
      <c r="E1363" t="s">
        <v>1827</v>
      </c>
      <c r="F1363" s="3" t="s">
        <v>1828</v>
      </c>
      <c r="G1363" t="s">
        <v>19</v>
      </c>
      <c r="H1363" s="3" t="s">
        <v>1810</v>
      </c>
      <c r="I1363" t="s">
        <v>1607</v>
      </c>
      <c r="J1363" s="3" t="s">
        <v>1811</v>
      </c>
      <c r="K1363" s="4">
        <v>656</v>
      </c>
      <c r="L1363" s="5">
        <v>142.59</v>
      </c>
      <c r="M1363" s="6">
        <v>1</v>
      </c>
      <c r="N1363" s="7">
        <v>1</v>
      </c>
      <c r="O1363" t="s">
        <v>1812</v>
      </c>
      <c r="P1363" s="3" t="s">
        <v>1610</v>
      </c>
      <c r="Q1363" s="8">
        <v>5.7189999999999998E-2</v>
      </c>
    </row>
    <row r="1364" spans="1:17" hidden="1" x14ac:dyDescent="0.55000000000000004">
      <c r="A1364" s="3" t="s">
        <v>1761</v>
      </c>
      <c r="B1364" s="3" t="s">
        <v>7343</v>
      </c>
      <c r="C1364" t="s">
        <v>1807</v>
      </c>
      <c r="D1364" s="3" t="s">
        <v>7312</v>
      </c>
      <c r="E1364" t="s">
        <v>1827</v>
      </c>
      <c r="F1364" s="3" t="s">
        <v>1828</v>
      </c>
      <c r="G1364" t="s">
        <v>19</v>
      </c>
      <c r="H1364" s="3" t="s">
        <v>23</v>
      </c>
      <c r="I1364" t="s">
        <v>67</v>
      </c>
      <c r="J1364" s="3" t="s">
        <v>1767</v>
      </c>
      <c r="K1364" s="4" t="s">
        <v>23</v>
      </c>
      <c r="L1364" s="5" t="s">
        <v>23</v>
      </c>
      <c r="M1364" s="6">
        <v>0</v>
      </c>
      <c r="N1364" s="7">
        <v>1</v>
      </c>
      <c r="O1364" t="s">
        <v>23</v>
      </c>
      <c r="P1364" s="3" t="s">
        <v>23</v>
      </c>
      <c r="Q1364" s="8" t="s">
        <v>23</v>
      </c>
    </row>
    <row r="1365" spans="1:17" hidden="1" x14ac:dyDescent="0.55000000000000004">
      <c r="A1365" s="3" t="s">
        <v>1761</v>
      </c>
      <c r="B1365" s="3" t="s">
        <v>7343</v>
      </c>
      <c r="C1365" t="s">
        <v>1807</v>
      </c>
      <c r="D1365" s="3" t="s">
        <v>7312</v>
      </c>
      <c r="E1365" t="s">
        <v>1827</v>
      </c>
      <c r="F1365" s="3" t="s">
        <v>1828</v>
      </c>
      <c r="G1365" t="s">
        <v>19</v>
      </c>
      <c r="H1365" s="3" t="s">
        <v>23</v>
      </c>
      <c r="I1365" t="s">
        <v>67</v>
      </c>
      <c r="J1365" s="3" t="s">
        <v>1680</v>
      </c>
      <c r="K1365" s="4" t="s">
        <v>23</v>
      </c>
      <c r="L1365" s="5" t="s">
        <v>23</v>
      </c>
      <c r="M1365" s="6">
        <v>0</v>
      </c>
      <c r="N1365" s="7">
        <v>1</v>
      </c>
      <c r="O1365" t="s">
        <v>23</v>
      </c>
      <c r="P1365" s="3" t="s">
        <v>23</v>
      </c>
      <c r="Q1365" s="8" t="s">
        <v>23</v>
      </c>
    </row>
    <row r="1366" spans="1:17" hidden="1" x14ac:dyDescent="0.55000000000000004">
      <c r="A1366" s="3" t="s">
        <v>1761</v>
      </c>
      <c r="B1366" s="3" t="s">
        <v>7343</v>
      </c>
      <c r="C1366" t="s">
        <v>1807</v>
      </c>
      <c r="D1366" s="3" t="s">
        <v>7312</v>
      </c>
      <c r="E1366" t="s">
        <v>1827</v>
      </c>
      <c r="F1366" s="3" t="s">
        <v>1828</v>
      </c>
      <c r="G1366" t="s">
        <v>19</v>
      </c>
      <c r="H1366" s="3" t="s">
        <v>23</v>
      </c>
      <c r="I1366" t="s">
        <v>67</v>
      </c>
      <c r="J1366" s="3" t="s">
        <v>1813</v>
      </c>
      <c r="K1366" s="4" t="s">
        <v>23</v>
      </c>
      <c r="L1366" s="5" t="s">
        <v>23</v>
      </c>
      <c r="M1366" s="6">
        <v>0</v>
      </c>
      <c r="N1366" s="7">
        <v>1</v>
      </c>
      <c r="O1366" t="s">
        <v>23</v>
      </c>
      <c r="P1366" s="3" t="s">
        <v>23</v>
      </c>
      <c r="Q1366" s="8" t="s">
        <v>23</v>
      </c>
    </row>
    <row r="1367" spans="1:17" hidden="1" x14ac:dyDescent="0.55000000000000004">
      <c r="A1367" s="3" t="s">
        <v>1761</v>
      </c>
      <c r="B1367" s="3" t="s">
        <v>7343</v>
      </c>
      <c r="C1367" t="s">
        <v>1807</v>
      </c>
      <c r="D1367" s="3" t="s">
        <v>7312</v>
      </c>
      <c r="E1367" t="s">
        <v>1827</v>
      </c>
      <c r="F1367" s="3" t="s">
        <v>1828</v>
      </c>
      <c r="G1367" t="s">
        <v>19</v>
      </c>
      <c r="H1367" s="3" t="s">
        <v>23</v>
      </c>
      <c r="I1367" t="s">
        <v>67</v>
      </c>
      <c r="J1367" s="3" t="s">
        <v>1573</v>
      </c>
      <c r="K1367" s="4" t="s">
        <v>23</v>
      </c>
      <c r="L1367" s="5" t="s">
        <v>23</v>
      </c>
      <c r="M1367" s="6">
        <v>0</v>
      </c>
      <c r="N1367" s="7">
        <v>1</v>
      </c>
      <c r="O1367" t="s">
        <v>23</v>
      </c>
      <c r="P1367" s="3" t="s">
        <v>23</v>
      </c>
      <c r="Q1367" s="8" t="s">
        <v>23</v>
      </c>
    </row>
    <row r="1368" spans="1:17" hidden="1" x14ac:dyDescent="0.55000000000000004">
      <c r="A1368" s="3" t="s">
        <v>1761</v>
      </c>
      <c r="B1368" s="3" t="s">
        <v>7343</v>
      </c>
      <c r="C1368" t="s">
        <v>1807</v>
      </c>
      <c r="D1368" s="3" t="s">
        <v>7312</v>
      </c>
      <c r="E1368" t="s">
        <v>1827</v>
      </c>
      <c r="F1368" s="3" t="s">
        <v>1828</v>
      </c>
      <c r="G1368" t="s">
        <v>24</v>
      </c>
      <c r="H1368" s="3" t="s">
        <v>1523</v>
      </c>
      <c r="I1368" t="s">
        <v>296</v>
      </c>
      <c r="J1368" s="3" t="s">
        <v>304</v>
      </c>
      <c r="K1368" s="4">
        <v>590</v>
      </c>
      <c r="L1368" s="5">
        <v>0</v>
      </c>
      <c r="M1368" s="6">
        <v>0</v>
      </c>
      <c r="N1368" s="7">
        <v>1</v>
      </c>
      <c r="O1368" t="s">
        <v>23</v>
      </c>
      <c r="P1368" s="3" t="s">
        <v>23</v>
      </c>
      <c r="Q1368" s="8" t="s">
        <v>23</v>
      </c>
    </row>
    <row r="1369" spans="1:17" hidden="1" x14ac:dyDescent="0.55000000000000004">
      <c r="A1369" s="3" t="s">
        <v>1761</v>
      </c>
      <c r="B1369" s="3" t="s">
        <v>7343</v>
      </c>
      <c r="C1369" t="s">
        <v>1807</v>
      </c>
      <c r="D1369" s="3" t="s">
        <v>7312</v>
      </c>
      <c r="E1369" t="s">
        <v>1827</v>
      </c>
      <c r="F1369" s="3" t="s">
        <v>1828</v>
      </c>
      <c r="G1369" t="s">
        <v>24</v>
      </c>
      <c r="H1369" s="3" t="s">
        <v>1524</v>
      </c>
      <c r="I1369" t="s">
        <v>298</v>
      </c>
      <c r="J1369" s="3" t="s">
        <v>304</v>
      </c>
      <c r="K1369" s="4">
        <v>157</v>
      </c>
      <c r="L1369" s="5">
        <v>0</v>
      </c>
      <c r="M1369" s="6">
        <v>0</v>
      </c>
      <c r="N1369" s="7">
        <v>1</v>
      </c>
      <c r="O1369" t="s">
        <v>23</v>
      </c>
      <c r="P1369" s="3" t="s">
        <v>23</v>
      </c>
      <c r="Q1369" s="8" t="s">
        <v>23</v>
      </c>
    </row>
    <row r="1370" spans="1:17" hidden="1" x14ac:dyDescent="0.55000000000000004">
      <c r="A1370" s="3" t="s">
        <v>1761</v>
      </c>
      <c r="B1370" s="3" t="s">
        <v>7343</v>
      </c>
      <c r="C1370" t="s">
        <v>1807</v>
      </c>
      <c r="D1370" s="3" t="s">
        <v>7312</v>
      </c>
      <c r="E1370" t="s">
        <v>1827</v>
      </c>
      <c r="F1370" s="3" t="s">
        <v>1828</v>
      </c>
      <c r="G1370" t="s">
        <v>24</v>
      </c>
      <c r="H1370" s="3" t="s">
        <v>1525</v>
      </c>
      <c r="I1370" t="s">
        <v>300</v>
      </c>
      <c r="J1370" s="3" t="s">
        <v>304</v>
      </c>
      <c r="K1370" s="4">
        <v>523</v>
      </c>
      <c r="L1370" s="5">
        <v>0</v>
      </c>
      <c r="M1370" s="6">
        <v>0</v>
      </c>
      <c r="N1370" s="7">
        <v>1</v>
      </c>
      <c r="O1370" t="s">
        <v>23</v>
      </c>
      <c r="P1370" s="3" t="s">
        <v>23</v>
      </c>
      <c r="Q1370" s="8" t="s">
        <v>23</v>
      </c>
    </row>
    <row r="1371" spans="1:17" hidden="1" x14ac:dyDescent="0.55000000000000004">
      <c r="A1371" s="3" t="s">
        <v>1761</v>
      </c>
      <c r="B1371" s="3" t="s">
        <v>7343</v>
      </c>
      <c r="C1371" t="s">
        <v>1807</v>
      </c>
      <c r="D1371" s="3" t="s">
        <v>7312</v>
      </c>
      <c r="E1371" t="s">
        <v>1827</v>
      </c>
      <c r="F1371" s="3" t="s">
        <v>1828</v>
      </c>
      <c r="G1371" t="s">
        <v>24</v>
      </c>
      <c r="H1371" s="3" t="s">
        <v>1526</v>
      </c>
      <c r="I1371" t="s">
        <v>302</v>
      </c>
      <c r="J1371" s="3" t="s">
        <v>304</v>
      </c>
      <c r="K1371" s="4">
        <v>373</v>
      </c>
      <c r="L1371" s="5">
        <v>0</v>
      </c>
      <c r="M1371" s="6">
        <v>0</v>
      </c>
      <c r="N1371" s="7">
        <v>1</v>
      </c>
      <c r="O1371" t="s">
        <v>23</v>
      </c>
      <c r="P1371" s="3" t="s">
        <v>23</v>
      </c>
      <c r="Q1371" s="8" t="s">
        <v>23</v>
      </c>
    </row>
    <row r="1372" spans="1:17" hidden="1" x14ac:dyDescent="0.55000000000000004">
      <c r="A1372" s="3" t="s">
        <v>1761</v>
      </c>
      <c r="B1372" s="3" t="s">
        <v>7343</v>
      </c>
      <c r="C1372" t="s">
        <v>1807</v>
      </c>
      <c r="D1372" s="3" t="s">
        <v>7312</v>
      </c>
      <c r="E1372" t="s">
        <v>1827</v>
      </c>
      <c r="F1372" s="3" t="s">
        <v>1828</v>
      </c>
      <c r="G1372" t="s">
        <v>24</v>
      </c>
      <c r="H1372" s="3" t="s">
        <v>1527</v>
      </c>
      <c r="I1372" t="s">
        <v>52</v>
      </c>
      <c r="J1372" s="3" t="s">
        <v>304</v>
      </c>
      <c r="K1372" s="4">
        <v>444</v>
      </c>
      <c r="L1372" s="5">
        <v>0</v>
      </c>
      <c r="M1372" s="6">
        <v>0</v>
      </c>
      <c r="N1372" s="7">
        <v>1</v>
      </c>
      <c r="O1372" t="s">
        <v>23</v>
      </c>
      <c r="P1372" s="3" t="s">
        <v>23</v>
      </c>
      <c r="Q1372" s="8" t="s">
        <v>23</v>
      </c>
    </row>
    <row r="1373" spans="1:17" hidden="1" x14ac:dyDescent="0.55000000000000004">
      <c r="A1373" s="3" t="s">
        <v>1761</v>
      </c>
      <c r="B1373" s="3" t="s">
        <v>7343</v>
      </c>
      <c r="C1373" t="s">
        <v>1807</v>
      </c>
      <c r="D1373" s="3" t="s">
        <v>7312</v>
      </c>
      <c r="E1373" t="s">
        <v>1827</v>
      </c>
      <c r="F1373" s="3" t="s">
        <v>1828</v>
      </c>
      <c r="G1373" t="s">
        <v>24</v>
      </c>
      <c r="H1373" s="3" t="s">
        <v>1814</v>
      </c>
      <c r="I1373" t="s">
        <v>26</v>
      </c>
      <c r="J1373" s="3" t="s">
        <v>1815</v>
      </c>
      <c r="K1373" s="4">
        <v>502</v>
      </c>
      <c r="L1373" s="5">
        <v>22.82</v>
      </c>
      <c r="M1373" s="6">
        <v>0</v>
      </c>
      <c r="N1373" s="7">
        <v>1</v>
      </c>
      <c r="O1373" t="s">
        <v>1816</v>
      </c>
      <c r="P1373" s="3" t="s">
        <v>76</v>
      </c>
      <c r="Q1373" s="8">
        <v>0.17749999999999999</v>
      </c>
    </row>
    <row r="1374" spans="1:17" hidden="1" x14ac:dyDescent="0.55000000000000004">
      <c r="A1374" s="3" t="s">
        <v>1761</v>
      </c>
      <c r="B1374" s="3" t="s">
        <v>7343</v>
      </c>
      <c r="C1374" t="s">
        <v>1807</v>
      </c>
      <c r="D1374" s="3" t="s">
        <v>7312</v>
      </c>
      <c r="E1374" t="s">
        <v>1827</v>
      </c>
      <c r="F1374" s="3" t="s">
        <v>1828</v>
      </c>
      <c r="G1374" t="s">
        <v>24</v>
      </c>
      <c r="H1374" s="3" t="s">
        <v>1817</v>
      </c>
      <c r="I1374" t="s">
        <v>218</v>
      </c>
      <c r="J1374" s="3" t="s">
        <v>1815</v>
      </c>
      <c r="K1374" s="4">
        <v>53</v>
      </c>
      <c r="L1374" s="5">
        <v>2.42</v>
      </c>
      <c r="M1374" s="6">
        <v>0</v>
      </c>
      <c r="N1374" s="7">
        <v>1</v>
      </c>
      <c r="O1374" t="s">
        <v>1818</v>
      </c>
      <c r="P1374" s="3" t="s">
        <v>23</v>
      </c>
      <c r="Q1374" s="8" t="s">
        <v>23</v>
      </c>
    </row>
    <row r="1375" spans="1:17" hidden="1" x14ac:dyDescent="0.55000000000000004">
      <c r="A1375" s="3" t="s">
        <v>1761</v>
      </c>
      <c r="B1375" s="3" t="s">
        <v>7343</v>
      </c>
      <c r="C1375" t="s">
        <v>1807</v>
      </c>
      <c r="D1375" s="3" t="s">
        <v>7312</v>
      </c>
      <c r="E1375" t="s">
        <v>1827</v>
      </c>
      <c r="F1375" s="3" t="s">
        <v>1828</v>
      </c>
      <c r="G1375" t="s">
        <v>24</v>
      </c>
      <c r="H1375" s="3" t="s">
        <v>1533</v>
      </c>
      <c r="I1375" t="s">
        <v>317</v>
      </c>
      <c r="J1375" s="3" t="s">
        <v>218</v>
      </c>
      <c r="K1375" s="4">
        <v>395</v>
      </c>
      <c r="L1375" s="5">
        <v>0</v>
      </c>
      <c r="M1375" s="6">
        <v>0</v>
      </c>
      <c r="N1375" s="7">
        <v>1</v>
      </c>
      <c r="O1375" t="s">
        <v>23</v>
      </c>
      <c r="P1375" s="3" t="s">
        <v>23</v>
      </c>
      <c r="Q1375" s="8" t="s">
        <v>23</v>
      </c>
    </row>
    <row r="1376" spans="1:17" hidden="1" x14ac:dyDescent="0.55000000000000004">
      <c r="A1376" s="3" t="s">
        <v>1761</v>
      </c>
      <c r="B1376" s="3" t="s">
        <v>7343</v>
      </c>
      <c r="C1376" t="s">
        <v>1807</v>
      </c>
      <c r="D1376" s="3" t="s">
        <v>7312</v>
      </c>
      <c r="E1376" t="s">
        <v>1827</v>
      </c>
      <c r="F1376" s="3" t="s">
        <v>1828</v>
      </c>
      <c r="G1376" t="s">
        <v>24</v>
      </c>
      <c r="H1376" s="3" t="s">
        <v>1534</v>
      </c>
      <c r="I1376" t="s">
        <v>313</v>
      </c>
      <c r="J1376" s="3" t="s">
        <v>218</v>
      </c>
      <c r="K1376" s="4">
        <v>368</v>
      </c>
      <c r="L1376" s="5">
        <v>0</v>
      </c>
      <c r="M1376" s="6">
        <v>0</v>
      </c>
      <c r="N1376" s="7">
        <v>1</v>
      </c>
      <c r="O1376" t="s">
        <v>23</v>
      </c>
      <c r="P1376" s="3" t="s">
        <v>23</v>
      </c>
      <c r="Q1376" s="8" t="s">
        <v>23</v>
      </c>
    </row>
    <row r="1377" spans="1:17" hidden="1" x14ac:dyDescent="0.55000000000000004">
      <c r="A1377" s="3" t="s">
        <v>1761</v>
      </c>
      <c r="B1377" s="3" t="s">
        <v>7343</v>
      </c>
      <c r="C1377" t="s">
        <v>1807</v>
      </c>
      <c r="D1377" s="3" t="s">
        <v>7312</v>
      </c>
      <c r="E1377" t="s">
        <v>1827</v>
      </c>
      <c r="F1377" s="3" t="s">
        <v>1828</v>
      </c>
      <c r="G1377" t="s">
        <v>24</v>
      </c>
      <c r="H1377" s="3" t="s">
        <v>1535</v>
      </c>
      <c r="I1377" t="s">
        <v>315</v>
      </c>
      <c r="J1377" s="3" t="s">
        <v>218</v>
      </c>
      <c r="K1377" s="4">
        <v>600</v>
      </c>
      <c r="L1377" s="5">
        <v>0</v>
      </c>
      <c r="M1377" s="6">
        <v>0</v>
      </c>
      <c r="N1377" s="7">
        <v>1</v>
      </c>
      <c r="O1377" t="s">
        <v>23</v>
      </c>
      <c r="P1377" s="3" t="s">
        <v>23</v>
      </c>
      <c r="Q1377" s="8" t="s">
        <v>23</v>
      </c>
    </row>
    <row r="1378" spans="1:17" hidden="1" x14ac:dyDescent="0.55000000000000004">
      <c r="A1378" s="3" t="s">
        <v>1761</v>
      </c>
      <c r="B1378" s="3" t="s">
        <v>7343</v>
      </c>
      <c r="C1378" t="s">
        <v>1807</v>
      </c>
      <c r="D1378" s="3" t="s">
        <v>7312</v>
      </c>
      <c r="E1378" t="s">
        <v>1827</v>
      </c>
      <c r="F1378" s="3" t="s">
        <v>1828</v>
      </c>
      <c r="G1378" t="s">
        <v>24</v>
      </c>
      <c r="H1378" s="3" t="s">
        <v>1536</v>
      </c>
      <c r="I1378" t="s">
        <v>309</v>
      </c>
      <c r="J1378" s="3" t="s">
        <v>218</v>
      </c>
      <c r="K1378" s="4">
        <v>216</v>
      </c>
      <c r="L1378" s="5">
        <v>0</v>
      </c>
      <c r="M1378" s="6">
        <v>0</v>
      </c>
      <c r="N1378" s="7">
        <v>1</v>
      </c>
      <c r="O1378" t="s">
        <v>23</v>
      </c>
      <c r="P1378" s="3" t="s">
        <v>23</v>
      </c>
      <c r="Q1378" s="8" t="s">
        <v>23</v>
      </c>
    </row>
    <row r="1379" spans="1:17" hidden="1" x14ac:dyDescent="0.55000000000000004">
      <c r="A1379" s="3" t="s">
        <v>1761</v>
      </c>
      <c r="B1379" s="3" t="s">
        <v>7343</v>
      </c>
      <c r="C1379" t="s">
        <v>1807</v>
      </c>
      <c r="D1379" s="3" t="s">
        <v>7312</v>
      </c>
      <c r="E1379" t="s">
        <v>1827</v>
      </c>
      <c r="F1379" s="3" t="s">
        <v>1828</v>
      </c>
      <c r="G1379" t="s">
        <v>24</v>
      </c>
      <c r="H1379" s="3" t="s">
        <v>23</v>
      </c>
      <c r="I1379" t="s">
        <v>67</v>
      </c>
      <c r="J1379" s="3" t="s">
        <v>37</v>
      </c>
      <c r="K1379" s="4" t="s">
        <v>23</v>
      </c>
      <c r="L1379" s="5" t="s">
        <v>23</v>
      </c>
      <c r="M1379" s="6">
        <v>0</v>
      </c>
      <c r="N1379" s="7">
        <v>1</v>
      </c>
      <c r="O1379" t="s">
        <v>23</v>
      </c>
      <c r="P1379" s="3" t="s">
        <v>23</v>
      </c>
      <c r="Q1379" s="8" t="s">
        <v>23</v>
      </c>
    </row>
    <row r="1380" spans="1:17" hidden="1" x14ac:dyDescent="0.55000000000000004">
      <c r="A1380" s="3" t="s">
        <v>1761</v>
      </c>
      <c r="B1380" s="3" t="s">
        <v>7343</v>
      </c>
      <c r="C1380" t="s">
        <v>1807</v>
      </c>
      <c r="D1380" s="3" t="s">
        <v>7312</v>
      </c>
      <c r="E1380" t="s">
        <v>1827</v>
      </c>
      <c r="F1380" s="3" t="s">
        <v>1828</v>
      </c>
      <c r="G1380" t="s">
        <v>24</v>
      </c>
      <c r="H1380" s="3" t="s">
        <v>23</v>
      </c>
      <c r="I1380" t="s">
        <v>67</v>
      </c>
      <c r="J1380" s="3" t="s">
        <v>48</v>
      </c>
      <c r="K1380" s="4" t="s">
        <v>23</v>
      </c>
      <c r="L1380" s="5" t="s">
        <v>23</v>
      </c>
      <c r="M1380" s="6">
        <v>0</v>
      </c>
      <c r="N1380" s="7">
        <v>1</v>
      </c>
      <c r="O1380" t="s">
        <v>23</v>
      </c>
      <c r="P1380" s="3" t="s">
        <v>23</v>
      </c>
      <c r="Q1380" s="8" t="s">
        <v>23</v>
      </c>
    </row>
    <row r="1381" spans="1:17" hidden="1" x14ac:dyDescent="0.55000000000000004">
      <c r="A1381" s="3" t="s">
        <v>1761</v>
      </c>
      <c r="B1381" s="3" t="s">
        <v>1807</v>
      </c>
      <c r="C1381" t="s">
        <v>1807</v>
      </c>
      <c r="D1381" s="3" t="s">
        <v>7312</v>
      </c>
      <c r="E1381" t="s">
        <v>1829</v>
      </c>
      <c r="F1381" s="3" t="s">
        <v>1830</v>
      </c>
      <c r="G1381" t="s">
        <v>19</v>
      </c>
      <c r="H1381" s="3" t="s">
        <v>1810</v>
      </c>
      <c r="I1381" t="s">
        <v>1607</v>
      </c>
      <c r="J1381" s="3" t="s">
        <v>1811</v>
      </c>
      <c r="K1381" s="4">
        <v>656</v>
      </c>
      <c r="L1381" s="5">
        <v>142.59</v>
      </c>
      <c r="M1381" s="6">
        <v>1</v>
      </c>
      <c r="N1381" s="7">
        <v>0</v>
      </c>
      <c r="O1381" t="s">
        <v>1812</v>
      </c>
      <c r="P1381" s="3" t="s">
        <v>1610</v>
      </c>
      <c r="Q1381" s="8">
        <v>5.7189999999999998E-2</v>
      </c>
    </row>
    <row r="1382" spans="1:17" hidden="1" x14ac:dyDescent="0.55000000000000004">
      <c r="A1382" s="3" t="s">
        <v>1761</v>
      </c>
      <c r="B1382" s="3" t="s">
        <v>1807</v>
      </c>
      <c r="C1382" t="s">
        <v>1807</v>
      </c>
      <c r="D1382" s="3" t="s">
        <v>7312</v>
      </c>
      <c r="E1382" t="s">
        <v>1829</v>
      </c>
      <c r="F1382" s="3" t="s">
        <v>1830</v>
      </c>
      <c r="G1382" t="s">
        <v>19</v>
      </c>
      <c r="H1382" s="3" t="s">
        <v>23</v>
      </c>
      <c r="I1382" t="s">
        <v>67</v>
      </c>
      <c r="J1382" s="3" t="s">
        <v>1767</v>
      </c>
      <c r="K1382" s="4" t="s">
        <v>23</v>
      </c>
      <c r="L1382" s="5" t="s">
        <v>23</v>
      </c>
      <c r="M1382" s="6">
        <v>0</v>
      </c>
      <c r="N1382" s="7">
        <v>0</v>
      </c>
      <c r="O1382" t="s">
        <v>23</v>
      </c>
      <c r="P1382" s="3" t="s">
        <v>23</v>
      </c>
      <c r="Q1382" s="8" t="s">
        <v>23</v>
      </c>
    </row>
    <row r="1383" spans="1:17" hidden="1" x14ac:dyDescent="0.55000000000000004">
      <c r="A1383" s="3" t="s">
        <v>1761</v>
      </c>
      <c r="B1383" s="3" t="s">
        <v>1807</v>
      </c>
      <c r="C1383" t="s">
        <v>1807</v>
      </c>
      <c r="D1383" s="3" t="s">
        <v>7312</v>
      </c>
      <c r="E1383" t="s">
        <v>1829</v>
      </c>
      <c r="F1383" s="3" t="s">
        <v>1830</v>
      </c>
      <c r="G1383" t="s">
        <v>19</v>
      </c>
      <c r="H1383" s="3" t="s">
        <v>23</v>
      </c>
      <c r="I1383" t="s">
        <v>67</v>
      </c>
      <c r="J1383" s="3" t="s">
        <v>1680</v>
      </c>
      <c r="K1383" s="4" t="s">
        <v>23</v>
      </c>
      <c r="L1383" s="5" t="s">
        <v>23</v>
      </c>
      <c r="M1383" s="6">
        <v>0</v>
      </c>
      <c r="N1383" s="7">
        <v>0</v>
      </c>
      <c r="O1383" t="s">
        <v>23</v>
      </c>
      <c r="P1383" s="3" t="s">
        <v>23</v>
      </c>
      <c r="Q1383" s="8" t="s">
        <v>23</v>
      </c>
    </row>
    <row r="1384" spans="1:17" hidden="1" x14ac:dyDescent="0.55000000000000004">
      <c r="A1384" s="3" t="s">
        <v>1761</v>
      </c>
      <c r="B1384" s="3" t="s">
        <v>1807</v>
      </c>
      <c r="C1384" t="s">
        <v>1807</v>
      </c>
      <c r="D1384" s="3" t="s">
        <v>7312</v>
      </c>
      <c r="E1384" t="s">
        <v>1829</v>
      </c>
      <c r="F1384" s="3" t="s">
        <v>1830</v>
      </c>
      <c r="G1384" t="s">
        <v>19</v>
      </c>
      <c r="H1384" s="3" t="s">
        <v>23</v>
      </c>
      <c r="I1384" t="s">
        <v>67</v>
      </c>
      <c r="J1384" s="3" t="s">
        <v>1813</v>
      </c>
      <c r="K1384" s="4" t="s">
        <v>23</v>
      </c>
      <c r="L1384" s="5" t="s">
        <v>23</v>
      </c>
      <c r="M1384" s="6">
        <v>0</v>
      </c>
      <c r="N1384" s="7">
        <v>0</v>
      </c>
      <c r="O1384" t="s">
        <v>23</v>
      </c>
      <c r="P1384" s="3" t="s">
        <v>23</v>
      </c>
      <c r="Q1384" s="8" t="s">
        <v>23</v>
      </c>
    </row>
    <row r="1385" spans="1:17" hidden="1" x14ac:dyDescent="0.55000000000000004">
      <c r="A1385" s="3" t="s">
        <v>1761</v>
      </c>
      <c r="B1385" s="3" t="s">
        <v>1807</v>
      </c>
      <c r="C1385" t="s">
        <v>1807</v>
      </c>
      <c r="D1385" s="3" t="s">
        <v>7312</v>
      </c>
      <c r="E1385" t="s">
        <v>1829</v>
      </c>
      <c r="F1385" s="3" t="s">
        <v>1830</v>
      </c>
      <c r="G1385" t="s">
        <v>19</v>
      </c>
      <c r="H1385" s="3" t="s">
        <v>23</v>
      </c>
      <c r="I1385" t="s">
        <v>67</v>
      </c>
      <c r="J1385" s="3" t="s">
        <v>1573</v>
      </c>
      <c r="K1385" s="4" t="s">
        <v>23</v>
      </c>
      <c r="L1385" s="5" t="s">
        <v>23</v>
      </c>
      <c r="M1385" s="6">
        <v>0</v>
      </c>
      <c r="N1385" s="7">
        <v>0</v>
      </c>
      <c r="O1385" t="s">
        <v>23</v>
      </c>
      <c r="P1385" s="3" t="s">
        <v>23</v>
      </c>
      <c r="Q1385" s="8" t="s">
        <v>23</v>
      </c>
    </row>
    <row r="1386" spans="1:17" hidden="1" x14ac:dyDescent="0.55000000000000004">
      <c r="A1386" s="3" t="s">
        <v>1761</v>
      </c>
      <c r="B1386" s="3" t="s">
        <v>1807</v>
      </c>
      <c r="C1386" t="s">
        <v>1807</v>
      </c>
      <c r="D1386" s="3" t="s">
        <v>7312</v>
      </c>
      <c r="E1386" t="s">
        <v>1829</v>
      </c>
      <c r="F1386" s="3" t="s">
        <v>1830</v>
      </c>
      <c r="G1386" t="s">
        <v>24</v>
      </c>
      <c r="H1386" s="3" t="s">
        <v>1523</v>
      </c>
      <c r="I1386" t="s">
        <v>296</v>
      </c>
      <c r="J1386" s="3" t="s">
        <v>304</v>
      </c>
      <c r="K1386" s="4">
        <v>590</v>
      </c>
      <c r="L1386" s="5">
        <v>0</v>
      </c>
      <c r="M1386" s="6">
        <v>0</v>
      </c>
      <c r="N1386" s="7">
        <v>0</v>
      </c>
      <c r="O1386" t="s">
        <v>23</v>
      </c>
      <c r="P1386" s="3" t="s">
        <v>23</v>
      </c>
      <c r="Q1386" s="8" t="s">
        <v>23</v>
      </c>
    </row>
    <row r="1387" spans="1:17" hidden="1" x14ac:dyDescent="0.55000000000000004">
      <c r="A1387" s="3" t="s">
        <v>1761</v>
      </c>
      <c r="B1387" s="3" t="s">
        <v>1807</v>
      </c>
      <c r="C1387" t="s">
        <v>1807</v>
      </c>
      <c r="D1387" s="3" t="s">
        <v>7312</v>
      </c>
      <c r="E1387" t="s">
        <v>1829</v>
      </c>
      <c r="F1387" s="3" t="s">
        <v>1830</v>
      </c>
      <c r="G1387" t="s">
        <v>24</v>
      </c>
      <c r="H1387" s="3" t="s">
        <v>1524</v>
      </c>
      <c r="I1387" t="s">
        <v>298</v>
      </c>
      <c r="J1387" s="3" t="s">
        <v>304</v>
      </c>
      <c r="K1387" s="4">
        <v>157</v>
      </c>
      <c r="L1387" s="5">
        <v>0</v>
      </c>
      <c r="M1387" s="6">
        <v>0</v>
      </c>
      <c r="N1387" s="7">
        <v>0</v>
      </c>
      <c r="O1387" t="s">
        <v>23</v>
      </c>
      <c r="P1387" s="3" t="s">
        <v>23</v>
      </c>
      <c r="Q1387" s="8" t="s">
        <v>23</v>
      </c>
    </row>
    <row r="1388" spans="1:17" hidden="1" x14ac:dyDescent="0.55000000000000004">
      <c r="A1388" s="3" t="s">
        <v>1761</v>
      </c>
      <c r="B1388" s="3" t="s">
        <v>1807</v>
      </c>
      <c r="C1388" t="s">
        <v>1807</v>
      </c>
      <c r="D1388" s="3" t="s">
        <v>7312</v>
      </c>
      <c r="E1388" t="s">
        <v>1829</v>
      </c>
      <c r="F1388" s="3" t="s">
        <v>1830</v>
      </c>
      <c r="G1388" t="s">
        <v>24</v>
      </c>
      <c r="H1388" s="3" t="s">
        <v>1525</v>
      </c>
      <c r="I1388" t="s">
        <v>300</v>
      </c>
      <c r="J1388" s="3" t="s">
        <v>304</v>
      </c>
      <c r="K1388" s="4">
        <v>523</v>
      </c>
      <c r="L1388" s="5">
        <v>0</v>
      </c>
      <c r="M1388" s="6">
        <v>0</v>
      </c>
      <c r="N1388" s="7">
        <v>0</v>
      </c>
      <c r="O1388" t="s">
        <v>23</v>
      </c>
      <c r="P1388" s="3" t="s">
        <v>23</v>
      </c>
      <c r="Q1388" s="8" t="s">
        <v>23</v>
      </c>
    </row>
    <row r="1389" spans="1:17" hidden="1" x14ac:dyDescent="0.55000000000000004">
      <c r="A1389" s="3" t="s">
        <v>1761</v>
      </c>
      <c r="B1389" s="3" t="s">
        <v>1807</v>
      </c>
      <c r="C1389" t="s">
        <v>1807</v>
      </c>
      <c r="D1389" s="3" t="s">
        <v>7312</v>
      </c>
      <c r="E1389" t="s">
        <v>1829</v>
      </c>
      <c r="F1389" s="3" t="s">
        <v>1830</v>
      </c>
      <c r="G1389" t="s">
        <v>24</v>
      </c>
      <c r="H1389" s="3" t="s">
        <v>1526</v>
      </c>
      <c r="I1389" t="s">
        <v>302</v>
      </c>
      <c r="J1389" s="3" t="s">
        <v>304</v>
      </c>
      <c r="K1389" s="4">
        <v>373</v>
      </c>
      <c r="L1389" s="5">
        <v>0</v>
      </c>
      <c r="M1389" s="6">
        <v>0</v>
      </c>
      <c r="N1389" s="7">
        <v>0</v>
      </c>
      <c r="O1389" t="s">
        <v>23</v>
      </c>
      <c r="P1389" s="3" t="s">
        <v>23</v>
      </c>
      <c r="Q1389" s="8" t="s">
        <v>23</v>
      </c>
    </row>
    <row r="1390" spans="1:17" hidden="1" x14ac:dyDescent="0.55000000000000004">
      <c r="A1390" s="3" t="s">
        <v>1761</v>
      </c>
      <c r="B1390" s="3" t="s">
        <v>1807</v>
      </c>
      <c r="C1390" t="s">
        <v>1807</v>
      </c>
      <c r="D1390" s="3" t="s">
        <v>7312</v>
      </c>
      <c r="E1390" t="s">
        <v>1829</v>
      </c>
      <c r="F1390" s="3" t="s">
        <v>1830</v>
      </c>
      <c r="G1390" t="s">
        <v>24</v>
      </c>
      <c r="H1390" s="3" t="s">
        <v>1527</v>
      </c>
      <c r="I1390" t="s">
        <v>52</v>
      </c>
      <c r="J1390" s="3" t="s">
        <v>304</v>
      </c>
      <c r="K1390" s="4">
        <v>444</v>
      </c>
      <c r="L1390" s="5">
        <v>0</v>
      </c>
      <c r="M1390" s="6">
        <v>0</v>
      </c>
      <c r="N1390" s="7">
        <v>0</v>
      </c>
      <c r="O1390" t="s">
        <v>23</v>
      </c>
      <c r="P1390" s="3" t="s">
        <v>23</v>
      </c>
      <c r="Q1390" s="8" t="s">
        <v>23</v>
      </c>
    </row>
    <row r="1391" spans="1:17" hidden="1" x14ac:dyDescent="0.55000000000000004">
      <c r="A1391" s="3" t="s">
        <v>1761</v>
      </c>
      <c r="B1391" s="3" t="s">
        <v>1807</v>
      </c>
      <c r="C1391" t="s">
        <v>1807</v>
      </c>
      <c r="D1391" s="3" t="s">
        <v>7312</v>
      </c>
      <c r="E1391" t="s">
        <v>1829</v>
      </c>
      <c r="F1391" s="3" t="s">
        <v>1830</v>
      </c>
      <c r="G1391" t="s">
        <v>24</v>
      </c>
      <c r="H1391" s="3" t="s">
        <v>1814</v>
      </c>
      <c r="I1391" t="s">
        <v>26</v>
      </c>
      <c r="J1391" s="3" t="s">
        <v>1815</v>
      </c>
      <c r="K1391" s="4">
        <v>502</v>
      </c>
      <c r="L1391" s="5">
        <v>22.82</v>
      </c>
      <c r="M1391" s="6">
        <v>0</v>
      </c>
      <c r="N1391" s="7">
        <v>0</v>
      </c>
      <c r="O1391" t="s">
        <v>1816</v>
      </c>
      <c r="P1391" s="3" t="s">
        <v>76</v>
      </c>
      <c r="Q1391" s="8">
        <v>0.17749999999999999</v>
      </c>
    </row>
    <row r="1392" spans="1:17" hidden="1" x14ac:dyDescent="0.55000000000000004">
      <c r="A1392" s="3" t="s">
        <v>1761</v>
      </c>
      <c r="B1392" s="3" t="s">
        <v>1807</v>
      </c>
      <c r="C1392" t="s">
        <v>1807</v>
      </c>
      <c r="D1392" s="3" t="s">
        <v>7312</v>
      </c>
      <c r="E1392" t="s">
        <v>1829</v>
      </c>
      <c r="F1392" s="3" t="s">
        <v>1830</v>
      </c>
      <c r="G1392" t="s">
        <v>24</v>
      </c>
      <c r="H1392" s="3" t="s">
        <v>1817</v>
      </c>
      <c r="I1392" t="s">
        <v>218</v>
      </c>
      <c r="J1392" s="3" t="s">
        <v>1815</v>
      </c>
      <c r="K1392" s="4">
        <v>53</v>
      </c>
      <c r="L1392" s="5">
        <v>2.42</v>
      </c>
      <c r="M1392" s="6">
        <v>0</v>
      </c>
      <c r="N1392" s="7">
        <v>0</v>
      </c>
      <c r="O1392" t="s">
        <v>1818</v>
      </c>
      <c r="P1392" s="3" t="s">
        <v>23</v>
      </c>
      <c r="Q1392" s="8" t="s">
        <v>23</v>
      </c>
    </row>
    <row r="1393" spans="1:17" hidden="1" x14ac:dyDescent="0.55000000000000004">
      <c r="A1393" s="3" t="s">
        <v>1761</v>
      </c>
      <c r="B1393" s="3" t="s">
        <v>1807</v>
      </c>
      <c r="C1393" t="s">
        <v>1807</v>
      </c>
      <c r="D1393" s="3" t="s">
        <v>7312</v>
      </c>
      <c r="E1393" t="s">
        <v>1829</v>
      </c>
      <c r="F1393" s="3" t="s">
        <v>1830</v>
      </c>
      <c r="G1393" t="s">
        <v>24</v>
      </c>
      <c r="H1393" s="3" t="s">
        <v>1533</v>
      </c>
      <c r="I1393" t="s">
        <v>317</v>
      </c>
      <c r="J1393" s="3" t="s">
        <v>218</v>
      </c>
      <c r="K1393" s="4">
        <v>395</v>
      </c>
      <c r="L1393" s="5">
        <v>0</v>
      </c>
      <c r="M1393" s="6">
        <v>0</v>
      </c>
      <c r="N1393" s="7">
        <v>0</v>
      </c>
      <c r="O1393" t="s">
        <v>23</v>
      </c>
      <c r="P1393" s="3" t="s">
        <v>23</v>
      </c>
      <c r="Q1393" s="8" t="s">
        <v>23</v>
      </c>
    </row>
    <row r="1394" spans="1:17" hidden="1" x14ac:dyDescent="0.55000000000000004">
      <c r="A1394" s="3" t="s">
        <v>1761</v>
      </c>
      <c r="B1394" s="3" t="s">
        <v>1807</v>
      </c>
      <c r="C1394" t="s">
        <v>1807</v>
      </c>
      <c r="D1394" s="3" t="s">
        <v>7312</v>
      </c>
      <c r="E1394" t="s">
        <v>1829</v>
      </c>
      <c r="F1394" s="3" t="s">
        <v>1830</v>
      </c>
      <c r="G1394" t="s">
        <v>24</v>
      </c>
      <c r="H1394" s="3" t="s">
        <v>1534</v>
      </c>
      <c r="I1394" t="s">
        <v>313</v>
      </c>
      <c r="J1394" s="3" t="s">
        <v>218</v>
      </c>
      <c r="K1394" s="4">
        <v>368</v>
      </c>
      <c r="L1394" s="5">
        <v>0</v>
      </c>
      <c r="M1394" s="6">
        <v>0</v>
      </c>
      <c r="N1394" s="7">
        <v>0</v>
      </c>
      <c r="O1394" t="s">
        <v>23</v>
      </c>
      <c r="P1394" s="3" t="s">
        <v>23</v>
      </c>
      <c r="Q1394" s="8" t="s">
        <v>23</v>
      </c>
    </row>
    <row r="1395" spans="1:17" hidden="1" x14ac:dyDescent="0.55000000000000004">
      <c r="A1395" s="3" t="s">
        <v>1761</v>
      </c>
      <c r="B1395" s="3" t="s">
        <v>1807</v>
      </c>
      <c r="C1395" t="s">
        <v>1807</v>
      </c>
      <c r="D1395" s="3" t="s">
        <v>7312</v>
      </c>
      <c r="E1395" t="s">
        <v>1829</v>
      </c>
      <c r="F1395" s="3" t="s">
        <v>1830</v>
      </c>
      <c r="G1395" t="s">
        <v>24</v>
      </c>
      <c r="H1395" s="3" t="s">
        <v>1535</v>
      </c>
      <c r="I1395" t="s">
        <v>315</v>
      </c>
      <c r="J1395" s="3" t="s">
        <v>218</v>
      </c>
      <c r="K1395" s="4">
        <v>600</v>
      </c>
      <c r="L1395" s="5">
        <v>0</v>
      </c>
      <c r="M1395" s="6">
        <v>0</v>
      </c>
      <c r="N1395" s="7">
        <v>0</v>
      </c>
      <c r="O1395" t="s">
        <v>23</v>
      </c>
      <c r="P1395" s="3" t="s">
        <v>23</v>
      </c>
      <c r="Q1395" s="8" t="s">
        <v>23</v>
      </c>
    </row>
    <row r="1396" spans="1:17" hidden="1" x14ac:dyDescent="0.55000000000000004">
      <c r="A1396" s="3" t="s">
        <v>1761</v>
      </c>
      <c r="B1396" s="3" t="s">
        <v>1807</v>
      </c>
      <c r="C1396" t="s">
        <v>1807</v>
      </c>
      <c r="D1396" s="3" t="s">
        <v>7312</v>
      </c>
      <c r="E1396" t="s">
        <v>1829</v>
      </c>
      <c r="F1396" s="3" t="s">
        <v>1830</v>
      </c>
      <c r="G1396" t="s">
        <v>24</v>
      </c>
      <c r="H1396" s="3" t="s">
        <v>1536</v>
      </c>
      <c r="I1396" t="s">
        <v>309</v>
      </c>
      <c r="J1396" s="3" t="s">
        <v>218</v>
      </c>
      <c r="K1396" s="4">
        <v>216</v>
      </c>
      <c r="L1396" s="5">
        <v>0</v>
      </c>
      <c r="M1396" s="6">
        <v>0</v>
      </c>
      <c r="N1396" s="7">
        <v>0</v>
      </c>
      <c r="O1396" t="s">
        <v>23</v>
      </c>
      <c r="P1396" s="3" t="s">
        <v>23</v>
      </c>
      <c r="Q1396" s="8" t="s">
        <v>23</v>
      </c>
    </row>
    <row r="1397" spans="1:17" hidden="1" x14ac:dyDescent="0.55000000000000004">
      <c r="A1397" s="3" t="s">
        <v>1761</v>
      </c>
      <c r="B1397" s="3" t="s">
        <v>1807</v>
      </c>
      <c r="C1397" t="s">
        <v>1807</v>
      </c>
      <c r="D1397" s="3" t="s">
        <v>7312</v>
      </c>
      <c r="E1397" t="s">
        <v>1829</v>
      </c>
      <c r="F1397" s="3" t="s">
        <v>1830</v>
      </c>
      <c r="G1397" t="s">
        <v>24</v>
      </c>
      <c r="H1397" s="3" t="s">
        <v>23</v>
      </c>
      <c r="I1397" t="s">
        <v>67</v>
      </c>
      <c r="J1397" s="3" t="s">
        <v>37</v>
      </c>
      <c r="K1397" s="4" t="s">
        <v>23</v>
      </c>
      <c r="L1397" s="5" t="s">
        <v>23</v>
      </c>
      <c r="M1397" s="6">
        <v>0</v>
      </c>
      <c r="N1397" s="7">
        <v>0</v>
      </c>
      <c r="O1397" t="s">
        <v>23</v>
      </c>
      <c r="P1397" s="3" t="s">
        <v>23</v>
      </c>
      <c r="Q1397" s="8" t="s">
        <v>23</v>
      </c>
    </row>
    <row r="1398" spans="1:17" hidden="1" x14ac:dyDescent="0.55000000000000004">
      <c r="A1398" s="3" t="s">
        <v>1761</v>
      </c>
      <c r="B1398" s="3" t="s">
        <v>1807</v>
      </c>
      <c r="C1398" t="s">
        <v>1807</v>
      </c>
      <c r="D1398" s="3" t="s">
        <v>7312</v>
      </c>
      <c r="E1398" t="s">
        <v>1829</v>
      </c>
      <c r="F1398" s="3" t="s">
        <v>1830</v>
      </c>
      <c r="G1398" t="s">
        <v>24</v>
      </c>
      <c r="H1398" s="3" t="s">
        <v>23</v>
      </c>
      <c r="I1398" t="s">
        <v>67</v>
      </c>
      <c r="J1398" s="3" t="s">
        <v>48</v>
      </c>
      <c r="K1398" s="4" t="s">
        <v>23</v>
      </c>
      <c r="L1398" s="5" t="s">
        <v>23</v>
      </c>
      <c r="M1398" s="6">
        <v>0</v>
      </c>
      <c r="N1398" s="7">
        <v>0</v>
      </c>
      <c r="O1398" t="s">
        <v>23</v>
      </c>
      <c r="P1398" s="3" t="s">
        <v>23</v>
      </c>
      <c r="Q1398" s="8" t="s">
        <v>23</v>
      </c>
    </row>
    <row r="1399" spans="1:17" hidden="1" x14ac:dyDescent="0.55000000000000004">
      <c r="A1399" s="3" t="s">
        <v>1761</v>
      </c>
      <c r="B1399" s="3" t="s">
        <v>1831</v>
      </c>
      <c r="C1399" t="s">
        <v>1831</v>
      </c>
      <c r="D1399" s="3" t="s">
        <v>7312</v>
      </c>
      <c r="E1399" t="s">
        <v>1832</v>
      </c>
      <c r="F1399" s="3" t="s">
        <v>1833</v>
      </c>
      <c r="G1399" t="s">
        <v>19</v>
      </c>
      <c r="H1399" s="3" t="s">
        <v>1834</v>
      </c>
      <c r="I1399" t="s">
        <v>1767</v>
      </c>
      <c r="J1399" s="3" t="s">
        <v>1835</v>
      </c>
      <c r="K1399" s="4">
        <v>124</v>
      </c>
      <c r="L1399" s="5">
        <v>26.98</v>
      </c>
      <c r="M1399" s="6">
        <v>1</v>
      </c>
      <c r="N1399" s="7">
        <v>0</v>
      </c>
      <c r="O1399" t="s">
        <v>1836</v>
      </c>
      <c r="P1399" s="3" t="s">
        <v>1770</v>
      </c>
      <c r="Q1399" s="8">
        <v>5.2879000000000002E-2</v>
      </c>
    </row>
    <row r="1400" spans="1:17" hidden="1" x14ac:dyDescent="0.55000000000000004">
      <c r="A1400" s="3" t="s">
        <v>1761</v>
      </c>
      <c r="B1400" s="3" t="s">
        <v>1831</v>
      </c>
      <c r="C1400" t="s">
        <v>1831</v>
      </c>
      <c r="D1400" s="3" t="s">
        <v>7312</v>
      </c>
      <c r="E1400" t="s">
        <v>1832</v>
      </c>
      <c r="F1400" s="3" t="s">
        <v>1833</v>
      </c>
      <c r="G1400" t="s">
        <v>19</v>
      </c>
      <c r="H1400" s="3" t="s">
        <v>23</v>
      </c>
      <c r="I1400" t="s">
        <v>67</v>
      </c>
      <c r="J1400" s="3" t="s">
        <v>1837</v>
      </c>
      <c r="K1400" s="4" t="s">
        <v>23</v>
      </c>
      <c r="L1400" s="5" t="s">
        <v>23</v>
      </c>
      <c r="M1400" s="6">
        <v>0</v>
      </c>
      <c r="N1400" s="7">
        <v>0</v>
      </c>
      <c r="O1400" t="s">
        <v>23</v>
      </c>
      <c r="P1400" s="3" t="s">
        <v>23</v>
      </c>
      <c r="Q1400" s="8" t="s">
        <v>23</v>
      </c>
    </row>
    <row r="1401" spans="1:17" hidden="1" x14ac:dyDescent="0.55000000000000004">
      <c r="A1401" s="3" t="s">
        <v>1761</v>
      </c>
      <c r="B1401" s="3" t="s">
        <v>1831</v>
      </c>
      <c r="C1401" t="s">
        <v>1831</v>
      </c>
      <c r="D1401" s="3" t="s">
        <v>7312</v>
      </c>
      <c r="E1401" t="s">
        <v>1832</v>
      </c>
      <c r="F1401" s="3" t="s">
        <v>1833</v>
      </c>
      <c r="G1401" t="s">
        <v>24</v>
      </c>
      <c r="H1401" s="3" t="s">
        <v>1838</v>
      </c>
      <c r="I1401" t="s">
        <v>48</v>
      </c>
      <c r="J1401" s="3" t="s">
        <v>1839</v>
      </c>
      <c r="K1401" s="4">
        <v>192</v>
      </c>
      <c r="L1401" s="5">
        <v>8.73</v>
      </c>
      <c r="M1401" s="6">
        <v>0</v>
      </c>
      <c r="N1401" s="7">
        <v>0</v>
      </c>
      <c r="O1401" t="s">
        <v>1840</v>
      </c>
      <c r="P1401" s="3" t="s">
        <v>23</v>
      </c>
      <c r="Q1401" s="8" t="s">
        <v>23</v>
      </c>
    </row>
    <row r="1402" spans="1:17" hidden="1" x14ac:dyDescent="0.55000000000000004">
      <c r="A1402" s="3" t="s">
        <v>1761</v>
      </c>
      <c r="B1402" s="3" t="s">
        <v>1831</v>
      </c>
      <c r="C1402" t="s">
        <v>1831</v>
      </c>
      <c r="D1402" s="3" t="s">
        <v>7312</v>
      </c>
      <c r="E1402" t="s">
        <v>1841</v>
      </c>
      <c r="F1402" s="3" t="s">
        <v>1842</v>
      </c>
      <c r="G1402" t="s">
        <v>19</v>
      </c>
      <c r="H1402" s="3" t="s">
        <v>1834</v>
      </c>
      <c r="I1402" t="s">
        <v>1767</v>
      </c>
      <c r="J1402" s="3" t="s">
        <v>1835</v>
      </c>
      <c r="K1402" s="4">
        <v>124</v>
      </c>
      <c r="L1402" s="5">
        <v>26.98</v>
      </c>
      <c r="M1402" s="6">
        <v>1</v>
      </c>
      <c r="N1402" s="7">
        <v>0</v>
      </c>
      <c r="O1402" t="s">
        <v>1836</v>
      </c>
      <c r="P1402" s="3" t="s">
        <v>1770</v>
      </c>
      <c r="Q1402" s="8">
        <v>5.2879000000000002E-2</v>
      </c>
    </row>
    <row r="1403" spans="1:17" hidden="1" x14ac:dyDescent="0.55000000000000004">
      <c r="A1403" s="3" t="s">
        <v>1761</v>
      </c>
      <c r="B1403" s="3" t="s">
        <v>1831</v>
      </c>
      <c r="C1403" t="s">
        <v>1831</v>
      </c>
      <c r="D1403" s="3" t="s">
        <v>7312</v>
      </c>
      <c r="E1403" t="s">
        <v>1841</v>
      </c>
      <c r="F1403" s="3" t="s">
        <v>1842</v>
      </c>
      <c r="G1403" t="s">
        <v>19</v>
      </c>
      <c r="H1403" s="3" t="s">
        <v>23</v>
      </c>
      <c r="I1403" t="s">
        <v>67</v>
      </c>
      <c r="J1403" s="3" t="s">
        <v>1837</v>
      </c>
      <c r="K1403" s="4" t="s">
        <v>23</v>
      </c>
      <c r="L1403" s="5" t="s">
        <v>23</v>
      </c>
      <c r="M1403" s="6">
        <v>0</v>
      </c>
      <c r="N1403" s="7">
        <v>0</v>
      </c>
      <c r="O1403" t="s">
        <v>23</v>
      </c>
      <c r="P1403" s="3" t="s">
        <v>23</v>
      </c>
      <c r="Q1403" s="8" t="s">
        <v>23</v>
      </c>
    </row>
    <row r="1404" spans="1:17" hidden="1" x14ac:dyDescent="0.55000000000000004">
      <c r="A1404" s="3" t="s">
        <v>1761</v>
      </c>
      <c r="B1404" s="3" t="s">
        <v>1831</v>
      </c>
      <c r="C1404" t="s">
        <v>1831</v>
      </c>
      <c r="D1404" s="3" t="s">
        <v>7312</v>
      </c>
      <c r="E1404" t="s">
        <v>1841</v>
      </c>
      <c r="F1404" s="3" t="s">
        <v>1842</v>
      </c>
      <c r="G1404" t="s">
        <v>24</v>
      </c>
      <c r="H1404" s="3" t="s">
        <v>1838</v>
      </c>
      <c r="I1404" t="s">
        <v>48</v>
      </c>
      <c r="J1404" s="3" t="s">
        <v>1839</v>
      </c>
      <c r="K1404" s="4">
        <v>192</v>
      </c>
      <c r="L1404" s="5">
        <v>8.73</v>
      </c>
      <c r="M1404" s="6">
        <v>0</v>
      </c>
      <c r="N1404" s="7">
        <v>0</v>
      </c>
      <c r="O1404" t="s">
        <v>1840</v>
      </c>
      <c r="P1404" s="3" t="s">
        <v>23</v>
      </c>
      <c r="Q1404" s="8" t="s">
        <v>23</v>
      </c>
    </row>
    <row r="1405" spans="1:17" hidden="1" x14ac:dyDescent="0.55000000000000004">
      <c r="A1405" s="3" t="s">
        <v>1761</v>
      </c>
      <c r="B1405" s="3" t="s">
        <v>1831</v>
      </c>
      <c r="C1405" t="s">
        <v>1831</v>
      </c>
      <c r="D1405" s="3" t="s">
        <v>7312</v>
      </c>
      <c r="E1405" t="s">
        <v>1843</v>
      </c>
      <c r="F1405" s="3" t="s">
        <v>1844</v>
      </c>
      <c r="G1405" t="s">
        <v>19</v>
      </c>
      <c r="H1405" s="3" t="s">
        <v>1834</v>
      </c>
      <c r="I1405" t="s">
        <v>1767</v>
      </c>
      <c r="J1405" s="3" t="s">
        <v>1835</v>
      </c>
      <c r="K1405" s="4">
        <v>124</v>
      </c>
      <c r="L1405" s="5">
        <v>26.98</v>
      </c>
      <c r="M1405" s="6">
        <v>1</v>
      </c>
      <c r="N1405" s="7">
        <v>0</v>
      </c>
      <c r="O1405" t="s">
        <v>1836</v>
      </c>
      <c r="P1405" s="3" t="s">
        <v>1770</v>
      </c>
      <c r="Q1405" s="8">
        <v>5.2879000000000002E-2</v>
      </c>
    </row>
    <row r="1406" spans="1:17" hidden="1" x14ac:dyDescent="0.55000000000000004">
      <c r="A1406" s="3" t="s">
        <v>1761</v>
      </c>
      <c r="B1406" s="3" t="s">
        <v>1831</v>
      </c>
      <c r="C1406" t="s">
        <v>1831</v>
      </c>
      <c r="D1406" s="3" t="s">
        <v>7312</v>
      </c>
      <c r="E1406" t="s">
        <v>1843</v>
      </c>
      <c r="F1406" s="3" t="s">
        <v>1844</v>
      </c>
      <c r="G1406" t="s">
        <v>19</v>
      </c>
      <c r="H1406" s="3" t="s">
        <v>23</v>
      </c>
      <c r="I1406" t="s">
        <v>67</v>
      </c>
      <c r="J1406" s="3" t="s">
        <v>1837</v>
      </c>
      <c r="K1406" s="4" t="s">
        <v>23</v>
      </c>
      <c r="L1406" s="5" t="s">
        <v>23</v>
      </c>
      <c r="M1406" s="6">
        <v>0</v>
      </c>
      <c r="N1406" s="7">
        <v>0</v>
      </c>
      <c r="O1406" t="s">
        <v>23</v>
      </c>
      <c r="P1406" s="3" t="s">
        <v>23</v>
      </c>
      <c r="Q1406" s="8" t="s">
        <v>23</v>
      </c>
    </row>
    <row r="1407" spans="1:17" hidden="1" x14ac:dyDescent="0.55000000000000004">
      <c r="A1407" s="3" t="s">
        <v>1761</v>
      </c>
      <c r="B1407" s="3" t="s">
        <v>1831</v>
      </c>
      <c r="C1407" t="s">
        <v>1831</v>
      </c>
      <c r="D1407" s="3" t="s">
        <v>7312</v>
      </c>
      <c r="E1407" t="s">
        <v>1843</v>
      </c>
      <c r="F1407" s="3" t="s">
        <v>1844</v>
      </c>
      <c r="G1407" t="s">
        <v>24</v>
      </c>
      <c r="H1407" s="3" t="s">
        <v>1838</v>
      </c>
      <c r="I1407" t="s">
        <v>48</v>
      </c>
      <c r="J1407" s="3" t="s">
        <v>1839</v>
      </c>
      <c r="K1407" s="4">
        <v>192</v>
      </c>
      <c r="L1407" s="5">
        <v>8.73</v>
      </c>
      <c r="M1407" s="6">
        <v>0</v>
      </c>
      <c r="N1407" s="7">
        <v>0</v>
      </c>
      <c r="O1407" t="s">
        <v>1840</v>
      </c>
      <c r="P1407" s="3" t="s">
        <v>23</v>
      </c>
      <c r="Q1407" s="8" t="s">
        <v>23</v>
      </c>
    </row>
    <row r="1408" spans="1:17" hidden="1" x14ac:dyDescent="0.55000000000000004">
      <c r="A1408" s="3" t="s">
        <v>1761</v>
      </c>
      <c r="B1408" s="3" t="s">
        <v>1831</v>
      </c>
      <c r="C1408" t="s">
        <v>1831</v>
      </c>
      <c r="D1408" s="3" t="s">
        <v>7312</v>
      </c>
      <c r="E1408" t="s">
        <v>1845</v>
      </c>
      <c r="F1408" s="3" t="s">
        <v>1846</v>
      </c>
      <c r="G1408" t="s">
        <v>19</v>
      </c>
      <c r="H1408" s="3" t="s">
        <v>1834</v>
      </c>
      <c r="I1408" t="s">
        <v>1767</v>
      </c>
      <c r="J1408" s="3" t="s">
        <v>1835</v>
      </c>
      <c r="K1408" s="4">
        <v>124</v>
      </c>
      <c r="L1408" s="5">
        <v>26.98</v>
      </c>
      <c r="M1408" s="6">
        <v>1</v>
      </c>
      <c r="N1408" s="7">
        <v>1</v>
      </c>
      <c r="O1408" t="s">
        <v>1836</v>
      </c>
      <c r="P1408" s="3" t="s">
        <v>1770</v>
      </c>
      <c r="Q1408" s="8">
        <v>5.2879000000000002E-2</v>
      </c>
    </row>
    <row r="1409" spans="1:17" hidden="1" x14ac:dyDescent="0.55000000000000004">
      <c r="A1409" s="3" t="s">
        <v>1761</v>
      </c>
      <c r="B1409" s="3" t="s">
        <v>1831</v>
      </c>
      <c r="C1409" t="s">
        <v>1831</v>
      </c>
      <c r="D1409" s="3" t="s">
        <v>7312</v>
      </c>
      <c r="E1409" t="s">
        <v>1845</v>
      </c>
      <c r="F1409" s="3" t="s">
        <v>1846</v>
      </c>
      <c r="G1409" t="s">
        <v>19</v>
      </c>
      <c r="H1409" s="3" t="s">
        <v>23</v>
      </c>
      <c r="I1409" t="s">
        <v>67</v>
      </c>
      <c r="J1409" s="3" t="s">
        <v>1837</v>
      </c>
      <c r="K1409" s="4" t="s">
        <v>23</v>
      </c>
      <c r="L1409" s="5" t="s">
        <v>23</v>
      </c>
      <c r="M1409" s="6">
        <v>0</v>
      </c>
      <c r="N1409" s="7">
        <v>1</v>
      </c>
      <c r="O1409" t="s">
        <v>23</v>
      </c>
      <c r="P1409" s="3" t="s">
        <v>23</v>
      </c>
      <c r="Q1409" s="8" t="s">
        <v>23</v>
      </c>
    </row>
    <row r="1410" spans="1:17" hidden="1" x14ac:dyDescent="0.55000000000000004">
      <c r="A1410" s="3" t="s">
        <v>1761</v>
      </c>
      <c r="B1410" s="3" t="s">
        <v>1831</v>
      </c>
      <c r="C1410" t="s">
        <v>1831</v>
      </c>
      <c r="D1410" s="3" t="s">
        <v>7312</v>
      </c>
      <c r="E1410" t="s">
        <v>1845</v>
      </c>
      <c r="F1410" s="3" t="s">
        <v>1846</v>
      </c>
      <c r="G1410" t="s">
        <v>24</v>
      </c>
      <c r="H1410" s="3" t="s">
        <v>1838</v>
      </c>
      <c r="I1410" t="s">
        <v>48</v>
      </c>
      <c r="J1410" s="3" t="s">
        <v>1839</v>
      </c>
      <c r="K1410" s="4">
        <v>192</v>
      </c>
      <c r="L1410" s="5">
        <v>8.73</v>
      </c>
      <c r="M1410" s="6">
        <v>0</v>
      </c>
      <c r="N1410" s="7">
        <v>1</v>
      </c>
      <c r="O1410" t="s">
        <v>1840</v>
      </c>
      <c r="P1410" s="3" t="s">
        <v>23</v>
      </c>
      <c r="Q1410" s="8" t="s">
        <v>23</v>
      </c>
    </row>
    <row r="1411" spans="1:17" hidden="1" x14ac:dyDescent="0.55000000000000004">
      <c r="A1411" s="3" t="s">
        <v>1761</v>
      </c>
      <c r="B1411" s="3" t="s">
        <v>1763</v>
      </c>
      <c r="C1411" t="s">
        <v>1763</v>
      </c>
      <c r="D1411" s="3" t="s">
        <v>7312</v>
      </c>
      <c r="E1411" t="s">
        <v>1847</v>
      </c>
      <c r="F1411" s="3" t="s">
        <v>1848</v>
      </c>
      <c r="G1411" t="s">
        <v>19</v>
      </c>
      <c r="H1411" s="3" t="s">
        <v>1849</v>
      </c>
      <c r="I1411" t="s">
        <v>1850</v>
      </c>
      <c r="J1411" s="3" t="s">
        <v>1851</v>
      </c>
      <c r="K1411" s="4">
        <v>152</v>
      </c>
      <c r="L1411" s="5">
        <v>33.090000000000003</v>
      </c>
      <c r="M1411" s="6">
        <v>1</v>
      </c>
      <c r="N1411" s="7">
        <v>1</v>
      </c>
      <c r="O1411" t="s">
        <v>1852</v>
      </c>
      <c r="P1411" s="3" t="s">
        <v>1853</v>
      </c>
      <c r="Q1411" s="8">
        <v>7.0113999999999996E-2</v>
      </c>
    </row>
    <row r="1412" spans="1:17" hidden="1" x14ac:dyDescent="0.55000000000000004">
      <c r="A1412" s="3" t="s">
        <v>1761</v>
      </c>
      <c r="B1412" s="3" t="s">
        <v>1763</v>
      </c>
      <c r="C1412" t="s">
        <v>1763</v>
      </c>
      <c r="D1412" s="3" t="s">
        <v>7312</v>
      </c>
      <c r="E1412" t="s">
        <v>1847</v>
      </c>
      <c r="F1412" s="3" t="s">
        <v>1848</v>
      </c>
      <c r="G1412" t="s">
        <v>24</v>
      </c>
      <c r="H1412" s="3" t="s">
        <v>1774</v>
      </c>
      <c r="I1412" t="s">
        <v>37</v>
      </c>
      <c r="J1412" s="3" t="s">
        <v>105</v>
      </c>
      <c r="K1412" s="4">
        <v>247</v>
      </c>
      <c r="L1412" s="5">
        <v>11.23</v>
      </c>
      <c r="M1412" s="6">
        <v>0</v>
      </c>
      <c r="N1412" s="7">
        <v>1</v>
      </c>
      <c r="O1412" t="s">
        <v>1775</v>
      </c>
      <c r="P1412" s="3" t="s">
        <v>40</v>
      </c>
      <c r="Q1412" s="8">
        <v>0.180509</v>
      </c>
    </row>
    <row r="1413" spans="1:17" hidden="1" x14ac:dyDescent="0.55000000000000004">
      <c r="A1413" s="3" t="s">
        <v>1761</v>
      </c>
      <c r="B1413" s="3" t="s">
        <v>7344</v>
      </c>
      <c r="C1413" t="s">
        <v>1763</v>
      </c>
      <c r="D1413" s="3" t="s">
        <v>7312</v>
      </c>
      <c r="E1413" t="s">
        <v>1854</v>
      </c>
      <c r="F1413" s="3" t="s">
        <v>1855</v>
      </c>
      <c r="G1413" t="s">
        <v>19</v>
      </c>
      <c r="H1413" s="3" t="s">
        <v>1856</v>
      </c>
      <c r="I1413" t="s">
        <v>246</v>
      </c>
      <c r="J1413" s="3" t="s">
        <v>1857</v>
      </c>
      <c r="K1413" s="4">
        <v>1024</v>
      </c>
      <c r="L1413" s="5">
        <v>222.67</v>
      </c>
      <c r="M1413" s="6">
        <v>1</v>
      </c>
      <c r="N1413" s="7">
        <v>0</v>
      </c>
      <c r="O1413" t="s">
        <v>1858</v>
      </c>
      <c r="P1413" s="3" t="s">
        <v>249</v>
      </c>
      <c r="Q1413" s="8">
        <v>9.9498000000000003E-2</v>
      </c>
    </row>
    <row r="1414" spans="1:17" hidden="1" x14ac:dyDescent="0.55000000000000004">
      <c r="A1414" s="3" t="s">
        <v>1761</v>
      </c>
      <c r="B1414" s="3" t="s">
        <v>7344</v>
      </c>
      <c r="C1414" t="s">
        <v>1763</v>
      </c>
      <c r="D1414" s="3" t="s">
        <v>7312</v>
      </c>
      <c r="E1414" t="s">
        <v>1854</v>
      </c>
      <c r="F1414" s="3" t="s">
        <v>1855</v>
      </c>
      <c r="G1414" t="s">
        <v>24</v>
      </c>
      <c r="H1414" s="3" t="s">
        <v>1774</v>
      </c>
      <c r="I1414" t="s">
        <v>37</v>
      </c>
      <c r="J1414" s="3" t="s">
        <v>105</v>
      </c>
      <c r="K1414" s="4">
        <v>247</v>
      </c>
      <c r="L1414" s="5">
        <v>11.23</v>
      </c>
      <c r="M1414" s="6">
        <v>0</v>
      </c>
      <c r="N1414" s="7">
        <v>0</v>
      </c>
      <c r="O1414" t="s">
        <v>1775</v>
      </c>
      <c r="P1414" s="3" t="s">
        <v>40</v>
      </c>
      <c r="Q1414" s="8">
        <v>0.180509</v>
      </c>
    </row>
    <row r="1415" spans="1:17" hidden="1" x14ac:dyDescent="0.55000000000000004">
      <c r="A1415" s="3" t="s">
        <v>1761</v>
      </c>
      <c r="B1415" s="3" t="s">
        <v>1859</v>
      </c>
      <c r="C1415" t="s">
        <v>1763</v>
      </c>
      <c r="D1415" s="3" t="s">
        <v>7312</v>
      </c>
      <c r="E1415" t="s">
        <v>1860</v>
      </c>
      <c r="F1415" s="3" t="s">
        <v>1861</v>
      </c>
      <c r="G1415" t="s">
        <v>24</v>
      </c>
      <c r="H1415" s="3" t="s">
        <v>1774</v>
      </c>
      <c r="I1415" t="s">
        <v>37</v>
      </c>
      <c r="J1415" s="3" t="s">
        <v>105</v>
      </c>
      <c r="K1415" s="4">
        <v>247</v>
      </c>
      <c r="L1415" s="5">
        <v>11.23</v>
      </c>
      <c r="M1415" s="6">
        <v>0</v>
      </c>
      <c r="N1415" s="7">
        <v>0</v>
      </c>
      <c r="O1415" t="s">
        <v>1775</v>
      </c>
      <c r="P1415" s="3" t="s">
        <v>40</v>
      </c>
      <c r="Q1415" s="8">
        <v>0.180509</v>
      </c>
    </row>
    <row r="1416" spans="1:17" hidden="1" x14ac:dyDescent="0.55000000000000004">
      <c r="A1416" s="3" t="s">
        <v>1761</v>
      </c>
      <c r="B1416" s="3" t="s">
        <v>1859</v>
      </c>
      <c r="C1416" t="s">
        <v>1763</v>
      </c>
      <c r="D1416" s="3" t="s">
        <v>7312</v>
      </c>
      <c r="E1416" t="s">
        <v>1860</v>
      </c>
      <c r="F1416" s="3" t="s">
        <v>1861</v>
      </c>
      <c r="G1416" t="s">
        <v>24</v>
      </c>
      <c r="H1416" s="3" t="s">
        <v>1862</v>
      </c>
      <c r="I1416" t="s">
        <v>37</v>
      </c>
      <c r="J1416" s="3" t="s">
        <v>1863</v>
      </c>
      <c r="K1416" s="4">
        <v>223</v>
      </c>
      <c r="L1416" s="5">
        <v>10.14</v>
      </c>
      <c r="M1416" s="6">
        <v>0</v>
      </c>
      <c r="N1416" s="7">
        <v>0</v>
      </c>
      <c r="O1416" t="s">
        <v>1864</v>
      </c>
      <c r="P1416" s="3" t="s">
        <v>40</v>
      </c>
      <c r="Q1416" s="8">
        <v>0.18026900000000001</v>
      </c>
    </row>
    <row r="1417" spans="1:17" hidden="1" x14ac:dyDescent="0.55000000000000004">
      <c r="A1417" s="3" t="s">
        <v>1761</v>
      </c>
      <c r="B1417" s="3" t="s">
        <v>1865</v>
      </c>
      <c r="C1417" t="s">
        <v>1786</v>
      </c>
      <c r="D1417" s="3" t="s">
        <v>7312</v>
      </c>
      <c r="E1417" t="s">
        <v>1866</v>
      </c>
      <c r="F1417" s="3" t="s">
        <v>1867</v>
      </c>
      <c r="G1417" t="s">
        <v>24</v>
      </c>
      <c r="H1417" s="3" t="s">
        <v>1868</v>
      </c>
      <c r="I1417" t="s">
        <v>37</v>
      </c>
      <c r="J1417" s="3" t="s">
        <v>1869</v>
      </c>
      <c r="K1417" s="4">
        <v>390</v>
      </c>
      <c r="L1417" s="5">
        <v>17.73</v>
      </c>
      <c r="M1417" s="6">
        <v>1</v>
      </c>
      <c r="N1417" s="7">
        <v>0</v>
      </c>
      <c r="O1417" t="s">
        <v>1870</v>
      </c>
      <c r="P1417" s="3" t="s">
        <v>40</v>
      </c>
      <c r="Q1417" s="8">
        <v>0.18193599999999999</v>
      </c>
    </row>
    <row r="1418" spans="1:17" hidden="1" x14ac:dyDescent="0.55000000000000004">
      <c r="A1418" s="3" t="s">
        <v>1761</v>
      </c>
      <c r="B1418" s="3" t="s">
        <v>1865</v>
      </c>
      <c r="C1418" t="s">
        <v>1786</v>
      </c>
      <c r="D1418" s="3" t="s">
        <v>7312</v>
      </c>
      <c r="E1418" t="s">
        <v>1866</v>
      </c>
      <c r="F1418" s="3" t="s">
        <v>1867</v>
      </c>
      <c r="G1418" t="s">
        <v>24</v>
      </c>
      <c r="H1418" s="3" t="s">
        <v>23</v>
      </c>
      <c r="I1418" t="s">
        <v>67</v>
      </c>
      <c r="J1418" s="3" t="s">
        <v>1792</v>
      </c>
      <c r="K1418" s="4" t="s">
        <v>23</v>
      </c>
      <c r="L1418" s="5" t="s">
        <v>23</v>
      </c>
      <c r="M1418" s="6">
        <v>0</v>
      </c>
      <c r="N1418" s="7">
        <v>0</v>
      </c>
      <c r="O1418" t="s">
        <v>23</v>
      </c>
      <c r="P1418" s="3" t="s">
        <v>23</v>
      </c>
      <c r="Q1418" s="8" t="s">
        <v>23</v>
      </c>
    </row>
    <row r="1419" spans="1:17" hidden="1" x14ac:dyDescent="0.55000000000000004">
      <c r="A1419" s="3" t="s">
        <v>1761</v>
      </c>
      <c r="B1419" s="3" t="s">
        <v>1865</v>
      </c>
      <c r="C1419" t="s">
        <v>1786</v>
      </c>
      <c r="D1419" s="3" t="s">
        <v>7312</v>
      </c>
      <c r="E1419" t="s">
        <v>1871</v>
      </c>
      <c r="F1419" s="3" t="s">
        <v>1872</v>
      </c>
      <c r="G1419" t="s">
        <v>24</v>
      </c>
      <c r="H1419" s="3" t="s">
        <v>1868</v>
      </c>
      <c r="I1419" t="s">
        <v>37</v>
      </c>
      <c r="J1419" s="3" t="s">
        <v>1869</v>
      </c>
      <c r="K1419" s="4">
        <v>390</v>
      </c>
      <c r="L1419" s="5">
        <v>17.73</v>
      </c>
      <c r="M1419" s="6">
        <v>1</v>
      </c>
      <c r="N1419" s="7">
        <v>0</v>
      </c>
      <c r="O1419" t="s">
        <v>1870</v>
      </c>
      <c r="P1419" s="3" t="s">
        <v>40</v>
      </c>
      <c r="Q1419" s="8">
        <v>0.18193599999999999</v>
      </c>
    </row>
    <row r="1420" spans="1:17" hidden="1" x14ac:dyDescent="0.55000000000000004">
      <c r="A1420" s="3" t="s">
        <v>1761</v>
      </c>
      <c r="B1420" s="3" t="s">
        <v>1865</v>
      </c>
      <c r="C1420" t="s">
        <v>1786</v>
      </c>
      <c r="D1420" s="3" t="s">
        <v>7312</v>
      </c>
      <c r="E1420" t="s">
        <v>1871</v>
      </c>
      <c r="F1420" s="3" t="s">
        <v>1872</v>
      </c>
      <c r="G1420" t="s">
        <v>24</v>
      </c>
      <c r="H1420" s="3" t="s">
        <v>23</v>
      </c>
      <c r="I1420" t="s">
        <v>67</v>
      </c>
      <c r="J1420" s="3" t="s">
        <v>1792</v>
      </c>
      <c r="K1420" s="4" t="s">
        <v>23</v>
      </c>
      <c r="L1420" s="5" t="s">
        <v>23</v>
      </c>
      <c r="M1420" s="6">
        <v>0</v>
      </c>
      <c r="N1420" s="7">
        <v>0</v>
      </c>
      <c r="O1420" t="s">
        <v>23</v>
      </c>
      <c r="P1420" s="3" t="s">
        <v>23</v>
      </c>
      <c r="Q1420" s="8" t="s">
        <v>23</v>
      </c>
    </row>
    <row r="1421" spans="1:17" hidden="1" x14ac:dyDescent="0.55000000000000004">
      <c r="A1421" s="3" t="s">
        <v>1761</v>
      </c>
      <c r="B1421" s="3" t="s">
        <v>1873</v>
      </c>
      <c r="C1421" t="s">
        <v>1873</v>
      </c>
      <c r="D1421" s="3" t="s">
        <v>7312</v>
      </c>
      <c r="E1421" t="s">
        <v>1874</v>
      </c>
      <c r="F1421" s="3" t="s">
        <v>1875</v>
      </c>
      <c r="G1421" t="s">
        <v>24</v>
      </c>
      <c r="H1421" s="3" t="s">
        <v>1876</v>
      </c>
      <c r="I1421" t="s">
        <v>37</v>
      </c>
      <c r="J1421" s="3" t="s">
        <v>1877</v>
      </c>
      <c r="K1421" s="4">
        <v>247</v>
      </c>
      <c r="L1421" s="5">
        <v>11.23</v>
      </c>
      <c r="M1421" s="6">
        <v>0</v>
      </c>
      <c r="N1421" s="7">
        <v>0</v>
      </c>
      <c r="O1421" t="s">
        <v>1878</v>
      </c>
      <c r="P1421" s="3" t="s">
        <v>40</v>
      </c>
      <c r="Q1421" s="8">
        <v>0.180509</v>
      </c>
    </row>
    <row r="1422" spans="1:17" hidden="1" x14ac:dyDescent="0.55000000000000004">
      <c r="A1422" s="3" t="s">
        <v>1761</v>
      </c>
      <c r="B1422" s="3" t="s">
        <v>1873</v>
      </c>
      <c r="C1422" t="s">
        <v>1873</v>
      </c>
      <c r="D1422" s="3" t="s">
        <v>7312</v>
      </c>
      <c r="E1422" t="s">
        <v>1879</v>
      </c>
      <c r="F1422" s="3" t="s">
        <v>1880</v>
      </c>
      <c r="G1422" t="s">
        <v>19</v>
      </c>
      <c r="H1422" s="3" t="s">
        <v>1881</v>
      </c>
      <c r="I1422" t="s">
        <v>1540</v>
      </c>
      <c r="J1422" s="3" t="s">
        <v>1882</v>
      </c>
      <c r="K1422" s="4">
        <v>285</v>
      </c>
      <c r="L1422" s="5">
        <v>62.04</v>
      </c>
      <c r="M1422" s="6">
        <v>1</v>
      </c>
      <c r="N1422" s="7">
        <v>1</v>
      </c>
      <c r="O1422" t="s">
        <v>1883</v>
      </c>
      <c r="P1422" s="3" t="s">
        <v>1543</v>
      </c>
      <c r="Q1422" s="8">
        <v>3.7775999999999997E-2</v>
      </c>
    </row>
    <row r="1423" spans="1:17" hidden="1" x14ac:dyDescent="0.55000000000000004">
      <c r="A1423" s="3" t="s">
        <v>1761</v>
      </c>
      <c r="B1423" s="3" t="s">
        <v>1873</v>
      </c>
      <c r="C1423" t="s">
        <v>1873</v>
      </c>
      <c r="D1423" s="3" t="s">
        <v>7312</v>
      </c>
      <c r="E1423" t="s">
        <v>1879</v>
      </c>
      <c r="F1423" s="3" t="s">
        <v>1880</v>
      </c>
      <c r="G1423" t="s">
        <v>24</v>
      </c>
      <c r="H1423" s="3" t="s">
        <v>1876</v>
      </c>
      <c r="I1423" t="s">
        <v>37</v>
      </c>
      <c r="J1423" s="3" t="s">
        <v>1877</v>
      </c>
      <c r="K1423" s="4">
        <v>247</v>
      </c>
      <c r="L1423" s="5">
        <v>11.23</v>
      </c>
      <c r="M1423" s="6">
        <v>0</v>
      </c>
      <c r="N1423" s="7">
        <v>1</v>
      </c>
      <c r="O1423" t="s">
        <v>1878</v>
      </c>
      <c r="P1423" s="3" t="s">
        <v>40</v>
      </c>
      <c r="Q1423" s="8">
        <v>0.180509</v>
      </c>
    </row>
    <row r="1424" spans="1:17" hidden="1" x14ac:dyDescent="0.55000000000000004">
      <c r="A1424" s="3" t="s">
        <v>1761</v>
      </c>
      <c r="B1424" s="3" t="s">
        <v>1873</v>
      </c>
      <c r="C1424" t="s">
        <v>1873</v>
      </c>
      <c r="D1424" s="3" t="s">
        <v>7312</v>
      </c>
      <c r="E1424" t="s">
        <v>1879</v>
      </c>
      <c r="F1424" s="3" t="s">
        <v>1880</v>
      </c>
      <c r="G1424" t="s">
        <v>24</v>
      </c>
      <c r="H1424" s="3" t="s">
        <v>1884</v>
      </c>
      <c r="I1424" t="s">
        <v>48</v>
      </c>
      <c r="J1424" s="3" t="s">
        <v>1885</v>
      </c>
      <c r="K1424" s="4">
        <v>229</v>
      </c>
      <c r="L1424" s="5">
        <v>10.42</v>
      </c>
      <c r="M1424" s="6">
        <v>0</v>
      </c>
      <c r="N1424" s="7">
        <v>1</v>
      </c>
      <c r="O1424" t="s">
        <v>1886</v>
      </c>
      <c r="P1424" s="3" t="s">
        <v>23</v>
      </c>
      <c r="Q1424" s="8" t="s">
        <v>23</v>
      </c>
    </row>
    <row r="1425" spans="1:17" hidden="1" x14ac:dyDescent="0.55000000000000004">
      <c r="A1425" s="3" t="s">
        <v>1761</v>
      </c>
      <c r="B1425" s="3" t="s">
        <v>1887</v>
      </c>
      <c r="C1425" t="s">
        <v>1831</v>
      </c>
      <c r="D1425" s="3" t="s">
        <v>7312</v>
      </c>
      <c r="E1425" t="s">
        <v>1888</v>
      </c>
      <c r="F1425" s="3" t="s">
        <v>1889</v>
      </c>
      <c r="G1425" t="s">
        <v>24</v>
      </c>
      <c r="H1425" s="3" t="s">
        <v>1890</v>
      </c>
      <c r="I1425" t="s">
        <v>43</v>
      </c>
      <c r="J1425" s="3" t="s">
        <v>1891</v>
      </c>
      <c r="K1425" s="4">
        <v>256</v>
      </c>
      <c r="L1425" s="5">
        <v>11.62</v>
      </c>
      <c r="M1425" s="6">
        <v>0</v>
      </c>
      <c r="N1425" s="7">
        <v>0</v>
      </c>
      <c r="O1425" t="s">
        <v>1892</v>
      </c>
      <c r="P1425" s="3" t="s">
        <v>138</v>
      </c>
      <c r="Q1425" s="8">
        <v>0.180594</v>
      </c>
    </row>
    <row r="1426" spans="1:17" hidden="1" x14ac:dyDescent="0.55000000000000004">
      <c r="A1426" s="3" t="s">
        <v>1761</v>
      </c>
      <c r="B1426" s="3" t="s">
        <v>1893</v>
      </c>
      <c r="C1426" t="s">
        <v>1893</v>
      </c>
      <c r="D1426" s="3" t="s">
        <v>7312</v>
      </c>
      <c r="E1426" t="s">
        <v>1894</v>
      </c>
      <c r="F1426" s="3" t="s">
        <v>1895</v>
      </c>
      <c r="G1426" t="s">
        <v>19</v>
      </c>
      <c r="H1426" s="3" t="s">
        <v>1896</v>
      </c>
      <c r="I1426" t="s">
        <v>246</v>
      </c>
      <c r="J1426" s="3" t="s">
        <v>1897</v>
      </c>
      <c r="K1426" s="4">
        <v>852</v>
      </c>
      <c r="L1426" s="5">
        <v>185.28</v>
      </c>
      <c r="M1426" s="6">
        <v>1</v>
      </c>
      <c r="N1426" s="7">
        <v>1</v>
      </c>
      <c r="O1426" t="s">
        <v>1898</v>
      </c>
      <c r="P1426" s="3" t="s">
        <v>249</v>
      </c>
      <c r="Q1426" s="8">
        <v>8.7168999999999996E-2</v>
      </c>
    </row>
    <row r="1427" spans="1:17" hidden="1" x14ac:dyDescent="0.55000000000000004">
      <c r="A1427" s="3" t="s">
        <v>1761</v>
      </c>
      <c r="B1427" s="3" t="s">
        <v>1893</v>
      </c>
      <c r="C1427" t="s">
        <v>1893</v>
      </c>
      <c r="D1427" s="3" t="s">
        <v>7312</v>
      </c>
      <c r="E1427" t="s">
        <v>1894</v>
      </c>
      <c r="F1427" s="3" t="s">
        <v>1895</v>
      </c>
      <c r="G1427" t="s">
        <v>24</v>
      </c>
      <c r="H1427" s="3" t="s">
        <v>1899</v>
      </c>
      <c r="I1427" t="s">
        <v>43</v>
      </c>
      <c r="J1427" s="3" t="s">
        <v>1900</v>
      </c>
      <c r="K1427" s="4">
        <v>203</v>
      </c>
      <c r="L1427" s="5">
        <v>9.24</v>
      </c>
      <c r="M1427" s="6">
        <v>1</v>
      </c>
      <c r="N1427" s="7">
        <v>1</v>
      </c>
      <c r="O1427" t="s">
        <v>1901</v>
      </c>
      <c r="P1427" s="3" t="s">
        <v>138</v>
      </c>
      <c r="Q1427" s="8">
        <v>0.18007300000000001</v>
      </c>
    </row>
    <row r="1428" spans="1:17" hidden="1" x14ac:dyDescent="0.55000000000000004">
      <c r="A1428" s="3" t="s">
        <v>1761</v>
      </c>
      <c r="B1428" s="3" t="s">
        <v>1902</v>
      </c>
      <c r="C1428" t="s">
        <v>1902</v>
      </c>
      <c r="D1428" s="3" t="s">
        <v>7312</v>
      </c>
      <c r="E1428" t="s">
        <v>1903</v>
      </c>
      <c r="F1428" s="3" t="s">
        <v>1904</v>
      </c>
      <c r="G1428" t="s">
        <v>19</v>
      </c>
      <c r="H1428" s="3" t="s">
        <v>1905</v>
      </c>
      <c r="I1428" t="s">
        <v>246</v>
      </c>
      <c r="J1428" s="3" t="s">
        <v>1906</v>
      </c>
      <c r="K1428" s="4">
        <v>955</v>
      </c>
      <c r="L1428" s="5">
        <v>207.63</v>
      </c>
      <c r="M1428" s="6">
        <v>1</v>
      </c>
      <c r="N1428" s="7">
        <v>1</v>
      </c>
      <c r="O1428" t="s">
        <v>1907</v>
      </c>
      <c r="P1428" s="3" t="s">
        <v>249</v>
      </c>
      <c r="Q1428" s="8">
        <v>8.1961999999999993E-2</v>
      </c>
    </row>
    <row r="1429" spans="1:17" hidden="1" x14ac:dyDescent="0.55000000000000004">
      <c r="A1429" s="3" t="s">
        <v>1761</v>
      </c>
      <c r="B1429" s="3" t="s">
        <v>1902</v>
      </c>
      <c r="C1429" t="s">
        <v>1902</v>
      </c>
      <c r="D1429" s="3" t="s">
        <v>7312</v>
      </c>
      <c r="E1429" t="s">
        <v>1903</v>
      </c>
      <c r="F1429" s="3" t="s">
        <v>1904</v>
      </c>
      <c r="G1429" t="s">
        <v>24</v>
      </c>
      <c r="H1429" s="3" t="s">
        <v>1908</v>
      </c>
      <c r="I1429" t="s">
        <v>37</v>
      </c>
      <c r="J1429" s="3" t="s">
        <v>1909</v>
      </c>
      <c r="K1429" s="4">
        <v>322</v>
      </c>
      <c r="L1429" s="5">
        <v>14.65</v>
      </c>
      <c r="M1429" s="6">
        <v>0</v>
      </c>
      <c r="N1429" s="7">
        <v>1</v>
      </c>
      <c r="O1429" t="s">
        <v>1910</v>
      </c>
      <c r="P1429" s="3" t="s">
        <v>40</v>
      </c>
      <c r="Q1429" s="8">
        <v>0.181258</v>
      </c>
    </row>
    <row r="1430" spans="1:17" hidden="1" x14ac:dyDescent="0.55000000000000004">
      <c r="A1430" s="3" t="s">
        <v>1761</v>
      </c>
      <c r="B1430" s="3" t="s">
        <v>1911</v>
      </c>
      <c r="C1430" t="s">
        <v>1796</v>
      </c>
      <c r="D1430" s="3" t="s">
        <v>7312</v>
      </c>
      <c r="E1430" t="s">
        <v>1912</v>
      </c>
      <c r="F1430" s="3" t="s">
        <v>1913</v>
      </c>
      <c r="G1430" t="s">
        <v>24</v>
      </c>
      <c r="H1430" s="3" t="s">
        <v>1914</v>
      </c>
      <c r="I1430" t="s">
        <v>43</v>
      </c>
      <c r="J1430" s="3" t="s">
        <v>1915</v>
      </c>
      <c r="K1430" s="4">
        <v>287</v>
      </c>
      <c r="L1430" s="5">
        <v>13.04</v>
      </c>
      <c r="M1430" s="6">
        <v>0</v>
      </c>
      <c r="N1430" s="7">
        <v>0</v>
      </c>
      <c r="O1430" t="s">
        <v>1916</v>
      </c>
      <c r="P1430" s="3" t="s">
        <v>138</v>
      </c>
      <c r="Q1430" s="8">
        <v>0.18090600000000001</v>
      </c>
    </row>
    <row r="1431" spans="1:17" hidden="1" x14ac:dyDescent="0.55000000000000004">
      <c r="A1431" s="3" t="s">
        <v>1761</v>
      </c>
      <c r="B1431" s="3" t="s">
        <v>1917</v>
      </c>
      <c r="C1431" t="s">
        <v>1763</v>
      </c>
      <c r="D1431" s="3" t="s">
        <v>7312</v>
      </c>
      <c r="E1431" t="s">
        <v>1918</v>
      </c>
      <c r="F1431" s="3" t="s">
        <v>1919</v>
      </c>
      <c r="G1431" t="s">
        <v>24</v>
      </c>
      <c r="H1431" s="3" t="s">
        <v>1920</v>
      </c>
      <c r="I1431" t="s">
        <v>37</v>
      </c>
      <c r="J1431" s="3" t="s">
        <v>1921</v>
      </c>
      <c r="K1431" s="4">
        <v>292</v>
      </c>
      <c r="L1431" s="5">
        <v>13.27</v>
      </c>
      <c r="M1431" s="6">
        <v>1</v>
      </c>
      <c r="N1431" s="7">
        <v>0</v>
      </c>
      <c r="O1431" t="s">
        <v>1922</v>
      </c>
      <c r="P1431" s="3" t="s">
        <v>40</v>
      </c>
      <c r="Q1431" s="8">
        <v>0.18095600000000001</v>
      </c>
    </row>
    <row r="1432" spans="1:17" hidden="1" x14ac:dyDescent="0.55000000000000004">
      <c r="A1432" s="3" t="s">
        <v>1761</v>
      </c>
      <c r="B1432" s="3" t="s">
        <v>1763</v>
      </c>
      <c r="C1432" t="s">
        <v>1763</v>
      </c>
      <c r="D1432" s="3" t="s">
        <v>7312</v>
      </c>
      <c r="E1432" t="s">
        <v>1924</v>
      </c>
      <c r="F1432" s="3" t="s">
        <v>1925</v>
      </c>
      <c r="G1432" t="s">
        <v>19</v>
      </c>
      <c r="H1432" s="3" t="s">
        <v>1926</v>
      </c>
      <c r="I1432" t="s">
        <v>246</v>
      </c>
      <c r="J1432" s="3" t="s">
        <v>1927</v>
      </c>
      <c r="K1432" s="4">
        <v>1032</v>
      </c>
      <c r="L1432" s="5">
        <v>224.41</v>
      </c>
      <c r="M1432" s="6">
        <v>1</v>
      </c>
      <c r="N1432" s="7">
        <v>0</v>
      </c>
      <c r="O1432" t="s">
        <v>1928</v>
      </c>
      <c r="P1432" s="3" t="s">
        <v>249</v>
      </c>
      <c r="Q1432" s="8">
        <v>9.9498000000000003E-2</v>
      </c>
    </row>
    <row r="1433" spans="1:17" hidden="1" x14ac:dyDescent="0.55000000000000004">
      <c r="A1433" s="3" t="s">
        <v>1761</v>
      </c>
      <c r="B1433" s="3" t="s">
        <v>1763</v>
      </c>
      <c r="C1433" t="s">
        <v>1763</v>
      </c>
      <c r="D1433" s="3" t="s">
        <v>7312</v>
      </c>
      <c r="E1433" t="s">
        <v>1924</v>
      </c>
      <c r="F1433" s="3" t="s">
        <v>1925</v>
      </c>
      <c r="G1433" t="s">
        <v>24</v>
      </c>
      <c r="H1433" s="3" t="s">
        <v>1774</v>
      </c>
      <c r="I1433" t="s">
        <v>37</v>
      </c>
      <c r="J1433" s="3" t="s">
        <v>105</v>
      </c>
      <c r="K1433" s="4">
        <v>247</v>
      </c>
      <c r="L1433" s="5">
        <v>11.23</v>
      </c>
      <c r="M1433" s="6">
        <v>0</v>
      </c>
      <c r="N1433" s="7">
        <v>0</v>
      </c>
      <c r="O1433" t="s">
        <v>1775</v>
      </c>
      <c r="P1433" s="3" t="s">
        <v>40</v>
      </c>
      <c r="Q1433" s="8">
        <v>0.180509</v>
      </c>
    </row>
    <row r="1434" spans="1:17" hidden="1" x14ac:dyDescent="0.55000000000000004">
      <c r="A1434" s="3" t="s">
        <v>1761</v>
      </c>
      <c r="B1434" s="3" t="s">
        <v>1763</v>
      </c>
      <c r="C1434" t="s">
        <v>1763</v>
      </c>
      <c r="D1434" s="3" t="s">
        <v>7312</v>
      </c>
      <c r="E1434" t="s">
        <v>1924</v>
      </c>
      <c r="F1434" s="3" t="s">
        <v>1925</v>
      </c>
      <c r="G1434" t="s">
        <v>24</v>
      </c>
      <c r="H1434" s="3" t="s">
        <v>1929</v>
      </c>
      <c r="I1434" t="s">
        <v>37</v>
      </c>
      <c r="J1434" s="3" t="s">
        <v>1930</v>
      </c>
      <c r="K1434" s="4">
        <v>229</v>
      </c>
      <c r="L1434" s="5">
        <v>10.4</v>
      </c>
      <c r="M1434" s="6">
        <v>0</v>
      </c>
      <c r="N1434" s="7">
        <v>0</v>
      </c>
      <c r="O1434" t="s">
        <v>1931</v>
      </c>
      <c r="P1434" s="3" t="s">
        <v>40</v>
      </c>
      <c r="Q1434" s="8">
        <v>0.18032599999999999</v>
      </c>
    </row>
    <row r="1435" spans="1:17" hidden="1" x14ac:dyDescent="0.55000000000000004">
      <c r="A1435" s="3" t="s">
        <v>1761</v>
      </c>
      <c r="B1435" s="3" t="s">
        <v>1923</v>
      </c>
      <c r="C1435" t="s">
        <v>1763</v>
      </c>
      <c r="D1435" s="3" t="s">
        <v>7312</v>
      </c>
      <c r="E1435" t="s">
        <v>1932</v>
      </c>
      <c r="F1435" s="3" t="s">
        <v>1933</v>
      </c>
      <c r="G1435" t="s">
        <v>19</v>
      </c>
      <c r="H1435" s="3" t="s">
        <v>1934</v>
      </c>
      <c r="I1435" t="s">
        <v>1540</v>
      </c>
      <c r="J1435" s="3" t="s">
        <v>1935</v>
      </c>
      <c r="K1435" s="4">
        <v>230</v>
      </c>
      <c r="L1435" s="5">
        <v>49.93</v>
      </c>
      <c r="M1435" s="6">
        <v>1</v>
      </c>
      <c r="N1435" s="7">
        <v>1</v>
      </c>
      <c r="O1435" t="s">
        <v>1936</v>
      </c>
      <c r="P1435" s="3" t="s">
        <v>1543</v>
      </c>
      <c r="Q1435" s="8">
        <v>2.8330999999999999E-2</v>
      </c>
    </row>
    <row r="1436" spans="1:17" hidden="1" x14ac:dyDescent="0.55000000000000004">
      <c r="A1436" s="3" t="s">
        <v>1761</v>
      </c>
      <c r="B1436" s="3" t="s">
        <v>1923</v>
      </c>
      <c r="C1436" t="s">
        <v>1763</v>
      </c>
      <c r="D1436" s="3" t="s">
        <v>7312</v>
      </c>
      <c r="E1436" t="s">
        <v>1932</v>
      </c>
      <c r="F1436" s="3" t="s">
        <v>1933</v>
      </c>
      <c r="G1436" t="s">
        <v>24</v>
      </c>
      <c r="H1436" s="3" t="s">
        <v>1774</v>
      </c>
      <c r="I1436" t="s">
        <v>37</v>
      </c>
      <c r="J1436" s="3" t="s">
        <v>105</v>
      </c>
      <c r="K1436" s="4">
        <v>247</v>
      </c>
      <c r="L1436" s="5">
        <v>11.23</v>
      </c>
      <c r="M1436" s="6">
        <v>0</v>
      </c>
      <c r="N1436" s="7">
        <v>1</v>
      </c>
      <c r="O1436" t="s">
        <v>1775</v>
      </c>
      <c r="P1436" s="3" t="s">
        <v>40</v>
      </c>
      <c r="Q1436" s="8">
        <v>0.180509</v>
      </c>
    </row>
    <row r="1437" spans="1:17" hidden="1" x14ac:dyDescent="0.55000000000000004">
      <c r="A1437" s="3" t="s">
        <v>1761</v>
      </c>
      <c r="B1437" s="3" t="s">
        <v>1923</v>
      </c>
      <c r="C1437" t="s">
        <v>1763</v>
      </c>
      <c r="D1437" s="3" t="s">
        <v>7312</v>
      </c>
      <c r="E1437" t="s">
        <v>1932</v>
      </c>
      <c r="F1437" s="3" t="s">
        <v>1933</v>
      </c>
      <c r="G1437" t="s">
        <v>24</v>
      </c>
      <c r="H1437" s="3" t="s">
        <v>1776</v>
      </c>
      <c r="I1437" t="s">
        <v>48</v>
      </c>
      <c r="J1437" s="3" t="s">
        <v>1777</v>
      </c>
      <c r="K1437" s="4">
        <v>216</v>
      </c>
      <c r="L1437" s="5">
        <v>9.8000000000000007</v>
      </c>
      <c r="M1437" s="6">
        <v>0</v>
      </c>
      <c r="N1437" s="7">
        <v>1</v>
      </c>
      <c r="O1437" t="s">
        <v>1778</v>
      </c>
      <c r="P1437" s="3" t="s">
        <v>23</v>
      </c>
      <c r="Q1437" s="8" t="s">
        <v>23</v>
      </c>
    </row>
    <row r="1438" spans="1:17" hidden="1" x14ac:dyDescent="0.55000000000000004">
      <c r="A1438" s="9" t="s">
        <v>1761</v>
      </c>
      <c r="B1438" s="3" t="s">
        <v>1923</v>
      </c>
      <c r="C1438" t="s">
        <v>1763</v>
      </c>
      <c r="D1438" s="3" t="s">
        <v>7312</v>
      </c>
      <c r="E1438" t="s">
        <v>1932</v>
      </c>
      <c r="F1438" s="3" t="s">
        <v>1933</v>
      </c>
      <c r="G1438" t="s">
        <v>24</v>
      </c>
      <c r="H1438" s="3" t="s">
        <v>1929</v>
      </c>
      <c r="I1438" t="s">
        <v>37</v>
      </c>
      <c r="J1438" s="3" t="s">
        <v>1930</v>
      </c>
      <c r="K1438" s="4">
        <v>229</v>
      </c>
      <c r="L1438" s="5">
        <v>10.4</v>
      </c>
      <c r="M1438" s="6">
        <v>0</v>
      </c>
      <c r="N1438" s="7">
        <v>1</v>
      </c>
      <c r="O1438" t="s">
        <v>1931</v>
      </c>
      <c r="P1438" s="3" t="s">
        <v>40</v>
      </c>
      <c r="Q1438" s="8">
        <v>0.18032599999999999</v>
      </c>
    </row>
    <row r="1439" spans="1:17" hidden="1" x14ac:dyDescent="0.55000000000000004">
      <c r="A1439" s="3" t="s">
        <v>1937</v>
      </c>
      <c r="B1439" s="3" t="s">
        <v>1938</v>
      </c>
      <c r="C1439" t="s">
        <v>1938</v>
      </c>
      <c r="D1439" s="3" t="s">
        <v>7312</v>
      </c>
      <c r="E1439" t="s">
        <v>1939</v>
      </c>
      <c r="F1439" s="3" t="s">
        <v>1940</v>
      </c>
      <c r="G1439" t="s">
        <v>24</v>
      </c>
      <c r="H1439" s="3" t="s">
        <v>1941</v>
      </c>
      <c r="I1439" t="s">
        <v>26</v>
      </c>
      <c r="J1439" s="3" t="s">
        <v>1942</v>
      </c>
      <c r="K1439" s="4">
        <v>289</v>
      </c>
      <c r="L1439" s="5">
        <v>13.15</v>
      </c>
      <c r="M1439" s="6">
        <v>1</v>
      </c>
      <c r="N1439" s="7">
        <v>0</v>
      </c>
      <c r="O1439" t="s">
        <v>1943</v>
      </c>
      <c r="P1439" s="3" t="s">
        <v>29</v>
      </c>
      <c r="Q1439" s="8">
        <v>0.182144</v>
      </c>
    </row>
    <row r="1440" spans="1:17" hidden="1" x14ac:dyDescent="0.55000000000000004">
      <c r="A1440" s="3" t="s">
        <v>1937</v>
      </c>
      <c r="B1440" s="3" t="s">
        <v>1944</v>
      </c>
      <c r="C1440" t="s">
        <v>1944</v>
      </c>
      <c r="D1440" s="3" t="s">
        <v>7312</v>
      </c>
      <c r="E1440" t="s">
        <v>1945</v>
      </c>
      <c r="F1440" s="3" t="s">
        <v>1946</v>
      </c>
      <c r="G1440" t="s">
        <v>19</v>
      </c>
      <c r="H1440" s="3" t="s">
        <v>1947</v>
      </c>
      <c r="I1440" t="s">
        <v>1284</v>
      </c>
      <c r="J1440" s="3" t="s">
        <v>1948</v>
      </c>
      <c r="K1440" s="4">
        <v>134</v>
      </c>
      <c r="L1440" s="5">
        <v>29.22</v>
      </c>
      <c r="M1440" s="6">
        <v>0</v>
      </c>
      <c r="N1440" s="7">
        <v>1</v>
      </c>
      <c r="O1440" t="s">
        <v>1949</v>
      </c>
      <c r="P1440" s="3" t="s">
        <v>1287</v>
      </c>
      <c r="Q1440" s="8">
        <v>2.9488E-2</v>
      </c>
    </row>
    <row r="1441" spans="1:17" hidden="1" x14ac:dyDescent="0.55000000000000004">
      <c r="A1441" s="3" t="s">
        <v>1937</v>
      </c>
      <c r="B1441" s="3" t="s">
        <v>1944</v>
      </c>
      <c r="C1441" t="s">
        <v>1944</v>
      </c>
      <c r="D1441" s="3" t="s">
        <v>7312</v>
      </c>
      <c r="E1441" t="s">
        <v>1945</v>
      </c>
      <c r="F1441" s="3" t="s">
        <v>1946</v>
      </c>
      <c r="G1441" t="s">
        <v>19</v>
      </c>
      <c r="H1441" s="3" t="s">
        <v>1950</v>
      </c>
      <c r="I1441" t="s">
        <v>1289</v>
      </c>
      <c r="J1441" s="3" t="s">
        <v>1948</v>
      </c>
      <c r="K1441" s="4">
        <v>74</v>
      </c>
      <c r="L1441" s="5">
        <v>16.149999999999999</v>
      </c>
      <c r="M1441" s="6">
        <v>0</v>
      </c>
      <c r="N1441" s="7">
        <v>1</v>
      </c>
      <c r="O1441" t="s">
        <v>1951</v>
      </c>
      <c r="P1441" s="3" t="s">
        <v>1952</v>
      </c>
      <c r="Q1441" s="8">
        <v>2.5707000000000001E-2</v>
      </c>
    </row>
    <row r="1442" spans="1:17" hidden="1" x14ac:dyDescent="0.55000000000000004">
      <c r="A1442" s="3" t="s">
        <v>1937</v>
      </c>
      <c r="B1442" s="3" t="s">
        <v>1944</v>
      </c>
      <c r="C1442" t="s">
        <v>1944</v>
      </c>
      <c r="D1442" s="3" t="s">
        <v>7312</v>
      </c>
      <c r="E1442" t="s">
        <v>1945</v>
      </c>
      <c r="F1442" s="3" t="s">
        <v>1946</v>
      </c>
      <c r="G1442" t="s">
        <v>19</v>
      </c>
      <c r="H1442" s="3" t="s">
        <v>1953</v>
      </c>
      <c r="I1442" t="s">
        <v>1357</v>
      </c>
      <c r="J1442" s="3" t="s">
        <v>1948</v>
      </c>
      <c r="K1442" s="4">
        <v>220</v>
      </c>
      <c r="L1442" s="5">
        <v>47.87</v>
      </c>
      <c r="M1442" s="6">
        <v>1</v>
      </c>
      <c r="N1442" s="7">
        <v>1</v>
      </c>
      <c r="O1442" t="s">
        <v>1954</v>
      </c>
      <c r="P1442" s="3" t="s">
        <v>1287</v>
      </c>
      <c r="Q1442" s="8">
        <v>2.9488E-2</v>
      </c>
    </row>
    <row r="1443" spans="1:17" hidden="1" x14ac:dyDescent="0.55000000000000004">
      <c r="A1443" s="3" t="s">
        <v>1937</v>
      </c>
      <c r="B1443" s="3" t="s">
        <v>1944</v>
      </c>
      <c r="C1443" t="s">
        <v>1944</v>
      </c>
      <c r="D1443" s="3" t="s">
        <v>7312</v>
      </c>
      <c r="E1443" t="s">
        <v>1945</v>
      </c>
      <c r="F1443" s="3" t="s">
        <v>1946</v>
      </c>
      <c r="G1443" t="s">
        <v>19</v>
      </c>
      <c r="H1443" s="3" t="s">
        <v>1955</v>
      </c>
      <c r="I1443" t="s">
        <v>1289</v>
      </c>
      <c r="J1443" s="3" t="s">
        <v>1948</v>
      </c>
      <c r="K1443" s="4">
        <v>74</v>
      </c>
      <c r="L1443" s="5">
        <v>16.149999999999999</v>
      </c>
      <c r="M1443" s="6">
        <v>0</v>
      </c>
      <c r="N1443" s="7">
        <v>1</v>
      </c>
      <c r="O1443" t="s">
        <v>1951</v>
      </c>
      <c r="P1443" s="3" t="s">
        <v>1952</v>
      </c>
      <c r="Q1443" s="8">
        <v>2.5707000000000001E-2</v>
      </c>
    </row>
    <row r="1444" spans="1:17" hidden="1" x14ac:dyDescent="0.55000000000000004">
      <c r="A1444" s="3" t="s">
        <v>1937</v>
      </c>
      <c r="B1444" s="3" t="s">
        <v>1944</v>
      </c>
      <c r="C1444" t="s">
        <v>1944</v>
      </c>
      <c r="D1444" s="3" t="s">
        <v>7312</v>
      </c>
      <c r="E1444" t="s">
        <v>1945</v>
      </c>
      <c r="F1444" s="3" t="s">
        <v>1946</v>
      </c>
      <c r="G1444" t="s">
        <v>24</v>
      </c>
      <c r="H1444" s="3" t="s">
        <v>1956</v>
      </c>
      <c r="I1444" t="s">
        <v>52</v>
      </c>
      <c r="J1444" s="3" t="s">
        <v>1957</v>
      </c>
      <c r="K1444" s="4">
        <v>227</v>
      </c>
      <c r="L1444" s="5">
        <v>10.33</v>
      </c>
      <c r="M1444" s="6">
        <v>1</v>
      </c>
      <c r="N1444" s="7">
        <v>1</v>
      </c>
      <c r="O1444" t="s">
        <v>1958</v>
      </c>
      <c r="P1444" s="3" t="s">
        <v>55</v>
      </c>
      <c r="Q1444" s="8">
        <v>0.180311</v>
      </c>
    </row>
    <row r="1445" spans="1:17" hidden="1" x14ac:dyDescent="0.55000000000000004">
      <c r="A1445" s="3" t="s">
        <v>1937</v>
      </c>
      <c r="B1445" s="3" t="s">
        <v>1959</v>
      </c>
      <c r="C1445" t="s">
        <v>1959</v>
      </c>
      <c r="D1445" s="3" t="s">
        <v>7312</v>
      </c>
      <c r="E1445" t="s">
        <v>1960</v>
      </c>
      <c r="F1445" s="3" t="s">
        <v>1961</v>
      </c>
      <c r="G1445" t="s">
        <v>24</v>
      </c>
      <c r="H1445" s="3" t="s">
        <v>1962</v>
      </c>
      <c r="I1445" t="s">
        <v>52</v>
      </c>
      <c r="J1445" s="3" t="s">
        <v>1963</v>
      </c>
      <c r="K1445" s="4">
        <v>351</v>
      </c>
      <c r="L1445" s="5">
        <v>15.95</v>
      </c>
      <c r="M1445" s="6">
        <v>1</v>
      </c>
      <c r="N1445" s="7">
        <v>0</v>
      </c>
      <c r="O1445" t="s">
        <v>1964</v>
      </c>
      <c r="P1445" s="3" t="s">
        <v>55</v>
      </c>
      <c r="Q1445" s="8">
        <v>0.18154500000000001</v>
      </c>
    </row>
    <row r="1446" spans="1:17" hidden="1" x14ac:dyDescent="0.55000000000000004">
      <c r="A1446" s="3" t="s">
        <v>1937</v>
      </c>
      <c r="B1446" s="3" t="s">
        <v>1959</v>
      </c>
      <c r="C1446" t="s">
        <v>1959</v>
      </c>
      <c r="D1446" s="3" t="s">
        <v>7312</v>
      </c>
      <c r="E1446" t="s">
        <v>1960</v>
      </c>
      <c r="F1446" s="3" t="s">
        <v>1961</v>
      </c>
      <c r="G1446" t="s">
        <v>24</v>
      </c>
      <c r="H1446" s="3" t="s">
        <v>23</v>
      </c>
      <c r="I1446" t="s">
        <v>67</v>
      </c>
      <c r="J1446" s="3" t="s">
        <v>1965</v>
      </c>
      <c r="K1446" s="4" t="s">
        <v>23</v>
      </c>
      <c r="L1446" s="5" t="s">
        <v>23</v>
      </c>
      <c r="M1446" s="6">
        <v>0</v>
      </c>
      <c r="N1446" s="7">
        <v>0</v>
      </c>
      <c r="O1446" t="s">
        <v>23</v>
      </c>
      <c r="P1446" s="3" t="s">
        <v>23</v>
      </c>
      <c r="Q1446" s="8" t="s">
        <v>23</v>
      </c>
    </row>
    <row r="1447" spans="1:17" hidden="1" x14ac:dyDescent="0.55000000000000004">
      <c r="A1447" s="3" t="s">
        <v>1937</v>
      </c>
      <c r="B1447" s="3" t="s">
        <v>1966</v>
      </c>
      <c r="C1447" t="s">
        <v>1966</v>
      </c>
      <c r="D1447" s="3" t="s">
        <v>7312</v>
      </c>
      <c r="E1447" t="s">
        <v>1968</v>
      </c>
      <c r="F1447" s="3" t="s">
        <v>1969</v>
      </c>
      <c r="G1447" t="s">
        <v>19</v>
      </c>
      <c r="H1447" s="3" t="s">
        <v>1970</v>
      </c>
      <c r="I1447" t="s">
        <v>1223</v>
      </c>
      <c r="J1447" s="3" t="s">
        <v>1971</v>
      </c>
      <c r="K1447" s="4">
        <v>645</v>
      </c>
      <c r="L1447" s="5">
        <v>140.15</v>
      </c>
      <c r="M1447" s="6">
        <v>0</v>
      </c>
      <c r="N1447" s="7">
        <v>1</v>
      </c>
      <c r="O1447" t="s">
        <v>1972</v>
      </c>
      <c r="P1447" s="3" t="s">
        <v>212</v>
      </c>
      <c r="Q1447" s="8">
        <v>0.12609500000000001</v>
      </c>
    </row>
    <row r="1448" spans="1:17" hidden="1" x14ac:dyDescent="0.55000000000000004">
      <c r="A1448" s="3" t="s">
        <v>1937</v>
      </c>
      <c r="B1448" s="3" t="s">
        <v>1966</v>
      </c>
      <c r="C1448" t="s">
        <v>1966</v>
      </c>
      <c r="D1448" s="3" t="s">
        <v>7312</v>
      </c>
      <c r="E1448" t="s">
        <v>1968</v>
      </c>
      <c r="F1448" s="3" t="s">
        <v>1969</v>
      </c>
      <c r="G1448" t="s">
        <v>19</v>
      </c>
      <c r="H1448" s="3" t="s">
        <v>1973</v>
      </c>
      <c r="I1448" t="s">
        <v>1227</v>
      </c>
      <c r="J1448" s="3" t="s">
        <v>1971</v>
      </c>
      <c r="K1448" s="4">
        <v>653</v>
      </c>
      <c r="L1448" s="5">
        <v>141.93</v>
      </c>
      <c r="M1448" s="6">
        <v>0</v>
      </c>
      <c r="N1448" s="7">
        <v>1</v>
      </c>
      <c r="O1448" t="s">
        <v>1974</v>
      </c>
      <c r="P1448" s="3" t="s">
        <v>212</v>
      </c>
      <c r="Q1448" s="8">
        <v>0.12609500000000001</v>
      </c>
    </row>
    <row r="1449" spans="1:17" hidden="1" x14ac:dyDescent="0.55000000000000004">
      <c r="A1449" s="3" t="s">
        <v>1937</v>
      </c>
      <c r="B1449" s="3" t="s">
        <v>1966</v>
      </c>
      <c r="C1449" t="s">
        <v>1966</v>
      </c>
      <c r="D1449" s="3" t="s">
        <v>7312</v>
      </c>
      <c r="E1449" t="s">
        <v>1968</v>
      </c>
      <c r="F1449" s="3" t="s">
        <v>1969</v>
      </c>
      <c r="G1449" t="s">
        <v>19</v>
      </c>
      <c r="H1449" s="3" t="s">
        <v>1975</v>
      </c>
      <c r="I1449" t="s">
        <v>1232</v>
      </c>
      <c r="J1449" s="3" t="s">
        <v>1971</v>
      </c>
      <c r="K1449" s="4">
        <v>205</v>
      </c>
      <c r="L1449" s="5">
        <v>44.57</v>
      </c>
      <c r="M1449" s="6">
        <v>1</v>
      </c>
      <c r="N1449" s="7">
        <v>1</v>
      </c>
      <c r="O1449" t="s">
        <v>1976</v>
      </c>
      <c r="P1449" s="3" t="s">
        <v>212</v>
      </c>
      <c r="Q1449" s="8">
        <v>6.5721000000000002E-2</v>
      </c>
    </row>
    <row r="1450" spans="1:17" hidden="1" x14ac:dyDescent="0.55000000000000004">
      <c r="A1450" s="3" t="s">
        <v>1937</v>
      </c>
      <c r="B1450" s="3" t="s">
        <v>1966</v>
      </c>
      <c r="C1450" t="s">
        <v>1966</v>
      </c>
      <c r="D1450" s="3" t="s">
        <v>7312</v>
      </c>
      <c r="E1450" t="s">
        <v>1968</v>
      </c>
      <c r="F1450" s="3" t="s">
        <v>1969</v>
      </c>
      <c r="G1450" t="s">
        <v>19</v>
      </c>
      <c r="H1450" s="3" t="s">
        <v>1977</v>
      </c>
      <c r="I1450" t="s">
        <v>686</v>
      </c>
      <c r="J1450" s="3" t="s">
        <v>1971</v>
      </c>
      <c r="K1450" s="4">
        <v>111</v>
      </c>
      <c r="L1450" s="5">
        <v>24.15</v>
      </c>
      <c r="M1450" s="6">
        <v>0</v>
      </c>
      <c r="N1450" s="7">
        <v>1</v>
      </c>
      <c r="O1450" t="s">
        <v>1978</v>
      </c>
      <c r="P1450" s="3" t="s">
        <v>1979</v>
      </c>
      <c r="Q1450" s="8">
        <v>3.1960000000000002E-2</v>
      </c>
    </row>
    <row r="1451" spans="1:17" hidden="1" x14ac:dyDescent="0.55000000000000004">
      <c r="A1451" s="3" t="s">
        <v>1937</v>
      </c>
      <c r="B1451" s="3" t="s">
        <v>1966</v>
      </c>
      <c r="C1451" t="s">
        <v>1966</v>
      </c>
      <c r="D1451" s="3" t="s">
        <v>7312</v>
      </c>
      <c r="E1451" t="s">
        <v>1968</v>
      </c>
      <c r="F1451" s="3" t="s">
        <v>1969</v>
      </c>
      <c r="G1451" t="s">
        <v>24</v>
      </c>
      <c r="H1451" s="3" t="s">
        <v>1980</v>
      </c>
      <c r="I1451" t="s">
        <v>218</v>
      </c>
      <c r="J1451" s="3" t="s">
        <v>1981</v>
      </c>
      <c r="K1451" s="4">
        <v>861</v>
      </c>
      <c r="L1451" s="5">
        <v>39.119999999999997</v>
      </c>
      <c r="M1451" s="6">
        <v>1</v>
      </c>
      <c r="N1451" s="7">
        <v>1</v>
      </c>
      <c r="O1451" t="s">
        <v>1982</v>
      </c>
      <c r="P1451" s="3" t="s">
        <v>23</v>
      </c>
      <c r="Q1451" s="8" t="s">
        <v>23</v>
      </c>
    </row>
    <row r="1452" spans="1:17" hidden="1" x14ac:dyDescent="0.55000000000000004">
      <c r="A1452" s="3" t="s">
        <v>1937</v>
      </c>
      <c r="B1452" s="3" t="s">
        <v>1983</v>
      </c>
      <c r="C1452" t="s">
        <v>1983</v>
      </c>
      <c r="D1452" s="3" t="s">
        <v>7312</v>
      </c>
      <c r="E1452" t="s">
        <v>1984</v>
      </c>
      <c r="F1452" s="3" t="s">
        <v>1985</v>
      </c>
      <c r="G1452" t="s">
        <v>19</v>
      </c>
      <c r="H1452" s="3" t="s">
        <v>1986</v>
      </c>
      <c r="I1452" t="s">
        <v>1284</v>
      </c>
      <c r="J1452" s="3" t="s">
        <v>1987</v>
      </c>
      <c r="K1452" s="4">
        <v>96</v>
      </c>
      <c r="L1452" s="5">
        <v>20.8</v>
      </c>
      <c r="M1452" s="6">
        <v>0</v>
      </c>
      <c r="N1452" s="7">
        <v>1</v>
      </c>
      <c r="O1452" t="s">
        <v>1988</v>
      </c>
      <c r="P1452" s="3" t="s">
        <v>1287</v>
      </c>
      <c r="Q1452" s="8">
        <v>1.9675999999999999E-2</v>
      </c>
    </row>
    <row r="1453" spans="1:17" hidden="1" x14ac:dyDescent="0.55000000000000004">
      <c r="A1453" s="3" t="s">
        <v>1937</v>
      </c>
      <c r="B1453" s="3" t="s">
        <v>1983</v>
      </c>
      <c r="C1453" t="s">
        <v>1983</v>
      </c>
      <c r="D1453" s="3" t="s">
        <v>7312</v>
      </c>
      <c r="E1453" t="s">
        <v>1984</v>
      </c>
      <c r="F1453" s="3" t="s">
        <v>1985</v>
      </c>
      <c r="G1453" t="s">
        <v>19</v>
      </c>
      <c r="H1453" s="3" t="s">
        <v>1989</v>
      </c>
      <c r="I1453" t="s">
        <v>1289</v>
      </c>
      <c r="J1453" s="3" t="s">
        <v>1987</v>
      </c>
      <c r="K1453" s="4">
        <v>36</v>
      </c>
      <c r="L1453" s="5">
        <v>7.74</v>
      </c>
      <c r="M1453" s="6">
        <v>0</v>
      </c>
      <c r="N1453" s="7">
        <v>1</v>
      </c>
      <c r="O1453" t="s">
        <v>1990</v>
      </c>
      <c r="P1453" s="3" t="s">
        <v>1952</v>
      </c>
      <c r="Q1453" s="8">
        <v>1.6462000000000001E-2</v>
      </c>
    </row>
    <row r="1454" spans="1:17" hidden="1" x14ac:dyDescent="0.55000000000000004">
      <c r="A1454" s="3" t="s">
        <v>1937</v>
      </c>
      <c r="B1454" s="3" t="s">
        <v>1983</v>
      </c>
      <c r="C1454" t="s">
        <v>1983</v>
      </c>
      <c r="D1454" s="3" t="s">
        <v>7312</v>
      </c>
      <c r="E1454" t="s">
        <v>1984</v>
      </c>
      <c r="F1454" s="3" t="s">
        <v>1985</v>
      </c>
      <c r="G1454" t="s">
        <v>19</v>
      </c>
      <c r="H1454" s="3" t="s">
        <v>1991</v>
      </c>
      <c r="I1454" t="s">
        <v>1357</v>
      </c>
      <c r="J1454" s="3" t="s">
        <v>1987</v>
      </c>
      <c r="K1454" s="4">
        <v>181</v>
      </c>
      <c r="L1454" s="5">
        <v>39.46</v>
      </c>
      <c r="M1454" s="6">
        <v>1</v>
      </c>
      <c r="N1454" s="7">
        <v>1</v>
      </c>
      <c r="O1454" t="s">
        <v>1992</v>
      </c>
      <c r="P1454" s="3" t="s">
        <v>1287</v>
      </c>
      <c r="Q1454" s="8">
        <v>1.9675999999999999E-2</v>
      </c>
    </row>
    <row r="1455" spans="1:17" hidden="1" x14ac:dyDescent="0.55000000000000004">
      <c r="A1455" s="3" t="s">
        <v>1937</v>
      </c>
      <c r="B1455" s="3" t="s">
        <v>1983</v>
      </c>
      <c r="C1455" t="s">
        <v>1983</v>
      </c>
      <c r="D1455" s="3" t="s">
        <v>7312</v>
      </c>
      <c r="E1455" t="s">
        <v>1984</v>
      </c>
      <c r="F1455" s="3" t="s">
        <v>1985</v>
      </c>
      <c r="G1455" t="s">
        <v>19</v>
      </c>
      <c r="H1455" s="3" t="s">
        <v>1993</v>
      </c>
      <c r="I1455" t="s">
        <v>1289</v>
      </c>
      <c r="J1455" s="3" t="s">
        <v>1987</v>
      </c>
      <c r="K1455" s="4">
        <v>36</v>
      </c>
      <c r="L1455" s="5">
        <v>7.74</v>
      </c>
      <c r="M1455" s="6">
        <v>0</v>
      </c>
      <c r="N1455" s="7">
        <v>1</v>
      </c>
      <c r="O1455" t="s">
        <v>1990</v>
      </c>
      <c r="P1455" s="3" t="s">
        <v>1952</v>
      </c>
      <c r="Q1455" s="8">
        <v>1.6462000000000001E-2</v>
      </c>
    </row>
    <row r="1456" spans="1:17" hidden="1" x14ac:dyDescent="0.55000000000000004">
      <c r="A1456" s="3" t="s">
        <v>1937</v>
      </c>
      <c r="B1456" s="3" t="s">
        <v>1983</v>
      </c>
      <c r="C1456" t="s">
        <v>1983</v>
      </c>
      <c r="D1456" s="3" t="s">
        <v>7312</v>
      </c>
      <c r="E1456" t="s">
        <v>1984</v>
      </c>
      <c r="F1456" s="3" t="s">
        <v>1985</v>
      </c>
      <c r="G1456" t="s">
        <v>19</v>
      </c>
      <c r="H1456" s="3" t="s">
        <v>23</v>
      </c>
      <c r="I1456" t="s">
        <v>67</v>
      </c>
      <c r="J1456" s="3" t="s">
        <v>1994</v>
      </c>
      <c r="K1456" s="4" t="s">
        <v>23</v>
      </c>
      <c r="L1456" s="5" t="s">
        <v>23</v>
      </c>
      <c r="M1456" s="6">
        <v>0</v>
      </c>
      <c r="N1456" s="7">
        <v>1</v>
      </c>
      <c r="O1456" t="s">
        <v>23</v>
      </c>
      <c r="P1456" s="3" t="s">
        <v>23</v>
      </c>
      <c r="Q1456" s="8" t="s">
        <v>23</v>
      </c>
    </row>
    <row r="1457" spans="1:17" hidden="1" x14ac:dyDescent="0.55000000000000004">
      <c r="A1457" s="3" t="s">
        <v>1937</v>
      </c>
      <c r="B1457" s="3" t="s">
        <v>1983</v>
      </c>
      <c r="C1457" t="s">
        <v>1983</v>
      </c>
      <c r="D1457" s="3" t="s">
        <v>7312</v>
      </c>
      <c r="E1457" t="s">
        <v>1984</v>
      </c>
      <c r="F1457" s="3" t="s">
        <v>1985</v>
      </c>
      <c r="G1457" t="s">
        <v>24</v>
      </c>
      <c r="H1457" s="3" t="s">
        <v>1995</v>
      </c>
      <c r="I1457" t="s">
        <v>52</v>
      </c>
      <c r="J1457" s="3" t="s">
        <v>1996</v>
      </c>
      <c r="K1457" s="4">
        <v>354</v>
      </c>
      <c r="L1457" s="5">
        <v>16.09</v>
      </c>
      <c r="M1457" s="6">
        <v>1</v>
      </c>
      <c r="N1457" s="7">
        <v>1</v>
      </c>
      <c r="O1457" t="s">
        <v>1997</v>
      </c>
      <c r="P1457" s="3" t="s">
        <v>55</v>
      </c>
      <c r="Q1457" s="8">
        <v>0.18157499999999999</v>
      </c>
    </row>
    <row r="1458" spans="1:17" hidden="1" x14ac:dyDescent="0.55000000000000004">
      <c r="A1458" s="3" t="s">
        <v>1937</v>
      </c>
      <c r="B1458" s="3" t="s">
        <v>1983</v>
      </c>
      <c r="C1458" t="s">
        <v>1983</v>
      </c>
      <c r="D1458" s="3" t="s">
        <v>7312</v>
      </c>
      <c r="E1458" t="s">
        <v>1984</v>
      </c>
      <c r="F1458" s="3" t="s">
        <v>1985</v>
      </c>
      <c r="G1458" t="s">
        <v>24</v>
      </c>
      <c r="H1458" s="3" t="s">
        <v>23</v>
      </c>
      <c r="I1458" t="s">
        <v>67</v>
      </c>
      <c r="J1458" s="3" t="s">
        <v>1998</v>
      </c>
      <c r="K1458" s="4" t="s">
        <v>23</v>
      </c>
      <c r="L1458" s="5" t="s">
        <v>23</v>
      </c>
      <c r="M1458" s="6">
        <v>0</v>
      </c>
      <c r="N1458" s="7">
        <v>1</v>
      </c>
      <c r="O1458" t="s">
        <v>23</v>
      </c>
      <c r="P1458" s="3" t="s">
        <v>23</v>
      </c>
      <c r="Q1458" s="8" t="s">
        <v>23</v>
      </c>
    </row>
    <row r="1459" spans="1:17" hidden="1" x14ac:dyDescent="0.55000000000000004">
      <c r="A1459" s="3" t="s">
        <v>1937</v>
      </c>
      <c r="B1459" s="3" t="s">
        <v>1999</v>
      </c>
      <c r="C1459" t="s">
        <v>1999</v>
      </c>
      <c r="D1459" s="3" t="s">
        <v>7312</v>
      </c>
      <c r="E1459" t="s">
        <v>2000</v>
      </c>
      <c r="F1459" s="3" t="s">
        <v>2001</v>
      </c>
      <c r="G1459" t="s">
        <v>19</v>
      </c>
      <c r="H1459" s="3" t="s">
        <v>2002</v>
      </c>
      <c r="I1459" t="s">
        <v>1223</v>
      </c>
      <c r="J1459" s="3" t="s">
        <v>2003</v>
      </c>
      <c r="K1459" s="4">
        <v>239</v>
      </c>
      <c r="L1459" s="5">
        <v>51.98</v>
      </c>
      <c r="M1459" s="6">
        <v>0</v>
      </c>
      <c r="N1459" s="7">
        <v>0</v>
      </c>
      <c r="O1459" t="s">
        <v>1419</v>
      </c>
      <c r="P1459" s="3" t="s">
        <v>212</v>
      </c>
      <c r="Q1459" s="8">
        <v>7.6982999999999996E-2</v>
      </c>
    </row>
    <row r="1460" spans="1:17" hidden="1" x14ac:dyDescent="0.55000000000000004">
      <c r="A1460" s="3" t="s">
        <v>1937</v>
      </c>
      <c r="B1460" s="3" t="s">
        <v>1999</v>
      </c>
      <c r="C1460" t="s">
        <v>1999</v>
      </c>
      <c r="D1460" s="3" t="s">
        <v>7312</v>
      </c>
      <c r="E1460" t="s">
        <v>2000</v>
      </c>
      <c r="F1460" s="3" t="s">
        <v>2001</v>
      </c>
      <c r="G1460" t="s">
        <v>19</v>
      </c>
      <c r="H1460" s="3" t="s">
        <v>2004</v>
      </c>
      <c r="I1460" t="s">
        <v>1227</v>
      </c>
      <c r="J1460" s="3" t="s">
        <v>2003</v>
      </c>
      <c r="K1460" s="4">
        <v>247</v>
      </c>
      <c r="L1460" s="5">
        <v>53.76</v>
      </c>
      <c r="M1460" s="6">
        <v>0</v>
      </c>
      <c r="N1460" s="7">
        <v>0</v>
      </c>
      <c r="O1460" t="s">
        <v>1421</v>
      </c>
      <c r="P1460" s="3" t="s">
        <v>212</v>
      </c>
      <c r="Q1460" s="8">
        <v>7.6982999999999996E-2</v>
      </c>
    </row>
    <row r="1461" spans="1:17" hidden="1" x14ac:dyDescent="0.55000000000000004">
      <c r="A1461" s="3" t="s">
        <v>1937</v>
      </c>
      <c r="B1461" s="3" t="s">
        <v>1999</v>
      </c>
      <c r="C1461" t="s">
        <v>1999</v>
      </c>
      <c r="D1461" s="3" t="s">
        <v>7312</v>
      </c>
      <c r="E1461" t="s">
        <v>2000</v>
      </c>
      <c r="F1461" s="3" t="s">
        <v>2001</v>
      </c>
      <c r="G1461" t="s">
        <v>19</v>
      </c>
      <c r="H1461" s="3" t="s">
        <v>2005</v>
      </c>
      <c r="I1461" t="s">
        <v>1232</v>
      </c>
      <c r="J1461" s="3" t="s">
        <v>2003</v>
      </c>
      <c r="K1461" s="4">
        <v>300</v>
      </c>
      <c r="L1461" s="5">
        <v>65.33</v>
      </c>
      <c r="M1461" s="6">
        <v>1</v>
      </c>
      <c r="N1461" s="7">
        <v>0</v>
      </c>
      <c r="O1461" t="s">
        <v>2006</v>
      </c>
      <c r="P1461" s="3" t="s">
        <v>212</v>
      </c>
      <c r="Q1461" s="8">
        <v>7.6704999999999995E-2</v>
      </c>
    </row>
    <row r="1462" spans="1:17" hidden="1" x14ac:dyDescent="0.55000000000000004">
      <c r="A1462" s="3" t="s">
        <v>1937</v>
      </c>
      <c r="B1462" s="3" t="s">
        <v>1999</v>
      </c>
      <c r="C1462" t="s">
        <v>1999</v>
      </c>
      <c r="D1462" s="3" t="s">
        <v>7312</v>
      </c>
      <c r="E1462" t="s">
        <v>2000</v>
      </c>
      <c r="F1462" s="3" t="s">
        <v>2001</v>
      </c>
      <c r="G1462" t="s">
        <v>19</v>
      </c>
      <c r="H1462" s="3" t="s">
        <v>2007</v>
      </c>
      <c r="I1462" t="s">
        <v>686</v>
      </c>
      <c r="J1462" s="3" t="s">
        <v>2003</v>
      </c>
      <c r="K1462" s="4">
        <v>254</v>
      </c>
      <c r="L1462" s="5">
        <v>55.28</v>
      </c>
      <c r="M1462" s="6">
        <v>0</v>
      </c>
      <c r="N1462" s="7">
        <v>0</v>
      </c>
      <c r="O1462" t="s">
        <v>2008</v>
      </c>
      <c r="P1462" s="3" t="s">
        <v>1979</v>
      </c>
      <c r="Q1462" s="8">
        <v>6.3228999999999994E-2</v>
      </c>
    </row>
    <row r="1463" spans="1:17" hidden="1" x14ac:dyDescent="0.55000000000000004">
      <c r="A1463" s="3" t="s">
        <v>1937</v>
      </c>
      <c r="B1463" s="3" t="s">
        <v>1999</v>
      </c>
      <c r="C1463" t="s">
        <v>1999</v>
      </c>
      <c r="D1463" s="3" t="s">
        <v>7312</v>
      </c>
      <c r="E1463" t="s">
        <v>2000</v>
      </c>
      <c r="F1463" s="3" t="s">
        <v>2001</v>
      </c>
      <c r="G1463" t="s">
        <v>19</v>
      </c>
      <c r="H1463" s="3" t="s">
        <v>2009</v>
      </c>
      <c r="I1463" t="s">
        <v>1612</v>
      </c>
      <c r="J1463" s="3" t="s">
        <v>2010</v>
      </c>
      <c r="K1463" s="4">
        <v>202</v>
      </c>
      <c r="L1463" s="5">
        <v>43.8</v>
      </c>
      <c r="M1463" s="6">
        <v>0</v>
      </c>
      <c r="N1463" s="7">
        <v>0</v>
      </c>
      <c r="O1463" t="s">
        <v>2011</v>
      </c>
      <c r="P1463" s="3" t="s">
        <v>1615</v>
      </c>
      <c r="Q1463" s="8">
        <v>3.6139999999999999E-2</v>
      </c>
    </row>
    <row r="1464" spans="1:17" hidden="1" x14ac:dyDescent="0.55000000000000004">
      <c r="A1464" s="3" t="s">
        <v>1937</v>
      </c>
      <c r="B1464" s="3" t="s">
        <v>1999</v>
      </c>
      <c r="C1464" t="s">
        <v>1999</v>
      </c>
      <c r="D1464" s="3" t="s">
        <v>7312</v>
      </c>
      <c r="E1464" t="s">
        <v>2000</v>
      </c>
      <c r="F1464" s="3" t="s">
        <v>2001</v>
      </c>
      <c r="G1464" t="s">
        <v>19</v>
      </c>
      <c r="H1464" s="3" t="s">
        <v>2012</v>
      </c>
      <c r="I1464" t="s">
        <v>1617</v>
      </c>
      <c r="J1464" s="3" t="s">
        <v>2010</v>
      </c>
      <c r="K1464" s="4">
        <v>480</v>
      </c>
      <c r="L1464" s="5">
        <v>104.28</v>
      </c>
      <c r="M1464" s="6">
        <v>0</v>
      </c>
      <c r="N1464" s="7">
        <v>0</v>
      </c>
      <c r="O1464" t="s">
        <v>1618</v>
      </c>
      <c r="P1464" s="3" t="s">
        <v>1615</v>
      </c>
      <c r="Q1464" s="8">
        <v>4.1689999999999998E-2</v>
      </c>
    </row>
    <row r="1465" spans="1:17" hidden="1" x14ac:dyDescent="0.55000000000000004">
      <c r="A1465" s="3" t="s">
        <v>1937</v>
      </c>
      <c r="B1465" s="3" t="s">
        <v>1999</v>
      </c>
      <c r="C1465" t="s">
        <v>1999</v>
      </c>
      <c r="D1465" s="3" t="s">
        <v>7312</v>
      </c>
      <c r="E1465" t="s">
        <v>2000</v>
      </c>
      <c r="F1465" s="3" t="s">
        <v>2001</v>
      </c>
      <c r="G1465" t="s">
        <v>19</v>
      </c>
      <c r="H1465" s="3" t="s">
        <v>2012</v>
      </c>
      <c r="I1465" t="s">
        <v>1617</v>
      </c>
      <c r="J1465" s="3" t="s">
        <v>2010</v>
      </c>
      <c r="K1465" s="4">
        <v>480</v>
      </c>
      <c r="L1465" s="5">
        <v>104.28</v>
      </c>
      <c r="M1465" s="6">
        <v>0</v>
      </c>
      <c r="N1465" s="7">
        <v>0</v>
      </c>
      <c r="O1465" t="s">
        <v>2011</v>
      </c>
      <c r="P1465" s="3" t="s">
        <v>1615</v>
      </c>
      <c r="Q1465" s="8">
        <v>3.6139999999999999E-2</v>
      </c>
    </row>
    <row r="1466" spans="1:17" hidden="1" x14ac:dyDescent="0.55000000000000004">
      <c r="A1466" s="3" t="s">
        <v>1937</v>
      </c>
      <c r="B1466" s="3" t="s">
        <v>1999</v>
      </c>
      <c r="C1466" t="s">
        <v>1999</v>
      </c>
      <c r="D1466" s="3" t="s">
        <v>7312</v>
      </c>
      <c r="E1466" t="s">
        <v>2000</v>
      </c>
      <c r="F1466" s="3" t="s">
        <v>2001</v>
      </c>
      <c r="G1466" t="s">
        <v>24</v>
      </c>
      <c r="H1466" s="3" t="s">
        <v>2013</v>
      </c>
      <c r="I1466" t="s">
        <v>52</v>
      </c>
      <c r="J1466" s="3" t="s">
        <v>2014</v>
      </c>
      <c r="K1466" s="4">
        <v>243</v>
      </c>
      <c r="L1466" s="5">
        <v>11.02</v>
      </c>
      <c r="M1466" s="6">
        <v>1</v>
      </c>
      <c r="N1466" s="7">
        <v>0</v>
      </c>
      <c r="O1466" t="s">
        <v>2015</v>
      </c>
      <c r="P1466" s="3" t="s">
        <v>55</v>
      </c>
      <c r="Q1466" s="8">
        <v>0.18046400000000001</v>
      </c>
    </row>
    <row r="1467" spans="1:17" hidden="1" x14ac:dyDescent="0.55000000000000004">
      <c r="A1467" s="3" t="s">
        <v>1937</v>
      </c>
      <c r="B1467" s="3" t="s">
        <v>1999</v>
      </c>
      <c r="C1467" t="s">
        <v>1999</v>
      </c>
      <c r="D1467" s="3" t="s">
        <v>7312</v>
      </c>
      <c r="E1467" t="s">
        <v>2016</v>
      </c>
      <c r="F1467" s="3" t="s">
        <v>2017</v>
      </c>
      <c r="G1467" t="s">
        <v>19</v>
      </c>
      <c r="H1467" s="3" t="s">
        <v>2018</v>
      </c>
      <c r="I1467" t="s">
        <v>1223</v>
      </c>
      <c r="J1467" s="3" t="s">
        <v>2019</v>
      </c>
      <c r="K1467" s="4">
        <v>245</v>
      </c>
      <c r="L1467" s="5">
        <v>53.24</v>
      </c>
      <c r="M1467" s="6">
        <v>0</v>
      </c>
      <c r="N1467" s="7">
        <v>0</v>
      </c>
      <c r="O1467" t="s">
        <v>2020</v>
      </c>
      <c r="P1467" s="3" t="s">
        <v>212</v>
      </c>
      <c r="Q1467" s="8">
        <v>0.106907</v>
      </c>
    </row>
    <row r="1468" spans="1:17" hidden="1" x14ac:dyDescent="0.55000000000000004">
      <c r="A1468" s="3" t="s">
        <v>1937</v>
      </c>
      <c r="B1468" s="3" t="s">
        <v>1999</v>
      </c>
      <c r="C1468" t="s">
        <v>1999</v>
      </c>
      <c r="D1468" s="3" t="s">
        <v>7312</v>
      </c>
      <c r="E1468" t="s">
        <v>2016</v>
      </c>
      <c r="F1468" s="3" t="s">
        <v>2017</v>
      </c>
      <c r="G1468" t="s">
        <v>19</v>
      </c>
      <c r="H1468" s="3" t="s">
        <v>2021</v>
      </c>
      <c r="I1468" t="s">
        <v>1227</v>
      </c>
      <c r="J1468" s="3" t="s">
        <v>2019</v>
      </c>
      <c r="K1468" s="4">
        <v>253</v>
      </c>
      <c r="L1468" s="5">
        <v>55.02</v>
      </c>
      <c r="M1468" s="6">
        <v>0</v>
      </c>
      <c r="N1468" s="7">
        <v>0</v>
      </c>
      <c r="O1468" t="s">
        <v>2022</v>
      </c>
      <c r="P1468" s="3" t="s">
        <v>212</v>
      </c>
      <c r="Q1468" s="8">
        <v>0.106907</v>
      </c>
    </row>
    <row r="1469" spans="1:17" hidden="1" x14ac:dyDescent="0.55000000000000004">
      <c r="A1469" s="3" t="s">
        <v>1937</v>
      </c>
      <c r="B1469" s="3" t="s">
        <v>1999</v>
      </c>
      <c r="C1469" t="s">
        <v>1999</v>
      </c>
      <c r="D1469" s="3" t="s">
        <v>7312</v>
      </c>
      <c r="E1469" t="s">
        <v>2016</v>
      </c>
      <c r="F1469" s="3" t="s">
        <v>2017</v>
      </c>
      <c r="G1469" t="s">
        <v>19</v>
      </c>
      <c r="H1469" s="3" t="s">
        <v>2023</v>
      </c>
      <c r="I1469" t="s">
        <v>1232</v>
      </c>
      <c r="J1469" s="3" t="s">
        <v>2019</v>
      </c>
      <c r="K1469" s="4">
        <v>304</v>
      </c>
      <c r="L1469" s="5">
        <v>65.98</v>
      </c>
      <c r="M1469" s="6">
        <v>1</v>
      </c>
      <c r="N1469" s="7">
        <v>0</v>
      </c>
      <c r="O1469" t="s">
        <v>2024</v>
      </c>
      <c r="P1469" s="3" t="s">
        <v>212</v>
      </c>
      <c r="Q1469" s="8">
        <v>7.0723999999999995E-2</v>
      </c>
    </row>
    <row r="1470" spans="1:17" hidden="1" x14ac:dyDescent="0.55000000000000004">
      <c r="A1470" s="3" t="s">
        <v>1937</v>
      </c>
      <c r="B1470" s="3" t="s">
        <v>1999</v>
      </c>
      <c r="C1470" t="s">
        <v>1999</v>
      </c>
      <c r="D1470" s="3" t="s">
        <v>7312</v>
      </c>
      <c r="E1470" t="s">
        <v>2016</v>
      </c>
      <c r="F1470" s="3" t="s">
        <v>2017</v>
      </c>
      <c r="G1470" t="s">
        <v>19</v>
      </c>
      <c r="H1470" s="3" t="s">
        <v>2025</v>
      </c>
      <c r="I1470" t="s">
        <v>686</v>
      </c>
      <c r="J1470" s="3" t="s">
        <v>2019</v>
      </c>
      <c r="K1470" s="4">
        <v>257</v>
      </c>
      <c r="L1470" s="5">
        <v>55.93</v>
      </c>
      <c r="M1470" s="6">
        <v>0</v>
      </c>
      <c r="N1470" s="7">
        <v>0</v>
      </c>
      <c r="O1470" t="s">
        <v>2026</v>
      </c>
      <c r="P1470" s="3" t="s">
        <v>1979</v>
      </c>
      <c r="Q1470" s="8">
        <v>5.8189999999999999E-2</v>
      </c>
    </row>
    <row r="1471" spans="1:17" hidden="1" x14ac:dyDescent="0.55000000000000004">
      <c r="A1471" s="3" t="s">
        <v>1937</v>
      </c>
      <c r="B1471" s="3" t="s">
        <v>1999</v>
      </c>
      <c r="C1471" t="s">
        <v>1999</v>
      </c>
      <c r="D1471" s="3" t="s">
        <v>7312</v>
      </c>
      <c r="E1471" t="s">
        <v>2016</v>
      </c>
      <c r="F1471" s="3" t="s">
        <v>2017</v>
      </c>
      <c r="G1471" t="s">
        <v>24</v>
      </c>
      <c r="H1471" s="3" t="s">
        <v>2013</v>
      </c>
      <c r="I1471" t="s">
        <v>52</v>
      </c>
      <c r="J1471" s="3" t="s">
        <v>2014</v>
      </c>
      <c r="K1471" s="4">
        <v>243</v>
      </c>
      <c r="L1471" s="5">
        <v>11.02</v>
      </c>
      <c r="M1471" s="6">
        <v>1</v>
      </c>
      <c r="N1471" s="7">
        <v>0</v>
      </c>
      <c r="O1471" t="s">
        <v>2015</v>
      </c>
      <c r="P1471" s="3" t="s">
        <v>55</v>
      </c>
      <c r="Q1471" s="8">
        <v>0.18046400000000001</v>
      </c>
    </row>
    <row r="1472" spans="1:17" hidden="1" x14ac:dyDescent="0.55000000000000004">
      <c r="A1472" s="3" t="s">
        <v>1937</v>
      </c>
      <c r="B1472" s="3" t="s">
        <v>1999</v>
      </c>
      <c r="C1472" t="s">
        <v>1999</v>
      </c>
      <c r="D1472" s="3" t="s">
        <v>7312</v>
      </c>
      <c r="E1472" t="s">
        <v>2027</v>
      </c>
      <c r="F1472" s="3" t="s">
        <v>2028</v>
      </c>
      <c r="G1472" t="s">
        <v>19</v>
      </c>
      <c r="H1472" s="3" t="s">
        <v>2002</v>
      </c>
      <c r="I1472" t="s">
        <v>1223</v>
      </c>
      <c r="J1472" s="3" t="s">
        <v>2003</v>
      </c>
      <c r="K1472" s="4">
        <v>239</v>
      </c>
      <c r="L1472" s="5">
        <v>51.98</v>
      </c>
      <c r="M1472" s="6">
        <v>0</v>
      </c>
      <c r="N1472" s="7">
        <v>1</v>
      </c>
      <c r="O1472" t="s">
        <v>1419</v>
      </c>
      <c r="P1472" s="3" t="s">
        <v>212</v>
      </c>
      <c r="Q1472" s="8">
        <v>7.6982999999999996E-2</v>
      </c>
    </row>
    <row r="1473" spans="1:17" hidden="1" x14ac:dyDescent="0.55000000000000004">
      <c r="A1473" s="3" t="s">
        <v>1937</v>
      </c>
      <c r="B1473" s="3" t="s">
        <v>1999</v>
      </c>
      <c r="C1473" t="s">
        <v>1999</v>
      </c>
      <c r="D1473" s="3" t="s">
        <v>7312</v>
      </c>
      <c r="E1473" t="s">
        <v>2027</v>
      </c>
      <c r="F1473" s="3" t="s">
        <v>2028</v>
      </c>
      <c r="G1473" t="s">
        <v>19</v>
      </c>
      <c r="H1473" s="3" t="s">
        <v>2004</v>
      </c>
      <c r="I1473" t="s">
        <v>1227</v>
      </c>
      <c r="J1473" s="3" t="s">
        <v>2003</v>
      </c>
      <c r="K1473" s="4">
        <v>247</v>
      </c>
      <c r="L1473" s="5">
        <v>53.76</v>
      </c>
      <c r="M1473" s="6">
        <v>0</v>
      </c>
      <c r="N1473" s="7">
        <v>1</v>
      </c>
      <c r="O1473" t="s">
        <v>1421</v>
      </c>
      <c r="P1473" s="3" t="s">
        <v>212</v>
      </c>
      <c r="Q1473" s="8">
        <v>7.6982999999999996E-2</v>
      </c>
    </row>
    <row r="1474" spans="1:17" hidden="1" x14ac:dyDescent="0.55000000000000004">
      <c r="A1474" s="3" t="s">
        <v>1937</v>
      </c>
      <c r="B1474" s="3" t="s">
        <v>1999</v>
      </c>
      <c r="C1474" t="s">
        <v>1999</v>
      </c>
      <c r="D1474" s="3" t="s">
        <v>7312</v>
      </c>
      <c r="E1474" t="s">
        <v>2027</v>
      </c>
      <c r="F1474" s="3" t="s">
        <v>2028</v>
      </c>
      <c r="G1474" t="s">
        <v>19</v>
      </c>
      <c r="H1474" s="3" t="s">
        <v>2005</v>
      </c>
      <c r="I1474" t="s">
        <v>1232</v>
      </c>
      <c r="J1474" s="3" t="s">
        <v>2003</v>
      </c>
      <c r="K1474" s="4">
        <v>300</v>
      </c>
      <c r="L1474" s="5">
        <v>65.33</v>
      </c>
      <c r="M1474" s="6">
        <v>1</v>
      </c>
      <c r="N1474" s="7">
        <v>1</v>
      </c>
      <c r="O1474" t="s">
        <v>2006</v>
      </c>
      <c r="P1474" s="3" t="s">
        <v>212</v>
      </c>
      <c r="Q1474" s="8">
        <v>7.6704999999999995E-2</v>
      </c>
    </row>
    <row r="1475" spans="1:17" hidden="1" x14ac:dyDescent="0.55000000000000004">
      <c r="A1475" s="3" t="s">
        <v>1937</v>
      </c>
      <c r="B1475" s="3" t="s">
        <v>1999</v>
      </c>
      <c r="C1475" t="s">
        <v>1999</v>
      </c>
      <c r="D1475" s="3" t="s">
        <v>7312</v>
      </c>
      <c r="E1475" t="s">
        <v>2027</v>
      </c>
      <c r="F1475" s="3" t="s">
        <v>2028</v>
      </c>
      <c r="G1475" t="s">
        <v>19</v>
      </c>
      <c r="H1475" s="3" t="s">
        <v>2007</v>
      </c>
      <c r="I1475" t="s">
        <v>686</v>
      </c>
      <c r="J1475" s="3" t="s">
        <v>2003</v>
      </c>
      <c r="K1475" s="4">
        <v>254</v>
      </c>
      <c r="L1475" s="5">
        <v>55.28</v>
      </c>
      <c r="M1475" s="6">
        <v>0</v>
      </c>
      <c r="N1475" s="7">
        <v>1</v>
      </c>
      <c r="O1475" t="s">
        <v>2008</v>
      </c>
      <c r="P1475" s="3" t="s">
        <v>1979</v>
      </c>
      <c r="Q1475" s="8">
        <v>6.3228999999999994E-2</v>
      </c>
    </row>
    <row r="1476" spans="1:17" hidden="1" x14ac:dyDescent="0.55000000000000004">
      <c r="A1476" s="3" t="s">
        <v>1937</v>
      </c>
      <c r="B1476" s="3" t="s">
        <v>1999</v>
      </c>
      <c r="C1476" t="s">
        <v>1999</v>
      </c>
      <c r="D1476" s="3" t="s">
        <v>7312</v>
      </c>
      <c r="E1476" t="s">
        <v>2027</v>
      </c>
      <c r="F1476" s="3" t="s">
        <v>2028</v>
      </c>
      <c r="G1476" t="s">
        <v>24</v>
      </c>
      <c r="H1476" s="3" t="s">
        <v>2013</v>
      </c>
      <c r="I1476" t="s">
        <v>52</v>
      </c>
      <c r="J1476" s="3" t="s">
        <v>2014</v>
      </c>
      <c r="K1476" s="4">
        <v>243</v>
      </c>
      <c r="L1476" s="5">
        <v>11.02</v>
      </c>
      <c r="M1476" s="6">
        <v>1</v>
      </c>
      <c r="N1476" s="7">
        <v>1</v>
      </c>
      <c r="O1476" t="s">
        <v>2015</v>
      </c>
      <c r="P1476" s="3" t="s">
        <v>55</v>
      </c>
      <c r="Q1476" s="8">
        <v>0.18046400000000001</v>
      </c>
    </row>
    <row r="1477" spans="1:17" hidden="1" x14ac:dyDescent="0.55000000000000004">
      <c r="A1477" s="3" t="s">
        <v>1937</v>
      </c>
      <c r="B1477" s="3" t="s">
        <v>1999</v>
      </c>
      <c r="C1477" t="s">
        <v>1999</v>
      </c>
      <c r="D1477" s="3" t="s">
        <v>7312</v>
      </c>
      <c r="E1477" t="s">
        <v>2027</v>
      </c>
      <c r="F1477" s="3" t="s">
        <v>2028</v>
      </c>
      <c r="G1477" t="s">
        <v>24</v>
      </c>
      <c r="H1477" s="3" t="s">
        <v>2029</v>
      </c>
      <c r="I1477" t="s">
        <v>218</v>
      </c>
      <c r="J1477" s="3" t="s">
        <v>2030</v>
      </c>
      <c r="K1477" s="4">
        <v>570</v>
      </c>
      <c r="L1477" s="5">
        <v>25.89</v>
      </c>
      <c r="M1477" s="6">
        <v>0</v>
      </c>
      <c r="N1477" s="7">
        <v>1</v>
      </c>
      <c r="O1477" t="s">
        <v>2031</v>
      </c>
      <c r="P1477" s="3" t="s">
        <v>23</v>
      </c>
      <c r="Q1477" s="8" t="s">
        <v>23</v>
      </c>
    </row>
    <row r="1478" spans="1:17" hidden="1" x14ac:dyDescent="0.55000000000000004">
      <c r="A1478" s="3" t="s">
        <v>1937</v>
      </c>
      <c r="B1478" s="3" t="s">
        <v>2032</v>
      </c>
      <c r="C1478" t="s">
        <v>2032</v>
      </c>
      <c r="D1478" s="3" t="s">
        <v>7312</v>
      </c>
      <c r="E1478" t="s">
        <v>2033</v>
      </c>
      <c r="F1478" s="3" t="s">
        <v>2034</v>
      </c>
      <c r="G1478" t="s">
        <v>24</v>
      </c>
      <c r="H1478" s="3" t="s">
        <v>2035</v>
      </c>
      <c r="I1478" t="s">
        <v>26</v>
      </c>
      <c r="J1478" s="3" t="s">
        <v>2036</v>
      </c>
      <c r="K1478" s="4">
        <v>318</v>
      </c>
      <c r="L1478" s="5">
        <v>14.47</v>
      </c>
      <c r="M1478" s="6">
        <v>1</v>
      </c>
      <c r="N1478" s="7">
        <v>0</v>
      </c>
      <c r="O1478" t="s">
        <v>2037</v>
      </c>
      <c r="P1478" s="3" t="s">
        <v>29</v>
      </c>
      <c r="Q1478" s="8">
        <v>0.18121999999999999</v>
      </c>
    </row>
    <row r="1479" spans="1:17" hidden="1" x14ac:dyDescent="0.55000000000000004">
      <c r="A1479" s="3" t="s">
        <v>1937</v>
      </c>
      <c r="B1479" s="3" t="s">
        <v>2038</v>
      </c>
      <c r="C1479" t="s">
        <v>2038</v>
      </c>
      <c r="D1479" s="3" t="s">
        <v>7312</v>
      </c>
      <c r="E1479" t="s">
        <v>2039</v>
      </c>
      <c r="F1479" s="3" t="s">
        <v>2040</v>
      </c>
      <c r="G1479" t="s">
        <v>19</v>
      </c>
      <c r="H1479" s="3" t="s">
        <v>2041</v>
      </c>
      <c r="I1479" t="s">
        <v>1223</v>
      </c>
      <c r="J1479" s="3" t="s">
        <v>2042</v>
      </c>
      <c r="K1479" s="4">
        <v>260</v>
      </c>
      <c r="L1479" s="5">
        <v>56.54</v>
      </c>
      <c r="M1479" s="6">
        <v>0</v>
      </c>
      <c r="N1479" s="7">
        <v>1</v>
      </c>
      <c r="O1479" t="s">
        <v>2043</v>
      </c>
      <c r="P1479" s="3" t="s">
        <v>212</v>
      </c>
      <c r="Q1479" s="8">
        <v>0.106907</v>
      </c>
    </row>
    <row r="1480" spans="1:17" hidden="1" x14ac:dyDescent="0.55000000000000004">
      <c r="A1480" s="3" t="s">
        <v>1937</v>
      </c>
      <c r="B1480" s="3" t="s">
        <v>2038</v>
      </c>
      <c r="C1480" t="s">
        <v>2038</v>
      </c>
      <c r="D1480" s="3" t="s">
        <v>7312</v>
      </c>
      <c r="E1480" t="s">
        <v>2039</v>
      </c>
      <c r="F1480" s="3" t="s">
        <v>2040</v>
      </c>
      <c r="G1480" t="s">
        <v>19</v>
      </c>
      <c r="H1480" s="3" t="s">
        <v>2044</v>
      </c>
      <c r="I1480" t="s">
        <v>1227</v>
      </c>
      <c r="J1480" s="3" t="s">
        <v>2042</v>
      </c>
      <c r="K1480" s="4">
        <v>268</v>
      </c>
      <c r="L1480" s="5">
        <v>58.33</v>
      </c>
      <c r="M1480" s="6">
        <v>0</v>
      </c>
      <c r="N1480" s="7">
        <v>1</v>
      </c>
      <c r="O1480" t="s">
        <v>2045</v>
      </c>
      <c r="P1480" s="3" t="s">
        <v>212</v>
      </c>
      <c r="Q1480" s="8">
        <v>0.106907</v>
      </c>
    </row>
    <row r="1481" spans="1:17" hidden="1" x14ac:dyDescent="0.55000000000000004">
      <c r="A1481" s="3" t="s">
        <v>1937</v>
      </c>
      <c r="B1481" s="3" t="s">
        <v>2038</v>
      </c>
      <c r="C1481" t="s">
        <v>2038</v>
      </c>
      <c r="D1481" s="3" t="s">
        <v>7312</v>
      </c>
      <c r="E1481" t="s">
        <v>2039</v>
      </c>
      <c r="F1481" s="3" t="s">
        <v>2040</v>
      </c>
      <c r="G1481" t="s">
        <v>19</v>
      </c>
      <c r="H1481" s="3" t="s">
        <v>2046</v>
      </c>
      <c r="I1481" t="s">
        <v>1232</v>
      </c>
      <c r="J1481" s="3" t="s">
        <v>2042</v>
      </c>
      <c r="K1481" s="4">
        <v>306</v>
      </c>
      <c r="L1481" s="5">
        <v>66.48</v>
      </c>
      <c r="M1481" s="6">
        <v>1</v>
      </c>
      <c r="N1481" s="7">
        <v>1</v>
      </c>
      <c r="O1481" t="s">
        <v>2047</v>
      </c>
      <c r="P1481" s="3" t="s">
        <v>212</v>
      </c>
      <c r="Q1481" s="8">
        <v>7.0723999999999995E-2</v>
      </c>
    </row>
    <row r="1482" spans="1:17" hidden="1" x14ac:dyDescent="0.55000000000000004">
      <c r="A1482" s="3" t="s">
        <v>1937</v>
      </c>
      <c r="B1482" s="3" t="s">
        <v>2038</v>
      </c>
      <c r="C1482" t="s">
        <v>2038</v>
      </c>
      <c r="D1482" s="3" t="s">
        <v>7312</v>
      </c>
      <c r="E1482" t="s">
        <v>2039</v>
      </c>
      <c r="F1482" s="3" t="s">
        <v>2040</v>
      </c>
      <c r="G1482" t="s">
        <v>19</v>
      </c>
      <c r="H1482" s="3" t="s">
        <v>2048</v>
      </c>
      <c r="I1482" t="s">
        <v>686</v>
      </c>
      <c r="J1482" s="3" t="s">
        <v>2042</v>
      </c>
      <c r="K1482" s="4">
        <v>260</v>
      </c>
      <c r="L1482" s="5">
        <v>56.43</v>
      </c>
      <c r="M1482" s="6">
        <v>0</v>
      </c>
      <c r="N1482" s="7">
        <v>1</v>
      </c>
      <c r="O1482" t="s">
        <v>2049</v>
      </c>
      <c r="P1482" s="3" t="s">
        <v>212</v>
      </c>
      <c r="Q1482" s="8">
        <v>6.1126E-2</v>
      </c>
    </row>
    <row r="1483" spans="1:17" hidden="1" x14ac:dyDescent="0.55000000000000004">
      <c r="A1483" s="3" t="s">
        <v>1937</v>
      </c>
      <c r="B1483" s="3" t="s">
        <v>2038</v>
      </c>
      <c r="C1483" t="s">
        <v>2038</v>
      </c>
      <c r="D1483" s="3" t="s">
        <v>7312</v>
      </c>
      <c r="E1483" t="s">
        <v>2039</v>
      </c>
      <c r="F1483" s="3" t="s">
        <v>2040</v>
      </c>
      <c r="G1483" t="s">
        <v>24</v>
      </c>
      <c r="H1483" s="3" t="s">
        <v>2050</v>
      </c>
      <c r="I1483" t="s">
        <v>52</v>
      </c>
      <c r="J1483" s="3" t="s">
        <v>2051</v>
      </c>
      <c r="K1483" s="4">
        <v>257</v>
      </c>
      <c r="L1483" s="5">
        <v>11.7</v>
      </c>
      <c r="M1483" s="6">
        <v>1</v>
      </c>
      <c r="N1483" s="7">
        <v>1</v>
      </c>
      <c r="O1483" t="s">
        <v>2052</v>
      </c>
      <c r="P1483" s="3" t="s">
        <v>55</v>
      </c>
      <c r="Q1483" s="8">
        <v>0.18061099999999999</v>
      </c>
    </row>
    <row r="1484" spans="1:17" hidden="1" x14ac:dyDescent="0.55000000000000004">
      <c r="A1484" s="3" t="s">
        <v>1937</v>
      </c>
      <c r="B1484" s="3" t="s">
        <v>2038</v>
      </c>
      <c r="C1484" t="s">
        <v>2038</v>
      </c>
      <c r="D1484" s="3" t="s">
        <v>7312</v>
      </c>
      <c r="E1484" t="s">
        <v>2039</v>
      </c>
      <c r="F1484" s="3" t="s">
        <v>2040</v>
      </c>
      <c r="G1484" t="s">
        <v>24</v>
      </c>
      <c r="H1484" s="3" t="s">
        <v>2053</v>
      </c>
      <c r="I1484" t="s">
        <v>218</v>
      </c>
      <c r="J1484" s="3" t="s">
        <v>2054</v>
      </c>
      <c r="K1484" s="4">
        <v>590</v>
      </c>
      <c r="L1484" s="5">
        <v>26.83</v>
      </c>
      <c r="M1484" s="6">
        <v>0</v>
      </c>
      <c r="N1484" s="7">
        <v>1</v>
      </c>
      <c r="O1484" t="s">
        <v>2055</v>
      </c>
      <c r="P1484" s="3" t="s">
        <v>23</v>
      </c>
      <c r="Q1484" s="8" t="s">
        <v>23</v>
      </c>
    </row>
    <row r="1485" spans="1:17" hidden="1" x14ac:dyDescent="0.55000000000000004">
      <c r="A1485" s="3" t="s">
        <v>1937</v>
      </c>
      <c r="B1485" s="3" t="s">
        <v>1967</v>
      </c>
      <c r="C1485" t="s">
        <v>1967</v>
      </c>
      <c r="D1485" s="3" t="s">
        <v>7312</v>
      </c>
      <c r="E1485" t="s">
        <v>2056</v>
      </c>
      <c r="F1485" s="3" t="s">
        <v>2057</v>
      </c>
      <c r="G1485" t="s">
        <v>19</v>
      </c>
      <c r="H1485" s="3" t="s">
        <v>2058</v>
      </c>
      <c r="I1485" t="s">
        <v>1284</v>
      </c>
      <c r="J1485" s="3" t="s">
        <v>2059</v>
      </c>
      <c r="K1485" s="4">
        <v>96</v>
      </c>
      <c r="L1485" s="5">
        <v>20.96</v>
      </c>
      <c r="M1485" s="6">
        <v>0</v>
      </c>
      <c r="N1485" s="7">
        <v>1</v>
      </c>
      <c r="O1485" t="s">
        <v>2060</v>
      </c>
      <c r="P1485" s="3" t="s">
        <v>1287</v>
      </c>
      <c r="Q1485" s="8">
        <v>2.7206999999999999E-2</v>
      </c>
    </row>
    <row r="1486" spans="1:17" hidden="1" x14ac:dyDescent="0.55000000000000004">
      <c r="A1486" s="3" t="s">
        <v>1937</v>
      </c>
      <c r="B1486" s="3" t="s">
        <v>1967</v>
      </c>
      <c r="C1486" t="s">
        <v>1967</v>
      </c>
      <c r="D1486" s="3" t="s">
        <v>7312</v>
      </c>
      <c r="E1486" t="s">
        <v>2056</v>
      </c>
      <c r="F1486" s="3" t="s">
        <v>2057</v>
      </c>
      <c r="G1486" t="s">
        <v>19</v>
      </c>
      <c r="H1486" s="3" t="s">
        <v>2061</v>
      </c>
      <c r="I1486" t="s">
        <v>1289</v>
      </c>
      <c r="J1486" s="3" t="s">
        <v>2059</v>
      </c>
      <c r="K1486" s="4">
        <v>36</v>
      </c>
      <c r="L1486" s="5">
        <v>7.89</v>
      </c>
      <c r="M1486" s="6">
        <v>0</v>
      </c>
      <c r="N1486" s="7">
        <v>1</v>
      </c>
      <c r="O1486" t="s">
        <v>2062</v>
      </c>
      <c r="P1486" s="3" t="s">
        <v>1952</v>
      </c>
      <c r="Q1486" s="8">
        <v>2.4676E-2</v>
      </c>
    </row>
    <row r="1487" spans="1:17" hidden="1" x14ac:dyDescent="0.55000000000000004">
      <c r="A1487" s="3" t="s">
        <v>1937</v>
      </c>
      <c r="B1487" s="3" t="s">
        <v>1967</v>
      </c>
      <c r="C1487" t="s">
        <v>1967</v>
      </c>
      <c r="D1487" s="3" t="s">
        <v>7312</v>
      </c>
      <c r="E1487" t="s">
        <v>2056</v>
      </c>
      <c r="F1487" s="3" t="s">
        <v>2057</v>
      </c>
      <c r="G1487" t="s">
        <v>19</v>
      </c>
      <c r="H1487" s="3" t="s">
        <v>2063</v>
      </c>
      <c r="I1487" t="s">
        <v>1357</v>
      </c>
      <c r="J1487" s="3" t="s">
        <v>2059</v>
      </c>
      <c r="K1487" s="4">
        <v>182</v>
      </c>
      <c r="L1487" s="5">
        <v>39.61</v>
      </c>
      <c r="M1487" s="6">
        <v>1</v>
      </c>
      <c r="N1487" s="7">
        <v>1</v>
      </c>
      <c r="O1487" t="s">
        <v>2064</v>
      </c>
      <c r="P1487" s="3" t="s">
        <v>1287</v>
      </c>
      <c r="Q1487" s="8">
        <v>2.8323999999999998E-2</v>
      </c>
    </row>
    <row r="1488" spans="1:17" hidden="1" x14ac:dyDescent="0.55000000000000004">
      <c r="A1488" s="3" t="s">
        <v>1937</v>
      </c>
      <c r="B1488" s="3" t="s">
        <v>1967</v>
      </c>
      <c r="C1488" t="s">
        <v>1967</v>
      </c>
      <c r="D1488" s="3" t="s">
        <v>7312</v>
      </c>
      <c r="E1488" t="s">
        <v>2056</v>
      </c>
      <c r="F1488" s="3" t="s">
        <v>2057</v>
      </c>
      <c r="G1488" t="s">
        <v>19</v>
      </c>
      <c r="H1488" s="3" t="s">
        <v>2065</v>
      </c>
      <c r="I1488" t="s">
        <v>1289</v>
      </c>
      <c r="J1488" s="3" t="s">
        <v>2059</v>
      </c>
      <c r="K1488" s="4">
        <v>36</v>
      </c>
      <c r="L1488" s="5">
        <v>7.89</v>
      </c>
      <c r="M1488" s="6">
        <v>0</v>
      </c>
      <c r="N1488" s="7">
        <v>1</v>
      </c>
      <c r="O1488" t="s">
        <v>2062</v>
      </c>
      <c r="P1488" s="3" t="s">
        <v>1952</v>
      </c>
      <c r="Q1488" s="8">
        <v>2.4676E-2</v>
      </c>
    </row>
    <row r="1489" spans="1:17" hidden="1" x14ac:dyDescent="0.55000000000000004">
      <c r="A1489" s="3" t="s">
        <v>1937</v>
      </c>
      <c r="B1489" s="3" t="s">
        <v>1967</v>
      </c>
      <c r="C1489" t="s">
        <v>1967</v>
      </c>
      <c r="D1489" s="3" t="s">
        <v>7312</v>
      </c>
      <c r="E1489" t="s">
        <v>2056</v>
      </c>
      <c r="F1489" s="3" t="s">
        <v>2057</v>
      </c>
      <c r="G1489" t="s">
        <v>24</v>
      </c>
      <c r="H1489" s="3" t="s">
        <v>2066</v>
      </c>
      <c r="I1489" t="s">
        <v>26</v>
      </c>
      <c r="J1489" s="3" t="s">
        <v>2067</v>
      </c>
      <c r="K1489" s="4">
        <v>282</v>
      </c>
      <c r="L1489" s="5">
        <v>12.83</v>
      </c>
      <c r="M1489" s="6">
        <v>1</v>
      </c>
      <c r="N1489" s="7">
        <v>1</v>
      </c>
      <c r="O1489" t="s">
        <v>2068</v>
      </c>
      <c r="P1489" s="3" t="s">
        <v>29</v>
      </c>
      <c r="Q1489" s="8">
        <v>0.18085999999999999</v>
      </c>
    </row>
    <row r="1490" spans="1:17" hidden="1" x14ac:dyDescent="0.55000000000000004">
      <c r="A1490" s="3" t="s">
        <v>1937</v>
      </c>
      <c r="B1490" s="3" t="s">
        <v>2069</v>
      </c>
      <c r="C1490" t="s">
        <v>2069</v>
      </c>
      <c r="D1490" s="3" t="s">
        <v>7312</v>
      </c>
      <c r="E1490" t="s">
        <v>2070</v>
      </c>
      <c r="F1490" s="3" t="s">
        <v>2071</v>
      </c>
      <c r="G1490" t="s">
        <v>19</v>
      </c>
      <c r="H1490" s="3" t="s">
        <v>2072</v>
      </c>
      <c r="I1490" t="s">
        <v>1223</v>
      </c>
      <c r="J1490" s="3" t="s">
        <v>2073</v>
      </c>
      <c r="K1490" s="4">
        <v>772</v>
      </c>
      <c r="L1490" s="5">
        <v>167.74</v>
      </c>
      <c r="M1490" s="6">
        <v>0</v>
      </c>
      <c r="N1490" s="7">
        <v>1</v>
      </c>
      <c r="O1490" t="s">
        <v>2074</v>
      </c>
      <c r="P1490" s="3" t="s">
        <v>212</v>
      </c>
      <c r="Q1490" s="8">
        <v>0.13794500000000001</v>
      </c>
    </row>
    <row r="1491" spans="1:17" hidden="1" x14ac:dyDescent="0.55000000000000004">
      <c r="A1491" s="3" t="s">
        <v>1937</v>
      </c>
      <c r="B1491" s="3" t="s">
        <v>2069</v>
      </c>
      <c r="C1491" t="s">
        <v>2069</v>
      </c>
      <c r="D1491" s="3" t="s">
        <v>7312</v>
      </c>
      <c r="E1491" t="s">
        <v>2070</v>
      </c>
      <c r="F1491" s="3" t="s">
        <v>2071</v>
      </c>
      <c r="G1491" t="s">
        <v>19</v>
      </c>
      <c r="H1491" s="3" t="s">
        <v>2075</v>
      </c>
      <c r="I1491" t="s">
        <v>1227</v>
      </c>
      <c r="J1491" s="3" t="s">
        <v>2073</v>
      </c>
      <c r="K1491" s="4">
        <v>780</v>
      </c>
      <c r="L1491" s="5">
        <v>169.52</v>
      </c>
      <c r="M1491" s="6">
        <v>0</v>
      </c>
      <c r="N1491" s="7">
        <v>1</v>
      </c>
      <c r="O1491" t="s">
        <v>2076</v>
      </c>
      <c r="P1491" s="3" t="s">
        <v>212</v>
      </c>
      <c r="Q1491" s="8">
        <v>0.13794500000000001</v>
      </c>
    </row>
    <row r="1492" spans="1:17" hidden="1" x14ac:dyDescent="0.55000000000000004">
      <c r="A1492" s="3" t="s">
        <v>1937</v>
      </c>
      <c r="B1492" s="3" t="s">
        <v>2069</v>
      </c>
      <c r="C1492" t="s">
        <v>2069</v>
      </c>
      <c r="D1492" s="3" t="s">
        <v>7312</v>
      </c>
      <c r="E1492" t="s">
        <v>2070</v>
      </c>
      <c r="F1492" s="3" t="s">
        <v>2071</v>
      </c>
      <c r="G1492" t="s">
        <v>19</v>
      </c>
      <c r="H1492" s="3" t="s">
        <v>2077</v>
      </c>
      <c r="I1492" t="s">
        <v>1232</v>
      </c>
      <c r="J1492" s="3" t="s">
        <v>2073</v>
      </c>
      <c r="K1492" s="4">
        <v>332</v>
      </c>
      <c r="L1492" s="5">
        <v>72.150000000000006</v>
      </c>
      <c r="M1492" s="6">
        <v>1</v>
      </c>
      <c r="N1492" s="7">
        <v>1</v>
      </c>
      <c r="O1492" t="s">
        <v>2078</v>
      </c>
      <c r="P1492" s="3" t="s">
        <v>212</v>
      </c>
      <c r="Q1492" s="8">
        <v>7.7338000000000004E-2</v>
      </c>
    </row>
    <row r="1493" spans="1:17" hidden="1" x14ac:dyDescent="0.55000000000000004">
      <c r="A1493" s="3" t="s">
        <v>1937</v>
      </c>
      <c r="B1493" s="3" t="s">
        <v>2069</v>
      </c>
      <c r="C1493" t="s">
        <v>2069</v>
      </c>
      <c r="D1493" s="3" t="s">
        <v>7312</v>
      </c>
      <c r="E1493" t="s">
        <v>2070</v>
      </c>
      <c r="F1493" s="3" t="s">
        <v>2071</v>
      </c>
      <c r="G1493" t="s">
        <v>19</v>
      </c>
      <c r="H1493" s="3" t="s">
        <v>2079</v>
      </c>
      <c r="I1493" t="s">
        <v>686</v>
      </c>
      <c r="J1493" s="3" t="s">
        <v>2073</v>
      </c>
      <c r="K1493" s="4">
        <v>238</v>
      </c>
      <c r="L1493" s="5">
        <v>51.74</v>
      </c>
      <c r="M1493" s="6">
        <v>0</v>
      </c>
      <c r="N1493" s="7">
        <v>1</v>
      </c>
      <c r="O1493" t="s">
        <v>2080</v>
      </c>
      <c r="P1493" s="3" t="s">
        <v>1979</v>
      </c>
      <c r="Q1493" s="8">
        <v>4.3570999999999999E-2</v>
      </c>
    </row>
    <row r="1494" spans="1:17" hidden="1" x14ac:dyDescent="0.55000000000000004">
      <c r="A1494" s="3" t="s">
        <v>1937</v>
      </c>
      <c r="B1494" s="3" t="s">
        <v>2069</v>
      </c>
      <c r="C1494" t="s">
        <v>2069</v>
      </c>
      <c r="D1494" s="3" t="s">
        <v>7312</v>
      </c>
      <c r="E1494" t="s">
        <v>2070</v>
      </c>
      <c r="F1494" s="3" t="s">
        <v>2071</v>
      </c>
      <c r="G1494" t="s">
        <v>24</v>
      </c>
      <c r="H1494" s="3" t="s">
        <v>2081</v>
      </c>
      <c r="I1494" t="s">
        <v>218</v>
      </c>
      <c r="J1494" s="3" t="s">
        <v>2082</v>
      </c>
      <c r="K1494" s="4">
        <v>997</v>
      </c>
      <c r="L1494" s="5">
        <v>45.31</v>
      </c>
      <c r="M1494" s="6">
        <v>1</v>
      </c>
      <c r="N1494" s="7">
        <v>1</v>
      </c>
      <c r="O1494" t="s">
        <v>2083</v>
      </c>
      <c r="P1494" s="3" t="s">
        <v>23</v>
      </c>
      <c r="Q1494" s="8" t="s">
        <v>23</v>
      </c>
    </row>
    <row r="1495" spans="1:17" hidden="1" x14ac:dyDescent="0.55000000000000004">
      <c r="A1495" s="3" t="s">
        <v>1937</v>
      </c>
      <c r="B1495" s="3" t="s">
        <v>2084</v>
      </c>
      <c r="C1495" t="s">
        <v>2084</v>
      </c>
      <c r="D1495" s="3" t="s">
        <v>7312</v>
      </c>
      <c r="E1495" t="s">
        <v>2085</v>
      </c>
      <c r="F1495" s="3" t="s">
        <v>2086</v>
      </c>
      <c r="G1495" t="s">
        <v>19</v>
      </c>
      <c r="H1495" s="3" t="s">
        <v>2087</v>
      </c>
      <c r="I1495" t="s">
        <v>1232</v>
      </c>
      <c r="J1495" s="3" t="s">
        <v>2088</v>
      </c>
      <c r="K1495" s="4">
        <v>237</v>
      </c>
      <c r="L1495" s="5">
        <v>51.48</v>
      </c>
      <c r="M1495" s="6">
        <v>1</v>
      </c>
      <c r="N1495" s="7">
        <v>1</v>
      </c>
      <c r="O1495" t="s">
        <v>2089</v>
      </c>
      <c r="P1495" s="3" t="s">
        <v>212</v>
      </c>
      <c r="Q1495" s="8">
        <v>6.1633E-2</v>
      </c>
    </row>
    <row r="1496" spans="1:17" hidden="1" x14ac:dyDescent="0.55000000000000004">
      <c r="A1496" s="3" t="s">
        <v>1937</v>
      </c>
      <c r="B1496" s="3" t="s">
        <v>2084</v>
      </c>
      <c r="C1496" t="s">
        <v>2084</v>
      </c>
      <c r="D1496" s="3" t="s">
        <v>7312</v>
      </c>
      <c r="E1496" t="s">
        <v>2085</v>
      </c>
      <c r="F1496" s="3" t="s">
        <v>2086</v>
      </c>
      <c r="G1496" t="s">
        <v>19</v>
      </c>
      <c r="H1496" s="3" t="s">
        <v>2090</v>
      </c>
      <c r="I1496" t="s">
        <v>1223</v>
      </c>
      <c r="J1496" s="3" t="s">
        <v>2088</v>
      </c>
      <c r="K1496" s="4">
        <v>466</v>
      </c>
      <c r="L1496" s="5">
        <v>101.2</v>
      </c>
      <c r="M1496" s="6">
        <v>0</v>
      </c>
      <c r="N1496" s="7">
        <v>1</v>
      </c>
      <c r="O1496" t="s">
        <v>2091</v>
      </c>
      <c r="P1496" s="3" t="s">
        <v>212</v>
      </c>
      <c r="Q1496" s="8">
        <v>0.105907</v>
      </c>
    </row>
    <row r="1497" spans="1:17" hidden="1" x14ac:dyDescent="0.55000000000000004">
      <c r="A1497" s="3" t="s">
        <v>1937</v>
      </c>
      <c r="B1497" s="3" t="s">
        <v>2084</v>
      </c>
      <c r="C1497" t="s">
        <v>2084</v>
      </c>
      <c r="D1497" s="3" t="s">
        <v>7312</v>
      </c>
      <c r="E1497" t="s">
        <v>2085</v>
      </c>
      <c r="F1497" s="3" t="s">
        <v>2086</v>
      </c>
      <c r="G1497" t="s">
        <v>19</v>
      </c>
      <c r="H1497" s="3" t="s">
        <v>2092</v>
      </c>
      <c r="I1497" t="s">
        <v>1227</v>
      </c>
      <c r="J1497" s="3" t="s">
        <v>2088</v>
      </c>
      <c r="K1497" s="4">
        <v>474</v>
      </c>
      <c r="L1497" s="5">
        <v>102.98</v>
      </c>
      <c r="M1497" s="6">
        <v>0</v>
      </c>
      <c r="N1497" s="7">
        <v>1</v>
      </c>
      <c r="O1497" t="s">
        <v>2093</v>
      </c>
      <c r="P1497" s="3" t="s">
        <v>212</v>
      </c>
      <c r="Q1497" s="8">
        <v>0.105907</v>
      </c>
    </row>
    <row r="1498" spans="1:17" hidden="1" x14ac:dyDescent="0.55000000000000004">
      <c r="A1498" s="3" t="s">
        <v>1937</v>
      </c>
      <c r="B1498" s="3" t="s">
        <v>2084</v>
      </c>
      <c r="C1498" t="s">
        <v>2084</v>
      </c>
      <c r="D1498" s="3" t="s">
        <v>7312</v>
      </c>
      <c r="E1498" t="s">
        <v>2085</v>
      </c>
      <c r="F1498" s="3" t="s">
        <v>2086</v>
      </c>
      <c r="G1498" t="s">
        <v>19</v>
      </c>
      <c r="H1498" s="3" t="s">
        <v>2094</v>
      </c>
      <c r="I1498" t="s">
        <v>686</v>
      </c>
      <c r="J1498" s="3" t="s">
        <v>2088</v>
      </c>
      <c r="K1498" s="4">
        <v>191</v>
      </c>
      <c r="L1498" s="5">
        <v>41.43</v>
      </c>
      <c r="M1498" s="6">
        <v>0</v>
      </c>
      <c r="N1498" s="7">
        <v>1</v>
      </c>
      <c r="O1498" t="s">
        <v>2095</v>
      </c>
      <c r="P1498" s="3" t="s">
        <v>1979</v>
      </c>
      <c r="Q1498" s="8">
        <v>6.3228999999999994E-2</v>
      </c>
    </row>
    <row r="1499" spans="1:17" hidden="1" x14ac:dyDescent="0.55000000000000004">
      <c r="A1499" s="3" t="s">
        <v>1937</v>
      </c>
      <c r="B1499" s="3" t="s">
        <v>2084</v>
      </c>
      <c r="C1499" t="s">
        <v>2084</v>
      </c>
      <c r="D1499" s="3" t="s">
        <v>7312</v>
      </c>
      <c r="E1499" t="s">
        <v>2085</v>
      </c>
      <c r="F1499" s="3" t="s">
        <v>2086</v>
      </c>
      <c r="G1499" t="s">
        <v>24</v>
      </c>
      <c r="H1499" s="3" t="s">
        <v>2096</v>
      </c>
      <c r="I1499" t="s">
        <v>52</v>
      </c>
      <c r="J1499" s="3" t="s">
        <v>2097</v>
      </c>
      <c r="K1499" s="4">
        <v>231</v>
      </c>
      <c r="L1499" s="5">
        <v>10.49</v>
      </c>
      <c r="M1499" s="6">
        <v>1</v>
      </c>
      <c r="N1499" s="7">
        <v>1</v>
      </c>
      <c r="O1499" t="s">
        <v>2098</v>
      </c>
      <c r="P1499" s="3" t="s">
        <v>55</v>
      </c>
      <c r="Q1499" s="8">
        <v>0.18034500000000001</v>
      </c>
    </row>
    <row r="1500" spans="1:17" hidden="1" x14ac:dyDescent="0.55000000000000004">
      <c r="A1500" s="3" t="s">
        <v>1937</v>
      </c>
      <c r="B1500" s="3" t="s">
        <v>2084</v>
      </c>
      <c r="C1500" t="s">
        <v>2084</v>
      </c>
      <c r="D1500" s="3" t="s">
        <v>7312</v>
      </c>
      <c r="E1500" t="s">
        <v>2085</v>
      </c>
      <c r="F1500" s="3" t="s">
        <v>2086</v>
      </c>
      <c r="G1500" t="s">
        <v>24</v>
      </c>
      <c r="H1500" s="3" t="s">
        <v>2099</v>
      </c>
      <c r="I1500" t="s">
        <v>218</v>
      </c>
      <c r="J1500" s="3" t="s">
        <v>2100</v>
      </c>
      <c r="K1500" s="4">
        <v>647</v>
      </c>
      <c r="L1500" s="5">
        <v>29.39</v>
      </c>
      <c r="M1500" s="6">
        <v>0</v>
      </c>
      <c r="N1500" s="7">
        <v>1</v>
      </c>
      <c r="O1500" t="s">
        <v>2101</v>
      </c>
      <c r="P1500" s="3" t="s">
        <v>23</v>
      </c>
      <c r="Q1500" s="8" t="s">
        <v>23</v>
      </c>
    </row>
    <row r="1501" spans="1:17" hidden="1" x14ac:dyDescent="0.55000000000000004">
      <c r="A1501" s="3" t="s">
        <v>1937</v>
      </c>
      <c r="B1501" s="3" t="s">
        <v>2102</v>
      </c>
      <c r="C1501" t="s">
        <v>2102</v>
      </c>
      <c r="D1501" s="3" t="s">
        <v>7312</v>
      </c>
      <c r="E1501" t="s">
        <v>2103</v>
      </c>
      <c r="F1501" s="3" t="s">
        <v>2104</v>
      </c>
      <c r="G1501" t="s">
        <v>19</v>
      </c>
      <c r="H1501" s="3" t="s">
        <v>2105</v>
      </c>
      <c r="I1501" t="s">
        <v>1223</v>
      </c>
      <c r="J1501" s="3" t="s">
        <v>2106</v>
      </c>
      <c r="K1501" s="4">
        <v>393</v>
      </c>
      <c r="L1501" s="5">
        <v>85.52</v>
      </c>
      <c r="M1501" s="6">
        <v>0</v>
      </c>
      <c r="N1501" s="7">
        <v>0</v>
      </c>
      <c r="O1501" t="s">
        <v>2107</v>
      </c>
      <c r="P1501" s="3" t="s">
        <v>212</v>
      </c>
      <c r="Q1501" s="8">
        <v>0.12169000000000001</v>
      </c>
    </row>
    <row r="1502" spans="1:17" hidden="1" x14ac:dyDescent="0.55000000000000004">
      <c r="A1502" s="3" t="s">
        <v>1937</v>
      </c>
      <c r="B1502" s="3" t="s">
        <v>2102</v>
      </c>
      <c r="C1502" t="s">
        <v>2102</v>
      </c>
      <c r="D1502" s="3" t="s">
        <v>7312</v>
      </c>
      <c r="E1502" t="s">
        <v>2103</v>
      </c>
      <c r="F1502" s="3" t="s">
        <v>2104</v>
      </c>
      <c r="G1502" t="s">
        <v>19</v>
      </c>
      <c r="H1502" s="3" t="s">
        <v>2108</v>
      </c>
      <c r="I1502" t="s">
        <v>1227</v>
      </c>
      <c r="J1502" s="3" t="s">
        <v>2106</v>
      </c>
      <c r="K1502" s="4">
        <v>402</v>
      </c>
      <c r="L1502" s="5">
        <v>87.3</v>
      </c>
      <c r="M1502" s="6">
        <v>0</v>
      </c>
      <c r="N1502" s="7">
        <v>0</v>
      </c>
      <c r="O1502" t="s">
        <v>2109</v>
      </c>
      <c r="P1502" s="3" t="s">
        <v>212</v>
      </c>
      <c r="Q1502" s="8">
        <v>0.12169000000000001</v>
      </c>
    </row>
    <row r="1503" spans="1:17" hidden="1" x14ac:dyDescent="0.55000000000000004">
      <c r="A1503" s="3" t="s">
        <v>1937</v>
      </c>
      <c r="B1503" s="3" t="s">
        <v>2102</v>
      </c>
      <c r="C1503" t="s">
        <v>2102</v>
      </c>
      <c r="D1503" s="3" t="s">
        <v>7312</v>
      </c>
      <c r="E1503" t="s">
        <v>2103</v>
      </c>
      <c r="F1503" s="3" t="s">
        <v>2104</v>
      </c>
      <c r="G1503" t="s">
        <v>19</v>
      </c>
      <c r="H1503" s="3" t="s">
        <v>2110</v>
      </c>
      <c r="I1503" t="s">
        <v>686</v>
      </c>
      <c r="J1503" s="3" t="s">
        <v>2106</v>
      </c>
      <c r="K1503" s="4">
        <v>267</v>
      </c>
      <c r="L1503" s="5">
        <v>58.07</v>
      </c>
      <c r="M1503" s="6">
        <v>0</v>
      </c>
      <c r="N1503" s="7">
        <v>0</v>
      </c>
      <c r="O1503" t="s">
        <v>2111</v>
      </c>
      <c r="P1503" s="3" t="s">
        <v>1979</v>
      </c>
      <c r="Q1503" s="8">
        <v>7.5373999999999997E-2</v>
      </c>
    </row>
    <row r="1504" spans="1:17" hidden="1" x14ac:dyDescent="0.55000000000000004">
      <c r="A1504" s="3" t="s">
        <v>1937</v>
      </c>
      <c r="B1504" s="3" t="s">
        <v>2102</v>
      </c>
      <c r="C1504" t="s">
        <v>2102</v>
      </c>
      <c r="D1504" s="3" t="s">
        <v>7312</v>
      </c>
      <c r="E1504" t="s">
        <v>2103</v>
      </c>
      <c r="F1504" s="3" t="s">
        <v>2104</v>
      </c>
      <c r="G1504" t="s">
        <v>19</v>
      </c>
      <c r="H1504" s="3" t="s">
        <v>2112</v>
      </c>
      <c r="I1504" t="s">
        <v>1232</v>
      </c>
      <c r="J1504" s="3" t="s">
        <v>2106</v>
      </c>
      <c r="K1504" s="4">
        <v>313</v>
      </c>
      <c r="L1504" s="5">
        <v>68.11</v>
      </c>
      <c r="M1504" s="6">
        <v>1</v>
      </c>
      <c r="N1504" s="7">
        <v>0</v>
      </c>
      <c r="O1504" t="s">
        <v>2113</v>
      </c>
      <c r="P1504" s="3" t="s">
        <v>212</v>
      </c>
      <c r="Q1504" s="8">
        <v>7.6704999999999995E-2</v>
      </c>
    </row>
    <row r="1505" spans="1:17" hidden="1" x14ac:dyDescent="0.55000000000000004">
      <c r="A1505" s="3" t="s">
        <v>1937</v>
      </c>
      <c r="B1505" s="3" t="s">
        <v>2102</v>
      </c>
      <c r="C1505" t="s">
        <v>2102</v>
      </c>
      <c r="D1505" s="3" t="s">
        <v>7312</v>
      </c>
      <c r="E1505" t="s">
        <v>2103</v>
      </c>
      <c r="F1505" s="3" t="s">
        <v>2104</v>
      </c>
      <c r="G1505" t="s">
        <v>24</v>
      </c>
      <c r="H1505" s="3" t="s">
        <v>2114</v>
      </c>
      <c r="I1505" t="s">
        <v>26</v>
      </c>
      <c r="J1505" s="3" t="s">
        <v>2115</v>
      </c>
      <c r="K1505" s="4">
        <v>178</v>
      </c>
      <c r="L1505" s="5">
        <v>8.08</v>
      </c>
      <c r="M1505" s="6">
        <v>1</v>
      </c>
      <c r="N1505" s="7">
        <v>0</v>
      </c>
      <c r="O1505" t="s">
        <v>2116</v>
      </c>
      <c r="P1505" s="3" t="s">
        <v>29</v>
      </c>
      <c r="Q1505" s="8">
        <v>0.17981800000000001</v>
      </c>
    </row>
    <row r="1506" spans="1:17" hidden="1" x14ac:dyDescent="0.55000000000000004">
      <c r="A1506" s="3" t="s">
        <v>1937</v>
      </c>
      <c r="B1506" s="3" t="s">
        <v>7345</v>
      </c>
      <c r="C1506" t="s">
        <v>2117</v>
      </c>
      <c r="D1506" s="3" t="s">
        <v>7312</v>
      </c>
      <c r="E1506" t="s">
        <v>2118</v>
      </c>
      <c r="F1506" s="3" t="s">
        <v>2119</v>
      </c>
      <c r="G1506" t="s">
        <v>19</v>
      </c>
      <c r="H1506" s="3" t="s">
        <v>2120</v>
      </c>
      <c r="I1506" t="s">
        <v>1232</v>
      </c>
      <c r="J1506" s="3" t="s">
        <v>2121</v>
      </c>
      <c r="K1506" s="4">
        <v>131</v>
      </c>
      <c r="L1506" s="5">
        <v>28.54</v>
      </c>
      <c r="M1506" s="6">
        <v>1</v>
      </c>
      <c r="N1506" s="7">
        <v>1</v>
      </c>
      <c r="O1506" t="s">
        <v>2122</v>
      </c>
      <c r="P1506" s="3" t="s">
        <v>212</v>
      </c>
      <c r="Q1506" s="8">
        <v>4.3740000000000001E-2</v>
      </c>
    </row>
    <row r="1507" spans="1:17" hidden="1" x14ac:dyDescent="0.55000000000000004">
      <c r="A1507" s="3" t="s">
        <v>1937</v>
      </c>
      <c r="B1507" s="3" t="s">
        <v>7345</v>
      </c>
      <c r="C1507" t="s">
        <v>2117</v>
      </c>
      <c r="D1507" s="3" t="s">
        <v>7312</v>
      </c>
      <c r="E1507" t="s">
        <v>2118</v>
      </c>
      <c r="F1507" s="3" t="s">
        <v>2119</v>
      </c>
      <c r="G1507" t="s">
        <v>19</v>
      </c>
      <c r="H1507" s="3" t="s">
        <v>2123</v>
      </c>
      <c r="I1507" t="s">
        <v>1227</v>
      </c>
      <c r="J1507" s="3" t="s">
        <v>2121</v>
      </c>
      <c r="K1507" s="4">
        <v>579</v>
      </c>
      <c r="L1507" s="5">
        <v>125.91</v>
      </c>
      <c r="M1507" s="6">
        <v>0</v>
      </c>
      <c r="N1507" s="7">
        <v>1</v>
      </c>
      <c r="O1507" t="s">
        <v>2124</v>
      </c>
      <c r="P1507" s="3" t="s">
        <v>212</v>
      </c>
      <c r="Q1507" s="8">
        <v>0.115102</v>
      </c>
    </row>
    <row r="1508" spans="1:17" hidden="1" x14ac:dyDescent="0.55000000000000004">
      <c r="A1508" s="3" t="s">
        <v>1937</v>
      </c>
      <c r="B1508" s="3" t="s">
        <v>7345</v>
      </c>
      <c r="C1508" t="s">
        <v>2117</v>
      </c>
      <c r="D1508" s="3" t="s">
        <v>7312</v>
      </c>
      <c r="E1508" t="s">
        <v>2118</v>
      </c>
      <c r="F1508" s="3" t="s">
        <v>2119</v>
      </c>
      <c r="G1508" t="s">
        <v>19</v>
      </c>
      <c r="H1508" s="3" t="s">
        <v>2125</v>
      </c>
      <c r="I1508" t="s">
        <v>686</v>
      </c>
      <c r="J1508" s="3" t="s">
        <v>2121</v>
      </c>
      <c r="K1508" s="4">
        <v>56</v>
      </c>
      <c r="L1508" s="5">
        <v>12.26</v>
      </c>
      <c r="M1508" s="6">
        <v>0</v>
      </c>
      <c r="N1508" s="7">
        <v>1</v>
      </c>
      <c r="O1508" t="s">
        <v>2126</v>
      </c>
      <c r="P1508" s="3" t="s">
        <v>1979</v>
      </c>
      <c r="Q1508" s="8">
        <v>1.7048000000000001E-2</v>
      </c>
    </row>
    <row r="1509" spans="1:17" hidden="1" x14ac:dyDescent="0.55000000000000004">
      <c r="A1509" s="3" t="s">
        <v>1937</v>
      </c>
      <c r="B1509" s="3" t="s">
        <v>7345</v>
      </c>
      <c r="C1509" t="s">
        <v>2117</v>
      </c>
      <c r="D1509" s="3" t="s">
        <v>7312</v>
      </c>
      <c r="E1509" t="s">
        <v>2118</v>
      </c>
      <c r="F1509" s="3" t="s">
        <v>2119</v>
      </c>
      <c r="G1509" t="s">
        <v>19</v>
      </c>
      <c r="H1509" s="3" t="s">
        <v>2127</v>
      </c>
      <c r="I1509" t="s">
        <v>1223</v>
      </c>
      <c r="J1509" s="3" t="s">
        <v>2121</v>
      </c>
      <c r="K1509" s="4">
        <v>571</v>
      </c>
      <c r="L1509" s="5">
        <v>124.13</v>
      </c>
      <c r="M1509" s="6">
        <v>0</v>
      </c>
      <c r="N1509" s="7">
        <v>1</v>
      </c>
      <c r="O1509" t="s">
        <v>2128</v>
      </c>
      <c r="P1509" s="3" t="s">
        <v>212</v>
      </c>
      <c r="Q1509" s="8">
        <v>0.115102</v>
      </c>
    </row>
    <row r="1510" spans="1:17" hidden="1" x14ac:dyDescent="0.55000000000000004">
      <c r="A1510" s="3" t="s">
        <v>1937</v>
      </c>
      <c r="B1510" s="3" t="s">
        <v>7345</v>
      </c>
      <c r="C1510" t="s">
        <v>2117</v>
      </c>
      <c r="D1510" s="3" t="s">
        <v>7312</v>
      </c>
      <c r="E1510" t="s">
        <v>2118</v>
      </c>
      <c r="F1510" s="3" t="s">
        <v>2119</v>
      </c>
      <c r="G1510" t="s">
        <v>24</v>
      </c>
      <c r="H1510" s="3" t="s">
        <v>2129</v>
      </c>
      <c r="I1510" t="s">
        <v>52</v>
      </c>
      <c r="J1510" s="3" t="s">
        <v>2130</v>
      </c>
      <c r="K1510" s="4">
        <v>371</v>
      </c>
      <c r="L1510" s="5">
        <v>16.88</v>
      </c>
      <c r="M1510" s="6">
        <v>1</v>
      </c>
      <c r="N1510" s="7">
        <v>1</v>
      </c>
      <c r="O1510" t="s">
        <v>2131</v>
      </c>
      <c r="P1510" s="3" t="s">
        <v>55</v>
      </c>
      <c r="Q1510" s="8">
        <v>0.18174899999999999</v>
      </c>
    </row>
    <row r="1511" spans="1:17" hidden="1" x14ac:dyDescent="0.55000000000000004">
      <c r="A1511" s="3" t="s">
        <v>1937</v>
      </c>
      <c r="B1511" s="3" t="s">
        <v>7345</v>
      </c>
      <c r="C1511" t="s">
        <v>2117</v>
      </c>
      <c r="D1511" s="3" t="s">
        <v>7312</v>
      </c>
      <c r="E1511" t="s">
        <v>2118</v>
      </c>
      <c r="F1511" s="3" t="s">
        <v>2119</v>
      </c>
      <c r="G1511" t="s">
        <v>24</v>
      </c>
      <c r="H1511" s="3" t="s">
        <v>2132</v>
      </c>
      <c r="I1511" t="s">
        <v>218</v>
      </c>
      <c r="J1511" s="3" t="s">
        <v>2133</v>
      </c>
      <c r="K1511" s="4">
        <v>801</v>
      </c>
      <c r="L1511" s="5">
        <v>36.43</v>
      </c>
      <c r="M1511" s="6">
        <v>0</v>
      </c>
      <c r="N1511" s="7">
        <v>1</v>
      </c>
      <c r="O1511" t="s">
        <v>2134</v>
      </c>
      <c r="P1511" s="3" t="s">
        <v>23</v>
      </c>
      <c r="Q1511" s="8" t="s">
        <v>23</v>
      </c>
    </row>
    <row r="1512" spans="1:17" hidden="1" x14ac:dyDescent="0.55000000000000004">
      <c r="A1512" s="3" t="s">
        <v>1937</v>
      </c>
      <c r="B1512" s="3" t="s">
        <v>2117</v>
      </c>
      <c r="C1512" t="s">
        <v>2117</v>
      </c>
      <c r="D1512" s="3" t="s">
        <v>7312</v>
      </c>
      <c r="E1512" t="s">
        <v>2135</v>
      </c>
      <c r="F1512" s="3" t="s">
        <v>2136</v>
      </c>
      <c r="G1512" t="s">
        <v>19</v>
      </c>
      <c r="H1512" s="3" t="s">
        <v>2137</v>
      </c>
      <c r="I1512" t="s">
        <v>1284</v>
      </c>
      <c r="J1512" s="3" t="s">
        <v>2138</v>
      </c>
      <c r="K1512" s="4">
        <v>7</v>
      </c>
      <c r="L1512" s="5">
        <v>1.54</v>
      </c>
      <c r="M1512" s="6">
        <v>0</v>
      </c>
      <c r="N1512" s="7">
        <v>0</v>
      </c>
      <c r="O1512" t="s">
        <v>2139</v>
      </c>
      <c r="P1512" s="3" t="s">
        <v>1287</v>
      </c>
      <c r="Q1512" s="8">
        <v>8.7690000000000008E-3</v>
      </c>
    </row>
    <row r="1513" spans="1:17" hidden="1" x14ac:dyDescent="0.55000000000000004">
      <c r="A1513" s="3" t="s">
        <v>1937</v>
      </c>
      <c r="B1513" s="3" t="s">
        <v>2117</v>
      </c>
      <c r="C1513" t="s">
        <v>2117</v>
      </c>
      <c r="D1513" s="3" t="s">
        <v>7312</v>
      </c>
      <c r="E1513" t="s">
        <v>2135</v>
      </c>
      <c r="F1513" s="3" t="s">
        <v>2136</v>
      </c>
      <c r="G1513" t="s">
        <v>19</v>
      </c>
      <c r="H1513" s="3" t="s">
        <v>2140</v>
      </c>
      <c r="I1513" t="s">
        <v>1617</v>
      </c>
      <c r="J1513" s="3" t="s">
        <v>1612</v>
      </c>
      <c r="K1513" s="4">
        <v>278</v>
      </c>
      <c r="L1513" s="5">
        <v>60.48</v>
      </c>
      <c r="M1513" s="6">
        <v>1</v>
      </c>
      <c r="N1513" s="7">
        <v>0</v>
      </c>
      <c r="O1513" t="s">
        <v>1618</v>
      </c>
      <c r="P1513" s="3" t="s">
        <v>1615</v>
      </c>
      <c r="Q1513" s="8">
        <v>4.1689999999999998E-2</v>
      </c>
    </row>
    <row r="1514" spans="1:17" hidden="1" x14ac:dyDescent="0.55000000000000004">
      <c r="A1514" s="3" t="s">
        <v>1937</v>
      </c>
      <c r="B1514" s="3" t="s">
        <v>2117</v>
      </c>
      <c r="C1514" t="s">
        <v>2117</v>
      </c>
      <c r="D1514" s="3" t="s">
        <v>7312</v>
      </c>
      <c r="E1514" t="s">
        <v>2135</v>
      </c>
      <c r="F1514" s="3" t="s">
        <v>2136</v>
      </c>
      <c r="G1514" t="s">
        <v>24</v>
      </c>
      <c r="H1514" s="3" t="s">
        <v>2129</v>
      </c>
      <c r="I1514" t="s">
        <v>52</v>
      </c>
      <c r="J1514" s="3" t="s">
        <v>2130</v>
      </c>
      <c r="K1514" s="4">
        <v>371</v>
      </c>
      <c r="L1514" s="5">
        <v>16.88</v>
      </c>
      <c r="M1514" s="6">
        <v>1</v>
      </c>
      <c r="N1514" s="7">
        <v>0</v>
      </c>
      <c r="O1514" t="s">
        <v>2131</v>
      </c>
      <c r="P1514" s="3" t="s">
        <v>55</v>
      </c>
      <c r="Q1514" s="8">
        <v>0.18174899999999999</v>
      </c>
    </row>
    <row r="1515" spans="1:17" hidden="1" x14ac:dyDescent="0.55000000000000004">
      <c r="A1515" s="3" t="s">
        <v>1937</v>
      </c>
      <c r="B1515" s="3" t="s">
        <v>2117</v>
      </c>
      <c r="C1515" t="s">
        <v>2117</v>
      </c>
      <c r="D1515" s="3" t="s">
        <v>7312</v>
      </c>
      <c r="E1515" t="s">
        <v>2141</v>
      </c>
      <c r="F1515" s="3" t="s">
        <v>2142</v>
      </c>
      <c r="G1515" t="s">
        <v>19</v>
      </c>
      <c r="H1515" s="3" t="s">
        <v>2137</v>
      </c>
      <c r="I1515" t="s">
        <v>1284</v>
      </c>
      <c r="J1515" s="3" t="s">
        <v>2138</v>
      </c>
      <c r="K1515" s="4">
        <v>7</v>
      </c>
      <c r="L1515" s="5">
        <v>1.54</v>
      </c>
      <c r="M1515" s="6">
        <v>0</v>
      </c>
      <c r="N1515" s="7">
        <v>0</v>
      </c>
      <c r="O1515" t="s">
        <v>2139</v>
      </c>
      <c r="P1515" s="3" t="s">
        <v>1287</v>
      </c>
      <c r="Q1515" s="8">
        <v>8.7690000000000008E-3</v>
      </c>
    </row>
    <row r="1516" spans="1:17" hidden="1" x14ac:dyDescent="0.55000000000000004">
      <c r="A1516" s="3" t="s">
        <v>1937</v>
      </c>
      <c r="B1516" s="3" t="s">
        <v>2117</v>
      </c>
      <c r="C1516" t="s">
        <v>2117</v>
      </c>
      <c r="D1516" s="3" t="s">
        <v>7312</v>
      </c>
      <c r="E1516" t="s">
        <v>2141</v>
      </c>
      <c r="F1516" s="3" t="s">
        <v>2142</v>
      </c>
      <c r="G1516" t="s">
        <v>19</v>
      </c>
      <c r="H1516" s="3" t="s">
        <v>2140</v>
      </c>
      <c r="I1516" t="s">
        <v>1617</v>
      </c>
      <c r="J1516" s="3" t="s">
        <v>1612</v>
      </c>
      <c r="K1516" s="4">
        <v>278</v>
      </c>
      <c r="L1516" s="5">
        <v>60.48</v>
      </c>
      <c r="M1516" s="6">
        <v>1</v>
      </c>
      <c r="N1516" s="7">
        <v>0</v>
      </c>
      <c r="O1516" t="s">
        <v>1618</v>
      </c>
      <c r="P1516" s="3" t="s">
        <v>1615</v>
      </c>
      <c r="Q1516" s="8">
        <v>4.1689999999999998E-2</v>
      </c>
    </row>
    <row r="1517" spans="1:17" hidden="1" x14ac:dyDescent="0.55000000000000004">
      <c r="A1517" s="9" t="s">
        <v>1937</v>
      </c>
      <c r="B1517" s="3" t="s">
        <v>2117</v>
      </c>
      <c r="C1517" t="s">
        <v>2117</v>
      </c>
      <c r="D1517" s="3" t="s">
        <v>7312</v>
      </c>
      <c r="E1517" t="s">
        <v>2141</v>
      </c>
      <c r="F1517" s="3" t="s">
        <v>2142</v>
      </c>
      <c r="G1517" t="s">
        <v>24</v>
      </c>
      <c r="H1517" s="3" t="s">
        <v>2129</v>
      </c>
      <c r="I1517" t="s">
        <v>52</v>
      </c>
      <c r="J1517" s="3" t="s">
        <v>2130</v>
      </c>
      <c r="K1517" s="4">
        <v>371</v>
      </c>
      <c r="L1517" s="5">
        <v>16.88</v>
      </c>
      <c r="M1517" s="6">
        <v>1</v>
      </c>
      <c r="N1517" s="7">
        <v>0</v>
      </c>
      <c r="O1517" t="s">
        <v>2131</v>
      </c>
      <c r="P1517" s="3" t="s">
        <v>55</v>
      </c>
      <c r="Q1517" s="8">
        <v>0.18174899999999999</v>
      </c>
    </row>
    <row r="1518" spans="1:17" hidden="1" x14ac:dyDescent="0.55000000000000004">
      <c r="A1518" s="3" t="s">
        <v>2143</v>
      </c>
      <c r="B1518" s="3" t="s">
        <v>7346</v>
      </c>
      <c r="C1518" t="s">
        <v>2144</v>
      </c>
      <c r="D1518" s="3" t="s">
        <v>7312</v>
      </c>
      <c r="E1518" t="s">
        <v>2145</v>
      </c>
      <c r="F1518" s="3" t="s">
        <v>2146</v>
      </c>
      <c r="G1518" t="s">
        <v>24</v>
      </c>
      <c r="H1518" s="3" t="s">
        <v>2147</v>
      </c>
      <c r="I1518" t="s">
        <v>37</v>
      </c>
      <c r="J1518" s="3" t="s">
        <v>2148</v>
      </c>
      <c r="K1518" s="4">
        <v>495</v>
      </c>
      <c r="L1518" s="5">
        <v>22.52</v>
      </c>
      <c r="M1518" s="6">
        <v>1</v>
      </c>
      <c r="N1518" s="7">
        <v>0</v>
      </c>
      <c r="O1518" t="s">
        <v>2149</v>
      </c>
      <c r="P1518" s="3" t="s">
        <v>40</v>
      </c>
      <c r="Q1518" s="8">
        <v>0.18298700000000001</v>
      </c>
    </row>
    <row r="1519" spans="1:17" hidden="1" x14ac:dyDescent="0.55000000000000004">
      <c r="A1519" s="3" t="s">
        <v>2143</v>
      </c>
      <c r="B1519" s="3" t="s">
        <v>2150</v>
      </c>
      <c r="C1519" t="s">
        <v>2150</v>
      </c>
      <c r="D1519" s="3" t="s">
        <v>7312</v>
      </c>
      <c r="E1519" t="s">
        <v>2151</v>
      </c>
      <c r="F1519" s="3" t="s">
        <v>2152</v>
      </c>
      <c r="G1519" t="s">
        <v>24</v>
      </c>
      <c r="H1519" s="3" t="s">
        <v>2153</v>
      </c>
      <c r="I1519" t="s">
        <v>37</v>
      </c>
      <c r="J1519" s="3" t="s">
        <v>2154</v>
      </c>
      <c r="K1519" s="4">
        <v>364</v>
      </c>
      <c r="L1519" s="5">
        <v>16.55</v>
      </c>
      <c r="M1519" s="6">
        <v>0</v>
      </c>
      <c r="N1519" s="7">
        <v>0</v>
      </c>
      <c r="O1519" t="s">
        <v>2155</v>
      </c>
      <c r="P1519" s="3" t="s">
        <v>40</v>
      </c>
      <c r="Q1519" s="8">
        <v>0.181676</v>
      </c>
    </row>
    <row r="1520" spans="1:17" hidden="1" x14ac:dyDescent="0.55000000000000004">
      <c r="A1520" s="3" t="s">
        <v>2143</v>
      </c>
      <c r="B1520" s="3" t="s">
        <v>2150</v>
      </c>
      <c r="C1520" t="s">
        <v>2150</v>
      </c>
      <c r="D1520" s="3" t="s">
        <v>7312</v>
      </c>
      <c r="E1520" t="s">
        <v>2151</v>
      </c>
      <c r="F1520" s="3" t="s">
        <v>2152</v>
      </c>
      <c r="G1520" t="s">
        <v>24</v>
      </c>
      <c r="H1520" s="3" t="s">
        <v>2156</v>
      </c>
      <c r="I1520" t="s">
        <v>162</v>
      </c>
      <c r="J1520" s="3" t="s">
        <v>2157</v>
      </c>
      <c r="K1520" s="4">
        <v>291</v>
      </c>
      <c r="L1520" s="5">
        <v>13.23</v>
      </c>
      <c r="M1520" s="6">
        <v>0</v>
      </c>
      <c r="N1520" s="7">
        <v>0</v>
      </c>
      <c r="O1520" t="s">
        <v>2158</v>
      </c>
      <c r="P1520" s="3" t="s">
        <v>46</v>
      </c>
      <c r="Q1520" s="8">
        <v>0.15646699999999999</v>
      </c>
    </row>
    <row r="1521" spans="1:17" hidden="1" x14ac:dyDescent="0.55000000000000004">
      <c r="A1521" s="3" t="s">
        <v>2143</v>
      </c>
      <c r="B1521" s="3" t="s">
        <v>2150</v>
      </c>
      <c r="C1521" t="s">
        <v>2150</v>
      </c>
      <c r="D1521" s="3" t="s">
        <v>7312</v>
      </c>
      <c r="E1521" t="s">
        <v>2159</v>
      </c>
      <c r="F1521" s="3" t="s">
        <v>2160</v>
      </c>
      <c r="G1521" t="s">
        <v>24</v>
      </c>
      <c r="H1521" s="3" t="s">
        <v>2153</v>
      </c>
      <c r="I1521" t="s">
        <v>37</v>
      </c>
      <c r="J1521" s="3" t="s">
        <v>2154</v>
      </c>
      <c r="K1521" s="4">
        <v>364</v>
      </c>
      <c r="L1521" s="5">
        <v>16.55</v>
      </c>
      <c r="M1521" s="6">
        <v>0</v>
      </c>
      <c r="N1521" s="7">
        <v>0</v>
      </c>
      <c r="O1521" t="s">
        <v>2155</v>
      </c>
      <c r="P1521" s="3" t="s">
        <v>40</v>
      </c>
      <c r="Q1521" s="8">
        <v>0.181676</v>
      </c>
    </row>
    <row r="1522" spans="1:17" hidden="1" x14ac:dyDescent="0.55000000000000004">
      <c r="A1522" s="3" t="s">
        <v>2143</v>
      </c>
      <c r="B1522" s="3" t="s">
        <v>2150</v>
      </c>
      <c r="C1522" t="s">
        <v>2150</v>
      </c>
      <c r="D1522" s="3" t="s">
        <v>7312</v>
      </c>
      <c r="E1522" t="s">
        <v>2159</v>
      </c>
      <c r="F1522" s="3" t="s">
        <v>2160</v>
      </c>
      <c r="G1522" t="s">
        <v>24</v>
      </c>
      <c r="H1522" s="3" t="s">
        <v>2156</v>
      </c>
      <c r="I1522" t="s">
        <v>162</v>
      </c>
      <c r="J1522" s="3" t="s">
        <v>2157</v>
      </c>
      <c r="K1522" s="4">
        <v>291</v>
      </c>
      <c r="L1522" s="5">
        <v>13.23</v>
      </c>
      <c r="M1522" s="6">
        <v>0</v>
      </c>
      <c r="N1522" s="7">
        <v>0</v>
      </c>
      <c r="O1522" t="s">
        <v>2158</v>
      </c>
      <c r="P1522" s="3" t="s">
        <v>46</v>
      </c>
      <c r="Q1522" s="8">
        <v>0.15646699999999999</v>
      </c>
    </row>
    <row r="1523" spans="1:17" hidden="1" x14ac:dyDescent="0.55000000000000004">
      <c r="A1523" s="3" t="s">
        <v>2143</v>
      </c>
      <c r="B1523" s="3" t="s">
        <v>2161</v>
      </c>
      <c r="C1523" t="s">
        <v>1786</v>
      </c>
      <c r="D1523" s="3" t="s">
        <v>7312</v>
      </c>
      <c r="E1523" t="s">
        <v>2162</v>
      </c>
      <c r="F1523" s="3" t="s">
        <v>2163</v>
      </c>
      <c r="G1523" t="s">
        <v>24</v>
      </c>
      <c r="H1523" s="3" t="s">
        <v>2164</v>
      </c>
      <c r="I1523" t="s">
        <v>37</v>
      </c>
      <c r="J1523" s="3" t="s">
        <v>2165</v>
      </c>
      <c r="K1523" s="4">
        <v>398</v>
      </c>
      <c r="L1523" s="5">
        <v>18.11</v>
      </c>
      <c r="M1523" s="6">
        <v>1</v>
      </c>
      <c r="N1523" s="7">
        <v>0</v>
      </c>
      <c r="O1523" t="s">
        <v>2166</v>
      </c>
      <c r="P1523" s="3" t="s">
        <v>40</v>
      </c>
      <c r="Q1523" s="8">
        <v>0.18201899999999999</v>
      </c>
    </row>
    <row r="1524" spans="1:17" hidden="1" x14ac:dyDescent="0.55000000000000004">
      <c r="A1524" s="3" t="s">
        <v>2143</v>
      </c>
      <c r="B1524" s="3" t="s">
        <v>2161</v>
      </c>
      <c r="C1524" t="s">
        <v>1786</v>
      </c>
      <c r="D1524" s="3" t="s">
        <v>7312</v>
      </c>
      <c r="E1524" t="s">
        <v>2162</v>
      </c>
      <c r="F1524" s="3" t="s">
        <v>2163</v>
      </c>
      <c r="G1524" t="s">
        <v>24</v>
      </c>
      <c r="H1524" s="3" t="s">
        <v>23</v>
      </c>
      <c r="I1524" t="s">
        <v>67</v>
      </c>
      <c r="J1524" s="3" t="s">
        <v>1792</v>
      </c>
      <c r="K1524" s="4" t="s">
        <v>23</v>
      </c>
      <c r="L1524" s="5" t="s">
        <v>23</v>
      </c>
      <c r="M1524" s="6">
        <v>0</v>
      </c>
      <c r="N1524" s="7">
        <v>0</v>
      </c>
      <c r="O1524" t="s">
        <v>23</v>
      </c>
      <c r="P1524" s="3" t="s">
        <v>23</v>
      </c>
      <c r="Q1524" s="8" t="s">
        <v>23</v>
      </c>
    </row>
    <row r="1525" spans="1:17" hidden="1" x14ac:dyDescent="0.55000000000000004">
      <c r="A1525" s="3" t="s">
        <v>2143</v>
      </c>
      <c r="B1525" s="3" t="s">
        <v>2161</v>
      </c>
      <c r="C1525" t="s">
        <v>1786</v>
      </c>
      <c r="D1525" s="3" t="s">
        <v>7312</v>
      </c>
      <c r="E1525" t="s">
        <v>2167</v>
      </c>
      <c r="F1525" s="3" t="s">
        <v>2168</v>
      </c>
      <c r="G1525" t="s">
        <v>24</v>
      </c>
      <c r="H1525" s="3" t="s">
        <v>2164</v>
      </c>
      <c r="I1525" t="s">
        <v>37</v>
      </c>
      <c r="J1525" s="3" t="s">
        <v>2165</v>
      </c>
      <c r="K1525" s="4">
        <v>398</v>
      </c>
      <c r="L1525" s="5">
        <v>18.11</v>
      </c>
      <c r="M1525" s="6">
        <v>1</v>
      </c>
      <c r="N1525" s="7">
        <v>0</v>
      </c>
      <c r="O1525" t="s">
        <v>2166</v>
      </c>
      <c r="P1525" s="3" t="s">
        <v>40</v>
      </c>
      <c r="Q1525" s="8">
        <v>0.18201899999999999</v>
      </c>
    </row>
    <row r="1526" spans="1:17" hidden="1" x14ac:dyDescent="0.55000000000000004">
      <c r="A1526" s="3" t="s">
        <v>2143</v>
      </c>
      <c r="B1526" s="3" t="s">
        <v>2161</v>
      </c>
      <c r="C1526" t="s">
        <v>1786</v>
      </c>
      <c r="D1526" s="3" t="s">
        <v>7312</v>
      </c>
      <c r="E1526" t="s">
        <v>2167</v>
      </c>
      <c r="F1526" s="3" t="s">
        <v>2168</v>
      </c>
      <c r="G1526" t="s">
        <v>24</v>
      </c>
      <c r="H1526" s="3" t="s">
        <v>23</v>
      </c>
      <c r="I1526" t="s">
        <v>67</v>
      </c>
      <c r="J1526" s="3" t="s">
        <v>1792</v>
      </c>
      <c r="K1526" s="4" t="s">
        <v>23</v>
      </c>
      <c r="L1526" s="5" t="s">
        <v>23</v>
      </c>
      <c r="M1526" s="6">
        <v>0</v>
      </c>
      <c r="N1526" s="7">
        <v>0</v>
      </c>
      <c r="O1526" t="s">
        <v>23</v>
      </c>
      <c r="P1526" s="3" t="s">
        <v>23</v>
      </c>
      <c r="Q1526" s="8" t="s">
        <v>23</v>
      </c>
    </row>
    <row r="1527" spans="1:17" hidden="1" x14ac:dyDescent="0.55000000000000004">
      <c r="A1527" s="3" t="s">
        <v>2143</v>
      </c>
      <c r="B1527" s="3" t="s">
        <v>2169</v>
      </c>
      <c r="C1527" t="s">
        <v>2169</v>
      </c>
      <c r="D1527" s="3" t="s">
        <v>7312</v>
      </c>
      <c r="E1527" t="s">
        <v>2170</v>
      </c>
      <c r="F1527" s="3" t="s">
        <v>2171</v>
      </c>
      <c r="G1527" t="s">
        <v>19</v>
      </c>
      <c r="H1527" s="3" t="s">
        <v>2172</v>
      </c>
      <c r="I1527" t="s">
        <v>2173</v>
      </c>
      <c r="J1527" s="3" t="s">
        <v>2174</v>
      </c>
      <c r="K1527" s="4">
        <v>199</v>
      </c>
      <c r="L1527" s="5">
        <v>43.33</v>
      </c>
      <c r="M1527" s="6">
        <v>1</v>
      </c>
      <c r="N1527" s="7">
        <v>0</v>
      </c>
      <c r="O1527" t="s">
        <v>23</v>
      </c>
      <c r="P1527" s="3" t="s">
        <v>23</v>
      </c>
      <c r="Q1527" s="8" t="s">
        <v>23</v>
      </c>
    </row>
    <row r="1528" spans="1:17" hidden="1" x14ac:dyDescent="0.55000000000000004">
      <c r="A1528" s="3" t="s">
        <v>2143</v>
      </c>
      <c r="B1528" s="3" t="s">
        <v>2169</v>
      </c>
      <c r="C1528" t="s">
        <v>2169</v>
      </c>
      <c r="D1528" s="3" t="s">
        <v>7312</v>
      </c>
      <c r="E1528" t="s">
        <v>2170</v>
      </c>
      <c r="F1528" s="3" t="s">
        <v>2171</v>
      </c>
      <c r="G1528" t="s">
        <v>24</v>
      </c>
      <c r="H1528" s="3" t="s">
        <v>2175</v>
      </c>
      <c r="I1528" t="s">
        <v>37</v>
      </c>
      <c r="J1528" s="3" t="s">
        <v>2176</v>
      </c>
      <c r="K1528" s="4">
        <v>442</v>
      </c>
      <c r="L1528" s="5">
        <v>20.100000000000001</v>
      </c>
      <c r="M1528" s="6">
        <v>1</v>
      </c>
      <c r="N1528" s="7">
        <v>0</v>
      </c>
      <c r="O1528" t="s">
        <v>2177</v>
      </c>
      <c r="P1528" s="3" t="s">
        <v>40</v>
      </c>
      <c r="Q1528" s="8">
        <v>0.18245600000000001</v>
      </c>
    </row>
    <row r="1529" spans="1:17" hidden="1" x14ac:dyDescent="0.55000000000000004">
      <c r="A1529" s="3" t="s">
        <v>2143</v>
      </c>
      <c r="B1529" s="3" t="s">
        <v>2169</v>
      </c>
      <c r="C1529" t="s">
        <v>2169</v>
      </c>
      <c r="D1529" s="3" t="s">
        <v>7312</v>
      </c>
      <c r="E1529" t="s">
        <v>2178</v>
      </c>
      <c r="F1529" s="3" t="s">
        <v>2179</v>
      </c>
      <c r="G1529" t="s">
        <v>19</v>
      </c>
      <c r="H1529" s="3" t="s">
        <v>2172</v>
      </c>
      <c r="I1529" t="s">
        <v>2173</v>
      </c>
      <c r="J1529" s="3" t="s">
        <v>2174</v>
      </c>
      <c r="K1529" s="4">
        <v>199</v>
      </c>
      <c r="L1529" s="5">
        <v>43.33</v>
      </c>
      <c r="M1529" s="6">
        <v>1</v>
      </c>
      <c r="N1529" s="7">
        <v>0</v>
      </c>
      <c r="O1529" t="s">
        <v>23</v>
      </c>
      <c r="P1529" s="3" t="s">
        <v>23</v>
      </c>
      <c r="Q1529" s="8" t="s">
        <v>23</v>
      </c>
    </row>
    <row r="1530" spans="1:17" hidden="1" x14ac:dyDescent="0.55000000000000004">
      <c r="A1530" s="3" t="s">
        <v>2143</v>
      </c>
      <c r="B1530" s="3" t="s">
        <v>2169</v>
      </c>
      <c r="C1530" t="s">
        <v>2169</v>
      </c>
      <c r="D1530" s="3" t="s">
        <v>7312</v>
      </c>
      <c r="E1530" t="s">
        <v>2178</v>
      </c>
      <c r="F1530" s="3" t="s">
        <v>2179</v>
      </c>
      <c r="G1530" t="s">
        <v>24</v>
      </c>
      <c r="H1530" s="3" t="s">
        <v>2175</v>
      </c>
      <c r="I1530" t="s">
        <v>37</v>
      </c>
      <c r="J1530" s="3" t="s">
        <v>2176</v>
      </c>
      <c r="K1530" s="4">
        <v>442</v>
      </c>
      <c r="L1530" s="5">
        <v>20.100000000000001</v>
      </c>
      <c r="M1530" s="6">
        <v>1</v>
      </c>
      <c r="N1530" s="7">
        <v>0</v>
      </c>
      <c r="O1530" t="s">
        <v>2177</v>
      </c>
      <c r="P1530" s="3" t="s">
        <v>40</v>
      </c>
      <c r="Q1530" s="8">
        <v>0.18245600000000001</v>
      </c>
    </row>
    <row r="1531" spans="1:17" hidden="1" x14ac:dyDescent="0.55000000000000004">
      <c r="A1531" s="3" t="s">
        <v>2143</v>
      </c>
      <c r="B1531" s="3" t="s">
        <v>2180</v>
      </c>
      <c r="C1531" t="s">
        <v>2180</v>
      </c>
      <c r="D1531" s="3" t="s">
        <v>7312</v>
      </c>
      <c r="E1531" t="s">
        <v>2181</v>
      </c>
      <c r="F1531" s="3" t="s">
        <v>2182</v>
      </c>
      <c r="G1531" t="s">
        <v>19</v>
      </c>
      <c r="H1531" s="3" t="s">
        <v>2183</v>
      </c>
      <c r="I1531" t="s">
        <v>2173</v>
      </c>
      <c r="J1531" s="3" t="s">
        <v>2184</v>
      </c>
      <c r="K1531" s="4">
        <v>125</v>
      </c>
      <c r="L1531" s="5">
        <v>27.13</v>
      </c>
      <c r="M1531" s="6">
        <v>1</v>
      </c>
      <c r="N1531" s="7">
        <v>0</v>
      </c>
      <c r="O1531" t="s">
        <v>2185</v>
      </c>
      <c r="P1531" s="3" t="s">
        <v>2186</v>
      </c>
      <c r="Q1531" s="8">
        <v>3.3914E-2</v>
      </c>
    </row>
    <row r="1532" spans="1:17" hidden="1" x14ac:dyDescent="0.55000000000000004">
      <c r="A1532" s="3" t="s">
        <v>2143</v>
      </c>
      <c r="B1532" s="3" t="s">
        <v>2180</v>
      </c>
      <c r="C1532" t="s">
        <v>2180</v>
      </c>
      <c r="D1532" s="3" t="s">
        <v>7312</v>
      </c>
      <c r="E1532" t="s">
        <v>2181</v>
      </c>
      <c r="F1532" s="3" t="s">
        <v>2182</v>
      </c>
      <c r="G1532" t="s">
        <v>24</v>
      </c>
      <c r="H1532" s="3" t="s">
        <v>2187</v>
      </c>
      <c r="I1532" t="s">
        <v>37</v>
      </c>
      <c r="J1532" s="3" t="s">
        <v>2188</v>
      </c>
      <c r="K1532" s="4">
        <v>393</v>
      </c>
      <c r="L1532" s="5">
        <v>17.84</v>
      </c>
      <c r="M1532" s="6">
        <v>1</v>
      </c>
      <c r="N1532" s="7">
        <v>0</v>
      </c>
      <c r="O1532" t="s">
        <v>2189</v>
      </c>
      <c r="P1532" s="3" t="s">
        <v>40</v>
      </c>
      <c r="Q1532" s="8">
        <v>0.18196000000000001</v>
      </c>
    </row>
    <row r="1533" spans="1:17" hidden="1" x14ac:dyDescent="0.55000000000000004">
      <c r="A1533" s="3" t="s">
        <v>2143</v>
      </c>
      <c r="B1533" s="3" t="s">
        <v>2180</v>
      </c>
      <c r="C1533" t="s">
        <v>2180</v>
      </c>
      <c r="D1533" s="3" t="s">
        <v>7312</v>
      </c>
      <c r="E1533" t="s">
        <v>2181</v>
      </c>
      <c r="F1533" s="3" t="s">
        <v>2182</v>
      </c>
      <c r="G1533" t="s">
        <v>24</v>
      </c>
      <c r="H1533" s="3" t="s">
        <v>2190</v>
      </c>
      <c r="I1533" t="s">
        <v>43</v>
      </c>
      <c r="J1533" s="3" t="s">
        <v>2191</v>
      </c>
      <c r="K1533" s="4">
        <v>307</v>
      </c>
      <c r="L1533" s="5">
        <v>13.95</v>
      </c>
      <c r="M1533" s="6">
        <v>0</v>
      </c>
      <c r="N1533" s="7">
        <v>0</v>
      </c>
      <c r="O1533" t="s">
        <v>2192</v>
      </c>
      <c r="P1533" s="3" t="s">
        <v>138</v>
      </c>
      <c r="Q1533" s="8">
        <v>0.18390000000000001</v>
      </c>
    </row>
    <row r="1534" spans="1:17" hidden="1" x14ac:dyDescent="0.55000000000000004">
      <c r="A1534" s="3" t="s">
        <v>2143</v>
      </c>
      <c r="B1534" s="3" t="s">
        <v>2180</v>
      </c>
      <c r="C1534" t="s">
        <v>2180</v>
      </c>
      <c r="D1534" s="3" t="s">
        <v>7312</v>
      </c>
      <c r="E1534" t="s">
        <v>2193</v>
      </c>
      <c r="F1534" s="3" t="s">
        <v>2194</v>
      </c>
      <c r="G1534" t="s">
        <v>19</v>
      </c>
      <c r="H1534" s="3" t="s">
        <v>2183</v>
      </c>
      <c r="I1534" t="s">
        <v>2173</v>
      </c>
      <c r="J1534" s="3" t="s">
        <v>2184</v>
      </c>
      <c r="K1534" s="4">
        <v>125</v>
      </c>
      <c r="L1534" s="5">
        <v>27.13</v>
      </c>
      <c r="M1534" s="6">
        <v>1</v>
      </c>
      <c r="N1534" s="7">
        <v>1</v>
      </c>
      <c r="O1534" t="s">
        <v>2185</v>
      </c>
      <c r="P1534" s="3" t="s">
        <v>2186</v>
      </c>
      <c r="Q1534" s="8">
        <v>3.3914E-2</v>
      </c>
    </row>
    <row r="1535" spans="1:17" hidden="1" x14ac:dyDescent="0.55000000000000004">
      <c r="A1535" s="3" t="s">
        <v>2143</v>
      </c>
      <c r="B1535" s="3" t="s">
        <v>2180</v>
      </c>
      <c r="C1535" t="s">
        <v>2180</v>
      </c>
      <c r="D1535" s="3" t="s">
        <v>7312</v>
      </c>
      <c r="E1535" t="s">
        <v>2193</v>
      </c>
      <c r="F1535" s="3" t="s">
        <v>2194</v>
      </c>
      <c r="G1535" t="s">
        <v>24</v>
      </c>
      <c r="H1535" s="3" t="s">
        <v>2187</v>
      </c>
      <c r="I1535" t="s">
        <v>37</v>
      </c>
      <c r="J1535" s="3" t="s">
        <v>2188</v>
      </c>
      <c r="K1535" s="4">
        <v>393</v>
      </c>
      <c r="L1535" s="5">
        <v>17.84</v>
      </c>
      <c r="M1535" s="6">
        <v>1</v>
      </c>
      <c r="N1535" s="7">
        <v>1</v>
      </c>
      <c r="O1535" t="s">
        <v>2189</v>
      </c>
      <c r="P1535" s="3" t="s">
        <v>40</v>
      </c>
      <c r="Q1535" s="8">
        <v>0.18196000000000001</v>
      </c>
    </row>
    <row r="1536" spans="1:17" hidden="1" x14ac:dyDescent="0.55000000000000004">
      <c r="A1536" s="3" t="s">
        <v>2143</v>
      </c>
      <c r="B1536" s="3" t="s">
        <v>2180</v>
      </c>
      <c r="C1536" t="s">
        <v>2180</v>
      </c>
      <c r="D1536" s="3" t="s">
        <v>7312</v>
      </c>
      <c r="E1536" t="s">
        <v>2193</v>
      </c>
      <c r="F1536" s="3" t="s">
        <v>2194</v>
      </c>
      <c r="G1536" t="s">
        <v>24</v>
      </c>
      <c r="H1536" s="3" t="s">
        <v>2190</v>
      </c>
      <c r="I1536" t="s">
        <v>43</v>
      </c>
      <c r="J1536" s="3" t="s">
        <v>2191</v>
      </c>
      <c r="K1536" s="4">
        <v>307</v>
      </c>
      <c r="L1536" s="5">
        <v>13.95</v>
      </c>
      <c r="M1536" s="6">
        <v>0</v>
      </c>
      <c r="N1536" s="7">
        <v>1</v>
      </c>
      <c r="O1536" t="s">
        <v>2192</v>
      </c>
      <c r="P1536" s="3" t="s">
        <v>138</v>
      </c>
      <c r="Q1536" s="8">
        <v>0.18390000000000001</v>
      </c>
    </row>
    <row r="1537" spans="1:17" hidden="1" x14ac:dyDescent="0.55000000000000004">
      <c r="A1537" s="3" t="s">
        <v>2143</v>
      </c>
      <c r="B1537" s="3" t="s">
        <v>2180</v>
      </c>
      <c r="C1537" t="s">
        <v>2180</v>
      </c>
      <c r="D1537" s="3" t="s">
        <v>7312</v>
      </c>
      <c r="E1537" t="s">
        <v>2195</v>
      </c>
      <c r="F1537" s="3" t="s">
        <v>2196</v>
      </c>
      <c r="G1537" t="s">
        <v>19</v>
      </c>
      <c r="H1537" s="3" t="s">
        <v>2183</v>
      </c>
      <c r="I1537" t="s">
        <v>2173</v>
      </c>
      <c r="J1537" s="3" t="s">
        <v>2184</v>
      </c>
      <c r="K1537" s="4">
        <v>125</v>
      </c>
      <c r="L1537" s="5">
        <v>27.13</v>
      </c>
      <c r="M1537" s="6">
        <v>1</v>
      </c>
      <c r="N1537" s="7">
        <v>0</v>
      </c>
      <c r="O1537" t="s">
        <v>2185</v>
      </c>
      <c r="P1537" s="3" t="s">
        <v>2186</v>
      </c>
      <c r="Q1537" s="8">
        <v>3.3914E-2</v>
      </c>
    </row>
    <row r="1538" spans="1:17" hidden="1" x14ac:dyDescent="0.55000000000000004">
      <c r="A1538" s="3" t="s">
        <v>2143</v>
      </c>
      <c r="B1538" s="3" t="s">
        <v>2180</v>
      </c>
      <c r="C1538" t="s">
        <v>2180</v>
      </c>
      <c r="D1538" s="3" t="s">
        <v>7312</v>
      </c>
      <c r="E1538" t="s">
        <v>2195</v>
      </c>
      <c r="F1538" s="3" t="s">
        <v>2196</v>
      </c>
      <c r="G1538" t="s">
        <v>24</v>
      </c>
      <c r="H1538" s="3" t="s">
        <v>2187</v>
      </c>
      <c r="I1538" t="s">
        <v>37</v>
      </c>
      <c r="J1538" s="3" t="s">
        <v>2188</v>
      </c>
      <c r="K1538" s="4">
        <v>393</v>
      </c>
      <c r="L1538" s="5">
        <v>17.84</v>
      </c>
      <c r="M1538" s="6">
        <v>1</v>
      </c>
      <c r="N1538" s="7">
        <v>0</v>
      </c>
      <c r="O1538" t="s">
        <v>2189</v>
      </c>
      <c r="P1538" s="3" t="s">
        <v>40</v>
      </c>
      <c r="Q1538" s="8">
        <v>0.18196000000000001</v>
      </c>
    </row>
    <row r="1539" spans="1:17" hidden="1" x14ac:dyDescent="0.55000000000000004">
      <c r="A1539" s="3" t="s">
        <v>2143</v>
      </c>
      <c r="B1539" s="3" t="s">
        <v>2180</v>
      </c>
      <c r="C1539" t="s">
        <v>2180</v>
      </c>
      <c r="D1539" s="3" t="s">
        <v>7312</v>
      </c>
      <c r="E1539" t="s">
        <v>2195</v>
      </c>
      <c r="F1539" s="3" t="s">
        <v>2196</v>
      </c>
      <c r="G1539" t="s">
        <v>24</v>
      </c>
      <c r="H1539" s="3" t="s">
        <v>2190</v>
      </c>
      <c r="I1539" t="s">
        <v>43</v>
      </c>
      <c r="J1539" s="3" t="s">
        <v>2191</v>
      </c>
      <c r="K1539" s="4">
        <v>307</v>
      </c>
      <c r="L1539" s="5">
        <v>13.95</v>
      </c>
      <c r="M1539" s="6">
        <v>0</v>
      </c>
      <c r="N1539" s="7">
        <v>0</v>
      </c>
      <c r="O1539" t="s">
        <v>2192</v>
      </c>
      <c r="P1539" s="3" t="s">
        <v>138</v>
      </c>
      <c r="Q1539" s="8">
        <v>0.18390000000000001</v>
      </c>
    </row>
    <row r="1540" spans="1:17" hidden="1" x14ac:dyDescent="0.55000000000000004">
      <c r="A1540" s="3" t="s">
        <v>2143</v>
      </c>
      <c r="B1540" s="3" t="s">
        <v>2180</v>
      </c>
      <c r="C1540" t="s">
        <v>2180</v>
      </c>
      <c r="D1540" s="3" t="s">
        <v>7312</v>
      </c>
      <c r="E1540" t="s">
        <v>2197</v>
      </c>
      <c r="F1540" s="3" t="s">
        <v>2198</v>
      </c>
      <c r="G1540" t="s">
        <v>19</v>
      </c>
      <c r="H1540" s="3" t="s">
        <v>2199</v>
      </c>
      <c r="I1540" t="s">
        <v>2173</v>
      </c>
      <c r="J1540" s="3" t="s">
        <v>2200</v>
      </c>
      <c r="K1540" s="4">
        <v>120</v>
      </c>
      <c r="L1540" s="5">
        <v>26.17</v>
      </c>
      <c r="M1540" s="6">
        <v>1</v>
      </c>
      <c r="N1540" s="7">
        <v>0</v>
      </c>
      <c r="O1540" t="s">
        <v>2201</v>
      </c>
      <c r="P1540" s="3" t="s">
        <v>2186</v>
      </c>
      <c r="Q1540" s="8">
        <v>3.3914E-2</v>
      </c>
    </row>
    <row r="1541" spans="1:17" hidden="1" x14ac:dyDescent="0.55000000000000004">
      <c r="A1541" s="3" t="s">
        <v>2143</v>
      </c>
      <c r="B1541" s="3" t="s">
        <v>2180</v>
      </c>
      <c r="C1541" t="s">
        <v>2180</v>
      </c>
      <c r="D1541" s="3" t="s">
        <v>7312</v>
      </c>
      <c r="E1541" t="s">
        <v>2197</v>
      </c>
      <c r="F1541" s="3" t="s">
        <v>2198</v>
      </c>
      <c r="G1541" t="s">
        <v>24</v>
      </c>
      <c r="H1541" s="3" t="s">
        <v>2187</v>
      </c>
      <c r="I1541" t="s">
        <v>37</v>
      </c>
      <c r="J1541" s="3" t="s">
        <v>2188</v>
      </c>
      <c r="K1541" s="4">
        <v>393</v>
      </c>
      <c r="L1541" s="5">
        <v>17.84</v>
      </c>
      <c r="M1541" s="6">
        <v>1</v>
      </c>
      <c r="N1541" s="7">
        <v>0</v>
      </c>
      <c r="O1541" t="s">
        <v>2189</v>
      </c>
      <c r="P1541" s="3" t="s">
        <v>40</v>
      </c>
      <c r="Q1541" s="8">
        <v>0.18196000000000001</v>
      </c>
    </row>
    <row r="1542" spans="1:17" hidden="1" x14ac:dyDescent="0.55000000000000004">
      <c r="A1542" s="3" t="s">
        <v>2143</v>
      </c>
      <c r="B1542" s="3" t="s">
        <v>2180</v>
      </c>
      <c r="C1542" t="s">
        <v>2180</v>
      </c>
      <c r="D1542" s="3" t="s">
        <v>7312</v>
      </c>
      <c r="E1542" t="s">
        <v>2197</v>
      </c>
      <c r="F1542" s="3" t="s">
        <v>2198</v>
      </c>
      <c r="G1542" t="s">
        <v>24</v>
      </c>
      <c r="H1542" s="3" t="s">
        <v>2190</v>
      </c>
      <c r="I1542" t="s">
        <v>43</v>
      </c>
      <c r="J1542" s="3" t="s">
        <v>2191</v>
      </c>
      <c r="K1542" s="4">
        <v>307</v>
      </c>
      <c r="L1542" s="5">
        <v>13.95</v>
      </c>
      <c r="M1542" s="6">
        <v>0</v>
      </c>
      <c r="N1542" s="7">
        <v>0</v>
      </c>
      <c r="O1542" t="s">
        <v>2192</v>
      </c>
      <c r="P1542" s="3" t="s">
        <v>138</v>
      </c>
      <c r="Q1542" s="8">
        <v>0.18390000000000001</v>
      </c>
    </row>
    <row r="1543" spans="1:17" hidden="1" x14ac:dyDescent="0.55000000000000004">
      <c r="A1543" s="3" t="s">
        <v>2143</v>
      </c>
      <c r="B1543" s="3" t="s">
        <v>2202</v>
      </c>
      <c r="C1543" t="s">
        <v>2202</v>
      </c>
      <c r="D1543" s="3" t="s">
        <v>7312</v>
      </c>
      <c r="E1543" t="s">
        <v>2203</v>
      </c>
      <c r="F1543" s="3" t="s">
        <v>2204</v>
      </c>
      <c r="G1543" t="s">
        <v>24</v>
      </c>
      <c r="H1543" s="3" t="s">
        <v>2205</v>
      </c>
      <c r="I1543" t="s">
        <v>37</v>
      </c>
      <c r="J1543" s="3" t="s">
        <v>2206</v>
      </c>
      <c r="K1543" s="4">
        <v>406</v>
      </c>
      <c r="L1543" s="5">
        <v>18.45</v>
      </c>
      <c r="M1543" s="6">
        <v>1</v>
      </c>
      <c r="N1543" s="7">
        <v>0</v>
      </c>
      <c r="O1543" t="s">
        <v>2207</v>
      </c>
      <c r="P1543" s="3" t="s">
        <v>40</v>
      </c>
      <c r="Q1543" s="8">
        <v>0.18209400000000001</v>
      </c>
    </row>
    <row r="1544" spans="1:17" hidden="1" x14ac:dyDescent="0.55000000000000004">
      <c r="A1544" s="3" t="s">
        <v>2143</v>
      </c>
      <c r="B1544" s="3" t="s">
        <v>2202</v>
      </c>
      <c r="C1544" t="s">
        <v>2202</v>
      </c>
      <c r="D1544" s="3" t="s">
        <v>7312</v>
      </c>
      <c r="E1544" t="s">
        <v>2203</v>
      </c>
      <c r="F1544" s="3" t="s">
        <v>2204</v>
      </c>
      <c r="G1544" t="s">
        <v>24</v>
      </c>
      <c r="H1544" s="3" t="s">
        <v>23</v>
      </c>
      <c r="I1544" t="s">
        <v>67</v>
      </c>
      <c r="J1544" s="3" t="s">
        <v>2208</v>
      </c>
      <c r="K1544" s="4" t="s">
        <v>23</v>
      </c>
      <c r="L1544" s="5" t="s">
        <v>23</v>
      </c>
      <c r="M1544" s="6">
        <v>0</v>
      </c>
      <c r="N1544" s="7">
        <v>0</v>
      </c>
      <c r="O1544" t="s">
        <v>23</v>
      </c>
      <c r="P1544" s="3" t="s">
        <v>23</v>
      </c>
      <c r="Q1544" s="8" t="s">
        <v>23</v>
      </c>
    </row>
    <row r="1545" spans="1:17" hidden="1" x14ac:dyDescent="0.55000000000000004">
      <c r="A1545" s="3" t="s">
        <v>2143</v>
      </c>
      <c r="B1545" s="3" t="s">
        <v>2202</v>
      </c>
      <c r="C1545" t="s">
        <v>2202</v>
      </c>
      <c r="D1545" s="3" t="s">
        <v>7312</v>
      </c>
      <c r="E1545" t="s">
        <v>2209</v>
      </c>
      <c r="F1545" s="3" t="s">
        <v>2210</v>
      </c>
      <c r="G1545" t="s">
        <v>24</v>
      </c>
      <c r="H1545" s="3" t="s">
        <v>2205</v>
      </c>
      <c r="I1545" t="s">
        <v>37</v>
      </c>
      <c r="J1545" s="3" t="s">
        <v>2206</v>
      </c>
      <c r="K1545" s="4">
        <v>406</v>
      </c>
      <c r="L1545" s="5">
        <v>18.45</v>
      </c>
      <c r="M1545" s="6">
        <v>1</v>
      </c>
      <c r="N1545" s="7">
        <v>0</v>
      </c>
      <c r="O1545" t="s">
        <v>2207</v>
      </c>
      <c r="P1545" s="3" t="s">
        <v>40</v>
      </c>
      <c r="Q1545" s="8">
        <v>0.18209400000000001</v>
      </c>
    </row>
    <row r="1546" spans="1:17" hidden="1" x14ac:dyDescent="0.55000000000000004">
      <c r="A1546" s="3" t="s">
        <v>2143</v>
      </c>
      <c r="B1546" s="3" t="s">
        <v>2202</v>
      </c>
      <c r="C1546" t="s">
        <v>2202</v>
      </c>
      <c r="D1546" s="3" t="s">
        <v>7312</v>
      </c>
      <c r="E1546" t="s">
        <v>2209</v>
      </c>
      <c r="F1546" s="3" t="s">
        <v>2210</v>
      </c>
      <c r="G1546" t="s">
        <v>24</v>
      </c>
      <c r="H1546" s="3" t="s">
        <v>23</v>
      </c>
      <c r="I1546" t="s">
        <v>67</v>
      </c>
      <c r="J1546" s="3" t="s">
        <v>2208</v>
      </c>
      <c r="K1546" s="4" t="s">
        <v>23</v>
      </c>
      <c r="L1546" s="5" t="s">
        <v>23</v>
      </c>
      <c r="M1546" s="6">
        <v>0</v>
      </c>
      <c r="N1546" s="7">
        <v>0</v>
      </c>
      <c r="O1546" t="s">
        <v>23</v>
      </c>
      <c r="P1546" s="3" t="s">
        <v>23</v>
      </c>
      <c r="Q1546" s="8" t="s">
        <v>23</v>
      </c>
    </row>
    <row r="1547" spans="1:17" hidden="1" x14ac:dyDescent="0.55000000000000004">
      <c r="A1547" s="3" t="s">
        <v>2143</v>
      </c>
      <c r="B1547" s="3" t="s">
        <v>2211</v>
      </c>
      <c r="C1547" t="s">
        <v>2211</v>
      </c>
      <c r="D1547" s="3" t="s">
        <v>7312</v>
      </c>
      <c r="E1547" t="s">
        <v>2212</v>
      </c>
      <c r="F1547" s="3" t="s">
        <v>2213</v>
      </c>
      <c r="G1547" t="s">
        <v>24</v>
      </c>
      <c r="H1547" s="3" t="s">
        <v>2214</v>
      </c>
      <c r="I1547" t="s">
        <v>52</v>
      </c>
      <c r="J1547" s="3" t="s">
        <v>2215</v>
      </c>
      <c r="K1547" s="4">
        <v>484</v>
      </c>
      <c r="L1547" s="5">
        <v>21.99</v>
      </c>
      <c r="M1547" s="6">
        <v>1</v>
      </c>
      <c r="N1547" s="7">
        <v>0</v>
      </c>
      <c r="O1547" t="s">
        <v>2216</v>
      </c>
      <c r="P1547" s="3" t="s">
        <v>55</v>
      </c>
      <c r="Q1547" s="8">
        <v>0.18471099999999999</v>
      </c>
    </row>
    <row r="1548" spans="1:17" hidden="1" x14ac:dyDescent="0.55000000000000004">
      <c r="A1548" s="9" t="s">
        <v>2143</v>
      </c>
      <c r="B1548" s="3" t="s">
        <v>2211</v>
      </c>
      <c r="C1548" t="s">
        <v>2211</v>
      </c>
      <c r="D1548" s="3" t="s">
        <v>7312</v>
      </c>
      <c r="E1548" t="s">
        <v>2217</v>
      </c>
      <c r="F1548" s="3" t="s">
        <v>2218</v>
      </c>
      <c r="G1548" t="s">
        <v>24</v>
      </c>
      <c r="H1548" s="3" t="s">
        <v>2214</v>
      </c>
      <c r="I1548" t="s">
        <v>52</v>
      </c>
      <c r="J1548" s="3" t="s">
        <v>2215</v>
      </c>
      <c r="K1548" s="4">
        <v>484</v>
      </c>
      <c r="L1548" s="5">
        <v>21.99</v>
      </c>
      <c r="M1548" s="6">
        <v>1</v>
      </c>
      <c r="N1548" s="7">
        <v>0</v>
      </c>
      <c r="O1548" t="s">
        <v>2216</v>
      </c>
      <c r="P1548" s="3" t="s">
        <v>55</v>
      </c>
      <c r="Q1548" s="8">
        <v>0.18471099999999999</v>
      </c>
    </row>
    <row r="1549" spans="1:17" hidden="1" x14ac:dyDescent="0.55000000000000004">
      <c r="A1549" s="3" t="s">
        <v>2219</v>
      </c>
      <c r="B1549" s="3" t="s">
        <v>2220</v>
      </c>
      <c r="C1549" t="s">
        <v>2220</v>
      </c>
      <c r="D1549" s="3" t="s">
        <v>7314</v>
      </c>
      <c r="E1549" t="s">
        <v>2222</v>
      </c>
      <c r="F1549" s="3" t="s">
        <v>2223</v>
      </c>
      <c r="G1549" t="s">
        <v>24</v>
      </c>
      <c r="H1549" s="3" t="s">
        <v>2224</v>
      </c>
      <c r="I1549" t="s">
        <v>26</v>
      </c>
      <c r="J1549" s="3" t="s">
        <v>2225</v>
      </c>
      <c r="K1549" s="4">
        <v>981</v>
      </c>
      <c r="L1549" s="5">
        <v>44.59</v>
      </c>
      <c r="M1549" s="6">
        <v>1</v>
      </c>
      <c r="N1549" s="7">
        <v>0</v>
      </c>
      <c r="O1549" t="s">
        <v>2226</v>
      </c>
      <c r="P1549" s="3" t="s">
        <v>29</v>
      </c>
      <c r="Q1549" s="8">
        <v>0.23966699999999999</v>
      </c>
    </row>
    <row r="1550" spans="1:17" hidden="1" x14ac:dyDescent="0.55000000000000004">
      <c r="A1550" s="3" t="s">
        <v>2219</v>
      </c>
      <c r="B1550" s="3" t="s">
        <v>2227</v>
      </c>
      <c r="C1550" t="s">
        <v>2227</v>
      </c>
      <c r="D1550" s="3" t="s">
        <v>7314</v>
      </c>
      <c r="E1550" t="s">
        <v>2228</v>
      </c>
      <c r="F1550" s="3" t="s">
        <v>2229</v>
      </c>
      <c r="G1550" t="s">
        <v>24</v>
      </c>
      <c r="H1550" s="3" t="s">
        <v>2230</v>
      </c>
      <c r="I1550" t="s">
        <v>26</v>
      </c>
      <c r="J1550" s="3" t="s">
        <v>2231</v>
      </c>
      <c r="K1550" s="4">
        <v>976</v>
      </c>
      <c r="L1550" s="5">
        <v>44.36</v>
      </c>
      <c r="M1550" s="6">
        <v>1</v>
      </c>
      <c r="N1550" s="7">
        <v>0</v>
      </c>
      <c r="O1550" t="s">
        <v>2232</v>
      </c>
      <c r="P1550" s="3" t="s">
        <v>29</v>
      </c>
      <c r="Q1550" s="8">
        <v>0.23300000000000001</v>
      </c>
    </row>
    <row r="1551" spans="1:17" hidden="1" x14ac:dyDescent="0.55000000000000004">
      <c r="A1551" s="3" t="s">
        <v>2219</v>
      </c>
      <c r="B1551" s="3" t="s">
        <v>2227</v>
      </c>
      <c r="C1551" t="s">
        <v>2227</v>
      </c>
      <c r="D1551" s="3" t="s">
        <v>7314</v>
      </c>
      <c r="E1551" t="s">
        <v>2233</v>
      </c>
      <c r="F1551" s="3" t="s">
        <v>2234</v>
      </c>
      <c r="G1551" t="s">
        <v>19</v>
      </c>
      <c r="H1551" s="3" t="s">
        <v>2235</v>
      </c>
      <c r="I1551" t="s">
        <v>246</v>
      </c>
      <c r="J1551" s="3" t="s">
        <v>2236</v>
      </c>
      <c r="K1551" s="4">
        <v>300</v>
      </c>
      <c r="L1551" s="5">
        <v>65.17</v>
      </c>
      <c r="M1551" s="6">
        <v>1</v>
      </c>
      <c r="N1551" s="7">
        <v>1</v>
      </c>
      <c r="O1551" t="s">
        <v>2237</v>
      </c>
      <c r="P1551" s="3" t="s">
        <v>249</v>
      </c>
      <c r="Q1551" s="8">
        <v>4.2845000000000001E-2</v>
      </c>
    </row>
    <row r="1552" spans="1:17" hidden="1" x14ac:dyDescent="0.55000000000000004">
      <c r="A1552" s="3" t="s">
        <v>2219</v>
      </c>
      <c r="B1552" s="3" t="s">
        <v>2227</v>
      </c>
      <c r="C1552" t="s">
        <v>2227</v>
      </c>
      <c r="D1552" s="3" t="s">
        <v>7314</v>
      </c>
      <c r="E1552" t="s">
        <v>2233</v>
      </c>
      <c r="F1552" s="3" t="s">
        <v>2234</v>
      </c>
      <c r="G1552" t="s">
        <v>24</v>
      </c>
      <c r="H1552" s="3" t="s">
        <v>2230</v>
      </c>
      <c r="I1552" t="s">
        <v>26</v>
      </c>
      <c r="J1552" s="3" t="s">
        <v>2231</v>
      </c>
      <c r="K1552" s="4">
        <v>976</v>
      </c>
      <c r="L1552" s="5">
        <v>44.36</v>
      </c>
      <c r="M1552" s="6">
        <v>1</v>
      </c>
      <c r="N1552" s="7">
        <v>1</v>
      </c>
      <c r="O1552" t="s">
        <v>2232</v>
      </c>
      <c r="P1552" s="3" t="s">
        <v>29</v>
      </c>
      <c r="Q1552" s="8">
        <v>0.23300000000000001</v>
      </c>
    </row>
    <row r="1553" spans="1:17" hidden="1" x14ac:dyDescent="0.55000000000000004">
      <c r="A1553" s="3" t="s">
        <v>2219</v>
      </c>
      <c r="B1553" s="3" t="s">
        <v>2238</v>
      </c>
      <c r="C1553" t="s">
        <v>2238</v>
      </c>
      <c r="D1553" s="3" t="s">
        <v>7314</v>
      </c>
      <c r="E1553" t="s">
        <v>2240</v>
      </c>
      <c r="F1553" s="3" t="s">
        <v>2241</v>
      </c>
      <c r="G1553" t="s">
        <v>24</v>
      </c>
      <c r="H1553" s="3" t="s">
        <v>2242</v>
      </c>
      <c r="I1553" t="s">
        <v>52</v>
      </c>
      <c r="J1553" s="3" t="s">
        <v>2243</v>
      </c>
      <c r="K1553" s="4">
        <v>1120</v>
      </c>
      <c r="L1553" s="5">
        <v>50.9</v>
      </c>
      <c r="M1553" s="6">
        <v>1</v>
      </c>
      <c r="N1553" s="7">
        <v>0</v>
      </c>
      <c r="O1553" t="s">
        <v>2244</v>
      </c>
      <c r="P1553" s="3" t="s">
        <v>55</v>
      </c>
      <c r="Q1553" s="8">
        <v>0.25881900000000002</v>
      </c>
    </row>
    <row r="1554" spans="1:17" hidden="1" x14ac:dyDescent="0.55000000000000004">
      <c r="A1554" s="3" t="s">
        <v>2219</v>
      </c>
      <c r="B1554" s="3" t="s">
        <v>2238</v>
      </c>
      <c r="C1554" t="s">
        <v>2238</v>
      </c>
      <c r="D1554" s="3" t="s">
        <v>7314</v>
      </c>
      <c r="E1554" t="s">
        <v>2240</v>
      </c>
      <c r="F1554" s="3" t="s">
        <v>2241</v>
      </c>
      <c r="G1554" t="s">
        <v>24</v>
      </c>
      <c r="H1554" s="3" t="s">
        <v>2245</v>
      </c>
      <c r="I1554" t="s">
        <v>26</v>
      </c>
      <c r="J1554" s="3" t="s">
        <v>2246</v>
      </c>
      <c r="K1554" s="4">
        <v>1149</v>
      </c>
      <c r="L1554" s="5">
        <v>52.23</v>
      </c>
      <c r="M1554" s="6">
        <v>0</v>
      </c>
      <c r="N1554" s="7">
        <v>0</v>
      </c>
      <c r="O1554" t="s">
        <v>2247</v>
      </c>
      <c r="P1554" s="3" t="s">
        <v>29</v>
      </c>
      <c r="Q1554" s="8">
        <v>0.23966699999999999</v>
      </c>
    </row>
    <row r="1555" spans="1:17" hidden="1" x14ac:dyDescent="0.55000000000000004">
      <c r="A1555" s="3" t="s">
        <v>2219</v>
      </c>
      <c r="B1555" s="3" t="s">
        <v>2239</v>
      </c>
      <c r="C1555" t="s">
        <v>2239</v>
      </c>
      <c r="D1555" s="3" t="s">
        <v>7314</v>
      </c>
      <c r="E1555" t="s">
        <v>2248</v>
      </c>
      <c r="F1555" s="3" t="s">
        <v>2249</v>
      </c>
      <c r="G1555" t="s">
        <v>24</v>
      </c>
      <c r="H1555" s="3" t="s">
        <v>2250</v>
      </c>
      <c r="I1555" t="s">
        <v>26</v>
      </c>
      <c r="J1555" s="3" t="s">
        <v>2251</v>
      </c>
      <c r="K1555" s="4">
        <v>1089</v>
      </c>
      <c r="L1555" s="5">
        <v>49.5</v>
      </c>
      <c r="M1555" s="6">
        <v>1</v>
      </c>
      <c r="N1555" s="7">
        <v>0</v>
      </c>
      <c r="O1555" t="s">
        <v>2252</v>
      </c>
      <c r="P1555" s="3" t="s">
        <v>29</v>
      </c>
      <c r="Q1555" s="8">
        <v>0.23966699999999999</v>
      </c>
    </row>
    <row r="1556" spans="1:17" hidden="1" x14ac:dyDescent="0.55000000000000004">
      <c r="A1556" s="3" t="s">
        <v>2219</v>
      </c>
      <c r="B1556" s="3" t="s">
        <v>7349</v>
      </c>
      <c r="C1556" t="s">
        <v>2239</v>
      </c>
      <c r="D1556" s="3" t="s">
        <v>7314</v>
      </c>
      <c r="E1556" t="s">
        <v>2253</v>
      </c>
      <c r="F1556" s="3" t="s">
        <v>2254</v>
      </c>
      <c r="G1556" t="s">
        <v>24</v>
      </c>
      <c r="H1556" s="3" t="s">
        <v>2250</v>
      </c>
      <c r="I1556" t="s">
        <v>26</v>
      </c>
      <c r="J1556" s="3" t="s">
        <v>2251</v>
      </c>
      <c r="K1556" s="4">
        <v>1089</v>
      </c>
      <c r="L1556" s="5">
        <v>49.5</v>
      </c>
      <c r="M1556" s="6">
        <v>1</v>
      </c>
      <c r="N1556" s="7">
        <v>0</v>
      </c>
      <c r="O1556" t="s">
        <v>2252</v>
      </c>
      <c r="P1556" s="3" t="s">
        <v>29</v>
      </c>
      <c r="Q1556" s="8">
        <v>0.23966699999999999</v>
      </c>
    </row>
    <row r="1557" spans="1:17" hidden="1" x14ac:dyDescent="0.55000000000000004">
      <c r="A1557" s="3" t="s">
        <v>2219</v>
      </c>
      <c r="B1557" s="3" t="s">
        <v>2255</v>
      </c>
      <c r="C1557" t="s">
        <v>2255</v>
      </c>
      <c r="D1557" s="3" t="s">
        <v>7314</v>
      </c>
      <c r="E1557" t="s">
        <v>2257</v>
      </c>
      <c r="F1557" s="3" t="s">
        <v>2258</v>
      </c>
      <c r="G1557" t="s">
        <v>24</v>
      </c>
      <c r="H1557" s="3" t="s">
        <v>2259</v>
      </c>
      <c r="I1557" t="s">
        <v>26</v>
      </c>
      <c r="J1557" s="3" t="s">
        <v>2260</v>
      </c>
      <c r="K1557" s="4">
        <v>846</v>
      </c>
      <c r="L1557" s="5">
        <v>38.450000000000003</v>
      </c>
      <c r="M1557" s="6">
        <v>1</v>
      </c>
      <c r="N1557" s="7">
        <v>0</v>
      </c>
      <c r="O1557" t="s">
        <v>2261</v>
      </c>
      <c r="P1557" s="3" t="s">
        <v>76</v>
      </c>
      <c r="Q1557" s="8">
        <v>0.23966699999999999</v>
      </c>
    </row>
    <row r="1558" spans="1:17" hidden="1" x14ac:dyDescent="0.55000000000000004">
      <c r="A1558" s="3" t="s">
        <v>2219</v>
      </c>
      <c r="B1558" s="3" t="s">
        <v>7348</v>
      </c>
      <c r="C1558" t="s">
        <v>2256</v>
      </c>
      <c r="D1558" s="3" t="s">
        <v>7314</v>
      </c>
      <c r="E1558" t="s">
        <v>2262</v>
      </c>
      <c r="F1558" s="3" t="s">
        <v>2263</v>
      </c>
      <c r="G1558" t="s">
        <v>24</v>
      </c>
      <c r="H1558" s="3" t="s">
        <v>2259</v>
      </c>
      <c r="I1558" t="s">
        <v>26</v>
      </c>
      <c r="J1558" s="3" t="s">
        <v>2260</v>
      </c>
      <c r="K1558" s="4">
        <v>846</v>
      </c>
      <c r="L1558" s="5">
        <v>38.450000000000003</v>
      </c>
      <c r="M1558" s="6">
        <v>1</v>
      </c>
      <c r="N1558" s="7">
        <v>0</v>
      </c>
      <c r="O1558" t="s">
        <v>2261</v>
      </c>
      <c r="P1558" s="3" t="s">
        <v>76</v>
      </c>
      <c r="Q1558" s="8">
        <v>0.23966699999999999</v>
      </c>
    </row>
    <row r="1559" spans="1:17" hidden="1" x14ac:dyDescent="0.55000000000000004">
      <c r="A1559" s="3" t="s">
        <v>2219</v>
      </c>
      <c r="B1559" s="3" t="s">
        <v>2264</v>
      </c>
      <c r="C1559" t="s">
        <v>7347</v>
      </c>
      <c r="D1559" s="3" t="s">
        <v>7314</v>
      </c>
      <c r="E1559" t="s">
        <v>2265</v>
      </c>
      <c r="F1559" s="3" t="s">
        <v>2266</v>
      </c>
      <c r="G1559" t="s">
        <v>24</v>
      </c>
      <c r="H1559" s="3" t="s">
        <v>2267</v>
      </c>
      <c r="I1559" t="s">
        <v>26</v>
      </c>
      <c r="J1559" s="3" t="s">
        <v>2268</v>
      </c>
      <c r="K1559" s="4">
        <v>818</v>
      </c>
      <c r="L1559" s="5">
        <v>37.17</v>
      </c>
      <c r="M1559" s="6">
        <v>1</v>
      </c>
      <c r="N1559" s="7">
        <v>0</v>
      </c>
      <c r="O1559" t="s">
        <v>2269</v>
      </c>
      <c r="P1559" s="3" t="s">
        <v>76</v>
      </c>
      <c r="Q1559" s="8">
        <v>0.23966699999999999</v>
      </c>
    </row>
    <row r="1560" spans="1:17" hidden="1" x14ac:dyDescent="0.55000000000000004">
      <c r="A1560" s="3" t="s">
        <v>2219</v>
      </c>
      <c r="B1560" s="3" t="s">
        <v>2270</v>
      </c>
      <c r="C1560" t="s">
        <v>2221</v>
      </c>
      <c r="D1560" s="3" t="s">
        <v>7314</v>
      </c>
      <c r="E1560" t="s">
        <v>2271</v>
      </c>
      <c r="F1560" s="3" t="s">
        <v>2272</v>
      </c>
      <c r="G1560" t="s">
        <v>24</v>
      </c>
      <c r="H1560" s="3" t="s">
        <v>2273</v>
      </c>
      <c r="I1560" t="s">
        <v>26</v>
      </c>
      <c r="J1560" s="3" t="s">
        <v>2274</v>
      </c>
      <c r="K1560" s="4">
        <v>976</v>
      </c>
      <c r="L1560" s="5">
        <v>44.36</v>
      </c>
      <c r="M1560" s="6">
        <v>1</v>
      </c>
      <c r="N1560" s="7">
        <v>0</v>
      </c>
      <c r="O1560" t="s">
        <v>2275</v>
      </c>
      <c r="P1560" s="3" t="s">
        <v>29</v>
      </c>
      <c r="Q1560" s="8">
        <v>0.23300000000000001</v>
      </c>
    </row>
    <row r="1561" spans="1:17" hidden="1" x14ac:dyDescent="0.55000000000000004">
      <c r="A1561" s="3" t="s">
        <v>2219</v>
      </c>
      <c r="B1561" s="3" t="s">
        <v>2276</v>
      </c>
      <c r="C1561" t="s">
        <v>7347</v>
      </c>
      <c r="D1561" s="3" t="s">
        <v>7314</v>
      </c>
      <c r="E1561" t="s">
        <v>2277</v>
      </c>
      <c r="F1561" s="3" t="s">
        <v>2278</v>
      </c>
      <c r="G1561" t="s">
        <v>24</v>
      </c>
      <c r="H1561" s="3" t="s">
        <v>2279</v>
      </c>
      <c r="I1561" t="s">
        <v>26</v>
      </c>
      <c r="J1561" s="3" t="s">
        <v>2280</v>
      </c>
      <c r="K1561" s="4">
        <v>829</v>
      </c>
      <c r="L1561" s="5">
        <v>37.68</v>
      </c>
      <c r="M1561" s="6">
        <v>1</v>
      </c>
      <c r="N1561" s="7">
        <v>0</v>
      </c>
      <c r="O1561" t="s">
        <v>2281</v>
      </c>
      <c r="P1561" s="3" t="s">
        <v>76</v>
      </c>
      <c r="Q1561" s="8">
        <v>0.23966699999999999</v>
      </c>
    </row>
    <row r="1562" spans="1:17" hidden="1" x14ac:dyDescent="0.55000000000000004">
      <c r="A1562" s="3" t="s">
        <v>2219</v>
      </c>
      <c r="B1562" s="3" t="s">
        <v>7352</v>
      </c>
      <c r="C1562" t="s">
        <v>7347</v>
      </c>
      <c r="D1562" s="3" t="s">
        <v>7314</v>
      </c>
      <c r="E1562" t="s">
        <v>2282</v>
      </c>
      <c r="F1562" s="3" t="s">
        <v>2283</v>
      </c>
      <c r="G1562" t="s">
        <v>24</v>
      </c>
      <c r="H1562" s="3" t="s">
        <v>2279</v>
      </c>
      <c r="I1562" t="s">
        <v>26</v>
      </c>
      <c r="J1562" s="3" t="s">
        <v>2280</v>
      </c>
      <c r="K1562" s="4">
        <v>829</v>
      </c>
      <c r="L1562" s="5">
        <v>37.68</v>
      </c>
      <c r="M1562" s="6">
        <v>1</v>
      </c>
      <c r="N1562" s="7">
        <v>0</v>
      </c>
      <c r="O1562" t="s">
        <v>2281</v>
      </c>
      <c r="P1562" s="3" t="s">
        <v>76</v>
      </c>
      <c r="Q1562" s="8">
        <v>0.23966699999999999</v>
      </c>
    </row>
    <row r="1563" spans="1:17" hidden="1" x14ac:dyDescent="0.55000000000000004">
      <c r="A1563" s="3" t="s">
        <v>2219</v>
      </c>
      <c r="B1563" s="3" t="s">
        <v>2284</v>
      </c>
      <c r="C1563" t="s">
        <v>2256</v>
      </c>
      <c r="D1563" s="3" t="s">
        <v>7314</v>
      </c>
      <c r="E1563" t="s">
        <v>2285</v>
      </c>
      <c r="F1563" s="3" t="s">
        <v>2286</v>
      </c>
      <c r="G1563" t="s">
        <v>24</v>
      </c>
      <c r="H1563" s="3" t="s">
        <v>2287</v>
      </c>
      <c r="I1563" t="s">
        <v>52</v>
      </c>
      <c r="J1563" s="3" t="s">
        <v>2288</v>
      </c>
      <c r="K1563" s="4">
        <v>1139</v>
      </c>
      <c r="L1563" s="5">
        <v>51.77</v>
      </c>
      <c r="M1563" s="6">
        <v>0</v>
      </c>
      <c r="N1563" s="7">
        <v>0</v>
      </c>
      <c r="O1563" t="s">
        <v>2289</v>
      </c>
      <c r="P1563" s="3" t="s">
        <v>55</v>
      </c>
      <c r="Q1563" s="8">
        <v>0.25903799999999999</v>
      </c>
    </row>
    <row r="1564" spans="1:17" hidden="1" x14ac:dyDescent="0.55000000000000004">
      <c r="A1564" s="3" t="s">
        <v>2219</v>
      </c>
      <c r="B1564" s="3" t="s">
        <v>2284</v>
      </c>
      <c r="C1564" t="s">
        <v>2256</v>
      </c>
      <c r="D1564" s="3" t="s">
        <v>7314</v>
      </c>
      <c r="E1564" t="s">
        <v>2285</v>
      </c>
      <c r="F1564" s="3" t="s">
        <v>2286</v>
      </c>
      <c r="G1564" t="s">
        <v>24</v>
      </c>
      <c r="H1564" s="3" t="s">
        <v>2290</v>
      </c>
      <c r="I1564" t="s">
        <v>26</v>
      </c>
      <c r="J1564" s="3" t="s">
        <v>2291</v>
      </c>
      <c r="K1564" s="4">
        <v>843</v>
      </c>
      <c r="L1564" s="5">
        <v>38.32</v>
      </c>
      <c r="M1564" s="6">
        <v>1</v>
      </c>
      <c r="N1564" s="7">
        <v>0</v>
      </c>
      <c r="O1564" t="s">
        <v>2292</v>
      </c>
      <c r="P1564" s="3" t="s">
        <v>76</v>
      </c>
      <c r="Q1564" s="8">
        <v>0.23966699999999999</v>
      </c>
    </row>
    <row r="1565" spans="1:17" hidden="1" x14ac:dyDescent="0.55000000000000004">
      <c r="A1565" s="3" t="s">
        <v>2219</v>
      </c>
      <c r="B1565" s="3" t="s">
        <v>2284</v>
      </c>
      <c r="C1565" t="s">
        <v>2256</v>
      </c>
      <c r="D1565" s="3" t="s">
        <v>7314</v>
      </c>
      <c r="E1565" t="s">
        <v>2285</v>
      </c>
      <c r="F1565" s="3" t="s">
        <v>2286</v>
      </c>
      <c r="G1565" t="s">
        <v>24</v>
      </c>
      <c r="H1565" s="3" t="s">
        <v>23</v>
      </c>
      <c r="I1565" t="s">
        <v>67</v>
      </c>
      <c r="J1565" s="3" t="s">
        <v>2293</v>
      </c>
      <c r="K1565" s="4" t="s">
        <v>23</v>
      </c>
      <c r="L1565" s="5" t="s">
        <v>23</v>
      </c>
      <c r="M1565" s="6">
        <v>0</v>
      </c>
      <c r="N1565" s="7">
        <v>0</v>
      </c>
      <c r="O1565" t="s">
        <v>23</v>
      </c>
      <c r="P1565" s="3" t="s">
        <v>23</v>
      </c>
      <c r="Q1565" s="8" t="s">
        <v>23</v>
      </c>
    </row>
    <row r="1566" spans="1:17" hidden="1" x14ac:dyDescent="0.55000000000000004">
      <c r="A1566" s="3" t="s">
        <v>2219</v>
      </c>
      <c r="B1566" s="3" t="s">
        <v>2294</v>
      </c>
      <c r="C1566" t="s">
        <v>2294</v>
      </c>
      <c r="D1566" s="3" t="s">
        <v>7314</v>
      </c>
      <c r="E1566" t="s">
        <v>2295</v>
      </c>
      <c r="F1566" s="3" t="s">
        <v>2296</v>
      </c>
      <c r="G1566" t="s">
        <v>24</v>
      </c>
      <c r="H1566" s="3" t="s">
        <v>2297</v>
      </c>
      <c r="I1566" t="s">
        <v>52</v>
      </c>
      <c r="J1566" s="3" t="s">
        <v>2298</v>
      </c>
      <c r="K1566" s="4">
        <v>1055</v>
      </c>
      <c r="L1566" s="5">
        <v>47.97</v>
      </c>
      <c r="M1566" s="6">
        <v>1</v>
      </c>
      <c r="N1566" s="7">
        <v>0</v>
      </c>
      <c r="O1566" t="s">
        <v>2299</v>
      </c>
      <c r="P1566" s="3" t="s">
        <v>55</v>
      </c>
      <c r="Q1566" s="8">
        <v>0.25808199999999998</v>
      </c>
    </row>
    <row r="1567" spans="1:17" hidden="1" x14ac:dyDescent="0.55000000000000004">
      <c r="A1567" s="3" t="s">
        <v>2219</v>
      </c>
      <c r="B1567" s="3" t="s">
        <v>2294</v>
      </c>
      <c r="C1567" t="s">
        <v>2294</v>
      </c>
      <c r="D1567" s="3" t="s">
        <v>7314</v>
      </c>
      <c r="E1567" t="s">
        <v>2295</v>
      </c>
      <c r="F1567" s="3" t="s">
        <v>2296</v>
      </c>
      <c r="G1567" t="s">
        <v>24</v>
      </c>
      <c r="H1567" s="3" t="s">
        <v>2300</v>
      </c>
      <c r="I1567" t="s">
        <v>26</v>
      </c>
      <c r="J1567" s="3" t="s">
        <v>2301</v>
      </c>
      <c r="K1567" s="4">
        <v>1075</v>
      </c>
      <c r="L1567" s="5">
        <v>48.86</v>
      </c>
      <c r="M1567" s="6">
        <v>0</v>
      </c>
      <c r="N1567" s="7">
        <v>0</v>
      </c>
      <c r="O1567" t="s">
        <v>2302</v>
      </c>
      <c r="P1567" s="3" t="s">
        <v>29</v>
      </c>
      <c r="Q1567" s="8">
        <v>0.23966699999999999</v>
      </c>
    </row>
    <row r="1568" spans="1:17" hidden="1" x14ac:dyDescent="0.55000000000000004">
      <c r="A1568" s="3" t="s">
        <v>2219</v>
      </c>
      <c r="B1568" s="3" t="s">
        <v>7350</v>
      </c>
      <c r="C1568" t="s">
        <v>2294</v>
      </c>
      <c r="D1568" s="3" t="s">
        <v>7314</v>
      </c>
      <c r="E1568" t="s">
        <v>2303</v>
      </c>
      <c r="F1568" s="3" t="s">
        <v>2304</v>
      </c>
      <c r="G1568" t="s">
        <v>24</v>
      </c>
      <c r="H1568" s="3" t="s">
        <v>2297</v>
      </c>
      <c r="I1568" t="s">
        <v>52</v>
      </c>
      <c r="J1568" s="3" t="s">
        <v>2298</v>
      </c>
      <c r="K1568" s="4">
        <v>1055</v>
      </c>
      <c r="L1568" s="5">
        <v>47.97</v>
      </c>
      <c r="M1568" s="6">
        <v>1</v>
      </c>
      <c r="N1568" s="7">
        <v>0</v>
      </c>
      <c r="O1568" t="s">
        <v>2299</v>
      </c>
      <c r="P1568" s="3" t="s">
        <v>55</v>
      </c>
      <c r="Q1568" s="8">
        <v>0.25808199999999998</v>
      </c>
    </row>
    <row r="1569" spans="1:17" hidden="1" x14ac:dyDescent="0.55000000000000004">
      <c r="A1569" s="3" t="s">
        <v>2219</v>
      </c>
      <c r="B1569" s="3" t="s">
        <v>7350</v>
      </c>
      <c r="C1569" t="s">
        <v>2294</v>
      </c>
      <c r="D1569" s="3" t="s">
        <v>7314</v>
      </c>
      <c r="E1569" t="s">
        <v>2303</v>
      </c>
      <c r="F1569" s="3" t="s">
        <v>2304</v>
      </c>
      <c r="G1569" t="s">
        <v>24</v>
      </c>
      <c r="H1569" s="3" t="s">
        <v>2300</v>
      </c>
      <c r="I1569" t="s">
        <v>26</v>
      </c>
      <c r="J1569" s="3" t="s">
        <v>2301</v>
      </c>
      <c r="K1569" s="4">
        <v>1075</v>
      </c>
      <c r="L1569" s="5">
        <v>48.86</v>
      </c>
      <c r="M1569" s="6">
        <v>0</v>
      </c>
      <c r="N1569" s="7">
        <v>0</v>
      </c>
      <c r="O1569" t="s">
        <v>2302</v>
      </c>
      <c r="P1569" s="3" t="s">
        <v>29</v>
      </c>
      <c r="Q1569" s="8">
        <v>0.23966699999999999</v>
      </c>
    </row>
    <row r="1570" spans="1:17" hidden="1" x14ac:dyDescent="0.55000000000000004">
      <c r="A1570" s="3" t="s">
        <v>2219</v>
      </c>
      <c r="B1570" s="3" t="s">
        <v>2305</v>
      </c>
      <c r="C1570" t="s">
        <v>2305</v>
      </c>
      <c r="D1570" s="3" t="s">
        <v>7314</v>
      </c>
      <c r="E1570" t="s">
        <v>2306</v>
      </c>
      <c r="F1570" s="3" t="s">
        <v>2307</v>
      </c>
      <c r="G1570" t="s">
        <v>24</v>
      </c>
      <c r="H1570" s="3" t="s">
        <v>2308</v>
      </c>
      <c r="I1570" t="s">
        <v>26</v>
      </c>
      <c r="J1570" s="3" t="s">
        <v>2309</v>
      </c>
      <c r="K1570" s="4">
        <v>883</v>
      </c>
      <c r="L1570" s="5">
        <v>40.14</v>
      </c>
      <c r="M1570" s="6">
        <v>1</v>
      </c>
      <c r="N1570" s="7">
        <v>0</v>
      </c>
      <c r="O1570" t="s">
        <v>2310</v>
      </c>
      <c r="P1570" s="3" t="s">
        <v>29</v>
      </c>
      <c r="Q1570" s="8">
        <v>0.23300000000000001</v>
      </c>
    </row>
    <row r="1571" spans="1:17" hidden="1" x14ac:dyDescent="0.55000000000000004">
      <c r="A1571" s="3" t="s">
        <v>2219</v>
      </c>
      <c r="B1571" s="3" t="s">
        <v>2311</v>
      </c>
      <c r="C1571" t="s">
        <v>2311</v>
      </c>
      <c r="D1571" s="3" t="s">
        <v>7314</v>
      </c>
      <c r="E1571" t="s">
        <v>2312</v>
      </c>
      <c r="F1571" s="3" t="s">
        <v>2313</v>
      </c>
      <c r="G1571" t="s">
        <v>19</v>
      </c>
      <c r="H1571" s="3" t="s">
        <v>2314</v>
      </c>
      <c r="I1571" t="s">
        <v>81</v>
      </c>
      <c r="J1571" s="3" t="s">
        <v>2315</v>
      </c>
      <c r="K1571" s="4">
        <v>205</v>
      </c>
      <c r="L1571" s="5">
        <v>44.48</v>
      </c>
      <c r="M1571" s="6">
        <v>1</v>
      </c>
      <c r="N1571" s="7">
        <v>1</v>
      </c>
      <c r="O1571" t="s">
        <v>2316</v>
      </c>
      <c r="P1571" s="3" t="s">
        <v>84</v>
      </c>
      <c r="Q1571" s="8">
        <v>1.5942999999999999E-2</v>
      </c>
    </row>
    <row r="1572" spans="1:17" hidden="1" x14ac:dyDescent="0.55000000000000004">
      <c r="A1572" s="3" t="s">
        <v>2219</v>
      </c>
      <c r="B1572" s="3" t="s">
        <v>2311</v>
      </c>
      <c r="C1572" t="s">
        <v>2311</v>
      </c>
      <c r="D1572" s="3" t="s">
        <v>7314</v>
      </c>
      <c r="E1572" t="s">
        <v>2312</v>
      </c>
      <c r="F1572" s="3" t="s">
        <v>2313</v>
      </c>
      <c r="G1572" t="s">
        <v>24</v>
      </c>
      <c r="H1572" s="3" t="s">
        <v>2317</v>
      </c>
      <c r="I1572" t="s">
        <v>26</v>
      </c>
      <c r="J1572" s="3" t="s">
        <v>2318</v>
      </c>
      <c r="K1572" s="4">
        <v>770</v>
      </c>
      <c r="L1572" s="5">
        <v>35.01</v>
      </c>
      <c r="M1572" s="6">
        <v>1</v>
      </c>
      <c r="N1572" s="7">
        <v>1</v>
      </c>
      <c r="O1572" t="s">
        <v>2319</v>
      </c>
      <c r="P1572" s="3" t="s">
        <v>76</v>
      </c>
      <c r="Q1572" s="8">
        <v>0.23966699999999999</v>
      </c>
    </row>
    <row r="1573" spans="1:17" hidden="1" x14ac:dyDescent="0.55000000000000004">
      <c r="A1573" s="3" t="s">
        <v>2219</v>
      </c>
      <c r="B1573" s="3" t="s">
        <v>2221</v>
      </c>
      <c r="C1573" t="s">
        <v>2221</v>
      </c>
      <c r="D1573" s="3" t="s">
        <v>7314</v>
      </c>
      <c r="E1573" t="s">
        <v>2320</v>
      </c>
      <c r="F1573" s="3" t="s">
        <v>2321</v>
      </c>
      <c r="G1573" t="s">
        <v>24</v>
      </c>
      <c r="H1573" s="3" t="s">
        <v>2322</v>
      </c>
      <c r="I1573" t="s">
        <v>52</v>
      </c>
      <c r="J1573" s="3" t="s">
        <v>2323</v>
      </c>
      <c r="K1573" s="4">
        <v>842</v>
      </c>
      <c r="L1573" s="5">
        <v>38.29</v>
      </c>
      <c r="M1573" s="6">
        <v>1</v>
      </c>
      <c r="N1573" s="7">
        <v>0</v>
      </c>
      <c r="O1573" t="s">
        <v>2324</v>
      </c>
      <c r="P1573" s="3" t="s">
        <v>55</v>
      </c>
      <c r="Q1573" s="8">
        <v>0.21859100000000001</v>
      </c>
    </row>
    <row r="1574" spans="1:17" hidden="1" x14ac:dyDescent="0.55000000000000004">
      <c r="A1574" s="3" t="s">
        <v>2219</v>
      </c>
      <c r="B1574" s="3" t="s">
        <v>2221</v>
      </c>
      <c r="C1574" t="s">
        <v>2221</v>
      </c>
      <c r="D1574" s="3" t="s">
        <v>7314</v>
      </c>
      <c r="E1574" t="s">
        <v>2320</v>
      </c>
      <c r="F1574" s="3" t="s">
        <v>2321</v>
      </c>
      <c r="G1574" t="s">
        <v>24</v>
      </c>
      <c r="H1574" s="3" t="s">
        <v>2325</v>
      </c>
      <c r="I1574" t="s">
        <v>26</v>
      </c>
      <c r="J1574" s="3" t="s">
        <v>2326</v>
      </c>
      <c r="K1574" s="4">
        <v>920</v>
      </c>
      <c r="L1574" s="5">
        <v>41.82</v>
      </c>
      <c r="M1574" s="6">
        <v>0</v>
      </c>
      <c r="N1574" s="7">
        <v>0</v>
      </c>
      <c r="O1574" t="s">
        <v>2327</v>
      </c>
      <c r="P1574" s="3" t="s">
        <v>29</v>
      </c>
      <c r="Q1574" s="8">
        <v>0.23300000000000001</v>
      </c>
    </row>
    <row r="1575" spans="1:17" hidden="1" x14ac:dyDescent="0.55000000000000004">
      <c r="A1575" s="3" t="s">
        <v>2219</v>
      </c>
      <c r="B1575" s="3" t="s">
        <v>7351</v>
      </c>
      <c r="C1575" t="s">
        <v>2221</v>
      </c>
      <c r="D1575" s="3" t="s">
        <v>7314</v>
      </c>
      <c r="E1575" t="s">
        <v>2328</v>
      </c>
      <c r="F1575" s="3" t="s">
        <v>2329</v>
      </c>
      <c r="G1575" t="s">
        <v>19</v>
      </c>
      <c r="H1575" s="3" t="s">
        <v>2330</v>
      </c>
      <c r="I1575" t="s">
        <v>246</v>
      </c>
      <c r="J1575" s="3" t="s">
        <v>2331</v>
      </c>
      <c r="K1575" s="4">
        <v>447</v>
      </c>
      <c r="L1575" s="5">
        <v>97.11</v>
      </c>
      <c r="M1575" s="6">
        <v>1</v>
      </c>
      <c r="N1575" s="7">
        <v>1</v>
      </c>
      <c r="O1575" t="s">
        <v>2332</v>
      </c>
      <c r="P1575" s="3" t="s">
        <v>249</v>
      </c>
      <c r="Q1575" s="8">
        <v>0.101857</v>
      </c>
    </row>
    <row r="1576" spans="1:17" hidden="1" x14ac:dyDescent="0.55000000000000004">
      <c r="A1576" s="3" t="s">
        <v>2219</v>
      </c>
      <c r="B1576" s="3" t="s">
        <v>7351</v>
      </c>
      <c r="C1576" t="s">
        <v>2221</v>
      </c>
      <c r="D1576" s="3" t="s">
        <v>7314</v>
      </c>
      <c r="E1576" t="s">
        <v>2328</v>
      </c>
      <c r="F1576" s="3" t="s">
        <v>2329</v>
      </c>
      <c r="G1576" t="s">
        <v>24</v>
      </c>
      <c r="H1576" s="3" t="s">
        <v>2322</v>
      </c>
      <c r="I1576" t="s">
        <v>52</v>
      </c>
      <c r="J1576" s="3" t="s">
        <v>2323</v>
      </c>
      <c r="K1576" s="4">
        <v>842</v>
      </c>
      <c r="L1576" s="5">
        <v>38.29</v>
      </c>
      <c r="M1576" s="6">
        <v>1</v>
      </c>
      <c r="N1576" s="7">
        <v>1</v>
      </c>
      <c r="O1576" t="s">
        <v>2324</v>
      </c>
      <c r="P1576" s="3" t="s">
        <v>55</v>
      </c>
      <c r="Q1576" s="8">
        <v>0.21859100000000001</v>
      </c>
    </row>
    <row r="1577" spans="1:17" hidden="1" x14ac:dyDescent="0.55000000000000004">
      <c r="A1577" s="9" t="s">
        <v>2219</v>
      </c>
      <c r="B1577" s="3" t="s">
        <v>7351</v>
      </c>
      <c r="C1577" t="s">
        <v>2221</v>
      </c>
      <c r="D1577" s="3" t="s">
        <v>7314</v>
      </c>
      <c r="E1577" t="s">
        <v>2328</v>
      </c>
      <c r="F1577" s="3" t="s">
        <v>2329</v>
      </c>
      <c r="G1577" t="s">
        <v>24</v>
      </c>
      <c r="H1577" s="3" t="s">
        <v>2325</v>
      </c>
      <c r="I1577" t="s">
        <v>26</v>
      </c>
      <c r="J1577" s="3" t="s">
        <v>2326</v>
      </c>
      <c r="K1577" s="4">
        <v>920</v>
      </c>
      <c r="L1577" s="5">
        <v>41.82</v>
      </c>
      <c r="M1577" s="6">
        <v>0</v>
      </c>
      <c r="N1577" s="7">
        <v>1</v>
      </c>
      <c r="O1577" t="s">
        <v>2327</v>
      </c>
      <c r="P1577" s="3" t="s">
        <v>29</v>
      </c>
      <c r="Q1577" s="8">
        <v>0.23300000000000001</v>
      </c>
    </row>
    <row r="1578" spans="1:17" hidden="1" x14ac:dyDescent="0.55000000000000004">
      <c r="A1578" s="3" t="s">
        <v>2333</v>
      </c>
      <c r="B1578" s="3" t="s">
        <v>2334</v>
      </c>
      <c r="C1578" t="s">
        <v>2346</v>
      </c>
      <c r="D1578" s="3" t="s">
        <v>7329</v>
      </c>
      <c r="E1578" t="s">
        <v>2335</v>
      </c>
      <c r="F1578" s="3" t="s">
        <v>2336</v>
      </c>
      <c r="G1578" t="s">
        <v>24</v>
      </c>
      <c r="H1578" s="3" t="s">
        <v>2337</v>
      </c>
      <c r="I1578" t="s">
        <v>37</v>
      </c>
      <c r="J1578" s="3" t="s">
        <v>2338</v>
      </c>
      <c r="K1578" s="4">
        <v>1156</v>
      </c>
      <c r="L1578" s="5">
        <v>52.54</v>
      </c>
      <c r="M1578" s="6">
        <v>1</v>
      </c>
      <c r="N1578" s="7">
        <v>0</v>
      </c>
      <c r="O1578" t="s">
        <v>2339</v>
      </c>
      <c r="P1578" s="3" t="s">
        <v>40</v>
      </c>
      <c r="Q1578" s="8">
        <v>0.25923099999999999</v>
      </c>
    </row>
    <row r="1579" spans="1:17" hidden="1" x14ac:dyDescent="0.55000000000000004">
      <c r="A1579" s="3" t="s">
        <v>2333</v>
      </c>
      <c r="B1579" s="3" t="s">
        <v>2346</v>
      </c>
      <c r="C1579" t="s">
        <v>2346</v>
      </c>
      <c r="D1579" s="3" t="s">
        <v>7329</v>
      </c>
      <c r="E1579" t="s">
        <v>2340</v>
      </c>
      <c r="F1579" s="3" t="s">
        <v>2341</v>
      </c>
      <c r="G1579" t="s">
        <v>24</v>
      </c>
      <c r="H1579" s="3" t="s">
        <v>2337</v>
      </c>
      <c r="I1579" t="s">
        <v>37</v>
      </c>
      <c r="J1579" s="3" t="s">
        <v>2338</v>
      </c>
      <c r="K1579" s="4">
        <v>1156</v>
      </c>
      <c r="L1579" s="5">
        <v>52.54</v>
      </c>
      <c r="M1579" s="6">
        <v>1</v>
      </c>
      <c r="N1579" s="7">
        <v>0</v>
      </c>
      <c r="O1579" t="s">
        <v>2339</v>
      </c>
      <c r="P1579" s="3" t="s">
        <v>40</v>
      </c>
      <c r="Q1579" s="8">
        <v>0.25923099999999999</v>
      </c>
    </row>
    <row r="1580" spans="1:17" hidden="1" x14ac:dyDescent="0.55000000000000004">
      <c r="A1580" s="3" t="s">
        <v>2333</v>
      </c>
      <c r="B1580" s="3" t="s">
        <v>2346</v>
      </c>
      <c r="C1580" t="s">
        <v>2346</v>
      </c>
      <c r="D1580" s="3" t="s">
        <v>7329</v>
      </c>
      <c r="E1580" t="s">
        <v>2340</v>
      </c>
      <c r="F1580" s="3" t="s">
        <v>2341</v>
      </c>
      <c r="G1580" t="s">
        <v>24</v>
      </c>
      <c r="H1580" s="3" t="s">
        <v>2342</v>
      </c>
      <c r="I1580" t="s">
        <v>105</v>
      </c>
      <c r="J1580" s="3" t="s">
        <v>2343</v>
      </c>
      <c r="K1580" s="4">
        <v>836</v>
      </c>
      <c r="L1580" s="5">
        <v>0</v>
      </c>
      <c r="M1580" s="6">
        <v>0</v>
      </c>
      <c r="N1580" s="7">
        <v>0</v>
      </c>
      <c r="O1580" t="s">
        <v>23</v>
      </c>
      <c r="P1580" s="3" t="s">
        <v>23</v>
      </c>
      <c r="Q1580" s="8" t="s">
        <v>23</v>
      </c>
    </row>
    <row r="1581" spans="1:17" hidden="1" x14ac:dyDescent="0.55000000000000004">
      <c r="A1581" s="3" t="s">
        <v>2333</v>
      </c>
      <c r="B1581" s="3" t="s">
        <v>2346</v>
      </c>
      <c r="C1581" t="s">
        <v>2346</v>
      </c>
      <c r="D1581" s="3" t="s">
        <v>7329</v>
      </c>
      <c r="E1581" t="s">
        <v>2340</v>
      </c>
      <c r="F1581" s="3" t="s">
        <v>2341</v>
      </c>
      <c r="G1581" t="s">
        <v>24</v>
      </c>
      <c r="H1581" s="3" t="s">
        <v>2344</v>
      </c>
      <c r="I1581" t="s">
        <v>37</v>
      </c>
      <c r="J1581" s="3" t="s">
        <v>2343</v>
      </c>
      <c r="K1581" s="4">
        <v>882</v>
      </c>
      <c r="L1581" s="5">
        <v>0</v>
      </c>
      <c r="M1581" s="6">
        <v>0</v>
      </c>
      <c r="N1581" s="7">
        <v>0</v>
      </c>
      <c r="O1581" t="s">
        <v>23</v>
      </c>
      <c r="P1581" s="3" t="s">
        <v>23</v>
      </c>
      <c r="Q1581" s="8" t="s">
        <v>23</v>
      </c>
    </row>
    <row r="1582" spans="1:17" hidden="1" x14ac:dyDescent="0.55000000000000004">
      <c r="A1582" s="3" t="s">
        <v>2333</v>
      </c>
      <c r="B1582" s="3" t="s">
        <v>2345</v>
      </c>
      <c r="C1582" t="s">
        <v>2346</v>
      </c>
      <c r="D1582" s="3" t="s">
        <v>7329</v>
      </c>
      <c r="E1582" t="s">
        <v>2347</v>
      </c>
      <c r="F1582" s="3" t="s">
        <v>2348</v>
      </c>
      <c r="G1582" t="s">
        <v>24</v>
      </c>
      <c r="H1582" s="3" t="s">
        <v>2349</v>
      </c>
      <c r="I1582" t="s">
        <v>37</v>
      </c>
      <c r="J1582" s="3" t="s">
        <v>2350</v>
      </c>
      <c r="K1582" s="4">
        <v>1153</v>
      </c>
      <c r="L1582" s="5">
        <v>52.4</v>
      </c>
      <c r="M1582" s="6">
        <v>1</v>
      </c>
      <c r="N1582" s="7">
        <v>0</v>
      </c>
      <c r="O1582" t="s">
        <v>2351</v>
      </c>
      <c r="P1582" s="3" t="s">
        <v>40</v>
      </c>
      <c r="Q1582" s="8">
        <v>0.25919700000000001</v>
      </c>
    </row>
    <row r="1583" spans="1:17" hidden="1" x14ac:dyDescent="0.55000000000000004">
      <c r="A1583" s="3" t="s">
        <v>2333</v>
      </c>
      <c r="B1583" s="3" t="s">
        <v>2345</v>
      </c>
      <c r="C1583" t="s">
        <v>2346</v>
      </c>
      <c r="D1583" s="3" t="s">
        <v>7329</v>
      </c>
      <c r="E1583" t="s">
        <v>2347</v>
      </c>
      <c r="F1583" s="3" t="s">
        <v>2348</v>
      </c>
      <c r="G1583" t="s">
        <v>24</v>
      </c>
      <c r="H1583" s="3" t="s">
        <v>2342</v>
      </c>
      <c r="I1583" t="s">
        <v>105</v>
      </c>
      <c r="J1583" s="3" t="s">
        <v>2343</v>
      </c>
      <c r="K1583" s="4">
        <v>836</v>
      </c>
      <c r="L1583" s="5">
        <v>0</v>
      </c>
      <c r="M1583" s="6">
        <v>0</v>
      </c>
      <c r="N1583" s="7">
        <v>0</v>
      </c>
      <c r="O1583" t="s">
        <v>23</v>
      </c>
      <c r="P1583" s="3" t="s">
        <v>23</v>
      </c>
      <c r="Q1583" s="8" t="s">
        <v>23</v>
      </c>
    </row>
    <row r="1584" spans="1:17" hidden="1" x14ac:dyDescent="0.55000000000000004">
      <c r="A1584" s="3" t="s">
        <v>2333</v>
      </c>
      <c r="B1584" s="3" t="s">
        <v>2345</v>
      </c>
      <c r="C1584" t="s">
        <v>2346</v>
      </c>
      <c r="D1584" s="3" t="s">
        <v>7329</v>
      </c>
      <c r="E1584" t="s">
        <v>2347</v>
      </c>
      <c r="F1584" s="3" t="s">
        <v>2348</v>
      </c>
      <c r="G1584" t="s">
        <v>24</v>
      </c>
      <c r="H1584" s="3" t="s">
        <v>2344</v>
      </c>
      <c r="I1584" t="s">
        <v>37</v>
      </c>
      <c r="J1584" s="3" t="s">
        <v>2343</v>
      </c>
      <c r="K1584" s="4">
        <v>882</v>
      </c>
      <c r="L1584" s="5">
        <v>0</v>
      </c>
      <c r="M1584" s="6">
        <v>0</v>
      </c>
      <c r="N1584" s="7">
        <v>0</v>
      </c>
      <c r="O1584" t="s">
        <v>23</v>
      </c>
      <c r="P1584" s="3" t="s">
        <v>23</v>
      </c>
      <c r="Q1584" s="8" t="s">
        <v>23</v>
      </c>
    </row>
    <row r="1585" spans="1:17" hidden="1" x14ac:dyDescent="0.55000000000000004">
      <c r="A1585" s="3" t="s">
        <v>2333</v>
      </c>
      <c r="B1585" s="3" t="s">
        <v>2345</v>
      </c>
      <c r="C1585" t="s">
        <v>2346</v>
      </c>
      <c r="D1585" s="3" t="s">
        <v>7329</v>
      </c>
      <c r="E1585" t="s">
        <v>2352</v>
      </c>
      <c r="F1585" s="3" t="s">
        <v>2353</v>
      </c>
      <c r="G1585" t="s">
        <v>24</v>
      </c>
      <c r="H1585" s="3" t="s">
        <v>2349</v>
      </c>
      <c r="I1585" t="s">
        <v>37</v>
      </c>
      <c r="J1585" s="3" t="s">
        <v>2350</v>
      </c>
      <c r="K1585" s="4">
        <v>1153</v>
      </c>
      <c r="L1585" s="5">
        <v>52.4</v>
      </c>
      <c r="M1585" s="6">
        <v>1</v>
      </c>
      <c r="N1585" s="7">
        <v>0</v>
      </c>
      <c r="O1585" t="s">
        <v>2351</v>
      </c>
      <c r="P1585" s="3" t="s">
        <v>40</v>
      </c>
      <c r="Q1585" s="8">
        <v>0.25919700000000001</v>
      </c>
    </row>
    <row r="1586" spans="1:17" hidden="1" x14ac:dyDescent="0.55000000000000004">
      <c r="A1586" s="3" t="s">
        <v>2333</v>
      </c>
      <c r="B1586" s="3" t="s">
        <v>2345</v>
      </c>
      <c r="C1586" t="s">
        <v>2346</v>
      </c>
      <c r="D1586" s="3" t="s">
        <v>7329</v>
      </c>
      <c r="E1586" t="s">
        <v>2352</v>
      </c>
      <c r="F1586" s="3" t="s">
        <v>2353</v>
      </c>
      <c r="G1586" t="s">
        <v>24</v>
      </c>
      <c r="H1586" s="3" t="s">
        <v>2342</v>
      </c>
      <c r="I1586" t="s">
        <v>105</v>
      </c>
      <c r="J1586" s="3" t="s">
        <v>2343</v>
      </c>
      <c r="K1586" s="4">
        <v>836</v>
      </c>
      <c r="L1586" s="5">
        <v>0</v>
      </c>
      <c r="M1586" s="6">
        <v>0</v>
      </c>
      <c r="N1586" s="7">
        <v>0</v>
      </c>
      <c r="O1586" t="s">
        <v>23</v>
      </c>
      <c r="P1586" s="3" t="s">
        <v>23</v>
      </c>
      <c r="Q1586" s="8" t="s">
        <v>23</v>
      </c>
    </row>
    <row r="1587" spans="1:17" hidden="1" x14ac:dyDescent="0.55000000000000004">
      <c r="A1587" s="3" t="s">
        <v>2333</v>
      </c>
      <c r="B1587" s="3" t="s">
        <v>2345</v>
      </c>
      <c r="C1587" t="s">
        <v>2346</v>
      </c>
      <c r="D1587" s="3" t="s">
        <v>7329</v>
      </c>
      <c r="E1587" t="s">
        <v>2352</v>
      </c>
      <c r="F1587" s="3" t="s">
        <v>2353</v>
      </c>
      <c r="G1587" t="s">
        <v>24</v>
      </c>
      <c r="H1587" s="3" t="s">
        <v>2344</v>
      </c>
      <c r="I1587" t="s">
        <v>37</v>
      </c>
      <c r="J1587" s="3" t="s">
        <v>2343</v>
      </c>
      <c r="K1587" s="4">
        <v>882</v>
      </c>
      <c r="L1587" s="5">
        <v>0</v>
      </c>
      <c r="M1587" s="6">
        <v>0</v>
      </c>
      <c r="N1587" s="7">
        <v>0</v>
      </c>
      <c r="O1587" t="s">
        <v>23</v>
      </c>
      <c r="P1587" s="3" t="s">
        <v>23</v>
      </c>
      <c r="Q1587" s="8" t="s">
        <v>23</v>
      </c>
    </row>
    <row r="1588" spans="1:17" hidden="1" x14ac:dyDescent="0.55000000000000004">
      <c r="A1588" s="3" t="s">
        <v>2333</v>
      </c>
      <c r="B1588" s="3" t="s">
        <v>2354</v>
      </c>
      <c r="C1588" t="s">
        <v>2346</v>
      </c>
      <c r="D1588" s="3" t="s">
        <v>7329</v>
      </c>
      <c r="E1588" t="s">
        <v>2355</v>
      </c>
      <c r="F1588" s="3" t="s">
        <v>2356</v>
      </c>
      <c r="G1588" t="s">
        <v>24</v>
      </c>
      <c r="H1588" s="3" t="s">
        <v>2357</v>
      </c>
      <c r="I1588" t="s">
        <v>37</v>
      </c>
      <c r="J1588" s="3" t="s">
        <v>2358</v>
      </c>
      <c r="K1588" s="4">
        <v>1153</v>
      </c>
      <c r="L1588" s="5">
        <v>52.39</v>
      </c>
      <c r="M1588" s="6">
        <v>1</v>
      </c>
      <c r="N1588" s="7">
        <v>0</v>
      </c>
      <c r="O1588" t="s">
        <v>2359</v>
      </c>
      <c r="P1588" s="3" t="s">
        <v>40</v>
      </c>
      <c r="Q1588" s="8">
        <v>0.25919300000000001</v>
      </c>
    </row>
    <row r="1589" spans="1:17" hidden="1" x14ac:dyDescent="0.55000000000000004">
      <c r="A1589" s="3" t="s">
        <v>2333</v>
      </c>
      <c r="B1589" s="3" t="s">
        <v>2354</v>
      </c>
      <c r="C1589" t="s">
        <v>2346</v>
      </c>
      <c r="D1589" s="3" t="s">
        <v>7329</v>
      </c>
      <c r="E1589" t="s">
        <v>2355</v>
      </c>
      <c r="F1589" s="3" t="s">
        <v>2356</v>
      </c>
      <c r="G1589" t="s">
        <v>24</v>
      </c>
      <c r="H1589" s="3" t="s">
        <v>2342</v>
      </c>
      <c r="I1589" t="s">
        <v>105</v>
      </c>
      <c r="J1589" s="3" t="s">
        <v>2343</v>
      </c>
      <c r="K1589" s="4">
        <v>836</v>
      </c>
      <c r="L1589" s="5">
        <v>0</v>
      </c>
      <c r="M1589" s="6">
        <v>0</v>
      </c>
      <c r="N1589" s="7">
        <v>0</v>
      </c>
      <c r="O1589" t="s">
        <v>23</v>
      </c>
      <c r="P1589" s="3" t="s">
        <v>23</v>
      </c>
      <c r="Q1589" s="8" t="s">
        <v>23</v>
      </c>
    </row>
    <row r="1590" spans="1:17" hidden="1" x14ac:dyDescent="0.55000000000000004">
      <c r="A1590" s="3" t="s">
        <v>2333</v>
      </c>
      <c r="B1590" s="3" t="s">
        <v>2354</v>
      </c>
      <c r="C1590" t="s">
        <v>2346</v>
      </c>
      <c r="D1590" s="3" t="s">
        <v>7329</v>
      </c>
      <c r="E1590" t="s">
        <v>2355</v>
      </c>
      <c r="F1590" s="3" t="s">
        <v>2356</v>
      </c>
      <c r="G1590" t="s">
        <v>24</v>
      </c>
      <c r="H1590" s="3" t="s">
        <v>2344</v>
      </c>
      <c r="I1590" t="s">
        <v>37</v>
      </c>
      <c r="J1590" s="3" t="s">
        <v>2343</v>
      </c>
      <c r="K1590" s="4">
        <v>882</v>
      </c>
      <c r="L1590" s="5">
        <v>0</v>
      </c>
      <c r="M1590" s="6">
        <v>0</v>
      </c>
      <c r="N1590" s="7">
        <v>0</v>
      </c>
      <c r="O1590" t="s">
        <v>23</v>
      </c>
      <c r="P1590" s="3" t="s">
        <v>23</v>
      </c>
      <c r="Q1590" s="8" t="s">
        <v>23</v>
      </c>
    </row>
    <row r="1591" spans="1:17" hidden="1" x14ac:dyDescent="0.55000000000000004">
      <c r="A1591" s="3" t="s">
        <v>2333</v>
      </c>
      <c r="B1591" s="3" t="s">
        <v>2360</v>
      </c>
      <c r="C1591" t="s">
        <v>2346</v>
      </c>
      <c r="D1591" s="3" t="s">
        <v>7329</v>
      </c>
      <c r="E1591" t="s">
        <v>2361</v>
      </c>
      <c r="F1591" s="3" t="s">
        <v>2362</v>
      </c>
      <c r="G1591" t="s">
        <v>24</v>
      </c>
      <c r="H1591" s="3" t="s">
        <v>2363</v>
      </c>
      <c r="I1591" t="s">
        <v>37</v>
      </c>
      <c r="J1591" s="3" t="s">
        <v>2364</v>
      </c>
      <c r="K1591" s="4">
        <v>1151</v>
      </c>
      <c r="L1591" s="5">
        <v>52.33</v>
      </c>
      <c r="M1591" s="6">
        <v>1</v>
      </c>
      <c r="N1591" s="7">
        <v>0</v>
      </c>
      <c r="O1591" t="s">
        <v>2365</v>
      </c>
      <c r="P1591" s="3" t="s">
        <v>40</v>
      </c>
      <c r="Q1591" s="8">
        <v>0.25917899999999999</v>
      </c>
    </row>
    <row r="1592" spans="1:17" hidden="1" x14ac:dyDescent="0.55000000000000004">
      <c r="A1592" s="3" t="s">
        <v>2333</v>
      </c>
      <c r="B1592" s="3" t="s">
        <v>2360</v>
      </c>
      <c r="C1592" t="s">
        <v>2346</v>
      </c>
      <c r="D1592" s="3" t="s">
        <v>7329</v>
      </c>
      <c r="E1592" t="s">
        <v>2361</v>
      </c>
      <c r="F1592" s="3" t="s">
        <v>2362</v>
      </c>
      <c r="G1592" t="s">
        <v>24</v>
      </c>
      <c r="H1592" s="3" t="s">
        <v>2342</v>
      </c>
      <c r="I1592" t="s">
        <v>105</v>
      </c>
      <c r="J1592" s="3" t="s">
        <v>2343</v>
      </c>
      <c r="K1592" s="4">
        <v>836</v>
      </c>
      <c r="L1592" s="5">
        <v>0</v>
      </c>
      <c r="M1592" s="6">
        <v>0</v>
      </c>
      <c r="N1592" s="7">
        <v>0</v>
      </c>
      <c r="O1592" t="s">
        <v>23</v>
      </c>
      <c r="P1592" s="3" t="s">
        <v>23</v>
      </c>
      <c r="Q1592" s="8" t="s">
        <v>23</v>
      </c>
    </row>
    <row r="1593" spans="1:17" hidden="1" x14ac:dyDescent="0.55000000000000004">
      <c r="A1593" s="3" t="s">
        <v>2333</v>
      </c>
      <c r="B1593" s="3" t="s">
        <v>2360</v>
      </c>
      <c r="C1593" t="s">
        <v>2346</v>
      </c>
      <c r="D1593" s="3" t="s">
        <v>7329</v>
      </c>
      <c r="E1593" t="s">
        <v>2361</v>
      </c>
      <c r="F1593" s="3" t="s">
        <v>2362</v>
      </c>
      <c r="G1593" t="s">
        <v>24</v>
      </c>
      <c r="H1593" s="3" t="s">
        <v>2344</v>
      </c>
      <c r="I1593" t="s">
        <v>37</v>
      </c>
      <c r="J1593" s="3" t="s">
        <v>2343</v>
      </c>
      <c r="K1593" s="4">
        <v>882</v>
      </c>
      <c r="L1593" s="5">
        <v>0</v>
      </c>
      <c r="M1593" s="6">
        <v>0</v>
      </c>
      <c r="N1593" s="7">
        <v>0</v>
      </c>
      <c r="O1593" t="s">
        <v>23</v>
      </c>
      <c r="P1593" s="3" t="s">
        <v>23</v>
      </c>
      <c r="Q1593" s="8" t="s">
        <v>23</v>
      </c>
    </row>
    <row r="1594" spans="1:17" hidden="1" x14ac:dyDescent="0.55000000000000004">
      <c r="A1594" s="3" t="s">
        <v>2333</v>
      </c>
      <c r="B1594" s="3" t="s">
        <v>2366</v>
      </c>
      <c r="C1594" t="s">
        <v>2346</v>
      </c>
      <c r="D1594" s="3" t="s">
        <v>7329</v>
      </c>
      <c r="E1594" t="s">
        <v>2367</v>
      </c>
      <c r="F1594" s="3" t="s">
        <v>2368</v>
      </c>
      <c r="G1594" t="s">
        <v>24</v>
      </c>
      <c r="H1594" s="3" t="s">
        <v>2369</v>
      </c>
      <c r="I1594" t="s">
        <v>37</v>
      </c>
      <c r="J1594" s="3" t="s">
        <v>2370</v>
      </c>
      <c r="K1594" s="4">
        <v>1154</v>
      </c>
      <c r="L1594" s="5">
        <v>52.46</v>
      </c>
      <c r="M1594" s="6">
        <v>1</v>
      </c>
      <c r="N1594" s="7">
        <v>0</v>
      </c>
      <c r="O1594" t="s">
        <v>2371</v>
      </c>
      <c r="P1594" s="3" t="s">
        <v>40</v>
      </c>
      <c r="Q1594" s="8">
        <v>0.25921100000000002</v>
      </c>
    </row>
    <row r="1595" spans="1:17" hidden="1" x14ac:dyDescent="0.55000000000000004">
      <c r="A1595" s="3" t="s">
        <v>2333</v>
      </c>
      <c r="B1595" s="3" t="s">
        <v>2366</v>
      </c>
      <c r="C1595" t="s">
        <v>2346</v>
      </c>
      <c r="D1595" s="3" t="s">
        <v>7329</v>
      </c>
      <c r="E1595" t="s">
        <v>2367</v>
      </c>
      <c r="F1595" s="3" t="s">
        <v>2368</v>
      </c>
      <c r="G1595" t="s">
        <v>24</v>
      </c>
      <c r="H1595" s="3" t="s">
        <v>2342</v>
      </c>
      <c r="I1595" t="s">
        <v>105</v>
      </c>
      <c r="J1595" s="3" t="s">
        <v>2343</v>
      </c>
      <c r="K1595" s="4">
        <v>836</v>
      </c>
      <c r="L1595" s="5">
        <v>0</v>
      </c>
      <c r="M1595" s="6">
        <v>0</v>
      </c>
      <c r="N1595" s="7">
        <v>0</v>
      </c>
      <c r="O1595" t="s">
        <v>23</v>
      </c>
      <c r="P1595" s="3" t="s">
        <v>23</v>
      </c>
      <c r="Q1595" s="8" t="s">
        <v>23</v>
      </c>
    </row>
    <row r="1596" spans="1:17" hidden="1" x14ac:dyDescent="0.55000000000000004">
      <c r="A1596" s="3" t="s">
        <v>2333</v>
      </c>
      <c r="B1596" s="3" t="s">
        <v>2366</v>
      </c>
      <c r="C1596" t="s">
        <v>2346</v>
      </c>
      <c r="D1596" s="3" t="s">
        <v>7329</v>
      </c>
      <c r="E1596" t="s">
        <v>2367</v>
      </c>
      <c r="F1596" s="3" t="s">
        <v>2368</v>
      </c>
      <c r="G1596" t="s">
        <v>24</v>
      </c>
      <c r="H1596" s="3" t="s">
        <v>2344</v>
      </c>
      <c r="I1596" t="s">
        <v>37</v>
      </c>
      <c r="J1596" s="3" t="s">
        <v>2343</v>
      </c>
      <c r="K1596" s="4">
        <v>882</v>
      </c>
      <c r="L1596" s="5">
        <v>0</v>
      </c>
      <c r="M1596" s="6">
        <v>0</v>
      </c>
      <c r="N1596" s="7">
        <v>0</v>
      </c>
      <c r="O1596" t="s">
        <v>23</v>
      </c>
      <c r="P1596" s="3" t="s">
        <v>23</v>
      </c>
      <c r="Q1596" s="8" t="s">
        <v>23</v>
      </c>
    </row>
    <row r="1597" spans="1:17" hidden="1" x14ac:dyDescent="0.55000000000000004">
      <c r="A1597" s="3" t="s">
        <v>2333</v>
      </c>
      <c r="B1597" s="3" t="s">
        <v>2366</v>
      </c>
      <c r="C1597" t="s">
        <v>2346</v>
      </c>
      <c r="D1597" s="3" t="s">
        <v>7329</v>
      </c>
      <c r="E1597" t="s">
        <v>2372</v>
      </c>
      <c r="F1597" s="3" t="s">
        <v>2373</v>
      </c>
      <c r="G1597" t="s">
        <v>24</v>
      </c>
      <c r="H1597" s="3" t="s">
        <v>2369</v>
      </c>
      <c r="I1597" t="s">
        <v>37</v>
      </c>
      <c r="J1597" s="3" t="s">
        <v>2370</v>
      </c>
      <c r="K1597" s="4">
        <v>1154</v>
      </c>
      <c r="L1597" s="5">
        <v>52.46</v>
      </c>
      <c r="M1597" s="6">
        <v>1</v>
      </c>
      <c r="N1597" s="7">
        <v>0</v>
      </c>
      <c r="O1597" t="s">
        <v>2371</v>
      </c>
      <c r="P1597" s="3" t="s">
        <v>40</v>
      </c>
      <c r="Q1597" s="8">
        <v>0.25921100000000002</v>
      </c>
    </row>
    <row r="1598" spans="1:17" hidden="1" x14ac:dyDescent="0.55000000000000004">
      <c r="A1598" s="3" t="s">
        <v>2333</v>
      </c>
      <c r="B1598" s="3" t="s">
        <v>2366</v>
      </c>
      <c r="C1598" t="s">
        <v>2346</v>
      </c>
      <c r="D1598" s="3" t="s">
        <v>7329</v>
      </c>
      <c r="E1598" t="s">
        <v>2372</v>
      </c>
      <c r="F1598" s="3" t="s">
        <v>2373</v>
      </c>
      <c r="G1598" t="s">
        <v>24</v>
      </c>
      <c r="H1598" s="3" t="s">
        <v>2342</v>
      </c>
      <c r="I1598" t="s">
        <v>105</v>
      </c>
      <c r="J1598" s="3" t="s">
        <v>2343</v>
      </c>
      <c r="K1598" s="4">
        <v>836</v>
      </c>
      <c r="L1598" s="5">
        <v>0</v>
      </c>
      <c r="M1598" s="6">
        <v>0</v>
      </c>
      <c r="N1598" s="7">
        <v>0</v>
      </c>
      <c r="O1598" t="s">
        <v>23</v>
      </c>
      <c r="P1598" s="3" t="s">
        <v>23</v>
      </c>
      <c r="Q1598" s="8" t="s">
        <v>23</v>
      </c>
    </row>
    <row r="1599" spans="1:17" hidden="1" x14ac:dyDescent="0.55000000000000004">
      <c r="A1599" s="3" t="s">
        <v>2333</v>
      </c>
      <c r="B1599" s="3" t="s">
        <v>2366</v>
      </c>
      <c r="C1599" t="s">
        <v>2346</v>
      </c>
      <c r="D1599" s="3" t="s">
        <v>7329</v>
      </c>
      <c r="E1599" t="s">
        <v>2372</v>
      </c>
      <c r="F1599" s="3" t="s">
        <v>2373</v>
      </c>
      <c r="G1599" t="s">
        <v>24</v>
      </c>
      <c r="H1599" s="3" t="s">
        <v>2344</v>
      </c>
      <c r="I1599" t="s">
        <v>37</v>
      </c>
      <c r="J1599" s="3" t="s">
        <v>2343</v>
      </c>
      <c r="K1599" s="4">
        <v>882</v>
      </c>
      <c r="L1599" s="5">
        <v>0</v>
      </c>
      <c r="M1599" s="6">
        <v>0</v>
      </c>
      <c r="N1599" s="7">
        <v>0</v>
      </c>
      <c r="O1599" t="s">
        <v>23</v>
      </c>
      <c r="P1599" s="3" t="s">
        <v>23</v>
      </c>
      <c r="Q1599" s="8" t="s">
        <v>23</v>
      </c>
    </row>
    <row r="1600" spans="1:17" hidden="1" x14ac:dyDescent="0.55000000000000004">
      <c r="A1600" s="3" t="s">
        <v>2333</v>
      </c>
      <c r="B1600" s="3" t="s">
        <v>2374</v>
      </c>
      <c r="C1600" t="s">
        <v>2374</v>
      </c>
      <c r="D1600" s="3" t="s">
        <v>7329</v>
      </c>
      <c r="E1600" t="s">
        <v>2375</v>
      </c>
      <c r="F1600" s="3" t="s">
        <v>2376</v>
      </c>
      <c r="G1600" t="s">
        <v>19</v>
      </c>
      <c r="H1600" s="3" t="s">
        <v>2377</v>
      </c>
      <c r="I1600" t="s">
        <v>804</v>
      </c>
      <c r="J1600" s="3" t="s">
        <v>2378</v>
      </c>
      <c r="K1600" s="4">
        <v>66</v>
      </c>
      <c r="L1600" s="5">
        <v>14.37</v>
      </c>
      <c r="M1600" s="6">
        <v>1</v>
      </c>
      <c r="N1600" s="7">
        <v>0</v>
      </c>
      <c r="O1600" t="s">
        <v>2379</v>
      </c>
      <c r="P1600" s="3" t="s">
        <v>807</v>
      </c>
      <c r="Q1600" s="8">
        <v>2.5364000000000001E-2</v>
      </c>
    </row>
    <row r="1601" spans="1:17" hidden="1" x14ac:dyDescent="0.55000000000000004">
      <c r="A1601" s="3" t="s">
        <v>2333</v>
      </c>
      <c r="B1601" s="3" t="s">
        <v>2374</v>
      </c>
      <c r="C1601" t="s">
        <v>2374</v>
      </c>
      <c r="D1601" s="3" t="s">
        <v>7329</v>
      </c>
      <c r="E1601" t="s">
        <v>2375</v>
      </c>
      <c r="F1601" s="3" t="s">
        <v>2376</v>
      </c>
      <c r="G1601" t="s">
        <v>24</v>
      </c>
      <c r="H1601" s="3" t="s">
        <v>2380</v>
      </c>
      <c r="I1601" t="s">
        <v>37</v>
      </c>
      <c r="J1601" s="3" t="s">
        <v>2381</v>
      </c>
      <c r="K1601" s="4">
        <v>1050</v>
      </c>
      <c r="L1601" s="5">
        <v>47.71</v>
      </c>
      <c r="M1601" s="6">
        <v>1</v>
      </c>
      <c r="N1601" s="7">
        <v>0</v>
      </c>
      <c r="O1601" t="s">
        <v>2382</v>
      </c>
      <c r="P1601" s="3" t="s">
        <v>40</v>
      </c>
      <c r="Q1601" s="8">
        <v>0.25801600000000002</v>
      </c>
    </row>
    <row r="1602" spans="1:17" hidden="1" x14ac:dyDescent="0.55000000000000004">
      <c r="A1602" s="3" t="s">
        <v>2333</v>
      </c>
      <c r="B1602" s="3" t="s">
        <v>2374</v>
      </c>
      <c r="C1602" t="s">
        <v>2374</v>
      </c>
      <c r="D1602" s="3" t="s">
        <v>7329</v>
      </c>
      <c r="E1602" t="s">
        <v>2383</v>
      </c>
      <c r="F1602" s="3" t="s">
        <v>2384</v>
      </c>
      <c r="G1602" t="s">
        <v>19</v>
      </c>
      <c r="H1602" s="3" t="s">
        <v>2377</v>
      </c>
      <c r="I1602" t="s">
        <v>804</v>
      </c>
      <c r="J1602" s="3" t="s">
        <v>2378</v>
      </c>
      <c r="K1602" s="4">
        <v>66</v>
      </c>
      <c r="L1602" s="5">
        <v>14.37</v>
      </c>
      <c r="M1602" s="6">
        <v>1</v>
      </c>
      <c r="N1602" s="7">
        <v>0</v>
      </c>
      <c r="O1602" t="s">
        <v>2379</v>
      </c>
      <c r="P1602" s="3" t="s">
        <v>807</v>
      </c>
      <c r="Q1602" s="8">
        <v>2.5364000000000001E-2</v>
      </c>
    </row>
    <row r="1603" spans="1:17" hidden="1" x14ac:dyDescent="0.55000000000000004">
      <c r="A1603" s="3" t="s">
        <v>2333</v>
      </c>
      <c r="B1603" s="3" t="s">
        <v>2374</v>
      </c>
      <c r="C1603" t="s">
        <v>2374</v>
      </c>
      <c r="D1603" s="3" t="s">
        <v>7329</v>
      </c>
      <c r="E1603" t="s">
        <v>2383</v>
      </c>
      <c r="F1603" s="3" t="s">
        <v>2384</v>
      </c>
      <c r="G1603" t="s">
        <v>24</v>
      </c>
      <c r="H1603" s="3" t="s">
        <v>2380</v>
      </c>
      <c r="I1603" t="s">
        <v>37</v>
      </c>
      <c r="J1603" s="3" t="s">
        <v>2381</v>
      </c>
      <c r="K1603" s="4">
        <v>1050</v>
      </c>
      <c r="L1603" s="5">
        <v>47.71</v>
      </c>
      <c r="M1603" s="6">
        <v>1</v>
      </c>
      <c r="N1603" s="7">
        <v>0</v>
      </c>
      <c r="O1603" t="s">
        <v>2382</v>
      </c>
      <c r="P1603" s="3" t="s">
        <v>40</v>
      </c>
      <c r="Q1603" s="8">
        <v>0.25801600000000002</v>
      </c>
    </row>
    <row r="1604" spans="1:17" hidden="1" x14ac:dyDescent="0.55000000000000004">
      <c r="A1604" s="3" t="s">
        <v>2333</v>
      </c>
      <c r="B1604" s="3" t="s">
        <v>2374</v>
      </c>
      <c r="C1604" t="s">
        <v>2374</v>
      </c>
      <c r="D1604" s="3" t="s">
        <v>7329</v>
      </c>
      <c r="E1604" t="s">
        <v>2385</v>
      </c>
      <c r="F1604" s="3" t="s">
        <v>2386</v>
      </c>
      <c r="G1604" t="s">
        <v>19</v>
      </c>
      <c r="H1604" s="3" t="s">
        <v>2377</v>
      </c>
      <c r="I1604" t="s">
        <v>804</v>
      </c>
      <c r="J1604" s="3" t="s">
        <v>2378</v>
      </c>
      <c r="K1604" s="4">
        <v>66</v>
      </c>
      <c r="L1604" s="5">
        <v>14.37</v>
      </c>
      <c r="M1604" s="6">
        <v>1</v>
      </c>
      <c r="N1604" s="7">
        <v>0</v>
      </c>
      <c r="O1604" t="s">
        <v>2379</v>
      </c>
      <c r="P1604" s="3" t="s">
        <v>807</v>
      </c>
      <c r="Q1604" s="8">
        <v>2.5364000000000001E-2</v>
      </c>
    </row>
    <row r="1605" spans="1:17" hidden="1" x14ac:dyDescent="0.55000000000000004">
      <c r="A1605" s="3" t="s">
        <v>2333</v>
      </c>
      <c r="B1605" s="3" t="s">
        <v>2374</v>
      </c>
      <c r="C1605" t="s">
        <v>2374</v>
      </c>
      <c r="D1605" s="3" t="s">
        <v>7329</v>
      </c>
      <c r="E1605" t="s">
        <v>2385</v>
      </c>
      <c r="F1605" s="3" t="s">
        <v>2386</v>
      </c>
      <c r="G1605" t="s">
        <v>24</v>
      </c>
      <c r="H1605" s="3" t="s">
        <v>2380</v>
      </c>
      <c r="I1605" t="s">
        <v>37</v>
      </c>
      <c r="J1605" s="3" t="s">
        <v>2381</v>
      </c>
      <c r="K1605" s="4">
        <v>1050</v>
      </c>
      <c r="L1605" s="5">
        <v>47.71</v>
      </c>
      <c r="M1605" s="6">
        <v>1</v>
      </c>
      <c r="N1605" s="7">
        <v>0</v>
      </c>
      <c r="O1605" t="s">
        <v>2382</v>
      </c>
      <c r="P1605" s="3" t="s">
        <v>40</v>
      </c>
      <c r="Q1605" s="8">
        <v>0.25801600000000002</v>
      </c>
    </row>
    <row r="1606" spans="1:17" hidden="1" x14ac:dyDescent="0.55000000000000004">
      <c r="A1606" s="3" t="s">
        <v>2333</v>
      </c>
      <c r="B1606" s="3" t="s">
        <v>2374</v>
      </c>
      <c r="C1606" t="s">
        <v>2374</v>
      </c>
      <c r="D1606" s="3" t="s">
        <v>7329</v>
      </c>
      <c r="E1606" t="s">
        <v>2387</v>
      </c>
      <c r="F1606" s="3" t="s">
        <v>2388</v>
      </c>
      <c r="G1606" t="s">
        <v>19</v>
      </c>
      <c r="H1606" s="3" t="s">
        <v>2377</v>
      </c>
      <c r="I1606" t="s">
        <v>804</v>
      </c>
      <c r="J1606" s="3" t="s">
        <v>2378</v>
      </c>
      <c r="K1606" s="4">
        <v>66</v>
      </c>
      <c r="L1606" s="5">
        <v>14.37</v>
      </c>
      <c r="M1606" s="6">
        <v>1</v>
      </c>
      <c r="N1606" s="7">
        <v>0</v>
      </c>
      <c r="O1606" t="s">
        <v>2379</v>
      </c>
      <c r="P1606" s="3" t="s">
        <v>807</v>
      </c>
      <c r="Q1606" s="8">
        <v>2.5364000000000001E-2</v>
      </c>
    </row>
    <row r="1607" spans="1:17" hidden="1" x14ac:dyDescent="0.55000000000000004">
      <c r="A1607" s="3" t="s">
        <v>2333</v>
      </c>
      <c r="B1607" s="3" t="s">
        <v>2374</v>
      </c>
      <c r="C1607" t="s">
        <v>2374</v>
      </c>
      <c r="D1607" s="3" t="s">
        <v>7329</v>
      </c>
      <c r="E1607" t="s">
        <v>2387</v>
      </c>
      <c r="F1607" s="3" t="s">
        <v>2388</v>
      </c>
      <c r="G1607" t="s">
        <v>24</v>
      </c>
      <c r="H1607" s="3" t="s">
        <v>2342</v>
      </c>
      <c r="I1607" t="s">
        <v>105</v>
      </c>
      <c r="J1607" s="3" t="s">
        <v>2343</v>
      </c>
      <c r="K1607" s="4">
        <v>836</v>
      </c>
      <c r="L1607" s="5">
        <v>0</v>
      </c>
      <c r="M1607" s="6">
        <v>0</v>
      </c>
      <c r="N1607" s="7">
        <v>0</v>
      </c>
      <c r="O1607" t="s">
        <v>23</v>
      </c>
      <c r="P1607" s="3" t="s">
        <v>23</v>
      </c>
      <c r="Q1607" s="8" t="s">
        <v>23</v>
      </c>
    </row>
    <row r="1608" spans="1:17" hidden="1" x14ac:dyDescent="0.55000000000000004">
      <c r="A1608" s="3" t="s">
        <v>2333</v>
      </c>
      <c r="B1608" s="3" t="s">
        <v>2374</v>
      </c>
      <c r="C1608" t="s">
        <v>2374</v>
      </c>
      <c r="D1608" s="3" t="s">
        <v>7329</v>
      </c>
      <c r="E1608" t="s">
        <v>2387</v>
      </c>
      <c r="F1608" s="3" t="s">
        <v>2388</v>
      </c>
      <c r="G1608" t="s">
        <v>24</v>
      </c>
      <c r="H1608" s="3" t="s">
        <v>2344</v>
      </c>
      <c r="I1608" t="s">
        <v>37</v>
      </c>
      <c r="J1608" s="3" t="s">
        <v>2343</v>
      </c>
      <c r="K1608" s="4">
        <v>882</v>
      </c>
      <c r="L1608" s="5">
        <v>0</v>
      </c>
      <c r="M1608" s="6">
        <v>0</v>
      </c>
      <c r="N1608" s="7">
        <v>0</v>
      </c>
      <c r="O1608" t="s">
        <v>23</v>
      </c>
      <c r="P1608" s="3" t="s">
        <v>23</v>
      </c>
      <c r="Q1608" s="8" t="s">
        <v>23</v>
      </c>
    </row>
    <row r="1609" spans="1:17" hidden="1" x14ac:dyDescent="0.55000000000000004">
      <c r="A1609" s="3" t="s">
        <v>2333</v>
      </c>
      <c r="B1609" s="3" t="s">
        <v>2374</v>
      </c>
      <c r="C1609" t="s">
        <v>2374</v>
      </c>
      <c r="D1609" s="3" t="s">
        <v>7329</v>
      </c>
      <c r="E1609" t="s">
        <v>2387</v>
      </c>
      <c r="F1609" s="3" t="s">
        <v>2388</v>
      </c>
      <c r="G1609" t="s">
        <v>24</v>
      </c>
      <c r="H1609" s="3" t="s">
        <v>2380</v>
      </c>
      <c r="I1609" t="s">
        <v>37</v>
      </c>
      <c r="J1609" s="3" t="s">
        <v>2381</v>
      </c>
      <c r="K1609" s="4">
        <v>1050</v>
      </c>
      <c r="L1609" s="5">
        <v>47.71</v>
      </c>
      <c r="M1609" s="6">
        <v>1</v>
      </c>
      <c r="N1609" s="7">
        <v>0</v>
      </c>
      <c r="O1609" t="s">
        <v>2382</v>
      </c>
      <c r="P1609" s="3" t="s">
        <v>40</v>
      </c>
      <c r="Q1609" s="8">
        <v>0.25801600000000002</v>
      </c>
    </row>
    <row r="1610" spans="1:17" hidden="1" x14ac:dyDescent="0.55000000000000004">
      <c r="A1610" s="3" t="s">
        <v>2333</v>
      </c>
      <c r="B1610" s="3" t="s">
        <v>2374</v>
      </c>
      <c r="C1610" t="s">
        <v>2374</v>
      </c>
      <c r="D1610" s="3" t="s">
        <v>7329</v>
      </c>
      <c r="E1610" t="s">
        <v>2389</v>
      </c>
      <c r="F1610" s="3" t="s">
        <v>2390</v>
      </c>
      <c r="G1610" t="s">
        <v>19</v>
      </c>
      <c r="H1610" s="3" t="s">
        <v>2377</v>
      </c>
      <c r="I1610" t="s">
        <v>804</v>
      </c>
      <c r="J1610" s="3" t="s">
        <v>2378</v>
      </c>
      <c r="K1610" s="4">
        <v>66</v>
      </c>
      <c r="L1610" s="5">
        <v>14.37</v>
      </c>
      <c r="M1610" s="6">
        <v>1</v>
      </c>
      <c r="N1610" s="7">
        <v>0</v>
      </c>
      <c r="O1610" t="s">
        <v>2379</v>
      </c>
      <c r="P1610" s="3" t="s">
        <v>807</v>
      </c>
      <c r="Q1610" s="8">
        <v>2.5364000000000001E-2</v>
      </c>
    </row>
    <row r="1611" spans="1:17" hidden="1" x14ac:dyDescent="0.55000000000000004">
      <c r="A1611" s="9" t="s">
        <v>2333</v>
      </c>
      <c r="B1611" s="3" t="s">
        <v>2374</v>
      </c>
      <c r="C1611" t="s">
        <v>2374</v>
      </c>
      <c r="D1611" s="3" t="s">
        <v>7329</v>
      </c>
      <c r="E1611" t="s">
        <v>2389</v>
      </c>
      <c r="F1611" s="3" t="s">
        <v>2390</v>
      </c>
      <c r="G1611" t="s">
        <v>24</v>
      </c>
      <c r="H1611" s="3" t="s">
        <v>2380</v>
      </c>
      <c r="I1611" t="s">
        <v>37</v>
      </c>
      <c r="J1611" s="3" t="s">
        <v>2381</v>
      </c>
      <c r="K1611" s="4">
        <v>1050</v>
      </c>
      <c r="L1611" s="5">
        <v>47.71</v>
      </c>
      <c r="M1611" s="6">
        <v>1</v>
      </c>
      <c r="N1611" s="7">
        <v>0</v>
      </c>
      <c r="O1611" t="s">
        <v>2382</v>
      </c>
      <c r="P1611" s="3" t="s">
        <v>40</v>
      </c>
      <c r="Q1611" s="8">
        <v>0.25801600000000002</v>
      </c>
    </row>
    <row r="1612" spans="1:17" hidden="1" x14ac:dyDescent="0.55000000000000004">
      <c r="A1612" s="3" t="s">
        <v>2391</v>
      </c>
      <c r="B1612" s="3" t="s">
        <v>2392</v>
      </c>
      <c r="C1612" t="s">
        <v>2392</v>
      </c>
      <c r="D1612" s="3" t="s">
        <v>7329</v>
      </c>
      <c r="E1612" t="s">
        <v>2393</v>
      </c>
      <c r="F1612" s="3" t="s">
        <v>2394</v>
      </c>
      <c r="G1612" t="s">
        <v>19</v>
      </c>
      <c r="H1612" s="3" t="s">
        <v>2395</v>
      </c>
      <c r="I1612" t="s">
        <v>81</v>
      </c>
      <c r="J1612" s="3" t="s">
        <v>2396</v>
      </c>
      <c r="K1612" s="4">
        <v>1391</v>
      </c>
      <c r="L1612" s="5">
        <v>302.45999999999998</v>
      </c>
      <c r="M1612" s="6">
        <v>1</v>
      </c>
      <c r="N1612" s="7">
        <v>1</v>
      </c>
      <c r="O1612" t="s">
        <v>2397</v>
      </c>
      <c r="P1612" s="3" t="s">
        <v>84</v>
      </c>
      <c r="Q1612" s="8">
        <v>4.9969E-2</v>
      </c>
    </row>
    <row r="1613" spans="1:17" hidden="1" x14ac:dyDescent="0.55000000000000004">
      <c r="A1613" s="3" t="s">
        <v>2391</v>
      </c>
      <c r="B1613" s="3" t="s">
        <v>2392</v>
      </c>
      <c r="C1613" t="s">
        <v>2392</v>
      </c>
      <c r="D1613" s="3" t="s">
        <v>7329</v>
      </c>
      <c r="E1613" t="s">
        <v>2393</v>
      </c>
      <c r="F1613" s="3" t="s">
        <v>2394</v>
      </c>
      <c r="G1613" t="s">
        <v>24</v>
      </c>
      <c r="H1613" s="3" t="s">
        <v>2398</v>
      </c>
      <c r="I1613" t="s">
        <v>105</v>
      </c>
      <c r="J1613" s="3" t="s">
        <v>2399</v>
      </c>
      <c r="K1613" s="4">
        <v>549</v>
      </c>
      <c r="L1613" s="5">
        <v>0</v>
      </c>
      <c r="M1613" s="6">
        <v>0</v>
      </c>
      <c r="N1613" s="7">
        <v>1</v>
      </c>
      <c r="O1613" t="s">
        <v>23</v>
      </c>
      <c r="P1613" s="3" t="s">
        <v>23</v>
      </c>
      <c r="Q1613" s="8" t="s">
        <v>23</v>
      </c>
    </row>
    <row r="1614" spans="1:17" hidden="1" x14ac:dyDescent="0.55000000000000004">
      <c r="A1614" s="3" t="s">
        <v>2391</v>
      </c>
      <c r="B1614" s="3" t="s">
        <v>2392</v>
      </c>
      <c r="C1614" t="s">
        <v>2392</v>
      </c>
      <c r="D1614" s="3" t="s">
        <v>7329</v>
      </c>
      <c r="E1614" t="s">
        <v>2393</v>
      </c>
      <c r="F1614" s="3" t="s">
        <v>2394</v>
      </c>
      <c r="G1614" t="s">
        <v>24</v>
      </c>
      <c r="H1614" s="3" t="s">
        <v>2400</v>
      </c>
      <c r="I1614" t="s">
        <v>37</v>
      </c>
      <c r="J1614" s="3" t="s">
        <v>2399</v>
      </c>
      <c r="K1614" s="4">
        <v>645</v>
      </c>
      <c r="L1614" s="5">
        <v>0</v>
      </c>
      <c r="M1614" s="6">
        <v>0</v>
      </c>
      <c r="N1614" s="7">
        <v>1</v>
      </c>
      <c r="O1614" t="s">
        <v>23</v>
      </c>
      <c r="P1614" s="3" t="s">
        <v>23</v>
      </c>
      <c r="Q1614" s="8" t="s">
        <v>23</v>
      </c>
    </row>
    <row r="1615" spans="1:17" hidden="1" x14ac:dyDescent="0.55000000000000004">
      <c r="A1615" s="3" t="s">
        <v>2391</v>
      </c>
      <c r="B1615" s="3" t="s">
        <v>2392</v>
      </c>
      <c r="C1615" t="s">
        <v>2392</v>
      </c>
      <c r="D1615" s="3" t="s">
        <v>7329</v>
      </c>
      <c r="E1615" t="s">
        <v>2393</v>
      </c>
      <c r="F1615" s="3" t="s">
        <v>2394</v>
      </c>
      <c r="G1615" t="s">
        <v>24</v>
      </c>
      <c r="H1615" s="3" t="s">
        <v>2401</v>
      </c>
      <c r="I1615" t="s">
        <v>43</v>
      </c>
      <c r="J1615" s="3" t="s">
        <v>2402</v>
      </c>
      <c r="K1615" s="4">
        <v>914</v>
      </c>
      <c r="L1615" s="5">
        <v>41.55</v>
      </c>
      <c r="M1615" s="6">
        <v>1</v>
      </c>
      <c r="N1615" s="7">
        <v>1</v>
      </c>
      <c r="O1615" t="s">
        <v>2403</v>
      </c>
      <c r="P1615" s="3" t="s">
        <v>46</v>
      </c>
      <c r="Q1615" s="8">
        <v>0.206867</v>
      </c>
    </row>
    <row r="1616" spans="1:17" hidden="1" x14ac:dyDescent="0.55000000000000004">
      <c r="A1616" s="3" t="s">
        <v>2391</v>
      </c>
      <c r="B1616" s="3" t="s">
        <v>2392</v>
      </c>
      <c r="C1616" t="s">
        <v>2392</v>
      </c>
      <c r="D1616" s="3" t="s">
        <v>7329</v>
      </c>
      <c r="E1616" t="s">
        <v>2393</v>
      </c>
      <c r="F1616" s="3" t="s">
        <v>2394</v>
      </c>
      <c r="G1616" t="s">
        <v>24</v>
      </c>
      <c r="H1616" s="3" t="s">
        <v>2404</v>
      </c>
      <c r="I1616" t="s">
        <v>48</v>
      </c>
      <c r="J1616" s="3" t="s">
        <v>2402</v>
      </c>
      <c r="K1616" s="4">
        <v>633</v>
      </c>
      <c r="L1616" s="5">
        <v>0</v>
      </c>
      <c r="M1616" s="6">
        <v>0</v>
      </c>
      <c r="N1616" s="7">
        <v>1</v>
      </c>
      <c r="O1616" t="s">
        <v>2405</v>
      </c>
      <c r="P1616" s="3" t="s">
        <v>23</v>
      </c>
      <c r="Q1616" s="8" t="s">
        <v>23</v>
      </c>
    </row>
    <row r="1617" spans="1:17" hidden="1" x14ac:dyDescent="0.55000000000000004">
      <c r="A1617" s="3" t="s">
        <v>2391</v>
      </c>
      <c r="B1617" s="3" t="s">
        <v>2392</v>
      </c>
      <c r="C1617" t="s">
        <v>2392</v>
      </c>
      <c r="D1617" s="3" t="s">
        <v>7329</v>
      </c>
      <c r="E1617" t="s">
        <v>2393</v>
      </c>
      <c r="F1617" s="3" t="s">
        <v>2394</v>
      </c>
      <c r="G1617" t="s">
        <v>24</v>
      </c>
      <c r="H1617" s="3" t="s">
        <v>2406</v>
      </c>
      <c r="I1617" t="s">
        <v>114</v>
      </c>
      <c r="J1617" s="3" t="s">
        <v>2402</v>
      </c>
      <c r="K1617" s="4">
        <v>559</v>
      </c>
      <c r="L1617" s="5">
        <v>0</v>
      </c>
      <c r="M1617" s="6">
        <v>0</v>
      </c>
      <c r="N1617" s="7">
        <v>1</v>
      </c>
      <c r="O1617" t="s">
        <v>23</v>
      </c>
      <c r="P1617" s="3" t="s">
        <v>23</v>
      </c>
      <c r="Q1617" s="8" t="s">
        <v>23</v>
      </c>
    </row>
    <row r="1618" spans="1:17" hidden="1" x14ac:dyDescent="0.55000000000000004">
      <c r="A1618" s="3" t="s">
        <v>2391</v>
      </c>
      <c r="B1618" s="3" t="s">
        <v>7353</v>
      </c>
      <c r="C1618" t="s">
        <v>2392</v>
      </c>
      <c r="D1618" s="3" t="s">
        <v>7329</v>
      </c>
      <c r="E1618" t="s">
        <v>2407</v>
      </c>
      <c r="F1618" s="3" t="s">
        <v>2408</v>
      </c>
      <c r="G1618" t="s">
        <v>19</v>
      </c>
      <c r="H1618" s="3" t="s">
        <v>2395</v>
      </c>
      <c r="I1618" t="s">
        <v>81</v>
      </c>
      <c r="J1618" s="3" t="s">
        <v>2396</v>
      </c>
      <c r="K1618" s="4">
        <v>1391</v>
      </c>
      <c r="L1618" s="5">
        <v>302.45999999999998</v>
      </c>
      <c r="M1618" s="6">
        <v>1</v>
      </c>
      <c r="N1618" s="7">
        <v>0</v>
      </c>
      <c r="O1618" t="s">
        <v>2397</v>
      </c>
      <c r="P1618" s="3" t="s">
        <v>84</v>
      </c>
      <c r="Q1618" s="8">
        <v>4.9969E-2</v>
      </c>
    </row>
    <row r="1619" spans="1:17" hidden="1" x14ac:dyDescent="0.55000000000000004">
      <c r="A1619" s="3" t="s">
        <v>2391</v>
      </c>
      <c r="B1619" s="3" t="s">
        <v>7353</v>
      </c>
      <c r="C1619" t="s">
        <v>2392</v>
      </c>
      <c r="D1619" s="3" t="s">
        <v>7329</v>
      </c>
      <c r="E1619" t="s">
        <v>2407</v>
      </c>
      <c r="F1619" s="3" t="s">
        <v>2408</v>
      </c>
      <c r="G1619" t="s">
        <v>24</v>
      </c>
      <c r="H1619" s="3" t="s">
        <v>2398</v>
      </c>
      <c r="I1619" t="s">
        <v>105</v>
      </c>
      <c r="J1619" s="3" t="s">
        <v>2399</v>
      </c>
      <c r="K1619" s="4">
        <v>549</v>
      </c>
      <c r="L1619" s="5">
        <v>0</v>
      </c>
      <c r="M1619" s="6">
        <v>0</v>
      </c>
      <c r="N1619" s="7">
        <v>0</v>
      </c>
      <c r="O1619" t="s">
        <v>23</v>
      </c>
      <c r="P1619" s="3" t="s">
        <v>23</v>
      </c>
      <c r="Q1619" s="8" t="s">
        <v>23</v>
      </c>
    </row>
    <row r="1620" spans="1:17" hidden="1" x14ac:dyDescent="0.55000000000000004">
      <c r="A1620" s="3" t="s">
        <v>2391</v>
      </c>
      <c r="B1620" s="3" t="s">
        <v>7353</v>
      </c>
      <c r="C1620" t="s">
        <v>2392</v>
      </c>
      <c r="D1620" s="3" t="s">
        <v>7329</v>
      </c>
      <c r="E1620" t="s">
        <v>2407</v>
      </c>
      <c r="F1620" s="3" t="s">
        <v>2408</v>
      </c>
      <c r="G1620" t="s">
        <v>24</v>
      </c>
      <c r="H1620" s="3" t="s">
        <v>2400</v>
      </c>
      <c r="I1620" t="s">
        <v>37</v>
      </c>
      <c r="J1620" s="3" t="s">
        <v>2399</v>
      </c>
      <c r="K1620" s="4">
        <v>645</v>
      </c>
      <c r="L1620" s="5">
        <v>0</v>
      </c>
      <c r="M1620" s="6">
        <v>0</v>
      </c>
      <c r="N1620" s="7">
        <v>0</v>
      </c>
      <c r="O1620" t="s">
        <v>23</v>
      </c>
      <c r="P1620" s="3" t="s">
        <v>23</v>
      </c>
      <c r="Q1620" s="8" t="s">
        <v>23</v>
      </c>
    </row>
    <row r="1621" spans="1:17" hidden="1" x14ac:dyDescent="0.55000000000000004">
      <c r="A1621" s="3" t="s">
        <v>2391</v>
      </c>
      <c r="B1621" s="3" t="s">
        <v>7353</v>
      </c>
      <c r="C1621" t="s">
        <v>2392</v>
      </c>
      <c r="D1621" s="3" t="s">
        <v>7329</v>
      </c>
      <c r="E1621" t="s">
        <v>2407</v>
      </c>
      <c r="F1621" s="3" t="s">
        <v>2408</v>
      </c>
      <c r="G1621" t="s">
        <v>24</v>
      </c>
      <c r="H1621" s="3" t="s">
        <v>2401</v>
      </c>
      <c r="I1621" t="s">
        <v>43</v>
      </c>
      <c r="J1621" s="3" t="s">
        <v>2402</v>
      </c>
      <c r="K1621" s="4">
        <v>914</v>
      </c>
      <c r="L1621" s="5">
        <v>41.55</v>
      </c>
      <c r="M1621" s="6">
        <v>1</v>
      </c>
      <c r="N1621" s="7">
        <v>0</v>
      </c>
      <c r="O1621" t="s">
        <v>2403</v>
      </c>
      <c r="P1621" s="3" t="s">
        <v>46</v>
      </c>
      <c r="Q1621" s="8">
        <v>0.206867</v>
      </c>
    </row>
    <row r="1622" spans="1:17" hidden="1" x14ac:dyDescent="0.55000000000000004">
      <c r="A1622" s="3" t="s">
        <v>2391</v>
      </c>
      <c r="B1622" s="3" t="s">
        <v>7353</v>
      </c>
      <c r="C1622" t="s">
        <v>2392</v>
      </c>
      <c r="D1622" s="3" t="s">
        <v>7329</v>
      </c>
      <c r="E1622" t="s">
        <v>2407</v>
      </c>
      <c r="F1622" s="3" t="s">
        <v>2408</v>
      </c>
      <c r="G1622" t="s">
        <v>24</v>
      </c>
      <c r="H1622" s="3" t="s">
        <v>2404</v>
      </c>
      <c r="I1622" t="s">
        <v>48</v>
      </c>
      <c r="J1622" s="3" t="s">
        <v>2402</v>
      </c>
      <c r="K1622" s="4">
        <v>633</v>
      </c>
      <c r="L1622" s="5">
        <v>0</v>
      </c>
      <c r="M1622" s="6">
        <v>0</v>
      </c>
      <c r="N1622" s="7">
        <v>0</v>
      </c>
      <c r="O1622" t="s">
        <v>2405</v>
      </c>
      <c r="P1622" s="3" t="s">
        <v>23</v>
      </c>
      <c r="Q1622" s="8" t="s">
        <v>23</v>
      </c>
    </row>
    <row r="1623" spans="1:17" hidden="1" x14ac:dyDescent="0.55000000000000004">
      <c r="A1623" s="3" t="s">
        <v>2391</v>
      </c>
      <c r="B1623" s="3" t="s">
        <v>7353</v>
      </c>
      <c r="C1623" t="s">
        <v>2392</v>
      </c>
      <c r="D1623" s="3" t="s">
        <v>7329</v>
      </c>
      <c r="E1623" t="s">
        <v>2407</v>
      </c>
      <c r="F1623" s="3" t="s">
        <v>2408</v>
      </c>
      <c r="G1623" t="s">
        <v>24</v>
      </c>
      <c r="H1623" s="3" t="s">
        <v>2406</v>
      </c>
      <c r="I1623" t="s">
        <v>114</v>
      </c>
      <c r="J1623" s="3" t="s">
        <v>2402</v>
      </c>
      <c r="K1623" s="4">
        <v>559</v>
      </c>
      <c r="L1623" s="5">
        <v>0</v>
      </c>
      <c r="M1623" s="6">
        <v>0</v>
      </c>
      <c r="N1623" s="7">
        <v>0</v>
      </c>
      <c r="O1623" t="s">
        <v>23</v>
      </c>
      <c r="P1623" s="3" t="s">
        <v>23</v>
      </c>
      <c r="Q1623" s="8" t="s">
        <v>23</v>
      </c>
    </row>
    <row r="1624" spans="1:17" hidden="1" x14ac:dyDescent="0.55000000000000004">
      <c r="A1624" s="3" t="s">
        <v>2391</v>
      </c>
      <c r="B1624" s="3" t="s">
        <v>2392</v>
      </c>
      <c r="C1624" t="s">
        <v>2392</v>
      </c>
      <c r="D1624" s="3" t="s">
        <v>7329</v>
      </c>
      <c r="E1624" t="s">
        <v>2409</v>
      </c>
      <c r="F1624" s="3" t="s">
        <v>2410</v>
      </c>
      <c r="G1624" t="s">
        <v>19</v>
      </c>
      <c r="H1624" s="3" t="s">
        <v>2411</v>
      </c>
      <c r="I1624" t="s">
        <v>81</v>
      </c>
      <c r="J1624" s="3" t="s">
        <v>2412</v>
      </c>
      <c r="K1624" s="4">
        <v>1393</v>
      </c>
      <c r="L1624" s="5">
        <v>302.85000000000002</v>
      </c>
      <c r="M1624" s="6">
        <v>1</v>
      </c>
      <c r="N1624" s="7">
        <v>0</v>
      </c>
      <c r="O1624" t="s">
        <v>2413</v>
      </c>
      <c r="P1624" s="3" t="s">
        <v>84</v>
      </c>
      <c r="Q1624" s="8">
        <v>4.9969E-2</v>
      </c>
    </row>
    <row r="1625" spans="1:17" hidden="1" x14ac:dyDescent="0.55000000000000004">
      <c r="A1625" s="3" t="s">
        <v>2391</v>
      </c>
      <c r="B1625" s="3" t="s">
        <v>2392</v>
      </c>
      <c r="C1625" t="s">
        <v>2392</v>
      </c>
      <c r="D1625" s="3" t="s">
        <v>7329</v>
      </c>
      <c r="E1625" t="s">
        <v>2409</v>
      </c>
      <c r="F1625" s="3" t="s">
        <v>2410</v>
      </c>
      <c r="G1625" t="s">
        <v>24</v>
      </c>
      <c r="H1625" s="3" t="s">
        <v>2398</v>
      </c>
      <c r="I1625" t="s">
        <v>105</v>
      </c>
      <c r="J1625" s="3" t="s">
        <v>2399</v>
      </c>
      <c r="K1625" s="4">
        <v>549</v>
      </c>
      <c r="L1625" s="5">
        <v>0</v>
      </c>
      <c r="M1625" s="6">
        <v>0</v>
      </c>
      <c r="N1625" s="7">
        <v>0</v>
      </c>
      <c r="O1625" t="s">
        <v>23</v>
      </c>
      <c r="P1625" s="3" t="s">
        <v>23</v>
      </c>
      <c r="Q1625" s="8" t="s">
        <v>23</v>
      </c>
    </row>
    <row r="1626" spans="1:17" hidden="1" x14ac:dyDescent="0.55000000000000004">
      <c r="A1626" s="3" t="s">
        <v>2391</v>
      </c>
      <c r="B1626" s="3" t="s">
        <v>2392</v>
      </c>
      <c r="C1626" t="s">
        <v>2392</v>
      </c>
      <c r="D1626" s="3" t="s">
        <v>7329</v>
      </c>
      <c r="E1626" t="s">
        <v>2409</v>
      </c>
      <c r="F1626" s="3" t="s">
        <v>2410</v>
      </c>
      <c r="G1626" t="s">
        <v>24</v>
      </c>
      <c r="H1626" s="3" t="s">
        <v>2400</v>
      </c>
      <c r="I1626" t="s">
        <v>37</v>
      </c>
      <c r="J1626" s="3" t="s">
        <v>2399</v>
      </c>
      <c r="K1626" s="4">
        <v>645</v>
      </c>
      <c r="L1626" s="5">
        <v>0</v>
      </c>
      <c r="M1626" s="6">
        <v>0</v>
      </c>
      <c r="N1626" s="7">
        <v>0</v>
      </c>
      <c r="O1626" t="s">
        <v>23</v>
      </c>
      <c r="P1626" s="3" t="s">
        <v>23</v>
      </c>
      <c r="Q1626" s="8" t="s">
        <v>23</v>
      </c>
    </row>
    <row r="1627" spans="1:17" hidden="1" x14ac:dyDescent="0.55000000000000004">
      <c r="A1627" s="3" t="s">
        <v>2391</v>
      </c>
      <c r="B1627" s="3" t="s">
        <v>2392</v>
      </c>
      <c r="C1627" t="s">
        <v>2392</v>
      </c>
      <c r="D1627" s="3" t="s">
        <v>7329</v>
      </c>
      <c r="E1627" t="s">
        <v>2409</v>
      </c>
      <c r="F1627" s="3" t="s">
        <v>2410</v>
      </c>
      <c r="G1627" t="s">
        <v>24</v>
      </c>
      <c r="H1627" s="3" t="s">
        <v>2401</v>
      </c>
      <c r="I1627" t="s">
        <v>43</v>
      </c>
      <c r="J1627" s="3" t="s">
        <v>2402</v>
      </c>
      <c r="K1627" s="4">
        <v>914</v>
      </c>
      <c r="L1627" s="5">
        <v>41.55</v>
      </c>
      <c r="M1627" s="6">
        <v>1</v>
      </c>
      <c r="N1627" s="7">
        <v>0</v>
      </c>
      <c r="O1627" t="s">
        <v>2403</v>
      </c>
      <c r="P1627" s="3" t="s">
        <v>46</v>
      </c>
      <c r="Q1627" s="8">
        <v>0.206867</v>
      </c>
    </row>
    <row r="1628" spans="1:17" hidden="1" x14ac:dyDescent="0.55000000000000004">
      <c r="A1628" s="3" t="s">
        <v>2391</v>
      </c>
      <c r="B1628" s="3" t="s">
        <v>2392</v>
      </c>
      <c r="C1628" t="s">
        <v>2392</v>
      </c>
      <c r="D1628" s="3" t="s">
        <v>7329</v>
      </c>
      <c r="E1628" t="s">
        <v>2409</v>
      </c>
      <c r="F1628" s="3" t="s">
        <v>2410</v>
      </c>
      <c r="G1628" t="s">
        <v>24</v>
      </c>
      <c r="H1628" s="3" t="s">
        <v>2404</v>
      </c>
      <c r="I1628" t="s">
        <v>48</v>
      </c>
      <c r="J1628" s="3" t="s">
        <v>2402</v>
      </c>
      <c r="K1628" s="4">
        <v>633</v>
      </c>
      <c r="L1628" s="5">
        <v>0</v>
      </c>
      <c r="M1628" s="6">
        <v>0</v>
      </c>
      <c r="N1628" s="7">
        <v>0</v>
      </c>
      <c r="O1628" t="s">
        <v>2405</v>
      </c>
      <c r="P1628" s="3" t="s">
        <v>23</v>
      </c>
      <c r="Q1628" s="8" t="s">
        <v>23</v>
      </c>
    </row>
    <row r="1629" spans="1:17" hidden="1" x14ac:dyDescent="0.55000000000000004">
      <c r="A1629" s="3" t="s">
        <v>2391</v>
      </c>
      <c r="B1629" s="3" t="s">
        <v>2392</v>
      </c>
      <c r="C1629" t="s">
        <v>2392</v>
      </c>
      <c r="D1629" s="3" t="s">
        <v>7329</v>
      </c>
      <c r="E1629" t="s">
        <v>2409</v>
      </c>
      <c r="F1629" s="3" t="s">
        <v>2410</v>
      </c>
      <c r="G1629" t="s">
        <v>24</v>
      </c>
      <c r="H1629" s="3" t="s">
        <v>2406</v>
      </c>
      <c r="I1629" t="s">
        <v>114</v>
      </c>
      <c r="J1629" s="3" t="s">
        <v>2402</v>
      </c>
      <c r="K1629" s="4">
        <v>559</v>
      </c>
      <c r="L1629" s="5">
        <v>0</v>
      </c>
      <c r="M1629" s="6">
        <v>0</v>
      </c>
      <c r="N1629" s="7">
        <v>0</v>
      </c>
      <c r="O1629" t="s">
        <v>23</v>
      </c>
      <c r="P1629" s="3" t="s">
        <v>23</v>
      </c>
      <c r="Q1629" s="8" t="s">
        <v>23</v>
      </c>
    </row>
    <row r="1630" spans="1:17" hidden="1" x14ac:dyDescent="0.55000000000000004">
      <c r="A1630" s="3" t="s">
        <v>2391</v>
      </c>
      <c r="B1630" s="3" t="s">
        <v>2392</v>
      </c>
      <c r="C1630" t="s">
        <v>2392</v>
      </c>
      <c r="D1630" s="3" t="s">
        <v>7329</v>
      </c>
      <c r="E1630" t="s">
        <v>2414</v>
      </c>
      <c r="F1630" s="3" t="s">
        <v>2415</v>
      </c>
      <c r="G1630" t="s">
        <v>19</v>
      </c>
      <c r="H1630" s="3" t="s">
        <v>2416</v>
      </c>
      <c r="I1630" t="s">
        <v>81</v>
      </c>
      <c r="J1630" s="3" t="s">
        <v>2417</v>
      </c>
      <c r="K1630" s="4">
        <v>1417</v>
      </c>
      <c r="L1630" s="5">
        <v>307.93</v>
      </c>
      <c r="M1630" s="6">
        <v>1</v>
      </c>
      <c r="N1630" s="7">
        <v>0</v>
      </c>
      <c r="O1630" t="s">
        <v>2418</v>
      </c>
      <c r="P1630" s="3" t="s">
        <v>84</v>
      </c>
      <c r="Q1630" s="8">
        <v>4.9969E-2</v>
      </c>
    </row>
    <row r="1631" spans="1:17" hidden="1" x14ac:dyDescent="0.55000000000000004">
      <c r="A1631" s="3" t="s">
        <v>2391</v>
      </c>
      <c r="B1631" s="3" t="s">
        <v>2392</v>
      </c>
      <c r="C1631" t="s">
        <v>2392</v>
      </c>
      <c r="D1631" s="3" t="s">
        <v>7329</v>
      </c>
      <c r="E1631" t="s">
        <v>2414</v>
      </c>
      <c r="F1631" s="3" t="s">
        <v>2415</v>
      </c>
      <c r="G1631" t="s">
        <v>24</v>
      </c>
      <c r="H1631" s="3" t="s">
        <v>2398</v>
      </c>
      <c r="I1631" t="s">
        <v>105</v>
      </c>
      <c r="J1631" s="3" t="s">
        <v>2399</v>
      </c>
      <c r="K1631" s="4">
        <v>549</v>
      </c>
      <c r="L1631" s="5">
        <v>0</v>
      </c>
      <c r="M1631" s="6">
        <v>0</v>
      </c>
      <c r="N1631" s="7">
        <v>0</v>
      </c>
      <c r="O1631" t="s">
        <v>23</v>
      </c>
      <c r="P1631" s="3" t="s">
        <v>23</v>
      </c>
      <c r="Q1631" s="8" t="s">
        <v>23</v>
      </c>
    </row>
    <row r="1632" spans="1:17" hidden="1" x14ac:dyDescent="0.55000000000000004">
      <c r="A1632" s="3" t="s">
        <v>2391</v>
      </c>
      <c r="B1632" s="3" t="s">
        <v>2392</v>
      </c>
      <c r="C1632" t="s">
        <v>2392</v>
      </c>
      <c r="D1632" s="3" t="s">
        <v>7329</v>
      </c>
      <c r="E1632" t="s">
        <v>2414</v>
      </c>
      <c r="F1632" s="3" t="s">
        <v>2415</v>
      </c>
      <c r="G1632" t="s">
        <v>24</v>
      </c>
      <c r="H1632" s="3" t="s">
        <v>2400</v>
      </c>
      <c r="I1632" t="s">
        <v>37</v>
      </c>
      <c r="J1632" s="3" t="s">
        <v>2399</v>
      </c>
      <c r="K1632" s="4">
        <v>645</v>
      </c>
      <c r="L1632" s="5">
        <v>0</v>
      </c>
      <c r="M1632" s="6">
        <v>0</v>
      </c>
      <c r="N1632" s="7">
        <v>0</v>
      </c>
      <c r="O1632" t="s">
        <v>23</v>
      </c>
      <c r="P1632" s="3" t="s">
        <v>23</v>
      </c>
      <c r="Q1632" s="8" t="s">
        <v>23</v>
      </c>
    </row>
    <row r="1633" spans="1:17" hidden="1" x14ac:dyDescent="0.55000000000000004">
      <c r="A1633" s="3" t="s">
        <v>2391</v>
      </c>
      <c r="B1633" s="3" t="s">
        <v>2392</v>
      </c>
      <c r="C1633" t="s">
        <v>2392</v>
      </c>
      <c r="D1633" s="3" t="s">
        <v>7329</v>
      </c>
      <c r="E1633" t="s">
        <v>2414</v>
      </c>
      <c r="F1633" s="3" t="s">
        <v>2415</v>
      </c>
      <c r="G1633" t="s">
        <v>24</v>
      </c>
      <c r="H1633" s="3" t="s">
        <v>2401</v>
      </c>
      <c r="I1633" t="s">
        <v>43</v>
      </c>
      <c r="J1633" s="3" t="s">
        <v>2402</v>
      </c>
      <c r="K1633" s="4">
        <v>914</v>
      </c>
      <c r="L1633" s="5">
        <v>41.55</v>
      </c>
      <c r="M1633" s="6">
        <v>1</v>
      </c>
      <c r="N1633" s="7">
        <v>0</v>
      </c>
      <c r="O1633" t="s">
        <v>2403</v>
      </c>
      <c r="P1633" s="3" t="s">
        <v>46</v>
      </c>
      <c r="Q1633" s="8">
        <v>0.206867</v>
      </c>
    </row>
    <row r="1634" spans="1:17" hidden="1" x14ac:dyDescent="0.55000000000000004">
      <c r="A1634" s="3" t="s">
        <v>2391</v>
      </c>
      <c r="B1634" s="3" t="s">
        <v>2392</v>
      </c>
      <c r="C1634" t="s">
        <v>2392</v>
      </c>
      <c r="D1634" s="3" t="s">
        <v>7329</v>
      </c>
      <c r="E1634" t="s">
        <v>2414</v>
      </c>
      <c r="F1634" s="3" t="s">
        <v>2415</v>
      </c>
      <c r="G1634" t="s">
        <v>24</v>
      </c>
      <c r="H1634" s="3" t="s">
        <v>2404</v>
      </c>
      <c r="I1634" t="s">
        <v>48</v>
      </c>
      <c r="J1634" s="3" t="s">
        <v>2402</v>
      </c>
      <c r="K1634" s="4">
        <v>633</v>
      </c>
      <c r="L1634" s="5">
        <v>0</v>
      </c>
      <c r="M1634" s="6">
        <v>0</v>
      </c>
      <c r="N1634" s="7">
        <v>0</v>
      </c>
      <c r="O1634" t="s">
        <v>2405</v>
      </c>
      <c r="P1634" s="3" t="s">
        <v>23</v>
      </c>
      <c r="Q1634" s="8" t="s">
        <v>23</v>
      </c>
    </row>
    <row r="1635" spans="1:17" hidden="1" x14ac:dyDescent="0.55000000000000004">
      <c r="A1635" s="3" t="s">
        <v>2391</v>
      </c>
      <c r="B1635" s="3" t="s">
        <v>2392</v>
      </c>
      <c r="C1635" t="s">
        <v>2392</v>
      </c>
      <c r="D1635" s="3" t="s">
        <v>7329</v>
      </c>
      <c r="E1635" t="s">
        <v>2414</v>
      </c>
      <c r="F1635" s="3" t="s">
        <v>2415</v>
      </c>
      <c r="G1635" t="s">
        <v>24</v>
      </c>
      <c r="H1635" s="3" t="s">
        <v>2406</v>
      </c>
      <c r="I1635" t="s">
        <v>114</v>
      </c>
      <c r="J1635" s="3" t="s">
        <v>2402</v>
      </c>
      <c r="K1635" s="4">
        <v>559</v>
      </c>
      <c r="L1635" s="5">
        <v>0</v>
      </c>
      <c r="M1635" s="6">
        <v>0</v>
      </c>
      <c r="N1635" s="7">
        <v>0</v>
      </c>
      <c r="O1635" t="s">
        <v>23</v>
      </c>
      <c r="P1635" s="3" t="s">
        <v>23</v>
      </c>
      <c r="Q1635" s="8" t="s">
        <v>23</v>
      </c>
    </row>
    <row r="1636" spans="1:17" hidden="1" x14ac:dyDescent="0.55000000000000004">
      <c r="A1636" s="3" t="s">
        <v>2391</v>
      </c>
      <c r="B1636" s="3" t="s">
        <v>2392</v>
      </c>
      <c r="C1636" t="s">
        <v>2392</v>
      </c>
      <c r="D1636" s="3" t="s">
        <v>7329</v>
      </c>
      <c r="E1636" t="s">
        <v>2419</v>
      </c>
      <c r="F1636" s="3" t="s">
        <v>2420</v>
      </c>
      <c r="G1636" t="s">
        <v>19</v>
      </c>
      <c r="H1636" s="3" t="s">
        <v>2416</v>
      </c>
      <c r="I1636" t="s">
        <v>81</v>
      </c>
      <c r="J1636" s="3" t="s">
        <v>2417</v>
      </c>
      <c r="K1636" s="4">
        <v>1417</v>
      </c>
      <c r="L1636" s="5">
        <v>307.93</v>
      </c>
      <c r="M1636" s="6">
        <v>1</v>
      </c>
      <c r="N1636" s="7">
        <v>0</v>
      </c>
      <c r="O1636" t="s">
        <v>2418</v>
      </c>
      <c r="P1636" s="3" t="s">
        <v>84</v>
      </c>
      <c r="Q1636" s="8">
        <v>4.9969E-2</v>
      </c>
    </row>
    <row r="1637" spans="1:17" hidden="1" x14ac:dyDescent="0.55000000000000004">
      <c r="A1637" s="3" t="s">
        <v>2391</v>
      </c>
      <c r="B1637" s="3" t="s">
        <v>2392</v>
      </c>
      <c r="C1637" t="s">
        <v>2392</v>
      </c>
      <c r="D1637" s="3" t="s">
        <v>7329</v>
      </c>
      <c r="E1637" t="s">
        <v>2419</v>
      </c>
      <c r="F1637" s="3" t="s">
        <v>2420</v>
      </c>
      <c r="G1637" t="s">
        <v>24</v>
      </c>
      <c r="H1637" s="3" t="s">
        <v>2398</v>
      </c>
      <c r="I1637" t="s">
        <v>105</v>
      </c>
      <c r="J1637" s="3" t="s">
        <v>2399</v>
      </c>
      <c r="K1637" s="4">
        <v>549</v>
      </c>
      <c r="L1637" s="5">
        <v>0</v>
      </c>
      <c r="M1637" s="6">
        <v>0</v>
      </c>
      <c r="N1637" s="7">
        <v>0</v>
      </c>
      <c r="O1637" t="s">
        <v>23</v>
      </c>
      <c r="P1637" s="3" t="s">
        <v>23</v>
      </c>
      <c r="Q1637" s="8" t="s">
        <v>23</v>
      </c>
    </row>
    <row r="1638" spans="1:17" hidden="1" x14ac:dyDescent="0.55000000000000004">
      <c r="A1638" s="3" t="s">
        <v>2391</v>
      </c>
      <c r="B1638" s="3" t="s">
        <v>2392</v>
      </c>
      <c r="C1638" t="s">
        <v>2392</v>
      </c>
      <c r="D1638" s="3" t="s">
        <v>7329</v>
      </c>
      <c r="E1638" t="s">
        <v>2419</v>
      </c>
      <c r="F1638" s="3" t="s">
        <v>2420</v>
      </c>
      <c r="G1638" t="s">
        <v>24</v>
      </c>
      <c r="H1638" s="3" t="s">
        <v>2400</v>
      </c>
      <c r="I1638" t="s">
        <v>37</v>
      </c>
      <c r="J1638" s="3" t="s">
        <v>2399</v>
      </c>
      <c r="K1638" s="4">
        <v>645</v>
      </c>
      <c r="L1638" s="5">
        <v>0</v>
      </c>
      <c r="M1638" s="6">
        <v>0</v>
      </c>
      <c r="N1638" s="7">
        <v>0</v>
      </c>
      <c r="O1638" t="s">
        <v>23</v>
      </c>
      <c r="P1638" s="3" t="s">
        <v>23</v>
      </c>
      <c r="Q1638" s="8" t="s">
        <v>23</v>
      </c>
    </row>
    <row r="1639" spans="1:17" hidden="1" x14ac:dyDescent="0.55000000000000004">
      <c r="A1639" s="3" t="s">
        <v>2391</v>
      </c>
      <c r="B1639" s="3" t="s">
        <v>2392</v>
      </c>
      <c r="C1639" t="s">
        <v>2392</v>
      </c>
      <c r="D1639" s="3" t="s">
        <v>7329</v>
      </c>
      <c r="E1639" t="s">
        <v>2419</v>
      </c>
      <c r="F1639" s="3" t="s">
        <v>2420</v>
      </c>
      <c r="G1639" t="s">
        <v>24</v>
      </c>
      <c r="H1639" s="3" t="s">
        <v>2401</v>
      </c>
      <c r="I1639" t="s">
        <v>43</v>
      </c>
      <c r="J1639" s="3" t="s">
        <v>2402</v>
      </c>
      <c r="K1639" s="4">
        <v>914</v>
      </c>
      <c r="L1639" s="5">
        <v>41.55</v>
      </c>
      <c r="M1639" s="6">
        <v>1</v>
      </c>
      <c r="N1639" s="7">
        <v>0</v>
      </c>
      <c r="O1639" t="s">
        <v>2403</v>
      </c>
      <c r="P1639" s="3" t="s">
        <v>46</v>
      </c>
      <c r="Q1639" s="8">
        <v>0.206867</v>
      </c>
    </row>
    <row r="1640" spans="1:17" hidden="1" x14ac:dyDescent="0.55000000000000004">
      <c r="A1640" s="3" t="s">
        <v>2391</v>
      </c>
      <c r="B1640" s="3" t="s">
        <v>2392</v>
      </c>
      <c r="C1640" t="s">
        <v>2392</v>
      </c>
      <c r="D1640" s="3" t="s">
        <v>7329</v>
      </c>
      <c r="E1640" t="s">
        <v>2419</v>
      </c>
      <c r="F1640" s="3" t="s">
        <v>2420</v>
      </c>
      <c r="G1640" t="s">
        <v>24</v>
      </c>
      <c r="H1640" s="3" t="s">
        <v>2404</v>
      </c>
      <c r="I1640" t="s">
        <v>48</v>
      </c>
      <c r="J1640" s="3" t="s">
        <v>2402</v>
      </c>
      <c r="K1640" s="4">
        <v>633</v>
      </c>
      <c r="L1640" s="5">
        <v>0</v>
      </c>
      <c r="M1640" s="6">
        <v>0</v>
      </c>
      <c r="N1640" s="7">
        <v>0</v>
      </c>
      <c r="O1640" t="s">
        <v>2405</v>
      </c>
      <c r="P1640" s="3" t="s">
        <v>23</v>
      </c>
      <c r="Q1640" s="8" t="s">
        <v>23</v>
      </c>
    </row>
    <row r="1641" spans="1:17" hidden="1" x14ac:dyDescent="0.55000000000000004">
      <c r="A1641" s="3" t="s">
        <v>2391</v>
      </c>
      <c r="B1641" s="3" t="s">
        <v>2392</v>
      </c>
      <c r="C1641" t="s">
        <v>2392</v>
      </c>
      <c r="D1641" s="3" t="s">
        <v>7329</v>
      </c>
      <c r="E1641" t="s">
        <v>2419</v>
      </c>
      <c r="F1641" s="3" t="s">
        <v>2420</v>
      </c>
      <c r="G1641" t="s">
        <v>24</v>
      </c>
      <c r="H1641" s="3" t="s">
        <v>2406</v>
      </c>
      <c r="I1641" t="s">
        <v>114</v>
      </c>
      <c r="J1641" s="3" t="s">
        <v>2402</v>
      </c>
      <c r="K1641" s="4">
        <v>559</v>
      </c>
      <c r="L1641" s="5">
        <v>0</v>
      </c>
      <c r="M1641" s="6">
        <v>0</v>
      </c>
      <c r="N1641" s="7">
        <v>0</v>
      </c>
      <c r="O1641" t="s">
        <v>23</v>
      </c>
      <c r="P1641" s="3" t="s">
        <v>23</v>
      </c>
      <c r="Q1641" s="8" t="s">
        <v>23</v>
      </c>
    </row>
    <row r="1642" spans="1:17" hidden="1" x14ac:dyDescent="0.55000000000000004">
      <c r="A1642" s="3" t="s">
        <v>2391</v>
      </c>
      <c r="B1642" s="3" t="s">
        <v>2392</v>
      </c>
      <c r="C1642" t="s">
        <v>2392</v>
      </c>
      <c r="D1642" s="3" t="s">
        <v>7329</v>
      </c>
      <c r="E1642" t="s">
        <v>2421</v>
      </c>
      <c r="F1642" s="3" t="s">
        <v>2422</v>
      </c>
      <c r="G1642" t="s">
        <v>19</v>
      </c>
      <c r="H1642" s="3" t="s">
        <v>2411</v>
      </c>
      <c r="I1642" t="s">
        <v>81</v>
      </c>
      <c r="J1642" s="3" t="s">
        <v>2412</v>
      </c>
      <c r="K1642" s="4">
        <v>1393</v>
      </c>
      <c r="L1642" s="5">
        <v>302.85000000000002</v>
      </c>
      <c r="M1642" s="6">
        <v>1</v>
      </c>
      <c r="N1642" s="7">
        <v>0</v>
      </c>
      <c r="O1642" t="s">
        <v>2413</v>
      </c>
      <c r="P1642" s="3" t="s">
        <v>84</v>
      </c>
      <c r="Q1642" s="8">
        <v>4.9969E-2</v>
      </c>
    </row>
    <row r="1643" spans="1:17" hidden="1" x14ac:dyDescent="0.55000000000000004">
      <c r="A1643" s="3" t="s">
        <v>2391</v>
      </c>
      <c r="B1643" s="3" t="s">
        <v>2392</v>
      </c>
      <c r="C1643" t="s">
        <v>2392</v>
      </c>
      <c r="D1643" s="3" t="s">
        <v>7329</v>
      </c>
      <c r="E1643" t="s">
        <v>2421</v>
      </c>
      <c r="F1643" s="3" t="s">
        <v>2422</v>
      </c>
      <c r="G1643" t="s">
        <v>24</v>
      </c>
      <c r="H1643" s="3" t="s">
        <v>2398</v>
      </c>
      <c r="I1643" t="s">
        <v>105</v>
      </c>
      <c r="J1643" s="3" t="s">
        <v>2399</v>
      </c>
      <c r="K1643" s="4">
        <v>549</v>
      </c>
      <c r="L1643" s="5">
        <v>0</v>
      </c>
      <c r="M1643" s="6">
        <v>0</v>
      </c>
      <c r="N1643" s="7">
        <v>0</v>
      </c>
      <c r="O1643" t="s">
        <v>23</v>
      </c>
      <c r="P1643" s="3" t="s">
        <v>23</v>
      </c>
      <c r="Q1643" s="8" t="s">
        <v>23</v>
      </c>
    </row>
    <row r="1644" spans="1:17" hidden="1" x14ac:dyDescent="0.55000000000000004">
      <c r="A1644" s="3" t="s">
        <v>2391</v>
      </c>
      <c r="B1644" s="3" t="s">
        <v>2392</v>
      </c>
      <c r="C1644" t="s">
        <v>2392</v>
      </c>
      <c r="D1644" s="3" t="s">
        <v>7329</v>
      </c>
      <c r="E1644" t="s">
        <v>2421</v>
      </c>
      <c r="F1644" s="3" t="s">
        <v>2422</v>
      </c>
      <c r="G1644" t="s">
        <v>24</v>
      </c>
      <c r="H1644" s="3" t="s">
        <v>2400</v>
      </c>
      <c r="I1644" t="s">
        <v>37</v>
      </c>
      <c r="J1644" s="3" t="s">
        <v>2399</v>
      </c>
      <c r="K1644" s="4">
        <v>645</v>
      </c>
      <c r="L1644" s="5">
        <v>0</v>
      </c>
      <c r="M1644" s="6">
        <v>0</v>
      </c>
      <c r="N1644" s="7">
        <v>0</v>
      </c>
      <c r="O1644" t="s">
        <v>23</v>
      </c>
      <c r="P1644" s="3" t="s">
        <v>23</v>
      </c>
      <c r="Q1644" s="8" t="s">
        <v>23</v>
      </c>
    </row>
    <row r="1645" spans="1:17" hidden="1" x14ac:dyDescent="0.55000000000000004">
      <c r="A1645" s="3" t="s">
        <v>2391</v>
      </c>
      <c r="B1645" s="3" t="s">
        <v>2392</v>
      </c>
      <c r="C1645" t="s">
        <v>2392</v>
      </c>
      <c r="D1645" s="3" t="s">
        <v>7329</v>
      </c>
      <c r="E1645" t="s">
        <v>2421</v>
      </c>
      <c r="F1645" s="3" t="s">
        <v>2422</v>
      </c>
      <c r="G1645" t="s">
        <v>24</v>
      </c>
      <c r="H1645" s="3" t="s">
        <v>2401</v>
      </c>
      <c r="I1645" t="s">
        <v>43</v>
      </c>
      <c r="J1645" s="3" t="s">
        <v>2402</v>
      </c>
      <c r="K1645" s="4">
        <v>914</v>
      </c>
      <c r="L1645" s="5">
        <v>41.55</v>
      </c>
      <c r="M1645" s="6">
        <v>1</v>
      </c>
      <c r="N1645" s="7">
        <v>0</v>
      </c>
      <c r="O1645" t="s">
        <v>2403</v>
      </c>
      <c r="P1645" s="3" t="s">
        <v>46</v>
      </c>
      <c r="Q1645" s="8">
        <v>0.206867</v>
      </c>
    </row>
    <row r="1646" spans="1:17" hidden="1" x14ac:dyDescent="0.55000000000000004">
      <c r="A1646" s="3" t="s">
        <v>2391</v>
      </c>
      <c r="B1646" s="3" t="s">
        <v>2392</v>
      </c>
      <c r="C1646" t="s">
        <v>2392</v>
      </c>
      <c r="D1646" s="3" t="s">
        <v>7329</v>
      </c>
      <c r="E1646" t="s">
        <v>2421</v>
      </c>
      <c r="F1646" s="3" t="s">
        <v>2422</v>
      </c>
      <c r="G1646" t="s">
        <v>24</v>
      </c>
      <c r="H1646" s="3" t="s">
        <v>2404</v>
      </c>
      <c r="I1646" t="s">
        <v>48</v>
      </c>
      <c r="J1646" s="3" t="s">
        <v>2402</v>
      </c>
      <c r="K1646" s="4">
        <v>633</v>
      </c>
      <c r="L1646" s="5">
        <v>0</v>
      </c>
      <c r="M1646" s="6">
        <v>0</v>
      </c>
      <c r="N1646" s="7">
        <v>0</v>
      </c>
      <c r="O1646" t="s">
        <v>2405</v>
      </c>
      <c r="P1646" s="3" t="s">
        <v>23</v>
      </c>
      <c r="Q1646" s="8" t="s">
        <v>23</v>
      </c>
    </row>
    <row r="1647" spans="1:17" hidden="1" x14ac:dyDescent="0.55000000000000004">
      <c r="A1647" s="3" t="s">
        <v>2391</v>
      </c>
      <c r="B1647" s="3" t="s">
        <v>2392</v>
      </c>
      <c r="C1647" t="s">
        <v>2392</v>
      </c>
      <c r="D1647" s="3" t="s">
        <v>7329</v>
      </c>
      <c r="E1647" t="s">
        <v>2421</v>
      </c>
      <c r="F1647" s="3" t="s">
        <v>2422</v>
      </c>
      <c r="G1647" t="s">
        <v>24</v>
      </c>
      <c r="H1647" s="3" t="s">
        <v>2406</v>
      </c>
      <c r="I1647" t="s">
        <v>114</v>
      </c>
      <c r="J1647" s="3" t="s">
        <v>2402</v>
      </c>
      <c r="K1647" s="4">
        <v>559</v>
      </c>
      <c r="L1647" s="5">
        <v>0</v>
      </c>
      <c r="M1647" s="6">
        <v>0</v>
      </c>
      <c r="N1647" s="7">
        <v>0</v>
      </c>
      <c r="O1647" t="s">
        <v>23</v>
      </c>
      <c r="P1647" s="3" t="s">
        <v>23</v>
      </c>
      <c r="Q1647" s="8" t="s">
        <v>23</v>
      </c>
    </row>
    <row r="1648" spans="1:17" hidden="1" x14ac:dyDescent="0.55000000000000004">
      <c r="A1648" s="3" t="s">
        <v>2391</v>
      </c>
      <c r="B1648" s="3" t="s">
        <v>2392</v>
      </c>
      <c r="C1648" t="s">
        <v>2392</v>
      </c>
      <c r="D1648" s="3" t="s">
        <v>7329</v>
      </c>
      <c r="E1648" t="s">
        <v>2423</v>
      </c>
      <c r="F1648" s="3" t="s">
        <v>2424</v>
      </c>
      <c r="G1648" t="s">
        <v>19</v>
      </c>
      <c r="H1648" s="3" t="s">
        <v>2411</v>
      </c>
      <c r="I1648" t="s">
        <v>81</v>
      </c>
      <c r="J1648" s="3" t="s">
        <v>2412</v>
      </c>
      <c r="K1648" s="4">
        <v>1393</v>
      </c>
      <c r="L1648" s="5">
        <v>302.85000000000002</v>
      </c>
      <c r="M1648" s="6">
        <v>1</v>
      </c>
      <c r="N1648" s="7">
        <v>0</v>
      </c>
      <c r="O1648" t="s">
        <v>2413</v>
      </c>
      <c r="P1648" s="3" t="s">
        <v>84</v>
      </c>
      <c r="Q1648" s="8">
        <v>4.9969E-2</v>
      </c>
    </row>
    <row r="1649" spans="1:17" hidden="1" x14ac:dyDescent="0.55000000000000004">
      <c r="A1649" s="3" t="s">
        <v>2391</v>
      </c>
      <c r="B1649" s="3" t="s">
        <v>2392</v>
      </c>
      <c r="C1649" t="s">
        <v>2392</v>
      </c>
      <c r="D1649" s="3" t="s">
        <v>7329</v>
      </c>
      <c r="E1649" t="s">
        <v>2423</v>
      </c>
      <c r="F1649" s="3" t="s">
        <v>2424</v>
      </c>
      <c r="G1649" t="s">
        <v>24</v>
      </c>
      <c r="H1649" s="3" t="s">
        <v>2398</v>
      </c>
      <c r="I1649" t="s">
        <v>105</v>
      </c>
      <c r="J1649" s="3" t="s">
        <v>2399</v>
      </c>
      <c r="K1649" s="4">
        <v>549</v>
      </c>
      <c r="L1649" s="5">
        <v>0</v>
      </c>
      <c r="M1649" s="6">
        <v>0</v>
      </c>
      <c r="N1649" s="7">
        <v>0</v>
      </c>
      <c r="O1649" t="s">
        <v>23</v>
      </c>
      <c r="P1649" s="3" t="s">
        <v>23</v>
      </c>
      <c r="Q1649" s="8" t="s">
        <v>23</v>
      </c>
    </row>
    <row r="1650" spans="1:17" hidden="1" x14ac:dyDescent="0.55000000000000004">
      <c r="A1650" s="3" t="s">
        <v>2391</v>
      </c>
      <c r="B1650" s="3" t="s">
        <v>2392</v>
      </c>
      <c r="C1650" t="s">
        <v>2392</v>
      </c>
      <c r="D1650" s="3" t="s">
        <v>7329</v>
      </c>
      <c r="E1650" t="s">
        <v>2423</v>
      </c>
      <c r="F1650" s="3" t="s">
        <v>2424</v>
      </c>
      <c r="G1650" t="s">
        <v>24</v>
      </c>
      <c r="H1650" s="3" t="s">
        <v>2400</v>
      </c>
      <c r="I1650" t="s">
        <v>37</v>
      </c>
      <c r="J1650" s="3" t="s">
        <v>2399</v>
      </c>
      <c r="K1650" s="4">
        <v>645</v>
      </c>
      <c r="L1650" s="5">
        <v>0</v>
      </c>
      <c r="M1650" s="6">
        <v>0</v>
      </c>
      <c r="N1650" s="7">
        <v>0</v>
      </c>
      <c r="O1650" t="s">
        <v>23</v>
      </c>
      <c r="P1650" s="3" t="s">
        <v>23</v>
      </c>
      <c r="Q1650" s="8" t="s">
        <v>23</v>
      </c>
    </row>
    <row r="1651" spans="1:17" hidden="1" x14ac:dyDescent="0.55000000000000004">
      <c r="A1651" s="3" t="s">
        <v>2391</v>
      </c>
      <c r="B1651" s="3" t="s">
        <v>2392</v>
      </c>
      <c r="C1651" t="s">
        <v>2392</v>
      </c>
      <c r="D1651" s="3" t="s">
        <v>7329</v>
      </c>
      <c r="E1651" t="s">
        <v>2423</v>
      </c>
      <c r="F1651" s="3" t="s">
        <v>2424</v>
      </c>
      <c r="G1651" t="s">
        <v>24</v>
      </c>
      <c r="H1651" s="3" t="s">
        <v>2401</v>
      </c>
      <c r="I1651" t="s">
        <v>43</v>
      </c>
      <c r="J1651" s="3" t="s">
        <v>2402</v>
      </c>
      <c r="K1651" s="4">
        <v>914</v>
      </c>
      <c r="L1651" s="5">
        <v>41.55</v>
      </c>
      <c r="M1651" s="6">
        <v>1</v>
      </c>
      <c r="N1651" s="7">
        <v>0</v>
      </c>
      <c r="O1651" t="s">
        <v>2403</v>
      </c>
      <c r="P1651" s="3" t="s">
        <v>46</v>
      </c>
      <c r="Q1651" s="8">
        <v>0.206867</v>
      </c>
    </row>
    <row r="1652" spans="1:17" hidden="1" x14ac:dyDescent="0.55000000000000004">
      <c r="A1652" s="3" t="s">
        <v>2391</v>
      </c>
      <c r="B1652" s="3" t="s">
        <v>2392</v>
      </c>
      <c r="C1652" t="s">
        <v>2392</v>
      </c>
      <c r="D1652" s="3" t="s">
        <v>7329</v>
      </c>
      <c r="E1652" t="s">
        <v>2423</v>
      </c>
      <c r="F1652" s="3" t="s">
        <v>2424</v>
      </c>
      <c r="G1652" t="s">
        <v>24</v>
      </c>
      <c r="H1652" s="3" t="s">
        <v>2404</v>
      </c>
      <c r="I1652" t="s">
        <v>48</v>
      </c>
      <c r="J1652" s="3" t="s">
        <v>2402</v>
      </c>
      <c r="K1652" s="4">
        <v>633</v>
      </c>
      <c r="L1652" s="5">
        <v>0</v>
      </c>
      <c r="M1652" s="6">
        <v>0</v>
      </c>
      <c r="N1652" s="7">
        <v>0</v>
      </c>
      <c r="O1652" t="s">
        <v>2405</v>
      </c>
      <c r="P1652" s="3" t="s">
        <v>23</v>
      </c>
      <c r="Q1652" s="8" t="s">
        <v>23</v>
      </c>
    </row>
    <row r="1653" spans="1:17" hidden="1" x14ac:dyDescent="0.55000000000000004">
      <c r="A1653" s="3" t="s">
        <v>2391</v>
      </c>
      <c r="B1653" s="3" t="s">
        <v>2392</v>
      </c>
      <c r="C1653" t="s">
        <v>2392</v>
      </c>
      <c r="D1653" s="3" t="s">
        <v>7329</v>
      </c>
      <c r="E1653" t="s">
        <v>2423</v>
      </c>
      <c r="F1653" s="3" t="s">
        <v>2424</v>
      </c>
      <c r="G1653" t="s">
        <v>24</v>
      </c>
      <c r="H1653" s="3" t="s">
        <v>2406</v>
      </c>
      <c r="I1653" t="s">
        <v>114</v>
      </c>
      <c r="J1653" s="3" t="s">
        <v>2402</v>
      </c>
      <c r="K1653" s="4">
        <v>559</v>
      </c>
      <c r="L1653" s="5">
        <v>0</v>
      </c>
      <c r="M1653" s="6">
        <v>0</v>
      </c>
      <c r="N1653" s="7">
        <v>0</v>
      </c>
      <c r="O1653" t="s">
        <v>23</v>
      </c>
      <c r="P1653" s="3" t="s">
        <v>23</v>
      </c>
      <c r="Q1653" s="8" t="s">
        <v>23</v>
      </c>
    </row>
    <row r="1654" spans="1:17" hidden="1" x14ac:dyDescent="0.55000000000000004">
      <c r="A1654" s="3" t="s">
        <v>2391</v>
      </c>
      <c r="B1654" s="3" t="s">
        <v>2392</v>
      </c>
      <c r="C1654" t="s">
        <v>2392</v>
      </c>
      <c r="D1654" s="3" t="s">
        <v>7329</v>
      </c>
      <c r="E1654" t="s">
        <v>2425</v>
      </c>
      <c r="F1654" s="3" t="s">
        <v>2426</v>
      </c>
      <c r="G1654" t="s">
        <v>19</v>
      </c>
      <c r="H1654" s="3" t="s">
        <v>2411</v>
      </c>
      <c r="I1654" t="s">
        <v>81</v>
      </c>
      <c r="J1654" s="3" t="s">
        <v>2412</v>
      </c>
      <c r="K1654" s="4">
        <v>1393</v>
      </c>
      <c r="L1654" s="5">
        <v>302.85000000000002</v>
      </c>
      <c r="M1654" s="6">
        <v>1</v>
      </c>
      <c r="N1654" s="7">
        <v>0</v>
      </c>
      <c r="O1654" t="s">
        <v>2413</v>
      </c>
      <c r="P1654" s="3" t="s">
        <v>84</v>
      </c>
      <c r="Q1654" s="8">
        <v>4.9969E-2</v>
      </c>
    </row>
    <row r="1655" spans="1:17" hidden="1" x14ac:dyDescent="0.55000000000000004">
      <c r="A1655" s="3" t="s">
        <v>2391</v>
      </c>
      <c r="B1655" s="3" t="s">
        <v>2392</v>
      </c>
      <c r="C1655" t="s">
        <v>2392</v>
      </c>
      <c r="D1655" s="3" t="s">
        <v>7329</v>
      </c>
      <c r="E1655" t="s">
        <v>2425</v>
      </c>
      <c r="F1655" s="3" t="s">
        <v>2426</v>
      </c>
      <c r="G1655" t="s">
        <v>24</v>
      </c>
      <c r="H1655" s="3" t="s">
        <v>2398</v>
      </c>
      <c r="I1655" t="s">
        <v>105</v>
      </c>
      <c r="J1655" s="3" t="s">
        <v>2399</v>
      </c>
      <c r="K1655" s="4">
        <v>549</v>
      </c>
      <c r="L1655" s="5">
        <v>0</v>
      </c>
      <c r="M1655" s="6">
        <v>0</v>
      </c>
      <c r="N1655" s="7">
        <v>0</v>
      </c>
      <c r="O1655" t="s">
        <v>23</v>
      </c>
      <c r="P1655" s="3" t="s">
        <v>23</v>
      </c>
      <c r="Q1655" s="8" t="s">
        <v>23</v>
      </c>
    </row>
    <row r="1656" spans="1:17" hidden="1" x14ac:dyDescent="0.55000000000000004">
      <c r="A1656" s="3" t="s">
        <v>2391</v>
      </c>
      <c r="B1656" s="3" t="s">
        <v>2392</v>
      </c>
      <c r="C1656" t="s">
        <v>2392</v>
      </c>
      <c r="D1656" s="3" t="s">
        <v>7329</v>
      </c>
      <c r="E1656" t="s">
        <v>2425</v>
      </c>
      <c r="F1656" s="3" t="s">
        <v>2426</v>
      </c>
      <c r="G1656" t="s">
        <v>24</v>
      </c>
      <c r="H1656" s="3" t="s">
        <v>2400</v>
      </c>
      <c r="I1656" t="s">
        <v>37</v>
      </c>
      <c r="J1656" s="3" t="s">
        <v>2399</v>
      </c>
      <c r="K1656" s="4">
        <v>645</v>
      </c>
      <c r="L1656" s="5">
        <v>0</v>
      </c>
      <c r="M1656" s="6">
        <v>0</v>
      </c>
      <c r="N1656" s="7">
        <v>0</v>
      </c>
      <c r="O1656" t="s">
        <v>23</v>
      </c>
      <c r="P1656" s="3" t="s">
        <v>23</v>
      </c>
      <c r="Q1656" s="8" t="s">
        <v>23</v>
      </c>
    </row>
    <row r="1657" spans="1:17" hidden="1" x14ac:dyDescent="0.55000000000000004">
      <c r="A1657" s="3" t="s">
        <v>2391</v>
      </c>
      <c r="B1657" s="3" t="s">
        <v>2392</v>
      </c>
      <c r="C1657" t="s">
        <v>2392</v>
      </c>
      <c r="D1657" s="3" t="s">
        <v>7329</v>
      </c>
      <c r="E1657" t="s">
        <v>2425</v>
      </c>
      <c r="F1657" s="3" t="s">
        <v>2426</v>
      </c>
      <c r="G1657" t="s">
        <v>24</v>
      </c>
      <c r="H1657" s="3" t="s">
        <v>2401</v>
      </c>
      <c r="I1657" t="s">
        <v>43</v>
      </c>
      <c r="J1657" s="3" t="s">
        <v>2402</v>
      </c>
      <c r="K1657" s="4">
        <v>914</v>
      </c>
      <c r="L1657" s="5">
        <v>41.55</v>
      </c>
      <c r="M1657" s="6">
        <v>1</v>
      </c>
      <c r="N1657" s="7">
        <v>0</v>
      </c>
      <c r="O1657" t="s">
        <v>2403</v>
      </c>
      <c r="P1657" s="3" t="s">
        <v>46</v>
      </c>
      <c r="Q1657" s="8">
        <v>0.206867</v>
      </c>
    </row>
    <row r="1658" spans="1:17" hidden="1" x14ac:dyDescent="0.55000000000000004">
      <c r="A1658" s="3" t="s">
        <v>2391</v>
      </c>
      <c r="B1658" s="3" t="s">
        <v>2392</v>
      </c>
      <c r="C1658" t="s">
        <v>2392</v>
      </c>
      <c r="D1658" s="3" t="s">
        <v>7329</v>
      </c>
      <c r="E1658" t="s">
        <v>2425</v>
      </c>
      <c r="F1658" s="3" t="s">
        <v>2426</v>
      </c>
      <c r="G1658" t="s">
        <v>24</v>
      </c>
      <c r="H1658" s="3" t="s">
        <v>2404</v>
      </c>
      <c r="I1658" t="s">
        <v>48</v>
      </c>
      <c r="J1658" s="3" t="s">
        <v>2402</v>
      </c>
      <c r="K1658" s="4">
        <v>633</v>
      </c>
      <c r="L1658" s="5">
        <v>0</v>
      </c>
      <c r="M1658" s="6">
        <v>0</v>
      </c>
      <c r="N1658" s="7">
        <v>0</v>
      </c>
      <c r="O1658" t="s">
        <v>2405</v>
      </c>
      <c r="P1658" s="3" t="s">
        <v>23</v>
      </c>
      <c r="Q1658" s="8" t="s">
        <v>23</v>
      </c>
    </row>
    <row r="1659" spans="1:17" hidden="1" x14ac:dyDescent="0.55000000000000004">
      <c r="A1659" s="3" t="s">
        <v>2391</v>
      </c>
      <c r="B1659" s="3" t="s">
        <v>2392</v>
      </c>
      <c r="C1659" t="s">
        <v>2392</v>
      </c>
      <c r="D1659" s="3" t="s">
        <v>7329</v>
      </c>
      <c r="E1659" t="s">
        <v>2425</v>
      </c>
      <c r="F1659" s="3" t="s">
        <v>2426</v>
      </c>
      <c r="G1659" t="s">
        <v>24</v>
      </c>
      <c r="H1659" s="3" t="s">
        <v>2406</v>
      </c>
      <c r="I1659" t="s">
        <v>114</v>
      </c>
      <c r="J1659" s="3" t="s">
        <v>2402</v>
      </c>
      <c r="K1659" s="4">
        <v>559</v>
      </c>
      <c r="L1659" s="5">
        <v>0</v>
      </c>
      <c r="M1659" s="6">
        <v>0</v>
      </c>
      <c r="N1659" s="7">
        <v>0</v>
      </c>
      <c r="O1659" t="s">
        <v>23</v>
      </c>
      <c r="P1659" s="3" t="s">
        <v>23</v>
      </c>
      <c r="Q1659" s="8" t="s">
        <v>23</v>
      </c>
    </row>
    <row r="1660" spans="1:17" hidden="1" x14ac:dyDescent="0.55000000000000004">
      <c r="A1660" s="3" t="s">
        <v>2391</v>
      </c>
      <c r="B1660" s="3" t="s">
        <v>2392</v>
      </c>
      <c r="C1660" t="s">
        <v>2392</v>
      </c>
      <c r="D1660" s="3" t="s">
        <v>7329</v>
      </c>
      <c r="E1660" t="s">
        <v>2427</v>
      </c>
      <c r="F1660" s="3" t="s">
        <v>2428</v>
      </c>
      <c r="G1660" t="s">
        <v>19</v>
      </c>
      <c r="H1660" s="3" t="s">
        <v>2416</v>
      </c>
      <c r="I1660" t="s">
        <v>81</v>
      </c>
      <c r="J1660" s="3" t="s">
        <v>2417</v>
      </c>
      <c r="K1660" s="4">
        <v>1417</v>
      </c>
      <c r="L1660" s="5">
        <v>307.93</v>
      </c>
      <c r="M1660" s="6">
        <v>1</v>
      </c>
      <c r="N1660" s="7">
        <v>0</v>
      </c>
      <c r="O1660" t="s">
        <v>2418</v>
      </c>
      <c r="P1660" s="3" t="s">
        <v>84</v>
      </c>
      <c r="Q1660" s="8">
        <v>4.9969E-2</v>
      </c>
    </row>
    <row r="1661" spans="1:17" hidden="1" x14ac:dyDescent="0.55000000000000004">
      <c r="A1661" s="3" t="s">
        <v>2391</v>
      </c>
      <c r="B1661" s="3" t="s">
        <v>2392</v>
      </c>
      <c r="C1661" t="s">
        <v>2392</v>
      </c>
      <c r="D1661" s="3" t="s">
        <v>7329</v>
      </c>
      <c r="E1661" t="s">
        <v>2427</v>
      </c>
      <c r="F1661" s="3" t="s">
        <v>2428</v>
      </c>
      <c r="G1661" t="s">
        <v>24</v>
      </c>
      <c r="H1661" s="3" t="s">
        <v>2398</v>
      </c>
      <c r="I1661" t="s">
        <v>105</v>
      </c>
      <c r="J1661" s="3" t="s">
        <v>2399</v>
      </c>
      <c r="K1661" s="4">
        <v>549</v>
      </c>
      <c r="L1661" s="5">
        <v>0</v>
      </c>
      <c r="M1661" s="6">
        <v>0</v>
      </c>
      <c r="N1661" s="7">
        <v>0</v>
      </c>
      <c r="O1661" t="s">
        <v>23</v>
      </c>
      <c r="P1661" s="3" t="s">
        <v>23</v>
      </c>
      <c r="Q1661" s="8" t="s">
        <v>23</v>
      </c>
    </row>
    <row r="1662" spans="1:17" hidden="1" x14ac:dyDescent="0.55000000000000004">
      <c r="A1662" s="3" t="s">
        <v>2391</v>
      </c>
      <c r="B1662" s="3" t="s">
        <v>2392</v>
      </c>
      <c r="C1662" t="s">
        <v>2392</v>
      </c>
      <c r="D1662" s="3" t="s">
        <v>7329</v>
      </c>
      <c r="E1662" t="s">
        <v>2427</v>
      </c>
      <c r="F1662" s="3" t="s">
        <v>2428</v>
      </c>
      <c r="G1662" t="s">
        <v>24</v>
      </c>
      <c r="H1662" s="3" t="s">
        <v>2400</v>
      </c>
      <c r="I1662" t="s">
        <v>37</v>
      </c>
      <c r="J1662" s="3" t="s">
        <v>2399</v>
      </c>
      <c r="K1662" s="4">
        <v>645</v>
      </c>
      <c r="L1662" s="5">
        <v>0</v>
      </c>
      <c r="M1662" s="6">
        <v>0</v>
      </c>
      <c r="N1662" s="7">
        <v>0</v>
      </c>
      <c r="O1662" t="s">
        <v>23</v>
      </c>
      <c r="P1662" s="3" t="s">
        <v>23</v>
      </c>
      <c r="Q1662" s="8" t="s">
        <v>23</v>
      </c>
    </row>
    <row r="1663" spans="1:17" hidden="1" x14ac:dyDescent="0.55000000000000004">
      <c r="A1663" s="3" t="s">
        <v>2391</v>
      </c>
      <c r="B1663" s="3" t="s">
        <v>2392</v>
      </c>
      <c r="C1663" t="s">
        <v>2392</v>
      </c>
      <c r="D1663" s="3" t="s">
        <v>7329</v>
      </c>
      <c r="E1663" t="s">
        <v>2427</v>
      </c>
      <c r="F1663" s="3" t="s">
        <v>2428</v>
      </c>
      <c r="G1663" t="s">
        <v>24</v>
      </c>
      <c r="H1663" s="3" t="s">
        <v>2401</v>
      </c>
      <c r="I1663" t="s">
        <v>43</v>
      </c>
      <c r="J1663" s="3" t="s">
        <v>2402</v>
      </c>
      <c r="K1663" s="4">
        <v>914</v>
      </c>
      <c r="L1663" s="5">
        <v>41.55</v>
      </c>
      <c r="M1663" s="6">
        <v>1</v>
      </c>
      <c r="N1663" s="7">
        <v>0</v>
      </c>
      <c r="O1663" t="s">
        <v>2403</v>
      </c>
      <c r="P1663" s="3" t="s">
        <v>46</v>
      </c>
      <c r="Q1663" s="8">
        <v>0.206867</v>
      </c>
    </row>
    <row r="1664" spans="1:17" hidden="1" x14ac:dyDescent="0.55000000000000004">
      <c r="A1664" s="3" t="s">
        <v>2391</v>
      </c>
      <c r="B1664" s="3" t="s">
        <v>2392</v>
      </c>
      <c r="C1664" t="s">
        <v>2392</v>
      </c>
      <c r="D1664" s="3" t="s">
        <v>7329</v>
      </c>
      <c r="E1664" t="s">
        <v>2427</v>
      </c>
      <c r="F1664" s="3" t="s">
        <v>2428</v>
      </c>
      <c r="G1664" t="s">
        <v>24</v>
      </c>
      <c r="H1664" s="3" t="s">
        <v>2404</v>
      </c>
      <c r="I1664" t="s">
        <v>48</v>
      </c>
      <c r="J1664" s="3" t="s">
        <v>2402</v>
      </c>
      <c r="K1664" s="4">
        <v>633</v>
      </c>
      <c r="L1664" s="5">
        <v>0</v>
      </c>
      <c r="M1664" s="6">
        <v>0</v>
      </c>
      <c r="N1664" s="7">
        <v>0</v>
      </c>
      <c r="O1664" t="s">
        <v>2405</v>
      </c>
      <c r="P1664" s="3" t="s">
        <v>23</v>
      </c>
      <c r="Q1664" s="8" t="s">
        <v>23</v>
      </c>
    </row>
    <row r="1665" spans="1:17" hidden="1" x14ac:dyDescent="0.55000000000000004">
      <c r="A1665" s="3" t="s">
        <v>2391</v>
      </c>
      <c r="B1665" s="3" t="s">
        <v>2392</v>
      </c>
      <c r="C1665" t="s">
        <v>2392</v>
      </c>
      <c r="D1665" s="3" t="s">
        <v>7329</v>
      </c>
      <c r="E1665" t="s">
        <v>2427</v>
      </c>
      <c r="F1665" s="3" t="s">
        <v>2428</v>
      </c>
      <c r="G1665" t="s">
        <v>24</v>
      </c>
      <c r="H1665" s="3" t="s">
        <v>2406</v>
      </c>
      <c r="I1665" t="s">
        <v>114</v>
      </c>
      <c r="J1665" s="3" t="s">
        <v>2402</v>
      </c>
      <c r="K1665" s="4">
        <v>559</v>
      </c>
      <c r="L1665" s="5">
        <v>0</v>
      </c>
      <c r="M1665" s="6">
        <v>0</v>
      </c>
      <c r="N1665" s="7">
        <v>0</v>
      </c>
      <c r="O1665" t="s">
        <v>23</v>
      </c>
      <c r="P1665" s="3" t="s">
        <v>23</v>
      </c>
      <c r="Q1665" s="8" t="s">
        <v>23</v>
      </c>
    </row>
    <row r="1666" spans="1:17" hidden="1" x14ac:dyDescent="0.55000000000000004">
      <c r="A1666" s="3" t="s">
        <v>2391</v>
      </c>
      <c r="B1666" s="3" t="s">
        <v>2429</v>
      </c>
      <c r="C1666" t="s">
        <v>2429</v>
      </c>
      <c r="D1666" s="3" t="s">
        <v>7329</v>
      </c>
      <c r="E1666" t="s">
        <v>2430</v>
      </c>
      <c r="F1666" s="3" t="s">
        <v>2431</v>
      </c>
      <c r="G1666" t="s">
        <v>24</v>
      </c>
      <c r="H1666" s="3" t="s">
        <v>2432</v>
      </c>
      <c r="I1666" t="s">
        <v>43</v>
      </c>
      <c r="J1666" s="3" t="s">
        <v>2433</v>
      </c>
      <c r="K1666" s="4">
        <v>731</v>
      </c>
      <c r="L1666" s="5">
        <v>33.22</v>
      </c>
      <c r="M1666" s="6">
        <v>1</v>
      </c>
      <c r="N1666" s="7">
        <v>0</v>
      </c>
      <c r="O1666" t="s">
        <v>2434</v>
      </c>
      <c r="P1666" s="3" t="s">
        <v>138</v>
      </c>
      <c r="Q1666" s="8">
        <v>0.25739299999999998</v>
      </c>
    </row>
    <row r="1667" spans="1:17" hidden="1" x14ac:dyDescent="0.55000000000000004">
      <c r="A1667" s="9" t="s">
        <v>2391</v>
      </c>
      <c r="B1667" s="3" t="s">
        <v>2429</v>
      </c>
      <c r="C1667" t="s">
        <v>2429</v>
      </c>
      <c r="D1667" s="3" t="s">
        <v>7329</v>
      </c>
      <c r="E1667" t="s">
        <v>2435</v>
      </c>
      <c r="F1667" s="3" t="s">
        <v>2436</v>
      </c>
      <c r="G1667" t="s">
        <v>24</v>
      </c>
      <c r="H1667" s="3" t="s">
        <v>2432</v>
      </c>
      <c r="I1667" t="s">
        <v>43</v>
      </c>
      <c r="J1667" s="3" t="s">
        <v>2433</v>
      </c>
      <c r="K1667" s="4">
        <v>731</v>
      </c>
      <c r="L1667" s="5">
        <v>33.22</v>
      </c>
      <c r="M1667" s="6">
        <v>1</v>
      </c>
      <c r="N1667" s="7">
        <v>0</v>
      </c>
      <c r="O1667" t="s">
        <v>2434</v>
      </c>
      <c r="P1667" s="3" t="s">
        <v>138</v>
      </c>
      <c r="Q1667" s="8">
        <v>0.25739299999999998</v>
      </c>
    </row>
    <row r="1668" spans="1:17" hidden="1" x14ac:dyDescent="0.55000000000000004">
      <c r="A1668" s="3" t="s">
        <v>2437</v>
      </c>
      <c r="B1668" s="3" t="s">
        <v>2438</v>
      </c>
      <c r="C1668" t="s">
        <v>2438</v>
      </c>
      <c r="D1668" s="3" t="s">
        <v>7329</v>
      </c>
      <c r="E1668" t="s">
        <v>2439</v>
      </c>
      <c r="F1668" s="3" t="s">
        <v>2440</v>
      </c>
      <c r="G1668" t="s">
        <v>19</v>
      </c>
      <c r="H1668" s="3" t="s">
        <v>23</v>
      </c>
      <c r="I1668" t="s">
        <v>67</v>
      </c>
      <c r="J1668" s="3" t="s">
        <v>67</v>
      </c>
      <c r="K1668" s="4" t="s">
        <v>23</v>
      </c>
      <c r="L1668" s="5" t="s">
        <v>23</v>
      </c>
      <c r="M1668" s="6">
        <v>0</v>
      </c>
      <c r="N1668" s="7">
        <v>0</v>
      </c>
      <c r="O1668" t="s">
        <v>23</v>
      </c>
      <c r="P1668" s="3" t="s">
        <v>23</v>
      </c>
      <c r="Q1668" s="8" t="s">
        <v>23</v>
      </c>
    </row>
    <row r="1669" spans="1:17" hidden="1" x14ac:dyDescent="0.55000000000000004">
      <c r="A1669" s="3" t="s">
        <v>2437</v>
      </c>
      <c r="B1669" s="3" t="s">
        <v>2438</v>
      </c>
      <c r="C1669" t="s">
        <v>2438</v>
      </c>
      <c r="D1669" s="3" t="s">
        <v>7329</v>
      </c>
      <c r="E1669" t="s">
        <v>2441</v>
      </c>
      <c r="F1669" s="3" t="s">
        <v>2442</v>
      </c>
      <c r="G1669" t="s">
        <v>19</v>
      </c>
      <c r="H1669" s="3" t="s">
        <v>23</v>
      </c>
      <c r="I1669" t="s">
        <v>67</v>
      </c>
      <c r="J1669" s="3" t="s">
        <v>67</v>
      </c>
      <c r="K1669" s="4" t="s">
        <v>23</v>
      </c>
      <c r="L1669" s="5" t="s">
        <v>23</v>
      </c>
      <c r="M1669" s="6">
        <v>0</v>
      </c>
      <c r="N1669" s="7">
        <v>0</v>
      </c>
      <c r="O1669" t="s">
        <v>23</v>
      </c>
      <c r="P1669" s="3" t="s">
        <v>23</v>
      </c>
      <c r="Q1669" s="8" t="s">
        <v>23</v>
      </c>
    </row>
    <row r="1670" spans="1:17" hidden="1" x14ac:dyDescent="0.55000000000000004">
      <c r="A1670" s="3" t="s">
        <v>2437</v>
      </c>
      <c r="B1670" s="3" t="s">
        <v>7354</v>
      </c>
      <c r="C1670" t="s">
        <v>2443</v>
      </c>
      <c r="D1670" s="3" t="s">
        <v>7329</v>
      </c>
      <c r="E1670" t="s">
        <v>2444</v>
      </c>
      <c r="F1670" s="3" t="s">
        <v>2445</v>
      </c>
      <c r="G1670" t="s">
        <v>19</v>
      </c>
      <c r="H1670" s="3" t="s">
        <v>23</v>
      </c>
      <c r="I1670" t="s">
        <v>67</v>
      </c>
      <c r="J1670" s="3" t="s">
        <v>67</v>
      </c>
      <c r="K1670" s="4" t="s">
        <v>23</v>
      </c>
      <c r="L1670" s="5" t="s">
        <v>23</v>
      </c>
      <c r="M1670" s="6">
        <v>0</v>
      </c>
      <c r="N1670" s="7">
        <v>0</v>
      </c>
      <c r="O1670" t="s">
        <v>23</v>
      </c>
      <c r="P1670" s="3" t="s">
        <v>23</v>
      </c>
      <c r="Q1670" s="8" t="s">
        <v>23</v>
      </c>
    </row>
    <row r="1671" spans="1:17" hidden="1" x14ac:dyDescent="0.55000000000000004">
      <c r="A1671" s="3" t="s">
        <v>2437</v>
      </c>
      <c r="B1671" s="3" t="s">
        <v>7354</v>
      </c>
      <c r="C1671" t="s">
        <v>2443</v>
      </c>
      <c r="D1671" s="3" t="s">
        <v>7329</v>
      </c>
      <c r="E1671" t="s">
        <v>2446</v>
      </c>
      <c r="F1671" s="3" t="s">
        <v>2447</v>
      </c>
      <c r="G1671" t="s">
        <v>19</v>
      </c>
      <c r="H1671" s="3" t="s">
        <v>23</v>
      </c>
      <c r="I1671" t="s">
        <v>67</v>
      </c>
      <c r="J1671" s="3" t="s">
        <v>67</v>
      </c>
      <c r="K1671" s="4" t="s">
        <v>23</v>
      </c>
      <c r="L1671" s="5" t="s">
        <v>23</v>
      </c>
      <c r="M1671" s="6">
        <v>0</v>
      </c>
      <c r="N1671" s="7">
        <v>0</v>
      </c>
      <c r="O1671" t="s">
        <v>23</v>
      </c>
      <c r="P1671" s="3" t="s">
        <v>23</v>
      </c>
      <c r="Q1671" s="8" t="s">
        <v>23</v>
      </c>
    </row>
    <row r="1672" spans="1:17" hidden="1" x14ac:dyDescent="0.55000000000000004">
      <c r="A1672" s="3" t="s">
        <v>2437</v>
      </c>
      <c r="B1672" s="3" t="s">
        <v>7354</v>
      </c>
      <c r="C1672" t="s">
        <v>2443</v>
      </c>
      <c r="D1672" s="3" t="s">
        <v>7329</v>
      </c>
      <c r="E1672" t="s">
        <v>2448</v>
      </c>
      <c r="F1672" s="3" t="s">
        <v>2449</v>
      </c>
      <c r="G1672" t="s">
        <v>19</v>
      </c>
      <c r="H1672" s="3" t="s">
        <v>23</v>
      </c>
      <c r="I1672" t="s">
        <v>67</v>
      </c>
      <c r="J1672" s="3" t="s">
        <v>67</v>
      </c>
      <c r="K1672" s="4" t="s">
        <v>23</v>
      </c>
      <c r="L1672" s="5" t="s">
        <v>23</v>
      </c>
      <c r="M1672" s="6">
        <v>0</v>
      </c>
      <c r="N1672" s="7">
        <v>0</v>
      </c>
      <c r="O1672" t="s">
        <v>23</v>
      </c>
      <c r="P1672" s="3" t="s">
        <v>23</v>
      </c>
      <c r="Q1672" s="8" t="s">
        <v>23</v>
      </c>
    </row>
    <row r="1673" spans="1:17" hidden="1" x14ac:dyDescent="0.55000000000000004">
      <c r="A1673" s="3" t="s">
        <v>2437</v>
      </c>
      <c r="B1673" s="3" t="s">
        <v>2443</v>
      </c>
      <c r="C1673" t="s">
        <v>2443</v>
      </c>
      <c r="D1673" s="3" t="s">
        <v>7329</v>
      </c>
      <c r="E1673" t="s">
        <v>2450</v>
      </c>
      <c r="F1673" s="3" t="s">
        <v>2451</v>
      </c>
      <c r="G1673" t="s">
        <v>19</v>
      </c>
      <c r="H1673" s="3" t="s">
        <v>23</v>
      </c>
      <c r="I1673" t="s">
        <v>67</v>
      </c>
      <c r="J1673" s="3" t="s">
        <v>67</v>
      </c>
      <c r="K1673" s="4" t="s">
        <v>23</v>
      </c>
      <c r="L1673" s="5" t="s">
        <v>23</v>
      </c>
      <c r="M1673" s="6">
        <v>0</v>
      </c>
      <c r="N1673" s="7">
        <v>0</v>
      </c>
      <c r="O1673" t="s">
        <v>23</v>
      </c>
      <c r="P1673" s="3" t="s">
        <v>23</v>
      </c>
      <c r="Q1673" s="8" t="s">
        <v>23</v>
      </c>
    </row>
    <row r="1674" spans="1:17" hidden="1" x14ac:dyDescent="0.55000000000000004">
      <c r="A1674" s="3" t="s">
        <v>2437</v>
      </c>
      <c r="B1674" s="3" t="s">
        <v>2443</v>
      </c>
      <c r="C1674" t="s">
        <v>2443</v>
      </c>
      <c r="D1674" s="3" t="s">
        <v>7329</v>
      </c>
      <c r="E1674" t="s">
        <v>2452</v>
      </c>
      <c r="F1674" s="3" t="s">
        <v>2453</v>
      </c>
      <c r="G1674" t="s">
        <v>19</v>
      </c>
      <c r="H1674" s="3" t="s">
        <v>23</v>
      </c>
      <c r="I1674" t="s">
        <v>67</v>
      </c>
      <c r="J1674" s="3" t="s">
        <v>67</v>
      </c>
      <c r="K1674" s="4" t="s">
        <v>23</v>
      </c>
      <c r="L1674" s="5" t="s">
        <v>23</v>
      </c>
      <c r="M1674" s="6">
        <v>0</v>
      </c>
      <c r="N1674" s="7">
        <v>0</v>
      </c>
      <c r="O1674" t="s">
        <v>23</v>
      </c>
      <c r="P1674" s="3" t="s">
        <v>23</v>
      </c>
      <c r="Q1674" s="8" t="s">
        <v>23</v>
      </c>
    </row>
    <row r="1675" spans="1:17" hidden="1" x14ac:dyDescent="0.55000000000000004">
      <c r="A1675" s="9" t="s">
        <v>2437</v>
      </c>
      <c r="B1675" s="3" t="s">
        <v>2454</v>
      </c>
      <c r="C1675" t="s">
        <v>2438</v>
      </c>
      <c r="D1675" s="3" t="s">
        <v>7329</v>
      </c>
      <c r="E1675" t="s">
        <v>2455</v>
      </c>
      <c r="F1675" s="3" t="s">
        <v>2456</v>
      </c>
      <c r="G1675" t="s">
        <v>19</v>
      </c>
      <c r="H1675" s="3" t="s">
        <v>23</v>
      </c>
      <c r="I1675" t="s">
        <v>67</v>
      </c>
      <c r="J1675" s="3" t="s">
        <v>67</v>
      </c>
      <c r="K1675" s="4" t="s">
        <v>23</v>
      </c>
      <c r="L1675" s="5" t="s">
        <v>23</v>
      </c>
      <c r="M1675" s="6">
        <v>0</v>
      </c>
      <c r="N1675" s="7">
        <v>0</v>
      </c>
      <c r="O1675" t="s">
        <v>23</v>
      </c>
      <c r="P1675" s="3" t="s">
        <v>23</v>
      </c>
      <c r="Q1675" s="8" t="s">
        <v>23</v>
      </c>
    </row>
    <row r="1676" spans="1:17" hidden="1" x14ac:dyDescent="0.55000000000000004">
      <c r="A1676" s="3" t="s">
        <v>2457</v>
      </c>
      <c r="B1676" s="3" t="s">
        <v>2458</v>
      </c>
      <c r="C1676" t="s">
        <v>2458</v>
      </c>
      <c r="D1676" s="3" t="s">
        <v>7312</v>
      </c>
      <c r="E1676" t="s">
        <v>2459</v>
      </c>
      <c r="F1676" s="3" t="s">
        <v>2460</v>
      </c>
      <c r="G1676" t="s">
        <v>19</v>
      </c>
      <c r="H1676" s="3" t="s">
        <v>2461</v>
      </c>
      <c r="I1676" t="s">
        <v>1813</v>
      </c>
      <c r="J1676" s="3" t="s">
        <v>2462</v>
      </c>
      <c r="K1676" s="4">
        <v>301</v>
      </c>
      <c r="L1676" s="5">
        <v>65.52</v>
      </c>
      <c r="M1676" s="6">
        <v>1</v>
      </c>
      <c r="N1676" s="7">
        <v>1</v>
      </c>
      <c r="O1676" t="s">
        <v>2463</v>
      </c>
      <c r="P1676" s="3" t="s">
        <v>1770</v>
      </c>
      <c r="Q1676" s="8">
        <v>9.5990000000000006E-2</v>
      </c>
    </row>
    <row r="1677" spans="1:17" hidden="1" x14ac:dyDescent="0.55000000000000004">
      <c r="A1677" s="3" t="s">
        <v>2457</v>
      </c>
      <c r="B1677" s="3" t="s">
        <v>2458</v>
      </c>
      <c r="C1677" t="s">
        <v>2458</v>
      </c>
      <c r="D1677" s="3" t="s">
        <v>7312</v>
      </c>
      <c r="E1677" t="s">
        <v>2459</v>
      </c>
      <c r="F1677" s="3" t="s">
        <v>2460</v>
      </c>
      <c r="G1677" t="s">
        <v>19</v>
      </c>
      <c r="H1677" s="3" t="s">
        <v>23</v>
      </c>
      <c r="I1677" t="s">
        <v>67</v>
      </c>
      <c r="J1677" s="3" t="s">
        <v>2464</v>
      </c>
      <c r="K1677" s="4" t="s">
        <v>23</v>
      </c>
      <c r="L1677" s="5" t="s">
        <v>23</v>
      </c>
      <c r="M1677" s="6">
        <v>0</v>
      </c>
      <c r="N1677" s="7">
        <v>1</v>
      </c>
      <c r="O1677" t="s">
        <v>23</v>
      </c>
      <c r="P1677" s="3" t="s">
        <v>23</v>
      </c>
      <c r="Q1677" s="8" t="s">
        <v>23</v>
      </c>
    </row>
    <row r="1678" spans="1:17" hidden="1" x14ac:dyDescent="0.55000000000000004">
      <c r="A1678" s="3" t="s">
        <v>2457</v>
      </c>
      <c r="B1678" s="3" t="s">
        <v>2458</v>
      </c>
      <c r="C1678" t="s">
        <v>2458</v>
      </c>
      <c r="D1678" s="3" t="s">
        <v>7312</v>
      </c>
      <c r="E1678" t="s">
        <v>2459</v>
      </c>
      <c r="F1678" s="3" t="s">
        <v>2460</v>
      </c>
      <c r="G1678" t="s">
        <v>24</v>
      </c>
      <c r="H1678" s="3" t="s">
        <v>2465</v>
      </c>
      <c r="I1678" t="s">
        <v>37</v>
      </c>
      <c r="J1678" s="3" t="s">
        <v>2466</v>
      </c>
      <c r="K1678" s="4">
        <v>325</v>
      </c>
      <c r="L1678" s="5">
        <v>14.76</v>
      </c>
      <c r="M1678" s="6">
        <v>1</v>
      </c>
      <c r="N1678" s="7">
        <v>1</v>
      </c>
      <c r="O1678" t="s">
        <v>2467</v>
      </c>
      <c r="P1678" s="3" t="s">
        <v>40</v>
      </c>
      <c r="Q1678" s="8">
        <v>0.181285</v>
      </c>
    </row>
    <row r="1679" spans="1:17" hidden="1" x14ac:dyDescent="0.55000000000000004">
      <c r="A1679" s="3" t="s">
        <v>2457</v>
      </c>
      <c r="B1679" s="3" t="s">
        <v>2468</v>
      </c>
      <c r="C1679" t="s">
        <v>2468</v>
      </c>
      <c r="D1679" s="3" t="s">
        <v>7312</v>
      </c>
      <c r="E1679" t="s">
        <v>2469</v>
      </c>
      <c r="F1679" s="3" t="s">
        <v>2470</v>
      </c>
      <c r="G1679" t="s">
        <v>19</v>
      </c>
      <c r="H1679" s="3" t="s">
        <v>2471</v>
      </c>
      <c r="I1679" t="s">
        <v>1813</v>
      </c>
      <c r="J1679" s="3" t="s">
        <v>2472</v>
      </c>
      <c r="K1679" s="4">
        <v>162</v>
      </c>
      <c r="L1679" s="5">
        <v>35.200000000000003</v>
      </c>
      <c r="M1679" s="6">
        <v>1</v>
      </c>
      <c r="N1679" s="7">
        <v>0</v>
      </c>
      <c r="O1679" t="s">
        <v>2473</v>
      </c>
      <c r="P1679" s="3" t="s">
        <v>2474</v>
      </c>
      <c r="Q1679" s="8">
        <v>2.2190000000000001E-2</v>
      </c>
    </row>
    <row r="1680" spans="1:17" hidden="1" x14ac:dyDescent="0.55000000000000004">
      <c r="A1680" s="3" t="s">
        <v>2457</v>
      </c>
      <c r="B1680" s="3" t="s">
        <v>2468</v>
      </c>
      <c r="C1680" t="s">
        <v>2468</v>
      </c>
      <c r="D1680" s="3" t="s">
        <v>7312</v>
      </c>
      <c r="E1680" t="s">
        <v>2469</v>
      </c>
      <c r="F1680" s="3" t="s">
        <v>2470</v>
      </c>
      <c r="G1680" t="s">
        <v>19</v>
      </c>
      <c r="H1680" s="3" t="s">
        <v>2471</v>
      </c>
      <c r="I1680" t="s">
        <v>1813</v>
      </c>
      <c r="J1680" s="3" t="s">
        <v>2472</v>
      </c>
      <c r="K1680" s="4">
        <v>162</v>
      </c>
      <c r="L1680" s="5">
        <v>35.200000000000003</v>
      </c>
      <c r="M1680" s="6">
        <v>1</v>
      </c>
      <c r="N1680" s="7">
        <v>0</v>
      </c>
      <c r="O1680" t="s">
        <v>2475</v>
      </c>
      <c r="P1680" s="3" t="s">
        <v>2476</v>
      </c>
      <c r="Q1680" s="8">
        <v>1.3069000000000001E-2</v>
      </c>
    </row>
    <row r="1681" spans="1:17" hidden="1" x14ac:dyDescent="0.55000000000000004">
      <c r="A1681" s="3" t="s">
        <v>2457</v>
      </c>
      <c r="B1681" s="3" t="s">
        <v>2468</v>
      </c>
      <c r="C1681" t="s">
        <v>2468</v>
      </c>
      <c r="D1681" s="3" t="s">
        <v>7312</v>
      </c>
      <c r="E1681" t="s">
        <v>2469</v>
      </c>
      <c r="F1681" s="3" t="s">
        <v>2470</v>
      </c>
      <c r="G1681" t="s">
        <v>24</v>
      </c>
      <c r="H1681" s="3" t="s">
        <v>2477</v>
      </c>
      <c r="I1681" t="s">
        <v>37</v>
      </c>
      <c r="J1681" s="3" t="s">
        <v>2478</v>
      </c>
      <c r="K1681" s="4">
        <v>174</v>
      </c>
      <c r="L1681" s="5">
        <v>7.91</v>
      </c>
      <c r="M1681" s="6">
        <v>1</v>
      </c>
      <c r="N1681" s="7">
        <v>0</v>
      </c>
      <c r="O1681" t="s">
        <v>2479</v>
      </c>
      <c r="P1681" s="3" t="s">
        <v>40</v>
      </c>
      <c r="Q1681" s="8">
        <v>0.17978</v>
      </c>
    </row>
    <row r="1682" spans="1:17" hidden="1" x14ac:dyDescent="0.55000000000000004">
      <c r="A1682" s="3" t="s">
        <v>2457</v>
      </c>
      <c r="B1682" s="3" t="s">
        <v>2468</v>
      </c>
      <c r="C1682" t="s">
        <v>2468</v>
      </c>
      <c r="D1682" s="3" t="s">
        <v>7312</v>
      </c>
      <c r="E1682" t="s">
        <v>2480</v>
      </c>
      <c r="F1682" s="3" t="s">
        <v>2481</v>
      </c>
      <c r="G1682" t="s">
        <v>19</v>
      </c>
      <c r="H1682" s="3" t="s">
        <v>2471</v>
      </c>
      <c r="I1682" t="s">
        <v>1813</v>
      </c>
      <c r="J1682" s="3" t="s">
        <v>2472</v>
      </c>
      <c r="K1682" s="4">
        <v>162</v>
      </c>
      <c r="L1682" s="5">
        <v>35.200000000000003</v>
      </c>
      <c r="M1682" s="6">
        <v>1</v>
      </c>
      <c r="N1682" s="7">
        <v>1</v>
      </c>
      <c r="O1682" t="s">
        <v>2473</v>
      </c>
      <c r="P1682" s="3" t="s">
        <v>2474</v>
      </c>
      <c r="Q1682" s="8">
        <v>2.2190000000000001E-2</v>
      </c>
    </row>
    <row r="1683" spans="1:17" hidden="1" x14ac:dyDescent="0.55000000000000004">
      <c r="A1683" s="3" t="s">
        <v>2457</v>
      </c>
      <c r="B1683" s="3" t="s">
        <v>2468</v>
      </c>
      <c r="C1683" t="s">
        <v>2468</v>
      </c>
      <c r="D1683" s="3" t="s">
        <v>7312</v>
      </c>
      <c r="E1683" t="s">
        <v>2480</v>
      </c>
      <c r="F1683" s="3" t="s">
        <v>2481</v>
      </c>
      <c r="G1683" t="s">
        <v>19</v>
      </c>
      <c r="H1683" s="3" t="s">
        <v>2471</v>
      </c>
      <c r="I1683" t="s">
        <v>1813</v>
      </c>
      <c r="J1683" s="3" t="s">
        <v>2472</v>
      </c>
      <c r="K1683" s="4">
        <v>162</v>
      </c>
      <c r="L1683" s="5">
        <v>35.200000000000003</v>
      </c>
      <c r="M1683" s="6">
        <v>1</v>
      </c>
      <c r="N1683" s="7">
        <v>1</v>
      </c>
      <c r="O1683" t="s">
        <v>2475</v>
      </c>
      <c r="P1683" s="3" t="s">
        <v>2476</v>
      </c>
      <c r="Q1683" s="8">
        <v>1.3069000000000001E-2</v>
      </c>
    </row>
    <row r="1684" spans="1:17" hidden="1" x14ac:dyDescent="0.55000000000000004">
      <c r="A1684" s="3" t="s">
        <v>2457</v>
      </c>
      <c r="B1684" s="3" t="s">
        <v>2468</v>
      </c>
      <c r="C1684" t="s">
        <v>2468</v>
      </c>
      <c r="D1684" s="3" t="s">
        <v>7312</v>
      </c>
      <c r="E1684" t="s">
        <v>2480</v>
      </c>
      <c r="F1684" s="3" t="s">
        <v>2481</v>
      </c>
      <c r="G1684" t="s">
        <v>24</v>
      </c>
      <c r="H1684" s="3" t="s">
        <v>2477</v>
      </c>
      <c r="I1684" t="s">
        <v>37</v>
      </c>
      <c r="J1684" s="3" t="s">
        <v>2478</v>
      </c>
      <c r="K1684" s="4">
        <v>174</v>
      </c>
      <c r="L1684" s="5">
        <v>7.91</v>
      </c>
      <c r="M1684" s="6">
        <v>1</v>
      </c>
      <c r="N1684" s="7">
        <v>1</v>
      </c>
      <c r="O1684" t="s">
        <v>2479</v>
      </c>
      <c r="P1684" s="3" t="s">
        <v>40</v>
      </c>
      <c r="Q1684" s="8">
        <v>0.17978</v>
      </c>
    </row>
    <row r="1685" spans="1:17" hidden="1" x14ac:dyDescent="0.55000000000000004">
      <c r="A1685" s="3" t="s">
        <v>2457</v>
      </c>
      <c r="B1685" s="3" t="s">
        <v>2482</v>
      </c>
      <c r="C1685" t="s">
        <v>2482</v>
      </c>
      <c r="D1685" s="3" t="s">
        <v>7312</v>
      </c>
      <c r="E1685" t="s">
        <v>2483</v>
      </c>
      <c r="F1685" s="3" t="s">
        <v>2484</v>
      </c>
      <c r="G1685" t="s">
        <v>19</v>
      </c>
      <c r="H1685" s="3" t="s">
        <v>2485</v>
      </c>
      <c r="I1685" t="s">
        <v>1813</v>
      </c>
      <c r="J1685" s="3" t="s">
        <v>2486</v>
      </c>
      <c r="K1685" s="4">
        <v>332</v>
      </c>
      <c r="L1685" s="5">
        <v>72.11</v>
      </c>
      <c r="M1685" s="6">
        <v>1</v>
      </c>
      <c r="N1685" s="7">
        <v>0</v>
      </c>
      <c r="O1685" t="s">
        <v>2487</v>
      </c>
      <c r="P1685" s="3" t="s">
        <v>1770</v>
      </c>
      <c r="Q1685" s="8">
        <v>8.1642999999999993E-2</v>
      </c>
    </row>
    <row r="1686" spans="1:17" hidden="1" x14ac:dyDescent="0.55000000000000004">
      <c r="A1686" s="3" t="s">
        <v>2457</v>
      </c>
      <c r="B1686" s="3" t="s">
        <v>2482</v>
      </c>
      <c r="C1686" t="s">
        <v>2482</v>
      </c>
      <c r="D1686" s="3" t="s">
        <v>7312</v>
      </c>
      <c r="E1686" t="s">
        <v>2483</v>
      </c>
      <c r="F1686" s="3" t="s">
        <v>2484</v>
      </c>
      <c r="G1686" t="s">
        <v>24</v>
      </c>
      <c r="H1686" s="3" t="s">
        <v>2488</v>
      </c>
      <c r="I1686" t="s">
        <v>37</v>
      </c>
      <c r="J1686" s="3" t="s">
        <v>2489</v>
      </c>
      <c r="K1686" s="4">
        <v>314</v>
      </c>
      <c r="L1686" s="5">
        <v>14.27</v>
      </c>
      <c r="M1686" s="6">
        <v>1</v>
      </c>
      <c r="N1686" s="7">
        <v>0</v>
      </c>
      <c r="O1686" t="s">
        <v>2490</v>
      </c>
      <c r="P1686" s="3" t="s">
        <v>40</v>
      </c>
      <c r="Q1686" s="8">
        <v>0.181175</v>
      </c>
    </row>
    <row r="1687" spans="1:17" hidden="1" x14ac:dyDescent="0.55000000000000004">
      <c r="A1687" s="3" t="s">
        <v>2457</v>
      </c>
      <c r="B1687" s="3" t="s">
        <v>2482</v>
      </c>
      <c r="C1687" t="s">
        <v>2482</v>
      </c>
      <c r="D1687" s="3" t="s">
        <v>7312</v>
      </c>
      <c r="E1687" t="s">
        <v>2491</v>
      </c>
      <c r="F1687" s="3" t="s">
        <v>2492</v>
      </c>
      <c r="G1687" t="s">
        <v>19</v>
      </c>
      <c r="H1687" s="3" t="s">
        <v>2485</v>
      </c>
      <c r="I1687" t="s">
        <v>1813</v>
      </c>
      <c r="J1687" s="3" t="s">
        <v>2486</v>
      </c>
      <c r="K1687" s="4">
        <v>332</v>
      </c>
      <c r="L1687" s="5">
        <v>72.11</v>
      </c>
      <c r="M1687" s="6">
        <v>1</v>
      </c>
      <c r="N1687" s="7">
        <v>1</v>
      </c>
      <c r="O1687" t="s">
        <v>2487</v>
      </c>
      <c r="P1687" s="3" t="s">
        <v>1770</v>
      </c>
      <c r="Q1687" s="8">
        <v>8.1642999999999993E-2</v>
      </c>
    </row>
    <row r="1688" spans="1:17" hidden="1" x14ac:dyDescent="0.55000000000000004">
      <c r="A1688" s="3" t="s">
        <v>2457</v>
      </c>
      <c r="B1688" s="3" t="s">
        <v>2482</v>
      </c>
      <c r="C1688" t="s">
        <v>2482</v>
      </c>
      <c r="D1688" s="3" t="s">
        <v>7312</v>
      </c>
      <c r="E1688" t="s">
        <v>2491</v>
      </c>
      <c r="F1688" s="3" t="s">
        <v>2492</v>
      </c>
      <c r="G1688" t="s">
        <v>24</v>
      </c>
      <c r="H1688" s="3" t="s">
        <v>2488</v>
      </c>
      <c r="I1688" t="s">
        <v>37</v>
      </c>
      <c r="J1688" s="3" t="s">
        <v>2489</v>
      </c>
      <c r="K1688" s="4">
        <v>314</v>
      </c>
      <c r="L1688" s="5">
        <v>14.27</v>
      </c>
      <c r="M1688" s="6">
        <v>1</v>
      </c>
      <c r="N1688" s="7">
        <v>1</v>
      </c>
      <c r="O1688" t="s">
        <v>2490</v>
      </c>
      <c r="P1688" s="3" t="s">
        <v>40</v>
      </c>
      <c r="Q1688" s="8">
        <v>0.181175</v>
      </c>
    </row>
    <row r="1689" spans="1:17" hidden="1" x14ac:dyDescent="0.55000000000000004">
      <c r="A1689" s="3" t="s">
        <v>2457</v>
      </c>
      <c r="B1689" s="3" t="s">
        <v>2493</v>
      </c>
      <c r="C1689" t="s">
        <v>2493</v>
      </c>
      <c r="D1689" s="3" t="s">
        <v>7312</v>
      </c>
      <c r="E1689" t="s">
        <v>2494</v>
      </c>
      <c r="F1689" s="3" t="s">
        <v>2495</v>
      </c>
      <c r="G1689" t="s">
        <v>19</v>
      </c>
      <c r="H1689" s="3" t="s">
        <v>2496</v>
      </c>
      <c r="I1689" t="s">
        <v>1813</v>
      </c>
      <c r="J1689" s="3" t="s">
        <v>2497</v>
      </c>
      <c r="K1689" s="4">
        <v>139</v>
      </c>
      <c r="L1689" s="5">
        <v>30.2</v>
      </c>
      <c r="M1689" s="6">
        <v>1</v>
      </c>
      <c r="N1689" s="7">
        <v>1</v>
      </c>
      <c r="O1689" t="s">
        <v>2473</v>
      </c>
      <c r="P1689" s="3" t="s">
        <v>2474</v>
      </c>
      <c r="Q1689" s="8">
        <v>2.2190000000000001E-2</v>
      </c>
    </row>
    <row r="1690" spans="1:17" hidden="1" x14ac:dyDescent="0.55000000000000004">
      <c r="A1690" s="3" t="s">
        <v>2457</v>
      </c>
      <c r="B1690" s="3" t="s">
        <v>2493</v>
      </c>
      <c r="C1690" t="s">
        <v>2493</v>
      </c>
      <c r="D1690" s="3" t="s">
        <v>7312</v>
      </c>
      <c r="E1690" t="s">
        <v>2494</v>
      </c>
      <c r="F1690" s="3" t="s">
        <v>2495</v>
      </c>
      <c r="G1690" t="s">
        <v>19</v>
      </c>
      <c r="H1690" s="3" t="s">
        <v>2496</v>
      </c>
      <c r="I1690" t="s">
        <v>1813</v>
      </c>
      <c r="J1690" s="3" t="s">
        <v>2497</v>
      </c>
      <c r="K1690" s="4">
        <v>139</v>
      </c>
      <c r="L1690" s="5">
        <v>30.2</v>
      </c>
      <c r="M1690" s="6">
        <v>1</v>
      </c>
      <c r="N1690" s="7">
        <v>1</v>
      </c>
      <c r="O1690" t="s">
        <v>2498</v>
      </c>
      <c r="P1690" s="3" t="s">
        <v>2476</v>
      </c>
      <c r="Q1690" s="8">
        <v>1.0378999999999999E-2</v>
      </c>
    </row>
    <row r="1691" spans="1:17" hidden="1" x14ac:dyDescent="0.55000000000000004">
      <c r="A1691" s="3" t="s">
        <v>2457</v>
      </c>
      <c r="B1691" s="3" t="s">
        <v>2493</v>
      </c>
      <c r="C1691" t="s">
        <v>2493</v>
      </c>
      <c r="D1691" s="3" t="s">
        <v>7312</v>
      </c>
      <c r="E1691" t="s">
        <v>2494</v>
      </c>
      <c r="F1691" s="3" t="s">
        <v>2495</v>
      </c>
      <c r="G1691" t="s">
        <v>24</v>
      </c>
      <c r="H1691" s="3" t="s">
        <v>2499</v>
      </c>
      <c r="I1691" t="s">
        <v>37</v>
      </c>
      <c r="J1691" s="3" t="s">
        <v>2500</v>
      </c>
      <c r="K1691" s="4">
        <v>160</v>
      </c>
      <c r="L1691" s="5">
        <v>7.29</v>
      </c>
      <c r="M1691" s="6">
        <v>1</v>
      </c>
      <c r="N1691" s="7">
        <v>1</v>
      </c>
      <c r="O1691" t="s">
        <v>2501</v>
      </c>
      <c r="P1691" s="3" t="s">
        <v>40</v>
      </c>
      <c r="Q1691" s="8">
        <v>0.179645</v>
      </c>
    </row>
    <row r="1692" spans="1:17" hidden="1" x14ac:dyDescent="0.55000000000000004">
      <c r="A1692" s="3" t="s">
        <v>2457</v>
      </c>
      <c r="B1692" s="3" t="s">
        <v>2502</v>
      </c>
      <c r="C1692" t="s">
        <v>2502</v>
      </c>
      <c r="D1692" s="3" t="s">
        <v>7312</v>
      </c>
      <c r="E1692" t="s">
        <v>2503</v>
      </c>
      <c r="F1692" s="3" t="s">
        <v>2504</v>
      </c>
      <c r="G1692" t="s">
        <v>19</v>
      </c>
      <c r="H1692" s="3" t="s">
        <v>2505</v>
      </c>
      <c r="I1692" t="s">
        <v>1813</v>
      </c>
      <c r="J1692" s="3" t="s">
        <v>2506</v>
      </c>
      <c r="K1692" s="4">
        <v>175</v>
      </c>
      <c r="L1692" s="5">
        <v>38.090000000000003</v>
      </c>
      <c r="M1692" s="6">
        <v>1</v>
      </c>
      <c r="N1692" s="7">
        <v>1</v>
      </c>
      <c r="O1692" t="s">
        <v>2507</v>
      </c>
      <c r="P1692" s="3" t="s">
        <v>2474</v>
      </c>
      <c r="Q1692" s="8">
        <v>4.3476000000000001E-2</v>
      </c>
    </row>
    <row r="1693" spans="1:17" hidden="1" x14ac:dyDescent="0.55000000000000004">
      <c r="A1693" s="3" t="s">
        <v>2457</v>
      </c>
      <c r="B1693" s="3" t="s">
        <v>2502</v>
      </c>
      <c r="C1693" t="s">
        <v>2502</v>
      </c>
      <c r="D1693" s="3" t="s">
        <v>7312</v>
      </c>
      <c r="E1693" t="s">
        <v>2503</v>
      </c>
      <c r="F1693" s="3" t="s">
        <v>2504</v>
      </c>
      <c r="G1693" t="s">
        <v>24</v>
      </c>
      <c r="H1693" s="3" t="s">
        <v>2508</v>
      </c>
      <c r="I1693" t="s">
        <v>43</v>
      </c>
      <c r="J1693" s="3" t="s">
        <v>2509</v>
      </c>
      <c r="K1693" s="4">
        <v>299</v>
      </c>
      <c r="L1693" s="5">
        <v>13.59</v>
      </c>
      <c r="M1693" s="6">
        <v>0</v>
      </c>
      <c r="N1693" s="7">
        <v>1</v>
      </c>
      <c r="O1693" t="s">
        <v>2510</v>
      </c>
      <c r="P1693" s="3" t="s">
        <v>138</v>
      </c>
      <c r="Q1693" s="8">
        <v>0.18227299999999999</v>
      </c>
    </row>
    <row r="1694" spans="1:17" hidden="1" x14ac:dyDescent="0.55000000000000004">
      <c r="A1694" s="3" t="s">
        <v>2457</v>
      </c>
      <c r="B1694" s="3" t="s">
        <v>2502</v>
      </c>
      <c r="C1694" t="s">
        <v>2502</v>
      </c>
      <c r="D1694" s="3" t="s">
        <v>7312</v>
      </c>
      <c r="E1694" t="s">
        <v>2511</v>
      </c>
      <c r="F1694" s="3" t="s">
        <v>2512</v>
      </c>
      <c r="G1694" t="s">
        <v>19</v>
      </c>
      <c r="H1694" s="3" t="s">
        <v>2505</v>
      </c>
      <c r="I1694" t="s">
        <v>1813</v>
      </c>
      <c r="J1694" s="3" t="s">
        <v>2506</v>
      </c>
      <c r="K1694" s="4">
        <v>175</v>
      </c>
      <c r="L1694" s="5">
        <v>38.090000000000003</v>
      </c>
      <c r="M1694" s="6">
        <v>1</v>
      </c>
      <c r="N1694" s="7">
        <v>0</v>
      </c>
      <c r="O1694" t="s">
        <v>2507</v>
      </c>
      <c r="P1694" s="3" t="s">
        <v>2474</v>
      </c>
      <c r="Q1694" s="8">
        <v>4.3476000000000001E-2</v>
      </c>
    </row>
    <row r="1695" spans="1:17" hidden="1" x14ac:dyDescent="0.55000000000000004">
      <c r="A1695" s="3" t="s">
        <v>2457</v>
      </c>
      <c r="B1695" s="3" t="s">
        <v>2502</v>
      </c>
      <c r="C1695" t="s">
        <v>2502</v>
      </c>
      <c r="D1695" s="3" t="s">
        <v>7312</v>
      </c>
      <c r="E1695" t="s">
        <v>2511</v>
      </c>
      <c r="F1695" s="3" t="s">
        <v>2512</v>
      </c>
      <c r="G1695" t="s">
        <v>24</v>
      </c>
      <c r="H1695" s="3" t="s">
        <v>2508</v>
      </c>
      <c r="I1695" t="s">
        <v>43</v>
      </c>
      <c r="J1695" s="3" t="s">
        <v>2509</v>
      </c>
      <c r="K1695" s="4">
        <v>299</v>
      </c>
      <c r="L1695" s="5">
        <v>13.59</v>
      </c>
      <c r="M1695" s="6">
        <v>0</v>
      </c>
      <c r="N1695" s="7">
        <v>0</v>
      </c>
      <c r="O1695" t="s">
        <v>2510</v>
      </c>
      <c r="P1695" s="3" t="s">
        <v>138</v>
      </c>
      <c r="Q1695" s="8">
        <v>0.18227299999999999</v>
      </c>
    </row>
    <row r="1696" spans="1:17" hidden="1" x14ac:dyDescent="0.55000000000000004">
      <c r="A1696" s="3" t="s">
        <v>2457</v>
      </c>
      <c r="B1696" s="3" t="s">
        <v>2513</v>
      </c>
      <c r="C1696" t="s">
        <v>2513</v>
      </c>
      <c r="D1696" s="3" t="s">
        <v>7312</v>
      </c>
      <c r="E1696" t="s">
        <v>2514</v>
      </c>
      <c r="F1696" s="3" t="s">
        <v>2515</v>
      </c>
      <c r="G1696" t="s">
        <v>19</v>
      </c>
      <c r="H1696" s="3" t="s">
        <v>2516</v>
      </c>
      <c r="I1696" t="s">
        <v>1813</v>
      </c>
      <c r="J1696" s="3" t="s">
        <v>2517</v>
      </c>
      <c r="K1696" s="4">
        <v>222</v>
      </c>
      <c r="L1696" s="5">
        <v>48.28</v>
      </c>
      <c r="M1696" s="6">
        <v>1</v>
      </c>
      <c r="N1696" s="7">
        <v>1</v>
      </c>
      <c r="O1696" t="s">
        <v>2518</v>
      </c>
      <c r="P1696" s="3" t="s">
        <v>2476</v>
      </c>
      <c r="Q1696" s="8">
        <v>3.6464000000000003E-2</v>
      </c>
    </row>
    <row r="1697" spans="1:17" hidden="1" x14ac:dyDescent="0.55000000000000004">
      <c r="A1697" s="3" t="s">
        <v>2457</v>
      </c>
      <c r="B1697" s="3" t="s">
        <v>2513</v>
      </c>
      <c r="C1697" t="s">
        <v>2513</v>
      </c>
      <c r="D1697" s="3" t="s">
        <v>7312</v>
      </c>
      <c r="E1697" t="s">
        <v>2514</v>
      </c>
      <c r="F1697" s="3" t="s">
        <v>2515</v>
      </c>
      <c r="G1697" t="s">
        <v>19</v>
      </c>
      <c r="H1697" s="3" t="s">
        <v>2516</v>
      </c>
      <c r="I1697" t="s">
        <v>1813</v>
      </c>
      <c r="J1697" s="3" t="s">
        <v>2517</v>
      </c>
      <c r="K1697" s="4">
        <v>222</v>
      </c>
      <c r="L1697" s="5">
        <v>48.28</v>
      </c>
      <c r="M1697" s="6">
        <v>1</v>
      </c>
      <c r="N1697" s="7">
        <v>1</v>
      </c>
      <c r="O1697" t="s">
        <v>2519</v>
      </c>
      <c r="P1697" s="3" t="s">
        <v>2476</v>
      </c>
      <c r="Q1697" s="8">
        <v>6.8329999999999997E-3</v>
      </c>
    </row>
    <row r="1698" spans="1:17" hidden="1" x14ac:dyDescent="0.55000000000000004">
      <c r="A1698" s="3" t="s">
        <v>2457</v>
      </c>
      <c r="B1698" s="3" t="s">
        <v>2513</v>
      </c>
      <c r="C1698" t="s">
        <v>2513</v>
      </c>
      <c r="D1698" s="3" t="s">
        <v>7312</v>
      </c>
      <c r="E1698" t="s">
        <v>2514</v>
      </c>
      <c r="F1698" s="3" t="s">
        <v>2515</v>
      </c>
      <c r="G1698" t="s">
        <v>24</v>
      </c>
      <c r="H1698" s="3" t="s">
        <v>2520</v>
      </c>
      <c r="I1698" t="s">
        <v>37</v>
      </c>
      <c r="J1698" s="3" t="s">
        <v>2521</v>
      </c>
      <c r="K1698" s="4">
        <v>251</v>
      </c>
      <c r="L1698" s="5">
        <v>11.39</v>
      </c>
      <c r="M1698" s="6">
        <v>1</v>
      </c>
      <c r="N1698" s="7">
        <v>1</v>
      </c>
      <c r="O1698" t="s">
        <v>2522</v>
      </c>
      <c r="P1698" s="3" t="s">
        <v>40</v>
      </c>
      <c r="Q1698" s="8">
        <v>0.18054400000000001</v>
      </c>
    </row>
    <row r="1699" spans="1:17" hidden="1" x14ac:dyDescent="0.55000000000000004">
      <c r="A1699" s="3" t="s">
        <v>2457</v>
      </c>
      <c r="B1699" s="3" t="s">
        <v>2513</v>
      </c>
      <c r="C1699" t="s">
        <v>2513</v>
      </c>
      <c r="D1699" s="3" t="s">
        <v>7312</v>
      </c>
      <c r="E1699" t="s">
        <v>2514</v>
      </c>
      <c r="F1699" s="3" t="s">
        <v>2515</v>
      </c>
      <c r="G1699" t="s">
        <v>24</v>
      </c>
      <c r="H1699" s="3" t="s">
        <v>2523</v>
      </c>
      <c r="I1699" t="s">
        <v>48</v>
      </c>
      <c r="J1699" s="3" t="s">
        <v>2524</v>
      </c>
      <c r="K1699" s="4">
        <v>250</v>
      </c>
      <c r="L1699" s="5">
        <v>11.34</v>
      </c>
      <c r="M1699" s="6">
        <v>0</v>
      </c>
      <c r="N1699" s="7">
        <v>1</v>
      </c>
      <c r="O1699" t="s">
        <v>2525</v>
      </c>
      <c r="P1699" s="3" t="s">
        <v>23</v>
      </c>
      <c r="Q1699" s="8" t="s">
        <v>23</v>
      </c>
    </row>
    <row r="1700" spans="1:17" hidden="1" x14ac:dyDescent="0.55000000000000004">
      <c r="A1700" s="3" t="s">
        <v>2457</v>
      </c>
      <c r="B1700" s="3" t="s">
        <v>2526</v>
      </c>
      <c r="C1700" t="s">
        <v>2526</v>
      </c>
      <c r="D1700" s="3" t="s">
        <v>7312</v>
      </c>
      <c r="E1700" t="s">
        <v>2527</v>
      </c>
      <c r="F1700" s="3" t="s">
        <v>2528</v>
      </c>
      <c r="G1700" t="s">
        <v>19</v>
      </c>
      <c r="H1700" s="3" t="s">
        <v>2529</v>
      </c>
      <c r="I1700" t="s">
        <v>1813</v>
      </c>
      <c r="J1700" s="3" t="s">
        <v>2530</v>
      </c>
      <c r="K1700" s="4">
        <v>146</v>
      </c>
      <c r="L1700" s="5">
        <v>31.7</v>
      </c>
      <c r="M1700" s="6">
        <v>1</v>
      </c>
      <c r="N1700" s="7">
        <v>1</v>
      </c>
      <c r="O1700" t="s">
        <v>2531</v>
      </c>
      <c r="P1700" s="3" t="s">
        <v>2476</v>
      </c>
      <c r="Q1700" s="8">
        <v>2.2752000000000001E-2</v>
      </c>
    </row>
    <row r="1701" spans="1:17" hidden="1" x14ac:dyDescent="0.55000000000000004">
      <c r="A1701" s="3" t="s">
        <v>2457</v>
      </c>
      <c r="B1701" s="3" t="s">
        <v>2526</v>
      </c>
      <c r="C1701" t="s">
        <v>2526</v>
      </c>
      <c r="D1701" s="3" t="s">
        <v>7312</v>
      </c>
      <c r="E1701" t="s">
        <v>2527</v>
      </c>
      <c r="F1701" s="3" t="s">
        <v>2528</v>
      </c>
      <c r="G1701" t="s">
        <v>24</v>
      </c>
      <c r="H1701" s="3" t="s">
        <v>2532</v>
      </c>
      <c r="I1701" t="s">
        <v>48</v>
      </c>
      <c r="J1701" s="3" t="s">
        <v>2533</v>
      </c>
      <c r="K1701" s="4">
        <v>213</v>
      </c>
      <c r="L1701" s="5">
        <v>9.67</v>
      </c>
      <c r="M1701" s="6">
        <v>0</v>
      </c>
      <c r="N1701" s="7">
        <v>1</v>
      </c>
      <c r="O1701" t="s">
        <v>2534</v>
      </c>
      <c r="P1701" s="3" t="s">
        <v>23</v>
      </c>
      <c r="Q1701" s="8" t="s">
        <v>23</v>
      </c>
    </row>
    <row r="1702" spans="1:17" hidden="1" x14ac:dyDescent="0.55000000000000004">
      <c r="A1702" s="3" t="s">
        <v>2457</v>
      </c>
      <c r="B1702" s="3" t="s">
        <v>2535</v>
      </c>
      <c r="C1702" t="s">
        <v>2535</v>
      </c>
      <c r="D1702" s="3" t="s">
        <v>7312</v>
      </c>
      <c r="E1702" t="s">
        <v>2536</v>
      </c>
      <c r="F1702" s="3" t="s">
        <v>2537</v>
      </c>
      <c r="G1702" t="s">
        <v>24</v>
      </c>
      <c r="H1702" s="3" t="s">
        <v>2538</v>
      </c>
      <c r="I1702" t="s">
        <v>37</v>
      </c>
      <c r="J1702" s="3" t="s">
        <v>2539</v>
      </c>
      <c r="K1702" s="4">
        <v>183</v>
      </c>
      <c r="L1702" s="5">
        <v>8.33</v>
      </c>
      <c r="M1702" s="6">
        <v>1</v>
      </c>
      <c r="N1702" s="7">
        <v>0</v>
      </c>
      <c r="O1702" t="s">
        <v>2540</v>
      </c>
      <c r="P1702" s="3" t="s">
        <v>40</v>
      </c>
      <c r="Q1702" s="8">
        <v>0.179872</v>
      </c>
    </row>
    <row r="1703" spans="1:17" hidden="1" x14ac:dyDescent="0.55000000000000004">
      <c r="A1703" s="3" t="s">
        <v>2457</v>
      </c>
      <c r="B1703" s="3" t="s">
        <v>2541</v>
      </c>
      <c r="C1703" t="s">
        <v>2502</v>
      </c>
      <c r="D1703" s="3" t="s">
        <v>7312</v>
      </c>
      <c r="E1703" t="s">
        <v>2542</v>
      </c>
      <c r="F1703" s="3" t="s">
        <v>2543</v>
      </c>
      <c r="G1703" t="s">
        <v>19</v>
      </c>
      <c r="H1703" s="3" t="s">
        <v>2544</v>
      </c>
      <c r="I1703" t="s">
        <v>1800</v>
      </c>
      <c r="J1703" s="3" t="s">
        <v>2545</v>
      </c>
      <c r="K1703" s="4">
        <v>179</v>
      </c>
      <c r="L1703" s="5">
        <v>38.89</v>
      </c>
      <c r="M1703" s="6">
        <v>1</v>
      </c>
      <c r="N1703" s="7">
        <v>1</v>
      </c>
      <c r="O1703" t="s">
        <v>2546</v>
      </c>
      <c r="P1703" s="3" t="s">
        <v>1803</v>
      </c>
      <c r="Q1703" s="8">
        <v>4.3916999999999998E-2</v>
      </c>
    </row>
    <row r="1704" spans="1:17" hidden="1" x14ac:dyDescent="0.55000000000000004">
      <c r="A1704" s="3" t="s">
        <v>2457</v>
      </c>
      <c r="B1704" s="3" t="s">
        <v>2541</v>
      </c>
      <c r="C1704" t="s">
        <v>2502</v>
      </c>
      <c r="D1704" s="3" t="s">
        <v>7312</v>
      </c>
      <c r="E1704" t="s">
        <v>2542</v>
      </c>
      <c r="F1704" s="3" t="s">
        <v>2543</v>
      </c>
      <c r="G1704" t="s">
        <v>24</v>
      </c>
      <c r="H1704" s="3" t="s">
        <v>2508</v>
      </c>
      <c r="I1704" t="s">
        <v>43</v>
      </c>
      <c r="J1704" s="3" t="s">
        <v>2509</v>
      </c>
      <c r="K1704" s="4">
        <v>299</v>
      </c>
      <c r="L1704" s="5">
        <v>13.59</v>
      </c>
      <c r="M1704" s="6">
        <v>1</v>
      </c>
      <c r="N1704" s="7">
        <v>1</v>
      </c>
      <c r="O1704" t="s">
        <v>2510</v>
      </c>
      <c r="P1704" s="3" t="s">
        <v>138</v>
      </c>
      <c r="Q1704" s="8">
        <v>0.18227299999999999</v>
      </c>
    </row>
    <row r="1705" spans="1:17" hidden="1" x14ac:dyDescent="0.55000000000000004">
      <c r="A1705" s="3" t="s">
        <v>2457</v>
      </c>
      <c r="B1705" s="3" t="s">
        <v>1796</v>
      </c>
      <c r="C1705" t="s">
        <v>1796</v>
      </c>
      <c r="D1705" s="3" t="s">
        <v>7312</v>
      </c>
      <c r="E1705" t="s">
        <v>2547</v>
      </c>
      <c r="F1705" s="3" t="s">
        <v>2548</v>
      </c>
      <c r="G1705" t="s">
        <v>19</v>
      </c>
      <c r="H1705" s="3" t="s">
        <v>2549</v>
      </c>
      <c r="I1705" t="s">
        <v>1813</v>
      </c>
      <c r="J1705" s="3" t="s">
        <v>2550</v>
      </c>
      <c r="K1705" s="4">
        <v>67</v>
      </c>
      <c r="L1705" s="5">
        <v>14.59</v>
      </c>
      <c r="M1705" s="6">
        <v>1</v>
      </c>
      <c r="N1705" s="7">
        <v>0</v>
      </c>
      <c r="O1705" t="s">
        <v>2473</v>
      </c>
      <c r="P1705" s="3" t="s">
        <v>2474</v>
      </c>
      <c r="Q1705" s="8">
        <v>2.2190000000000001E-2</v>
      </c>
    </row>
    <row r="1706" spans="1:17" hidden="1" x14ac:dyDescent="0.55000000000000004">
      <c r="A1706" s="3" t="s">
        <v>2457</v>
      </c>
      <c r="B1706" s="3" t="s">
        <v>1796</v>
      </c>
      <c r="C1706" t="s">
        <v>1796</v>
      </c>
      <c r="D1706" s="3" t="s">
        <v>7312</v>
      </c>
      <c r="E1706" t="s">
        <v>2547</v>
      </c>
      <c r="F1706" s="3" t="s">
        <v>2548</v>
      </c>
      <c r="G1706" t="s">
        <v>24</v>
      </c>
      <c r="H1706" s="3" t="s">
        <v>1804</v>
      </c>
      <c r="I1706" t="s">
        <v>48</v>
      </c>
      <c r="J1706" s="3" t="s">
        <v>1805</v>
      </c>
      <c r="K1706" s="4">
        <v>128</v>
      </c>
      <c r="L1706" s="5">
        <v>5.82</v>
      </c>
      <c r="M1706" s="6">
        <v>0</v>
      </c>
      <c r="N1706" s="7">
        <v>0</v>
      </c>
      <c r="O1706" t="s">
        <v>1806</v>
      </c>
      <c r="P1706" s="3" t="s">
        <v>23</v>
      </c>
      <c r="Q1706" s="8" t="s">
        <v>23</v>
      </c>
    </row>
    <row r="1707" spans="1:17" hidden="1" x14ac:dyDescent="0.55000000000000004">
      <c r="A1707" s="3" t="s">
        <v>2457</v>
      </c>
      <c r="B1707" s="3" t="s">
        <v>1796</v>
      </c>
      <c r="C1707" t="s">
        <v>1796</v>
      </c>
      <c r="D1707" s="3" t="s">
        <v>7312</v>
      </c>
      <c r="E1707" t="s">
        <v>2551</v>
      </c>
      <c r="F1707" s="3" t="s">
        <v>2552</v>
      </c>
      <c r="G1707" t="s">
        <v>19</v>
      </c>
      <c r="H1707" s="3" t="s">
        <v>2549</v>
      </c>
      <c r="I1707" t="s">
        <v>1813</v>
      </c>
      <c r="J1707" s="3" t="s">
        <v>2550</v>
      </c>
      <c r="K1707" s="4">
        <v>67</v>
      </c>
      <c r="L1707" s="5">
        <v>14.59</v>
      </c>
      <c r="M1707" s="6">
        <v>1</v>
      </c>
      <c r="N1707" s="7">
        <v>0</v>
      </c>
      <c r="O1707" t="s">
        <v>2473</v>
      </c>
      <c r="P1707" s="3" t="s">
        <v>2474</v>
      </c>
      <c r="Q1707" s="8">
        <v>2.2190000000000001E-2</v>
      </c>
    </row>
    <row r="1708" spans="1:17" hidden="1" x14ac:dyDescent="0.55000000000000004">
      <c r="A1708" s="3" t="s">
        <v>2457</v>
      </c>
      <c r="B1708" s="3" t="s">
        <v>1796</v>
      </c>
      <c r="C1708" t="s">
        <v>1796</v>
      </c>
      <c r="D1708" s="3" t="s">
        <v>7312</v>
      </c>
      <c r="E1708" t="s">
        <v>2551</v>
      </c>
      <c r="F1708" s="3" t="s">
        <v>2552</v>
      </c>
      <c r="G1708" t="s">
        <v>24</v>
      </c>
      <c r="H1708" s="3" t="s">
        <v>1804</v>
      </c>
      <c r="I1708" t="s">
        <v>48</v>
      </c>
      <c r="J1708" s="3" t="s">
        <v>1805</v>
      </c>
      <c r="K1708" s="4">
        <v>128</v>
      </c>
      <c r="L1708" s="5">
        <v>5.82</v>
      </c>
      <c r="M1708" s="6">
        <v>0</v>
      </c>
      <c r="N1708" s="7">
        <v>0</v>
      </c>
      <c r="O1708" t="s">
        <v>1806</v>
      </c>
      <c r="P1708" s="3" t="s">
        <v>23</v>
      </c>
      <c r="Q1708" s="8" t="s">
        <v>23</v>
      </c>
    </row>
    <row r="1709" spans="1:17" hidden="1" x14ac:dyDescent="0.55000000000000004">
      <c r="A1709" s="3" t="s">
        <v>2457</v>
      </c>
      <c r="B1709" s="3" t="s">
        <v>1796</v>
      </c>
      <c r="C1709" t="s">
        <v>1796</v>
      </c>
      <c r="D1709" s="3" t="s">
        <v>7312</v>
      </c>
      <c r="E1709" t="s">
        <v>2553</v>
      </c>
      <c r="F1709" s="3" t="s">
        <v>2554</v>
      </c>
      <c r="G1709" t="s">
        <v>19</v>
      </c>
      <c r="H1709" s="3" t="s">
        <v>2549</v>
      </c>
      <c r="I1709" t="s">
        <v>1813</v>
      </c>
      <c r="J1709" s="3" t="s">
        <v>2550</v>
      </c>
      <c r="K1709" s="4">
        <v>67</v>
      </c>
      <c r="L1709" s="5">
        <v>14.59</v>
      </c>
      <c r="M1709" s="6">
        <v>1</v>
      </c>
      <c r="N1709" s="7">
        <v>0</v>
      </c>
      <c r="O1709" t="s">
        <v>2473</v>
      </c>
      <c r="P1709" s="3" t="s">
        <v>2474</v>
      </c>
      <c r="Q1709" s="8">
        <v>2.2190000000000001E-2</v>
      </c>
    </row>
    <row r="1710" spans="1:17" hidden="1" x14ac:dyDescent="0.55000000000000004">
      <c r="A1710" s="3" t="s">
        <v>2457</v>
      </c>
      <c r="B1710" s="3" t="s">
        <v>1796</v>
      </c>
      <c r="C1710" t="s">
        <v>1796</v>
      </c>
      <c r="D1710" s="3" t="s">
        <v>7312</v>
      </c>
      <c r="E1710" t="s">
        <v>2553</v>
      </c>
      <c r="F1710" s="3" t="s">
        <v>2554</v>
      </c>
      <c r="G1710" t="s">
        <v>24</v>
      </c>
      <c r="H1710" s="3" t="s">
        <v>1804</v>
      </c>
      <c r="I1710" t="s">
        <v>48</v>
      </c>
      <c r="J1710" s="3" t="s">
        <v>1805</v>
      </c>
      <c r="K1710" s="4">
        <v>128</v>
      </c>
      <c r="L1710" s="5">
        <v>5.82</v>
      </c>
      <c r="M1710" s="6">
        <v>0</v>
      </c>
      <c r="N1710" s="7">
        <v>0</v>
      </c>
      <c r="O1710" t="s">
        <v>1806</v>
      </c>
      <c r="P1710" s="3" t="s">
        <v>23</v>
      </c>
      <c r="Q1710" s="8" t="s">
        <v>23</v>
      </c>
    </row>
    <row r="1711" spans="1:17" hidden="1" x14ac:dyDescent="0.55000000000000004">
      <c r="A1711" s="3" t="s">
        <v>2457</v>
      </c>
      <c r="B1711" s="3" t="s">
        <v>1796</v>
      </c>
      <c r="C1711" t="s">
        <v>1796</v>
      </c>
      <c r="D1711" s="3" t="s">
        <v>7312</v>
      </c>
      <c r="E1711" t="s">
        <v>2555</v>
      </c>
      <c r="F1711" s="3" t="s">
        <v>2556</v>
      </c>
      <c r="G1711" t="s">
        <v>19</v>
      </c>
      <c r="H1711" s="3" t="s">
        <v>2549</v>
      </c>
      <c r="I1711" t="s">
        <v>1813</v>
      </c>
      <c r="J1711" s="3" t="s">
        <v>2550</v>
      </c>
      <c r="K1711" s="4">
        <v>67</v>
      </c>
      <c r="L1711" s="5">
        <v>14.59</v>
      </c>
      <c r="M1711" s="6">
        <v>1</v>
      </c>
      <c r="N1711" s="7">
        <v>0</v>
      </c>
      <c r="O1711" t="s">
        <v>2473</v>
      </c>
      <c r="P1711" s="3" t="s">
        <v>2474</v>
      </c>
      <c r="Q1711" s="8">
        <v>2.2190000000000001E-2</v>
      </c>
    </row>
    <row r="1712" spans="1:17" hidden="1" x14ac:dyDescent="0.55000000000000004">
      <c r="A1712" s="3" t="s">
        <v>2457</v>
      </c>
      <c r="B1712" s="3" t="s">
        <v>1796</v>
      </c>
      <c r="C1712" t="s">
        <v>1796</v>
      </c>
      <c r="D1712" s="3" t="s">
        <v>7312</v>
      </c>
      <c r="E1712" t="s">
        <v>2555</v>
      </c>
      <c r="F1712" s="3" t="s">
        <v>2556</v>
      </c>
      <c r="G1712" t="s">
        <v>24</v>
      </c>
      <c r="H1712" s="3" t="s">
        <v>1804</v>
      </c>
      <c r="I1712" t="s">
        <v>48</v>
      </c>
      <c r="J1712" s="3" t="s">
        <v>1805</v>
      </c>
      <c r="K1712" s="4">
        <v>128</v>
      </c>
      <c r="L1712" s="5">
        <v>5.82</v>
      </c>
      <c r="M1712" s="6">
        <v>0</v>
      </c>
      <c r="N1712" s="7">
        <v>0</v>
      </c>
      <c r="O1712" t="s">
        <v>1806</v>
      </c>
      <c r="P1712" s="3" t="s">
        <v>23</v>
      </c>
      <c r="Q1712" s="8" t="s">
        <v>23</v>
      </c>
    </row>
    <row r="1713" spans="1:17" hidden="1" x14ac:dyDescent="0.55000000000000004">
      <c r="A1713" s="3" t="s">
        <v>2457</v>
      </c>
      <c r="B1713" s="3" t="s">
        <v>1796</v>
      </c>
      <c r="C1713" t="s">
        <v>1796</v>
      </c>
      <c r="D1713" s="3" t="s">
        <v>7312</v>
      </c>
      <c r="E1713" t="s">
        <v>2557</v>
      </c>
      <c r="F1713" s="3" t="s">
        <v>2558</v>
      </c>
      <c r="G1713" t="s">
        <v>19</v>
      </c>
      <c r="H1713" s="3" t="s">
        <v>2549</v>
      </c>
      <c r="I1713" t="s">
        <v>1813</v>
      </c>
      <c r="J1713" s="3" t="s">
        <v>2550</v>
      </c>
      <c r="K1713" s="4">
        <v>67</v>
      </c>
      <c r="L1713" s="5">
        <v>14.59</v>
      </c>
      <c r="M1713" s="6">
        <v>1</v>
      </c>
      <c r="N1713" s="7">
        <v>1</v>
      </c>
      <c r="O1713" t="s">
        <v>2473</v>
      </c>
      <c r="P1713" s="3" t="s">
        <v>2474</v>
      </c>
      <c r="Q1713" s="8">
        <v>2.2190000000000001E-2</v>
      </c>
    </row>
    <row r="1714" spans="1:17" hidden="1" x14ac:dyDescent="0.55000000000000004">
      <c r="A1714" s="3" t="s">
        <v>2457</v>
      </c>
      <c r="B1714" s="3" t="s">
        <v>1796</v>
      </c>
      <c r="C1714" t="s">
        <v>1796</v>
      </c>
      <c r="D1714" s="3" t="s">
        <v>7312</v>
      </c>
      <c r="E1714" t="s">
        <v>2557</v>
      </c>
      <c r="F1714" s="3" t="s">
        <v>2558</v>
      </c>
      <c r="G1714" t="s">
        <v>24</v>
      </c>
      <c r="H1714" s="3" t="s">
        <v>1804</v>
      </c>
      <c r="I1714" t="s">
        <v>48</v>
      </c>
      <c r="J1714" s="3" t="s">
        <v>1805</v>
      </c>
      <c r="K1714" s="4">
        <v>128</v>
      </c>
      <c r="L1714" s="5">
        <v>5.82</v>
      </c>
      <c r="M1714" s="6">
        <v>0</v>
      </c>
      <c r="N1714" s="7">
        <v>1</v>
      </c>
      <c r="O1714" t="s">
        <v>1806</v>
      </c>
      <c r="P1714" s="3" t="s">
        <v>23</v>
      </c>
      <c r="Q1714" s="8" t="s">
        <v>23</v>
      </c>
    </row>
    <row r="1715" spans="1:17" hidden="1" x14ac:dyDescent="0.55000000000000004">
      <c r="A1715" s="3" t="s">
        <v>2457</v>
      </c>
      <c r="B1715" s="3" t="s">
        <v>2559</v>
      </c>
      <c r="C1715" t="s">
        <v>2575</v>
      </c>
      <c r="D1715" s="3" t="s">
        <v>7312</v>
      </c>
      <c r="E1715" t="s">
        <v>2560</v>
      </c>
      <c r="F1715" s="3" t="s">
        <v>2561</v>
      </c>
      <c r="G1715" t="s">
        <v>24</v>
      </c>
      <c r="H1715" s="3" t="s">
        <v>2562</v>
      </c>
      <c r="I1715" t="s">
        <v>37</v>
      </c>
      <c r="J1715" s="3" t="s">
        <v>2563</v>
      </c>
      <c r="K1715" s="4">
        <v>315</v>
      </c>
      <c r="L1715" s="5">
        <v>14.32</v>
      </c>
      <c r="M1715" s="6">
        <v>1</v>
      </c>
      <c r="N1715" s="7">
        <v>1</v>
      </c>
      <c r="O1715" t="s">
        <v>2564</v>
      </c>
      <c r="P1715" s="3" t="s">
        <v>40</v>
      </c>
      <c r="Q1715" s="8">
        <v>0.18118699999999999</v>
      </c>
    </row>
    <row r="1716" spans="1:17" hidden="1" x14ac:dyDescent="0.55000000000000004">
      <c r="A1716" s="3" t="s">
        <v>2457</v>
      </c>
      <c r="B1716" s="3" t="s">
        <v>2565</v>
      </c>
      <c r="C1716" t="s">
        <v>2482</v>
      </c>
      <c r="D1716" s="3" t="s">
        <v>7312</v>
      </c>
      <c r="E1716" t="s">
        <v>2566</v>
      </c>
      <c r="F1716" s="3" t="s">
        <v>2567</v>
      </c>
      <c r="G1716" t="s">
        <v>19</v>
      </c>
      <c r="H1716" s="3" t="s">
        <v>2568</v>
      </c>
      <c r="I1716" t="s">
        <v>1813</v>
      </c>
      <c r="J1716" s="3" t="s">
        <v>2569</v>
      </c>
      <c r="K1716" s="4">
        <v>363</v>
      </c>
      <c r="L1716" s="5">
        <v>78.849999999999994</v>
      </c>
      <c r="M1716" s="6">
        <v>1</v>
      </c>
      <c r="N1716" s="7">
        <v>1</v>
      </c>
      <c r="O1716" t="s">
        <v>2570</v>
      </c>
      <c r="P1716" s="3" t="s">
        <v>1770</v>
      </c>
      <c r="Q1716" s="8">
        <v>9.3324000000000004E-2</v>
      </c>
    </row>
    <row r="1717" spans="1:17" hidden="1" x14ac:dyDescent="0.55000000000000004">
      <c r="A1717" s="3" t="s">
        <v>2457</v>
      </c>
      <c r="B1717" s="3" t="s">
        <v>2565</v>
      </c>
      <c r="C1717" t="s">
        <v>2482</v>
      </c>
      <c r="D1717" s="3" t="s">
        <v>7312</v>
      </c>
      <c r="E1717" t="s">
        <v>2566</v>
      </c>
      <c r="F1717" s="3" t="s">
        <v>2567</v>
      </c>
      <c r="G1717" t="s">
        <v>24</v>
      </c>
      <c r="H1717" s="3" t="s">
        <v>2571</v>
      </c>
      <c r="I1717" t="s">
        <v>37</v>
      </c>
      <c r="J1717" s="3" t="s">
        <v>2572</v>
      </c>
      <c r="K1717" s="4">
        <v>283</v>
      </c>
      <c r="L1717" s="5">
        <v>12.87</v>
      </c>
      <c r="M1717" s="6">
        <v>1</v>
      </c>
      <c r="N1717" s="7">
        <v>1</v>
      </c>
      <c r="O1717" t="s">
        <v>2573</v>
      </c>
      <c r="P1717" s="3" t="s">
        <v>40</v>
      </c>
      <c r="Q1717" s="8">
        <v>0.18087</v>
      </c>
    </row>
    <row r="1718" spans="1:17" hidden="1" x14ac:dyDescent="0.55000000000000004">
      <c r="A1718" s="3" t="s">
        <v>2457</v>
      </c>
      <c r="B1718" s="3" t="s">
        <v>2574</v>
      </c>
      <c r="C1718" t="s">
        <v>2575</v>
      </c>
      <c r="D1718" s="3" t="s">
        <v>7312</v>
      </c>
      <c r="E1718" t="s">
        <v>2576</v>
      </c>
      <c r="F1718" s="3" t="s">
        <v>2577</v>
      </c>
      <c r="G1718" t="s">
        <v>19</v>
      </c>
      <c r="H1718" s="3" t="s">
        <v>2578</v>
      </c>
      <c r="I1718" t="s">
        <v>1800</v>
      </c>
      <c r="J1718" s="3" t="s">
        <v>2579</v>
      </c>
      <c r="K1718" s="4">
        <v>241</v>
      </c>
      <c r="L1718" s="5">
        <v>52.3</v>
      </c>
      <c r="M1718" s="6">
        <v>1</v>
      </c>
      <c r="N1718" s="7">
        <v>1</v>
      </c>
      <c r="O1718" t="s">
        <v>2580</v>
      </c>
      <c r="P1718" s="3" t="s">
        <v>1803</v>
      </c>
      <c r="Q1718" s="8">
        <v>4.7924000000000001E-2</v>
      </c>
    </row>
    <row r="1719" spans="1:17" hidden="1" x14ac:dyDescent="0.55000000000000004">
      <c r="A1719" s="3" t="s">
        <v>2457</v>
      </c>
      <c r="B1719" s="3" t="s">
        <v>2574</v>
      </c>
      <c r="C1719" t="s">
        <v>2575</v>
      </c>
      <c r="D1719" s="3" t="s">
        <v>7312</v>
      </c>
      <c r="E1719" t="s">
        <v>2576</v>
      </c>
      <c r="F1719" s="3" t="s">
        <v>2577</v>
      </c>
      <c r="G1719" t="s">
        <v>24</v>
      </c>
      <c r="H1719" s="3" t="s">
        <v>2581</v>
      </c>
      <c r="I1719" t="s">
        <v>43</v>
      </c>
      <c r="J1719" s="3" t="s">
        <v>2582</v>
      </c>
      <c r="K1719" s="4">
        <v>496</v>
      </c>
      <c r="L1719" s="5">
        <v>22.56</v>
      </c>
      <c r="M1719" s="6">
        <v>1</v>
      </c>
      <c r="N1719" s="7">
        <v>1</v>
      </c>
      <c r="O1719" t="s">
        <v>2583</v>
      </c>
      <c r="P1719" s="3" t="s">
        <v>46</v>
      </c>
      <c r="Q1719" s="8">
        <v>0.12640000000000001</v>
      </c>
    </row>
    <row r="1720" spans="1:17" hidden="1" x14ac:dyDescent="0.55000000000000004">
      <c r="A1720" s="3" t="s">
        <v>2457</v>
      </c>
      <c r="B1720" s="3" t="s">
        <v>2574</v>
      </c>
      <c r="C1720" t="s">
        <v>2575</v>
      </c>
      <c r="D1720" s="3" t="s">
        <v>7312</v>
      </c>
      <c r="E1720" t="s">
        <v>2576</v>
      </c>
      <c r="F1720" s="3" t="s">
        <v>2577</v>
      </c>
      <c r="G1720" t="s">
        <v>24</v>
      </c>
      <c r="H1720" s="3" t="s">
        <v>2584</v>
      </c>
      <c r="I1720" t="s">
        <v>48</v>
      </c>
      <c r="J1720" s="3" t="s">
        <v>2582</v>
      </c>
      <c r="K1720" s="4">
        <v>335</v>
      </c>
      <c r="L1720" s="5">
        <v>15.23</v>
      </c>
      <c r="M1720" s="6">
        <v>0</v>
      </c>
      <c r="N1720" s="7">
        <v>1</v>
      </c>
      <c r="O1720" t="s">
        <v>2585</v>
      </c>
      <c r="P1720" s="3" t="s">
        <v>23</v>
      </c>
      <c r="Q1720" s="8" t="s">
        <v>23</v>
      </c>
    </row>
    <row r="1721" spans="1:17" hidden="1" x14ac:dyDescent="0.55000000000000004">
      <c r="A1721" s="3" t="s">
        <v>2457</v>
      </c>
      <c r="B1721" s="3" t="s">
        <v>2575</v>
      </c>
      <c r="C1721" t="s">
        <v>2575</v>
      </c>
      <c r="D1721" s="3" t="s">
        <v>7312</v>
      </c>
      <c r="E1721" t="s">
        <v>2586</v>
      </c>
      <c r="F1721" s="3" t="s">
        <v>2587</v>
      </c>
      <c r="G1721" t="s">
        <v>19</v>
      </c>
      <c r="H1721" s="3" t="s">
        <v>2588</v>
      </c>
      <c r="I1721" t="s">
        <v>1813</v>
      </c>
      <c r="J1721" s="3" t="s">
        <v>2589</v>
      </c>
      <c r="K1721" s="4">
        <v>255</v>
      </c>
      <c r="L1721" s="5">
        <v>55.54</v>
      </c>
      <c r="M1721" s="6">
        <v>1</v>
      </c>
      <c r="N1721" s="7">
        <v>0</v>
      </c>
      <c r="O1721" t="s">
        <v>2590</v>
      </c>
      <c r="P1721" s="3" t="s">
        <v>1770</v>
      </c>
      <c r="Q1721" s="8">
        <v>6.4264000000000002E-2</v>
      </c>
    </row>
    <row r="1722" spans="1:17" hidden="1" x14ac:dyDescent="0.55000000000000004">
      <c r="A1722" s="3" t="s">
        <v>2457</v>
      </c>
      <c r="B1722" s="3" t="s">
        <v>2575</v>
      </c>
      <c r="C1722" t="s">
        <v>2575</v>
      </c>
      <c r="D1722" s="3" t="s">
        <v>7312</v>
      </c>
      <c r="E1722" t="s">
        <v>2586</v>
      </c>
      <c r="F1722" s="3" t="s">
        <v>2587</v>
      </c>
      <c r="G1722" t="s">
        <v>19</v>
      </c>
      <c r="H1722" s="3" t="s">
        <v>2591</v>
      </c>
      <c r="I1722" t="s">
        <v>1800</v>
      </c>
      <c r="J1722" s="3" t="s">
        <v>2592</v>
      </c>
      <c r="K1722" s="4">
        <v>240</v>
      </c>
      <c r="L1722" s="5">
        <v>52.13</v>
      </c>
      <c r="M1722" s="6">
        <v>0</v>
      </c>
      <c r="N1722" s="7">
        <v>0</v>
      </c>
      <c r="O1722" t="s">
        <v>2593</v>
      </c>
      <c r="P1722" s="3" t="s">
        <v>1803</v>
      </c>
      <c r="Q1722" s="8">
        <v>4.7924000000000001E-2</v>
      </c>
    </row>
    <row r="1723" spans="1:17" hidden="1" x14ac:dyDescent="0.55000000000000004">
      <c r="A1723" s="3" t="s">
        <v>2457</v>
      </c>
      <c r="B1723" s="3" t="s">
        <v>2575</v>
      </c>
      <c r="C1723" t="s">
        <v>2575</v>
      </c>
      <c r="D1723" s="3" t="s">
        <v>7312</v>
      </c>
      <c r="E1723" t="s">
        <v>2586</v>
      </c>
      <c r="F1723" s="3" t="s">
        <v>2587</v>
      </c>
      <c r="G1723" t="s">
        <v>24</v>
      </c>
      <c r="H1723" s="3" t="s">
        <v>2581</v>
      </c>
      <c r="I1723" t="s">
        <v>43</v>
      </c>
      <c r="J1723" s="3" t="s">
        <v>2582</v>
      </c>
      <c r="K1723" s="4">
        <v>496</v>
      </c>
      <c r="L1723" s="5">
        <v>22.56</v>
      </c>
      <c r="M1723" s="6">
        <v>1</v>
      </c>
      <c r="N1723" s="7">
        <v>0</v>
      </c>
      <c r="O1723" t="s">
        <v>2583</v>
      </c>
      <c r="P1723" s="3" t="s">
        <v>46</v>
      </c>
      <c r="Q1723" s="8">
        <v>0.12640000000000001</v>
      </c>
    </row>
    <row r="1724" spans="1:17" hidden="1" x14ac:dyDescent="0.55000000000000004">
      <c r="A1724" s="3" t="s">
        <v>2457</v>
      </c>
      <c r="B1724" s="3" t="s">
        <v>2575</v>
      </c>
      <c r="C1724" t="s">
        <v>2575</v>
      </c>
      <c r="D1724" s="3" t="s">
        <v>7312</v>
      </c>
      <c r="E1724" t="s">
        <v>2586</v>
      </c>
      <c r="F1724" s="3" t="s">
        <v>2587</v>
      </c>
      <c r="G1724" t="s">
        <v>24</v>
      </c>
      <c r="H1724" s="3" t="s">
        <v>2584</v>
      </c>
      <c r="I1724" t="s">
        <v>48</v>
      </c>
      <c r="J1724" s="3" t="s">
        <v>2582</v>
      </c>
      <c r="K1724" s="4">
        <v>335</v>
      </c>
      <c r="L1724" s="5">
        <v>15.23</v>
      </c>
      <c r="M1724" s="6">
        <v>0</v>
      </c>
      <c r="N1724" s="7">
        <v>0</v>
      </c>
      <c r="O1724" t="s">
        <v>2585</v>
      </c>
      <c r="P1724" s="3" t="s">
        <v>23</v>
      </c>
      <c r="Q1724" s="8" t="s">
        <v>23</v>
      </c>
    </row>
    <row r="1725" spans="1:17" hidden="1" x14ac:dyDescent="0.55000000000000004">
      <c r="A1725" s="3" t="s">
        <v>2457</v>
      </c>
      <c r="B1725" s="3" t="s">
        <v>2575</v>
      </c>
      <c r="C1725" t="s">
        <v>2575</v>
      </c>
      <c r="D1725" s="3" t="s">
        <v>7312</v>
      </c>
      <c r="E1725" t="s">
        <v>2594</v>
      </c>
      <c r="F1725" s="3" t="s">
        <v>2595</v>
      </c>
      <c r="G1725" t="s">
        <v>19</v>
      </c>
      <c r="H1725" s="3" t="s">
        <v>2588</v>
      </c>
      <c r="I1725" t="s">
        <v>1813</v>
      </c>
      <c r="J1725" s="3" t="s">
        <v>2589</v>
      </c>
      <c r="K1725" s="4">
        <v>255</v>
      </c>
      <c r="L1725" s="5">
        <v>55.54</v>
      </c>
      <c r="M1725" s="6">
        <v>0</v>
      </c>
      <c r="N1725" s="7">
        <v>0</v>
      </c>
      <c r="O1725" t="s">
        <v>2590</v>
      </c>
      <c r="P1725" s="3" t="s">
        <v>1770</v>
      </c>
      <c r="Q1725" s="8">
        <v>6.4264000000000002E-2</v>
      </c>
    </row>
    <row r="1726" spans="1:17" hidden="1" x14ac:dyDescent="0.55000000000000004">
      <c r="A1726" s="3" t="s">
        <v>2457</v>
      </c>
      <c r="B1726" s="3" t="s">
        <v>2575</v>
      </c>
      <c r="C1726" t="s">
        <v>2575</v>
      </c>
      <c r="D1726" s="3" t="s">
        <v>7312</v>
      </c>
      <c r="E1726" t="s">
        <v>2594</v>
      </c>
      <c r="F1726" s="3" t="s">
        <v>2595</v>
      </c>
      <c r="G1726" t="s">
        <v>19</v>
      </c>
      <c r="H1726" s="3" t="s">
        <v>2591</v>
      </c>
      <c r="I1726" t="s">
        <v>1800</v>
      </c>
      <c r="J1726" s="3" t="s">
        <v>2592</v>
      </c>
      <c r="K1726" s="4">
        <v>240</v>
      </c>
      <c r="L1726" s="5">
        <v>52.13</v>
      </c>
      <c r="M1726" s="6">
        <v>1</v>
      </c>
      <c r="N1726" s="7">
        <v>0</v>
      </c>
      <c r="O1726" t="s">
        <v>2593</v>
      </c>
      <c r="P1726" s="3" t="s">
        <v>1803</v>
      </c>
      <c r="Q1726" s="8">
        <v>4.7924000000000001E-2</v>
      </c>
    </row>
    <row r="1727" spans="1:17" hidden="1" x14ac:dyDescent="0.55000000000000004">
      <c r="A1727" s="3" t="s">
        <v>2457</v>
      </c>
      <c r="B1727" s="3" t="s">
        <v>2575</v>
      </c>
      <c r="C1727" t="s">
        <v>2575</v>
      </c>
      <c r="D1727" s="3" t="s">
        <v>7312</v>
      </c>
      <c r="E1727" t="s">
        <v>2594</v>
      </c>
      <c r="F1727" s="3" t="s">
        <v>2595</v>
      </c>
      <c r="G1727" t="s">
        <v>24</v>
      </c>
      <c r="H1727" s="3" t="s">
        <v>2581</v>
      </c>
      <c r="I1727" t="s">
        <v>43</v>
      </c>
      <c r="J1727" s="3" t="s">
        <v>2582</v>
      </c>
      <c r="K1727" s="4">
        <v>496</v>
      </c>
      <c r="L1727" s="5">
        <v>22.56</v>
      </c>
      <c r="M1727" s="6">
        <v>1</v>
      </c>
      <c r="N1727" s="7">
        <v>0</v>
      </c>
      <c r="O1727" t="s">
        <v>2583</v>
      </c>
      <c r="P1727" s="3" t="s">
        <v>46</v>
      </c>
      <c r="Q1727" s="8">
        <v>0.12640000000000001</v>
      </c>
    </row>
    <row r="1728" spans="1:17" hidden="1" x14ac:dyDescent="0.55000000000000004">
      <c r="A1728" s="3" t="s">
        <v>2457</v>
      </c>
      <c r="B1728" s="3" t="s">
        <v>2575</v>
      </c>
      <c r="C1728" t="s">
        <v>2575</v>
      </c>
      <c r="D1728" s="3" t="s">
        <v>7312</v>
      </c>
      <c r="E1728" t="s">
        <v>2594</v>
      </c>
      <c r="F1728" s="3" t="s">
        <v>2595</v>
      </c>
      <c r="G1728" t="s">
        <v>24</v>
      </c>
      <c r="H1728" s="3" t="s">
        <v>2584</v>
      </c>
      <c r="I1728" t="s">
        <v>48</v>
      </c>
      <c r="J1728" s="3" t="s">
        <v>2582</v>
      </c>
      <c r="K1728" s="4">
        <v>335</v>
      </c>
      <c r="L1728" s="5">
        <v>15.23</v>
      </c>
      <c r="M1728" s="6">
        <v>0</v>
      </c>
      <c r="N1728" s="7">
        <v>0</v>
      </c>
      <c r="O1728" t="s">
        <v>2585</v>
      </c>
      <c r="P1728" s="3" t="s">
        <v>23</v>
      </c>
      <c r="Q1728" s="8" t="s">
        <v>23</v>
      </c>
    </row>
    <row r="1729" spans="1:17" hidden="1" x14ac:dyDescent="0.55000000000000004">
      <c r="A1729" s="3" t="s">
        <v>2457</v>
      </c>
      <c r="B1729" s="3" t="s">
        <v>2574</v>
      </c>
      <c r="C1729" t="s">
        <v>2575</v>
      </c>
      <c r="D1729" s="3" t="s">
        <v>7312</v>
      </c>
      <c r="E1729" t="s">
        <v>2596</v>
      </c>
      <c r="F1729" s="3" t="s">
        <v>2597</v>
      </c>
      <c r="G1729" t="s">
        <v>24</v>
      </c>
      <c r="H1729" s="3" t="s">
        <v>2581</v>
      </c>
      <c r="I1729" t="s">
        <v>43</v>
      </c>
      <c r="J1729" s="3" t="s">
        <v>2582</v>
      </c>
      <c r="K1729" s="4">
        <v>496</v>
      </c>
      <c r="L1729" s="5">
        <v>22.56</v>
      </c>
      <c r="M1729" s="6">
        <v>1</v>
      </c>
      <c r="N1729" s="7">
        <v>0</v>
      </c>
      <c r="O1729" t="s">
        <v>2583</v>
      </c>
      <c r="P1729" s="3" t="s">
        <v>46</v>
      </c>
      <c r="Q1729" s="8">
        <v>0.12640000000000001</v>
      </c>
    </row>
    <row r="1730" spans="1:17" hidden="1" x14ac:dyDescent="0.55000000000000004">
      <c r="A1730" s="3" t="s">
        <v>2457</v>
      </c>
      <c r="B1730" s="3" t="s">
        <v>2574</v>
      </c>
      <c r="C1730" t="s">
        <v>2575</v>
      </c>
      <c r="D1730" s="3" t="s">
        <v>7312</v>
      </c>
      <c r="E1730" t="s">
        <v>2596</v>
      </c>
      <c r="F1730" s="3" t="s">
        <v>2597</v>
      </c>
      <c r="G1730" t="s">
        <v>24</v>
      </c>
      <c r="H1730" s="3" t="s">
        <v>2584</v>
      </c>
      <c r="I1730" t="s">
        <v>48</v>
      </c>
      <c r="J1730" s="3" t="s">
        <v>2582</v>
      </c>
      <c r="K1730" s="4">
        <v>335</v>
      </c>
      <c r="L1730" s="5">
        <v>15.23</v>
      </c>
      <c r="M1730" s="6">
        <v>0</v>
      </c>
      <c r="N1730" s="7">
        <v>0</v>
      </c>
      <c r="O1730" t="s">
        <v>2585</v>
      </c>
      <c r="P1730" s="3" t="s">
        <v>23</v>
      </c>
      <c r="Q1730" s="8" t="s">
        <v>23</v>
      </c>
    </row>
    <row r="1731" spans="1:17" hidden="1" x14ac:dyDescent="0.55000000000000004">
      <c r="A1731" s="3" t="s">
        <v>2457</v>
      </c>
      <c r="B1731" s="3" t="s">
        <v>2598</v>
      </c>
      <c r="C1731" t="s">
        <v>7355</v>
      </c>
      <c r="D1731" s="3" t="s">
        <v>7312</v>
      </c>
      <c r="E1731" t="s">
        <v>2599</v>
      </c>
      <c r="F1731" s="3" t="s">
        <v>2600</v>
      </c>
      <c r="G1731" t="s">
        <v>24</v>
      </c>
      <c r="H1731" s="3" t="s">
        <v>2601</v>
      </c>
      <c r="I1731" t="s">
        <v>37</v>
      </c>
      <c r="J1731" s="3" t="s">
        <v>2602</v>
      </c>
      <c r="K1731" s="4">
        <v>439</v>
      </c>
      <c r="L1731" s="5">
        <v>19.940000000000001</v>
      </c>
      <c r="M1731" s="6">
        <v>1</v>
      </c>
      <c r="N1731" s="7">
        <v>0</v>
      </c>
      <c r="O1731" t="s">
        <v>2603</v>
      </c>
      <c r="P1731" s="3" t="s">
        <v>40</v>
      </c>
      <c r="Q1731" s="8">
        <v>0.18242</v>
      </c>
    </row>
    <row r="1732" spans="1:17" hidden="1" x14ac:dyDescent="0.55000000000000004">
      <c r="A1732" s="3" t="s">
        <v>2457</v>
      </c>
      <c r="B1732" s="3" t="s">
        <v>2604</v>
      </c>
      <c r="C1732" t="s">
        <v>2575</v>
      </c>
      <c r="D1732" s="3" t="s">
        <v>7312</v>
      </c>
      <c r="E1732" t="s">
        <v>2605</v>
      </c>
      <c r="F1732" s="3" t="s">
        <v>2606</v>
      </c>
      <c r="G1732" t="s">
        <v>19</v>
      </c>
      <c r="H1732" s="3" t="s">
        <v>2607</v>
      </c>
      <c r="I1732" t="s">
        <v>1813</v>
      </c>
      <c r="J1732" s="3" t="s">
        <v>2608</v>
      </c>
      <c r="K1732" s="4">
        <v>265</v>
      </c>
      <c r="L1732" s="5">
        <v>57.52</v>
      </c>
      <c r="M1732" s="6">
        <v>1</v>
      </c>
      <c r="N1732" s="7">
        <v>1</v>
      </c>
      <c r="O1732" t="s">
        <v>2609</v>
      </c>
      <c r="P1732" s="3" t="s">
        <v>1770</v>
      </c>
      <c r="Q1732" s="8">
        <v>6.4890000000000003E-2</v>
      </c>
    </row>
    <row r="1733" spans="1:17" hidden="1" x14ac:dyDescent="0.55000000000000004">
      <c r="A1733" s="3" t="s">
        <v>2457</v>
      </c>
      <c r="B1733" s="3" t="s">
        <v>2604</v>
      </c>
      <c r="C1733" t="s">
        <v>2575</v>
      </c>
      <c r="D1733" s="3" t="s">
        <v>7312</v>
      </c>
      <c r="E1733" t="s">
        <v>2605</v>
      </c>
      <c r="F1733" s="3" t="s">
        <v>2606</v>
      </c>
      <c r="G1733" t="s">
        <v>19</v>
      </c>
      <c r="H1733" s="3" t="s">
        <v>2610</v>
      </c>
      <c r="I1733" t="s">
        <v>1800</v>
      </c>
      <c r="J1733" s="3" t="s">
        <v>2611</v>
      </c>
      <c r="K1733" s="4">
        <v>231</v>
      </c>
      <c r="L1733" s="5">
        <v>50.15</v>
      </c>
      <c r="M1733" s="6">
        <v>0</v>
      </c>
      <c r="N1733" s="7">
        <v>1</v>
      </c>
      <c r="O1733" t="s">
        <v>2612</v>
      </c>
      <c r="P1733" s="3" t="s">
        <v>1803</v>
      </c>
      <c r="Q1733" s="8">
        <v>4.7912000000000003E-2</v>
      </c>
    </row>
    <row r="1734" spans="1:17" hidden="1" x14ac:dyDescent="0.55000000000000004">
      <c r="A1734" s="3" t="s">
        <v>2457</v>
      </c>
      <c r="B1734" s="3" t="s">
        <v>2604</v>
      </c>
      <c r="C1734" t="s">
        <v>2575</v>
      </c>
      <c r="D1734" s="3" t="s">
        <v>7312</v>
      </c>
      <c r="E1734" t="s">
        <v>2605</v>
      </c>
      <c r="F1734" s="3" t="s">
        <v>2606</v>
      </c>
      <c r="G1734" t="s">
        <v>24</v>
      </c>
      <c r="H1734" s="3" t="s">
        <v>2613</v>
      </c>
      <c r="I1734" t="s">
        <v>43</v>
      </c>
      <c r="J1734" s="3" t="s">
        <v>2614</v>
      </c>
      <c r="K1734" s="4">
        <v>484</v>
      </c>
      <c r="L1734" s="5">
        <v>21.98</v>
      </c>
      <c r="M1734" s="6">
        <v>1</v>
      </c>
      <c r="N1734" s="7">
        <v>1</v>
      </c>
      <c r="O1734" t="s">
        <v>2615</v>
      </c>
      <c r="P1734" s="3" t="s">
        <v>46</v>
      </c>
      <c r="Q1734" s="8">
        <v>0.12640000000000001</v>
      </c>
    </row>
    <row r="1735" spans="1:17" hidden="1" x14ac:dyDescent="0.55000000000000004">
      <c r="A1735" s="3" t="s">
        <v>2457</v>
      </c>
      <c r="B1735" s="3" t="s">
        <v>2604</v>
      </c>
      <c r="C1735" t="s">
        <v>2575</v>
      </c>
      <c r="D1735" s="3" t="s">
        <v>7312</v>
      </c>
      <c r="E1735" t="s">
        <v>2605</v>
      </c>
      <c r="F1735" s="3" t="s">
        <v>2606</v>
      </c>
      <c r="G1735" t="s">
        <v>24</v>
      </c>
      <c r="H1735" s="3" t="s">
        <v>2616</v>
      </c>
      <c r="I1735" t="s">
        <v>48</v>
      </c>
      <c r="J1735" s="3" t="s">
        <v>2614</v>
      </c>
      <c r="K1735" s="4">
        <v>322</v>
      </c>
      <c r="L1735" s="5">
        <v>14.65</v>
      </c>
      <c r="M1735" s="6">
        <v>0</v>
      </c>
      <c r="N1735" s="7">
        <v>1</v>
      </c>
      <c r="O1735" t="s">
        <v>2617</v>
      </c>
      <c r="P1735" s="3" t="s">
        <v>23</v>
      </c>
      <c r="Q1735" s="8" t="s">
        <v>23</v>
      </c>
    </row>
    <row r="1736" spans="1:17" hidden="1" x14ac:dyDescent="0.55000000000000004">
      <c r="A1736" s="3" t="s">
        <v>2457</v>
      </c>
      <c r="B1736" s="3" t="s">
        <v>2604</v>
      </c>
      <c r="C1736" t="s">
        <v>2575</v>
      </c>
      <c r="D1736" s="3" t="s">
        <v>7312</v>
      </c>
      <c r="E1736" t="s">
        <v>2618</v>
      </c>
      <c r="F1736" s="3" t="s">
        <v>2619</v>
      </c>
      <c r="G1736" t="s">
        <v>24</v>
      </c>
      <c r="H1736" s="3" t="s">
        <v>2613</v>
      </c>
      <c r="I1736" t="s">
        <v>43</v>
      </c>
      <c r="J1736" s="3" t="s">
        <v>2614</v>
      </c>
      <c r="K1736" s="4">
        <v>484</v>
      </c>
      <c r="L1736" s="5">
        <v>21.98</v>
      </c>
      <c r="M1736" s="6">
        <v>1</v>
      </c>
      <c r="N1736" s="7">
        <v>0</v>
      </c>
      <c r="O1736" t="s">
        <v>2615</v>
      </c>
      <c r="P1736" s="3" t="s">
        <v>46</v>
      </c>
      <c r="Q1736" s="8">
        <v>0.12640000000000001</v>
      </c>
    </row>
    <row r="1737" spans="1:17" hidden="1" x14ac:dyDescent="0.55000000000000004">
      <c r="A1737" s="3" t="s">
        <v>2457</v>
      </c>
      <c r="B1737" s="3" t="s">
        <v>2604</v>
      </c>
      <c r="C1737" t="s">
        <v>2575</v>
      </c>
      <c r="D1737" s="3" t="s">
        <v>7312</v>
      </c>
      <c r="E1737" t="s">
        <v>2618</v>
      </c>
      <c r="F1737" s="3" t="s">
        <v>2619</v>
      </c>
      <c r="G1737" t="s">
        <v>24</v>
      </c>
      <c r="H1737" s="3" t="s">
        <v>2616</v>
      </c>
      <c r="I1737" t="s">
        <v>48</v>
      </c>
      <c r="J1737" s="3" t="s">
        <v>2614</v>
      </c>
      <c r="K1737" s="4">
        <v>322</v>
      </c>
      <c r="L1737" s="5">
        <v>14.65</v>
      </c>
      <c r="M1737" s="6">
        <v>0</v>
      </c>
      <c r="N1737" s="7">
        <v>0</v>
      </c>
      <c r="O1737" t="s">
        <v>2617</v>
      </c>
      <c r="P1737" s="3" t="s">
        <v>23</v>
      </c>
      <c r="Q1737" s="8" t="s">
        <v>23</v>
      </c>
    </row>
    <row r="1738" spans="1:17" hidden="1" x14ac:dyDescent="0.55000000000000004">
      <c r="A1738" s="3" t="s">
        <v>2457</v>
      </c>
      <c r="B1738" s="3" t="s">
        <v>2575</v>
      </c>
      <c r="C1738" t="s">
        <v>2575</v>
      </c>
      <c r="D1738" s="3" t="s">
        <v>7312</v>
      </c>
      <c r="E1738" t="s">
        <v>2620</v>
      </c>
      <c r="F1738" s="3" t="s">
        <v>2621</v>
      </c>
      <c r="G1738" t="s">
        <v>19</v>
      </c>
      <c r="H1738" s="3" t="s">
        <v>2607</v>
      </c>
      <c r="I1738" t="s">
        <v>1813</v>
      </c>
      <c r="J1738" s="3" t="s">
        <v>2608</v>
      </c>
      <c r="K1738" s="4">
        <v>265</v>
      </c>
      <c r="L1738" s="5">
        <v>57.52</v>
      </c>
      <c r="M1738" s="6">
        <v>0</v>
      </c>
      <c r="N1738" s="7">
        <v>1</v>
      </c>
      <c r="O1738" t="s">
        <v>2609</v>
      </c>
      <c r="P1738" s="3" t="s">
        <v>1770</v>
      </c>
      <c r="Q1738" s="8">
        <v>6.4890000000000003E-2</v>
      </c>
    </row>
    <row r="1739" spans="1:17" hidden="1" x14ac:dyDescent="0.55000000000000004">
      <c r="A1739" s="3" t="s">
        <v>2457</v>
      </c>
      <c r="B1739" s="3" t="s">
        <v>2575</v>
      </c>
      <c r="C1739" t="s">
        <v>2575</v>
      </c>
      <c r="D1739" s="3" t="s">
        <v>7312</v>
      </c>
      <c r="E1739" t="s">
        <v>2620</v>
      </c>
      <c r="F1739" s="3" t="s">
        <v>2621</v>
      </c>
      <c r="G1739" t="s">
        <v>19</v>
      </c>
      <c r="H1739" s="3" t="s">
        <v>2610</v>
      </c>
      <c r="I1739" t="s">
        <v>1800</v>
      </c>
      <c r="J1739" s="3" t="s">
        <v>2611</v>
      </c>
      <c r="K1739" s="4">
        <v>231</v>
      </c>
      <c r="L1739" s="5">
        <v>50.15</v>
      </c>
      <c r="M1739" s="6">
        <v>1</v>
      </c>
      <c r="N1739" s="7">
        <v>1</v>
      </c>
      <c r="O1739" t="s">
        <v>2612</v>
      </c>
      <c r="P1739" s="3" t="s">
        <v>1803</v>
      </c>
      <c r="Q1739" s="8">
        <v>4.7912000000000003E-2</v>
      </c>
    </row>
    <row r="1740" spans="1:17" hidden="1" x14ac:dyDescent="0.55000000000000004">
      <c r="A1740" s="3" t="s">
        <v>2457</v>
      </c>
      <c r="B1740" s="3" t="s">
        <v>2575</v>
      </c>
      <c r="C1740" t="s">
        <v>2575</v>
      </c>
      <c r="D1740" s="3" t="s">
        <v>7312</v>
      </c>
      <c r="E1740" t="s">
        <v>2620</v>
      </c>
      <c r="F1740" s="3" t="s">
        <v>2621</v>
      </c>
      <c r="G1740" t="s">
        <v>24</v>
      </c>
      <c r="H1740" s="3" t="s">
        <v>2622</v>
      </c>
      <c r="I1740" t="s">
        <v>43</v>
      </c>
      <c r="J1740" s="3" t="s">
        <v>2623</v>
      </c>
      <c r="K1740" s="4">
        <v>486</v>
      </c>
      <c r="L1740" s="5">
        <v>22.1</v>
      </c>
      <c r="M1740" s="6">
        <v>1</v>
      </c>
      <c r="N1740" s="7">
        <v>1</v>
      </c>
      <c r="O1740" t="s">
        <v>2624</v>
      </c>
      <c r="P1740" s="3" t="s">
        <v>46</v>
      </c>
      <c r="Q1740" s="8">
        <v>0.12640000000000001</v>
      </c>
    </row>
    <row r="1741" spans="1:17" hidden="1" x14ac:dyDescent="0.55000000000000004">
      <c r="A1741" s="3" t="s">
        <v>2457</v>
      </c>
      <c r="B1741" s="3" t="s">
        <v>2575</v>
      </c>
      <c r="C1741" t="s">
        <v>2575</v>
      </c>
      <c r="D1741" s="3" t="s">
        <v>7312</v>
      </c>
      <c r="E1741" t="s">
        <v>2620</v>
      </c>
      <c r="F1741" s="3" t="s">
        <v>2621</v>
      </c>
      <c r="G1741" t="s">
        <v>24</v>
      </c>
      <c r="H1741" s="3" t="s">
        <v>2625</v>
      </c>
      <c r="I1741" t="s">
        <v>48</v>
      </c>
      <c r="J1741" s="3" t="s">
        <v>2623</v>
      </c>
      <c r="K1741" s="4">
        <v>325</v>
      </c>
      <c r="L1741" s="5">
        <v>14.77</v>
      </c>
      <c r="M1741" s="6">
        <v>0</v>
      </c>
      <c r="N1741" s="7">
        <v>1</v>
      </c>
      <c r="O1741" t="s">
        <v>2626</v>
      </c>
      <c r="P1741" s="3" t="s">
        <v>23</v>
      </c>
      <c r="Q1741" s="8" t="s">
        <v>23</v>
      </c>
    </row>
    <row r="1742" spans="1:17" hidden="1" x14ac:dyDescent="0.55000000000000004">
      <c r="A1742" s="3" t="s">
        <v>2457</v>
      </c>
      <c r="B1742" s="3" t="s">
        <v>2627</v>
      </c>
      <c r="C1742" t="s">
        <v>2575</v>
      </c>
      <c r="D1742" s="3" t="s">
        <v>7312</v>
      </c>
      <c r="E1742" t="s">
        <v>2628</v>
      </c>
      <c r="F1742" s="3" t="s">
        <v>2629</v>
      </c>
      <c r="G1742" t="s">
        <v>19</v>
      </c>
      <c r="H1742" s="3" t="s">
        <v>23</v>
      </c>
      <c r="I1742" t="s">
        <v>67</v>
      </c>
      <c r="J1742" s="3" t="s">
        <v>2630</v>
      </c>
      <c r="K1742" s="4" t="s">
        <v>23</v>
      </c>
      <c r="L1742" s="5" t="s">
        <v>23</v>
      </c>
      <c r="M1742" s="6">
        <v>0</v>
      </c>
      <c r="N1742" s="7">
        <v>1</v>
      </c>
      <c r="O1742" t="s">
        <v>23</v>
      </c>
      <c r="P1742" s="3" t="s">
        <v>23</v>
      </c>
      <c r="Q1742" s="8" t="s">
        <v>23</v>
      </c>
    </row>
    <row r="1743" spans="1:17" hidden="1" x14ac:dyDescent="0.55000000000000004">
      <c r="A1743" s="3" t="s">
        <v>2457</v>
      </c>
      <c r="B1743" s="3" t="s">
        <v>2627</v>
      </c>
      <c r="C1743" t="s">
        <v>2575</v>
      </c>
      <c r="D1743" s="3" t="s">
        <v>7312</v>
      </c>
      <c r="E1743" t="s">
        <v>2628</v>
      </c>
      <c r="F1743" s="3" t="s">
        <v>2629</v>
      </c>
      <c r="G1743" t="s">
        <v>19</v>
      </c>
      <c r="H1743" s="3" t="s">
        <v>2631</v>
      </c>
      <c r="I1743" t="s">
        <v>1813</v>
      </c>
      <c r="J1743" s="3" t="s">
        <v>2632</v>
      </c>
      <c r="K1743" s="4">
        <v>244</v>
      </c>
      <c r="L1743" s="5">
        <v>53.07</v>
      </c>
      <c r="M1743" s="6">
        <v>1</v>
      </c>
      <c r="N1743" s="7">
        <v>1</v>
      </c>
      <c r="O1743" t="s">
        <v>2633</v>
      </c>
      <c r="P1743" s="3" t="s">
        <v>2474</v>
      </c>
      <c r="Q1743" s="8">
        <v>6.0706999999999997E-2</v>
      </c>
    </row>
    <row r="1744" spans="1:17" hidden="1" x14ac:dyDescent="0.55000000000000004">
      <c r="A1744" s="3" t="s">
        <v>2457</v>
      </c>
      <c r="B1744" s="3" t="s">
        <v>2627</v>
      </c>
      <c r="C1744" t="s">
        <v>2575</v>
      </c>
      <c r="D1744" s="3" t="s">
        <v>7312</v>
      </c>
      <c r="E1744" t="s">
        <v>2628</v>
      </c>
      <c r="F1744" s="3" t="s">
        <v>2629</v>
      </c>
      <c r="G1744" t="s">
        <v>24</v>
      </c>
      <c r="H1744" s="3" t="s">
        <v>2634</v>
      </c>
      <c r="I1744" t="s">
        <v>37</v>
      </c>
      <c r="J1744" s="3" t="s">
        <v>2635</v>
      </c>
      <c r="K1744" s="4">
        <v>327</v>
      </c>
      <c r="L1744" s="5">
        <v>14.87</v>
      </c>
      <c r="M1744" s="6">
        <v>1</v>
      </c>
      <c r="N1744" s="7">
        <v>1</v>
      </c>
      <c r="O1744" t="s">
        <v>2636</v>
      </c>
      <c r="P1744" s="3" t="s">
        <v>40</v>
      </c>
      <c r="Q1744" s="8">
        <v>0.181308</v>
      </c>
    </row>
    <row r="1745" spans="1:17" hidden="1" x14ac:dyDescent="0.55000000000000004">
      <c r="A1745" s="9" t="s">
        <v>2457</v>
      </c>
      <c r="B1745" s="3" t="s">
        <v>2627</v>
      </c>
      <c r="C1745" t="s">
        <v>2575</v>
      </c>
      <c r="D1745" s="3" t="s">
        <v>7312</v>
      </c>
      <c r="E1745" t="s">
        <v>2628</v>
      </c>
      <c r="F1745" s="3" t="s">
        <v>2629</v>
      </c>
      <c r="G1745" t="s">
        <v>24</v>
      </c>
      <c r="H1745" s="3" t="s">
        <v>2637</v>
      </c>
      <c r="I1745" t="s">
        <v>43</v>
      </c>
      <c r="J1745" s="3" t="s">
        <v>2638</v>
      </c>
      <c r="K1745" s="4">
        <v>479</v>
      </c>
      <c r="L1745" s="5">
        <v>21.77</v>
      </c>
      <c r="M1745" s="6">
        <v>0</v>
      </c>
      <c r="N1745" s="7">
        <v>1</v>
      </c>
      <c r="O1745" t="s">
        <v>2639</v>
      </c>
      <c r="P1745" s="3" t="s">
        <v>138</v>
      </c>
      <c r="Q1745" s="8">
        <v>0.144733</v>
      </c>
    </row>
    <row r="1746" spans="1:17" hidden="1" x14ac:dyDescent="0.55000000000000004">
      <c r="A1746" s="3" t="s">
        <v>2640</v>
      </c>
      <c r="B1746" s="3" t="s">
        <v>2641</v>
      </c>
      <c r="C1746" t="s">
        <v>2641</v>
      </c>
      <c r="D1746" s="3" t="s">
        <v>7312</v>
      </c>
      <c r="E1746" t="s">
        <v>2642</v>
      </c>
      <c r="F1746" s="3" t="s">
        <v>2643</v>
      </c>
      <c r="G1746" t="s">
        <v>19</v>
      </c>
      <c r="H1746" s="3" t="s">
        <v>2644</v>
      </c>
      <c r="I1746" t="s">
        <v>686</v>
      </c>
      <c r="J1746" s="3" t="s">
        <v>2645</v>
      </c>
      <c r="K1746" s="4">
        <v>753</v>
      </c>
      <c r="L1746" s="5">
        <v>163.74</v>
      </c>
      <c r="M1746" s="6">
        <v>0</v>
      </c>
      <c r="N1746" s="7">
        <v>0</v>
      </c>
      <c r="O1746" t="s">
        <v>2646</v>
      </c>
      <c r="P1746" s="3" t="s">
        <v>212</v>
      </c>
      <c r="Q1746" s="8">
        <v>0.135214</v>
      </c>
    </row>
    <row r="1747" spans="1:17" hidden="1" x14ac:dyDescent="0.55000000000000004">
      <c r="A1747" s="3" t="s">
        <v>2640</v>
      </c>
      <c r="B1747" s="3" t="s">
        <v>2641</v>
      </c>
      <c r="C1747" t="s">
        <v>2641</v>
      </c>
      <c r="D1747" s="3" t="s">
        <v>7312</v>
      </c>
      <c r="E1747" t="s">
        <v>2642</v>
      </c>
      <c r="F1747" s="3" t="s">
        <v>2643</v>
      </c>
      <c r="G1747" t="s">
        <v>19</v>
      </c>
      <c r="H1747" s="3" t="s">
        <v>2647</v>
      </c>
      <c r="I1747" t="s">
        <v>1232</v>
      </c>
      <c r="J1747" s="3" t="s">
        <v>2645</v>
      </c>
      <c r="K1747" s="4">
        <v>799</v>
      </c>
      <c r="L1747" s="5">
        <v>173.78</v>
      </c>
      <c r="M1747" s="6">
        <v>0</v>
      </c>
      <c r="N1747" s="7">
        <v>0</v>
      </c>
      <c r="O1747" t="s">
        <v>2648</v>
      </c>
      <c r="P1747" s="3" t="s">
        <v>212</v>
      </c>
      <c r="Q1747" s="8">
        <v>0.130083</v>
      </c>
    </row>
    <row r="1748" spans="1:17" hidden="1" x14ac:dyDescent="0.55000000000000004">
      <c r="A1748" s="3" t="s">
        <v>2640</v>
      </c>
      <c r="B1748" s="3" t="s">
        <v>2641</v>
      </c>
      <c r="C1748" t="s">
        <v>2641</v>
      </c>
      <c r="D1748" s="3" t="s">
        <v>7312</v>
      </c>
      <c r="E1748" t="s">
        <v>2642</v>
      </c>
      <c r="F1748" s="3" t="s">
        <v>2643</v>
      </c>
      <c r="G1748" t="s">
        <v>19</v>
      </c>
      <c r="H1748" s="3" t="s">
        <v>2649</v>
      </c>
      <c r="I1748" t="s">
        <v>1235</v>
      </c>
      <c r="J1748" s="3" t="s">
        <v>2645</v>
      </c>
      <c r="K1748" s="4">
        <v>329</v>
      </c>
      <c r="L1748" s="5">
        <v>71.61</v>
      </c>
      <c r="M1748" s="6">
        <v>0</v>
      </c>
      <c r="N1748" s="7">
        <v>0</v>
      </c>
      <c r="O1748" t="s">
        <v>2650</v>
      </c>
      <c r="P1748" s="3" t="s">
        <v>212</v>
      </c>
      <c r="Q1748" s="8">
        <v>8.8714000000000001E-2</v>
      </c>
    </row>
    <row r="1749" spans="1:17" hidden="1" x14ac:dyDescent="0.55000000000000004">
      <c r="A1749" s="3" t="s">
        <v>2640</v>
      </c>
      <c r="B1749" s="3" t="s">
        <v>2641</v>
      </c>
      <c r="C1749" t="s">
        <v>2641</v>
      </c>
      <c r="D1749" s="3" t="s">
        <v>7312</v>
      </c>
      <c r="E1749" t="s">
        <v>2642</v>
      </c>
      <c r="F1749" s="3" t="s">
        <v>2643</v>
      </c>
      <c r="G1749" t="s">
        <v>19</v>
      </c>
      <c r="H1749" s="3" t="s">
        <v>2651</v>
      </c>
      <c r="I1749" t="s">
        <v>2652</v>
      </c>
      <c r="J1749" s="3" t="s">
        <v>2645</v>
      </c>
      <c r="K1749" s="4">
        <v>160</v>
      </c>
      <c r="L1749" s="5">
        <v>34.76</v>
      </c>
      <c r="M1749" s="6">
        <v>0</v>
      </c>
      <c r="N1749" s="7">
        <v>0</v>
      </c>
      <c r="O1749" t="s">
        <v>2653</v>
      </c>
      <c r="P1749" s="3" t="s">
        <v>2654</v>
      </c>
      <c r="Q1749" s="8">
        <v>5.9923999999999998E-2</v>
      </c>
    </row>
    <row r="1750" spans="1:17" hidden="1" x14ac:dyDescent="0.55000000000000004">
      <c r="A1750" s="3" t="s">
        <v>2640</v>
      </c>
      <c r="B1750" s="3" t="s">
        <v>2641</v>
      </c>
      <c r="C1750" t="s">
        <v>2641</v>
      </c>
      <c r="D1750" s="3" t="s">
        <v>7312</v>
      </c>
      <c r="E1750" t="s">
        <v>2642</v>
      </c>
      <c r="F1750" s="3" t="s">
        <v>2643</v>
      </c>
      <c r="G1750" t="s">
        <v>19</v>
      </c>
      <c r="H1750" s="3" t="s">
        <v>2655</v>
      </c>
      <c r="I1750" t="s">
        <v>1223</v>
      </c>
      <c r="J1750" s="3" t="s">
        <v>2645</v>
      </c>
      <c r="K1750" s="4">
        <v>168</v>
      </c>
      <c r="L1750" s="5">
        <v>36.520000000000003</v>
      </c>
      <c r="M1750" s="6">
        <v>0</v>
      </c>
      <c r="N1750" s="7">
        <v>0</v>
      </c>
      <c r="O1750" t="s">
        <v>2656</v>
      </c>
      <c r="P1750" s="3" t="s">
        <v>2654</v>
      </c>
      <c r="Q1750" s="8">
        <v>5.9923999999999998E-2</v>
      </c>
    </row>
    <row r="1751" spans="1:17" hidden="1" x14ac:dyDescent="0.55000000000000004">
      <c r="A1751" s="3" t="s">
        <v>2640</v>
      </c>
      <c r="B1751" s="3" t="s">
        <v>2641</v>
      </c>
      <c r="C1751" t="s">
        <v>2641</v>
      </c>
      <c r="D1751" s="3" t="s">
        <v>7312</v>
      </c>
      <c r="E1751" t="s">
        <v>2642</v>
      </c>
      <c r="F1751" s="3" t="s">
        <v>2643</v>
      </c>
      <c r="G1751" t="s">
        <v>19</v>
      </c>
      <c r="H1751" s="3" t="s">
        <v>2657</v>
      </c>
      <c r="I1751" t="s">
        <v>1227</v>
      </c>
      <c r="J1751" s="3" t="s">
        <v>2645</v>
      </c>
      <c r="K1751" s="4">
        <v>176</v>
      </c>
      <c r="L1751" s="5">
        <v>38.299999999999997</v>
      </c>
      <c r="M1751" s="6">
        <v>1</v>
      </c>
      <c r="N1751" s="7">
        <v>0</v>
      </c>
      <c r="O1751" t="s">
        <v>2658</v>
      </c>
      <c r="P1751" s="3" t="s">
        <v>2654</v>
      </c>
      <c r="Q1751" s="8">
        <v>5.9923999999999998E-2</v>
      </c>
    </row>
    <row r="1752" spans="1:17" hidden="1" x14ac:dyDescent="0.55000000000000004">
      <c r="A1752" s="3" t="s">
        <v>2640</v>
      </c>
      <c r="B1752" s="3" t="s">
        <v>2641</v>
      </c>
      <c r="C1752" t="s">
        <v>2641</v>
      </c>
      <c r="D1752" s="3" t="s">
        <v>7312</v>
      </c>
      <c r="E1752" t="s">
        <v>2642</v>
      </c>
      <c r="F1752" s="3" t="s">
        <v>2643</v>
      </c>
      <c r="G1752" t="s">
        <v>24</v>
      </c>
      <c r="H1752" s="3" t="s">
        <v>2659</v>
      </c>
      <c r="I1752" t="s">
        <v>52</v>
      </c>
      <c r="J1752" s="3" t="s">
        <v>2660</v>
      </c>
      <c r="K1752" s="4">
        <v>453</v>
      </c>
      <c r="L1752" s="5">
        <v>20.59</v>
      </c>
      <c r="M1752" s="6">
        <v>0</v>
      </c>
      <c r="N1752" s="7">
        <v>0</v>
      </c>
      <c r="O1752" t="s">
        <v>2661</v>
      </c>
      <c r="P1752" s="3" t="s">
        <v>55</v>
      </c>
      <c r="Q1752" s="8">
        <v>0.182562</v>
      </c>
    </row>
    <row r="1753" spans="1:17" hidden="1" x14ac:dyDescent="0.55000000000000004">
      <c r="A1753" s="3" t="s">
        <v>2640</v>
      </c>
      <c r="B1753" s="3" t="s">
        <v>7358</v>
      </c>
      <c r="C1753" t="s">
        <v>2662</v>
      </c>
      <c r="D1753" s="3" t="s">
        <v>7312</v>
      </c>
      <c r="E1753" t="s">
        <v>2663</v>
      </c>
      <c r="F1753" s="3" t="s">
        <v>2664</v>
      </c>
      <c r="G1753" t="s">
        <v>19</v>
      </c>
      <c r="H1753" s="3" t="s">
        <v>2665</v>
      </c>
      <c r="I1753" t="s">
        <v>1232</v>
      </c>
      <c r="J1753" s="3" t="s">
        <v>2666</v>
      </c>
      <c r="K1753" s="4">
        <v>850</v>
      </c>
      <c r="L1753" s="5">
        <v>184.74</v>
      </c>
      <c r="M1753" s="6">
        <v>0</v>
      </c>
      <c r="N1753" s="7">
        <v>1</v>
      </c>
      <c r="O1753" t="s">
        <v>2667</v>
      </c>
      <c r="P1753" s="3" t="s">
        <v>212</v>
      </c>
      <c r="Q1753" s="8">
        <v>0.10760500000000001</v>
      </c>
    </row>
    <row r="1754" spans="1:17" hidden="1" x14ac:dyDescent="0.55000000000000004">
      <c r="A1754" s="3" t="s">
        <v>2640</v>
      </c>
      <c r="B1754" s="3" t="s">
        <v>7358</v>
      </c>
      <c r="C1754" t="s">
        <v>2662</v>
      </c>
      <c r="D1754" s="3" t="s">
        <v>7312</v>
      </c>
      <c r="E1754" t="s">
        <v>2663</v>
      </c>
      <c r="F1754" s="3" t="s">
        <v>2664</v>
      </c>
      <c r="G1754" t="s">
        <v>19</v>
      </c>
      <c r="H1754" s="3" t="s">
        <v>2668</v>
      </c>
      <c r="I1754" t="s">
        <v>686</v>
      </c>
      <c r="J1754" s="3" t="s">
        <v>2666</v>
      </c>
      <c r="K1754" s="4">
        <v>804</v>
      </c>
      <c r="L1754" s="5">
        <v>174.7</v>
      </c>
      <c r="M1754" s="6">
        <v>0</v>
      </c>
      <c r="N1754" s="7">
        <v>1</v>
      </c>
      <c r="O1754" t="s">
        <v>2669</v>
      </c>
      <c r="P1754" s="3" t="s">
        <v>212</v>
      </c>
      <c r="Q1754" s="8">
        <v>0.112452</v>
      </c>
    </row>
    <row r="1755" spans="1:17" hidden="1" x14ac:dyDescent="0.55000000000000004">
      <c r="A1755" s="3" t="s">
        <v>2640</v>
      </c>
      <c r="B1755" s="3" t="s">
        <v>7358</v>
      </c>
      <c r="C1755" t="s">
        <v>2662</v>
      </c>
      <c r="D1755" s="3" t="s">
        <v>7312</v>
      </c>
      <c r="E1755" t="s">
        <v>2663</v>
      </c>
      <c r="F1755" s="3" t="s">
        <v>2664</v>
      </c>
      <c r="G1755" t="s">
        <v>19</v>
      </c>
      <c r="H1755" s="3" t="s">
        <v>2670</v>
      </c>
      <c r="I1755" t="s">
        <v>1235</v>
      </c>
      <c r="J1755" s="3" t="s">
        <v>2666</v>
      </c>
      <c r="K1755" s="4">
        <v>36</v>
      </c>
      <c r="L1755" s="5">
        <v>7.8</v>
      </c>
      <c r="M1755" s="6">
        <v>0</v>
      </c>
      <c r="N1755" s="7">
        <v>1</v>
      </c>
      <c r="O1755" t="s">
        <v>2671</v>
      </c>
      <c r="P1755" s="3" t="s">
        <v>212</v>
      </c>
      <c r="Q1755" s="8">
        <v>2.6679000000000001E-2</v>
      </c>
    </row>
    <row r="1756" spans="1:17" hidden="1" x14ac:dyDescent="0.55000000000000004">
      <c r="A1756" s="3" t="s">
        <v>2640</v>
      </c>
      <c r="B1756" s="3" t="s">
        <v>7358</v>
      </c>
      <c r="C1756" t="s">
        <v>2662</v>
      </c>
      <c r="D1756" s="3" t="s">
        <v>7312</v>
      </c>
      <c r="E1756" t="s">
        <v>2663</v>
      </c>
      <c r="F1756" s="3" t="s">
        <v>2664</v>
      </c>
      <c r="G1756" t="s">
        <v>19</v>
      </c>
      <c r="H1756" s="3" t="s">
        <v>2672</v>
      </c>
      <c r="I1756" t="s">
        <v>2652</v>
      </c>
      <c r="J1756" s="3" t="s">
        <v>2666</v>
      </c>
      <c r="K1756" s="4">
        <v>156</v>
      </c>
      <c r="L1756" s="5">
        <v>33.83</v>
      </c>
      <c r="M1756" s="6">
        <v>0</v>
      </c>
      <c r="N1756" s="7">
        <v>1</v>
      </c>
      <c r="O1756" t="s">
        <v>2673</v>
      </c>
      <c r="P1756" s="3" t="s">
        <v>2654</v>
      </c>
      <c r="Q1756" s="8">
        <v>5.0436000000000002E-2</v>
      </c>
    </row>
    <row r="1757" spans="1:17" hidden="1" x14ac:dyDescent="0.55000000000000004">
      <c r="A1757" s="3" t="s">
        <v>2640</v>
      </c>
      <c r="B1757" s="3" t="s">
        <v>7358</v>
      </c>
      <c r="C1757" t="s">
        <v>2662</v>
      </c>
      <c r="D1757" s="3" t="s">
        <v>7312</v>
      </c>
      <c r="E1757" t="s">
        <v>2663</v>
      </c>
      <c r="F1757" s="3" t="s">
        <v>2664</v>
      </c>
      <c r="G1757" t="s">
        <v>19</v>
      </c>
      <c r="H1757" s="3" t="s">
        <v>2674</v>
      </c>
      <c r="I1757" t="s">
        <v>1223</v>
      </c>
      <c r="J1757" s="3" t="s">
        <v>2666</v>
      </c>
      <c r="K1757" s="4">
        <v>164</v>
      </c>
      <c r="L1757" s="5">
        <v>35.590000000000003</v>
      </c>
      <c r="M1757" s="6">
        <v>0</v>
      </c>
      <c r="N1757" s="7">
        <v>1</v>
      </c>
      <c r="O1757" t="s">
        <v>2675</v>
      </c>
      <c r="P1757" s="3" t="s">
        <v>2654</v>
      </c>
      <c r="Q1757" s="8">
        <v>5.0436000000000002E-2</v>
      </c>
    </row>
    <row r="1758" spans="1:17" hidden="1" x14ac:dyDescent="0.55000000000000004">
      <c r="A1758" s="3" t="s">
        <v>2640</v>
      </c>
      <c r="B1758" s="3" t="s">
        <v>7358</v>
      </c>
      <c r="C1758" t="s">
        <v>2662</v>
      </c>
      <c r="D1758" s="3" t="s">
        <v>7312</v>
      </c>
      <c r="E1758" t="s">
        <v>2663</v>
      </c>
      <c r="F1758" s="3" t="s">
        <v>2664</v>
      </c>
      <c r="G1758" t="s">
        <v>19</v>
      </c>
      <c r="H1758" s="3" t="s">
        <v>2676</v>
      </c>
      <c r="I1758" t="s">
        <v>1227</v>
      </c>
      <c r="J1758" s="3" t="s">
        <v>2666</v>
      </c>
      <c r="K1758" s="4">
        <v>172</v>
      </c>
      <c r="L1758" s="5">
        <v>37.369999999999997</v>
      </c>
      <c r="M1758" s="6">
        <v>1</v>
      </c>
      <c r="N1758" s="7">
        <v>1</v>
      </c>
      <c r="O1758" t="s">
        <v>2677</v>
      </c>
      <c r="P1758" s="3" t="s">
        <v>2654</v>
      </c>
      <c r="Q1758" s="8">
        <v>5.0436000000000002E-2</v>
      </c>
    </row>
    <row r="1759" spans="1:17" hidden="1" x14ac:dyDescent="0.55000000000000004">
      <c r="A1759" s="3" t="s">
        <v>2640</v>
      </c>
      <c r="B1759" s="3" t="s">
        <v>7358</v>
      </c>
      <c r="C1759" t="s">
        <v>2662</v>
      </c>
      <c r="D1759" s="3" t="s">
        <v>7312</v>
      </c>
      <c r="E1759" t="s">
        <v>2663</v>
      </c>
      <c r="F1759" s="3" t="s">
        <v>2664</v>
      </c>
      <c r="G1759" t="s">
        <v>24</v>
      </c>
      <c r="H1759" s="3" t="s">
        <v>2678</v>
      </c>
      <c r="I1759" t="s">
        <v>52</v>
      </c>
      <c r="J1759" s="3" t="s">
        <v>2679</v>
      </c>
      <c r="K1759" s="4">
        <v>590</v>
      </c>
      <c r="L1759" s="5">
        <v>26.83</v>
      </c>
      <c r="M1759" s="6">
        <v>1</v>
      </c>
      <c r="N1759" s="7">
        <v>1</v>
      </c>
      <c r="O1759" t="s">
        <v>2680</v>
      </c>
      <c r="P1759" s="3" t="s">
        <v>55</v>
      </c>
      <c r="Q1759" s="8">
        <v>0.18393200000000001</v>
      </c>
    </row>
    <row r="1760" spans="1:17" hidden="1" x14ac:dyDescent="0.55000000000000004">
      <c r="A1760" s="3" t="s">
        <v>2640</v>
      </c>
      <c r="B1760" s="3" t="s">
        <v>2681</v>
      </c>
      <c r="C1760" t="s">
        <v>2682</v>
      </c>
      <c r="D1760" s="3" t="s">
        <v>7312</v>
      </c>
      <c r="E1760" t="s">
        <v>2683</v>
      </c>
      <c r="F1760" s="3" t="s">
        <v>2684</v>
      </c>
      <c r="G1760" t="s">
        <v>19</v>
      </c>
      <c r="H1760" s="3" t="s">
        <v>2685</v>
      </c>
      <c r="I1760" t="s">
        <v>1232</v>
      </c>
      <c r="J1760" s="3" t="s">
        <v>2686</v>
      </c>
      <c r="K1760" s="4">
        <v>766</v>
      </c>
      <c r="L1760" s="5">
        <v>166.63</v>
      </c>
      <c r="M1760" s="6">
        <v>0</v>
      </c>
      <c r="N1760" s="7">
        <v>1</v>
      </c>
      <c r="O1760" t="s">
        <v>2687</v>
      </c>
      <c r="P1760" s="3" t="s">
        <v>212</v>
      </c>
      <c r="Q1760" s="8">
        <v>9.7156999999999993E-2</v>
      </c>
    </row>
    <row r="1761" spans="1:17" hidden="1" x14ac:dyDescent="0.55000000000000004">
      <c r="A1761" s="3" t="s">
        <v>2640</v>
      </c>
      <c r="B1761" s="3" t="s">
        <v>2681</v>
      </c>
      <c r="C1761" t="s">
        <v>2682</v>
      </c>
      <c r="D1761" s="3" t="s">
        <v>7312</v>
      </c>
      <c r="E1761" t="s">
        <v>2683</v>
      </c>
      <c r="F1761" s="3" t="s">
        <v>2684</v>
      </c>
      <c r="G1761" t="s">
        <v>19</v>
      </c>
      <c r="H1761" s="3" t="s">
        <v>2688</v>
      </c>
      <c r="I1761" t="s">
        <v>686</v>
      </c>
      <c r="J1761" s="3" t="s">
        <v>2686</v>
      </c>
      <c r="K1761" s="4">
        <v>720</v>
      </c>
      <c r="L1761" s="5">
        <v>156.59</v>
      </c>
      <c r="M1761" s="6">
        <v>0</v>
      </c>
      <c r="N1761" s="7">
        <v>1</v>
      </c>
      <c r="O1761" t="s">
        <v>2689</v>
      </c>
      <c r="P1761" s="3" t="s">
        <v>212</v>
      </c>
      <c r="Q1761" s="8">
        <v>0.10199800000000001</v>
      </c>
    </row>
    <row r="1762" spans="1:17" hidden="1" x14ac:dyDescent="0.55000000000000004">
      <c r="A1762" s="3" t="s">
        <v>2640</v>
      </c>
      <c r="B1762" s="3" t="s">
        <v>2681</v>
      </c>
      <c r="C1762" t="s">
        <v>2682</v>
      </c>
      <c r="D1762" s="3" t="s">
        <v>7312</v>
      </c>
      <c r="E1762" t="s">
        <v>2683</v>
      </c>
      <c r="F1762" s="3" t="s">
        <v>2684</v>
      </c>
      <c r="G1762" t="s">
        <v>19</v>
      </c>
      <c r="H1762" s="3" t="s">
        <v>2690</v>
      </c>
      <c r="I1762" t="s">
        <v>2652</v>
      </c>
      <c r="J1762" s="3" t="s">
        <v>2686</v>
      </c>
      <c r="K1762" s="4">
        <v>72</v>
      </c>
      <c r="L1762" s="5">
        <v>15.72</v>
      </c>
      <c r="M1762" s="6">
        <v>0</v>
      </c>
      <c r="N1762" s="7">
        <v>1</v>
      </c>
      <c r="O1762" t="s">
        <v>2691</v>
      </c>
      <c r="P1762" s="3" t="s">
        <v>2654</v>
      </c>
      <c r="Q1762" s="8">
        <v>4.8279000000000002E-2</v>
      </c>
    </row>
    <row r="1763" spans="1:17" hidden="1" x14ac:dyDescent="0.55000000000000004">
      <c r="A1763" s="3" t="s">
        <v>2640</v>
      </c>
      <c r="B1763" s="3" t="s">
        <v>2681</v>
      </c>
      <c r="C1763" t="s">
        <v>2682</v>
      </c>
      <c r="D1763" s="3" t="s">
        <v>7312</v>
      </c>
      <c r="E1763" t="s">
        <v>2683</v>
      </c>
      <c r="F1763" s="3" t="s">
        <v>2684</v>
      </c>
      <c r="G1763" t="s">
        <v>19</v>
      </c>
      <c r="H1763" s="3" t="s">
        <v>2692</v>
      </c>
      <c r="I1763" t="s">
        <v>1223</v>
      </c>
      <c r="J1763" s="3" t="s">
        <v>2686</v>
      </c>
      <c r="K1763" s="4">
        <v>80</v>
      </c>
      <c r="L1763" s="5">
        <v>17.48</v>
      </c>
      <c r="M1763" s="6">
        <v>0</v>
      </c>
      <c r="N1763" s="7">
        <v>1</v>
      </c>
      <c r="O1763" t="s">
        <v>2693</v>
      </c>
      <c r="P1763" s="3" t="s">
        <v>2654</v>
      </c>
      <c r="Q1763" s="8">
        <v>4.8279000000000002E-2</v>
      </c>
    </row>
    <row r="1764" spans="1:17" hidden="1" x14ac:dyDescent="0.55000000000000004">
      <c r="A1764" s="3" t="s">
        <v>2640</v>
      </c>
      <c r="B1764" s="3" t="s">
        <v>2681</v>
      </c>
      <c r="C1764" t="s">
        <v>2682</v>
      </c>
      <c r="D1764" s="3" t="s">
        <v>7312</v>
      </c>
      <c r="E1764" t="s">
        <v>2683</v>
      </c>
      <c r="F1764" s="3" t="s">
        <v>2684</v>
      </c>
      <c r="G1764" t="s">
        <v>19</v>
      </c>
      <c r="H1764" s="3" t="s">
        <v>2694</v>
      </c>
      <c r="I1764" t="s">
        <v>1227</v>
      </c>
      <c r="J1764" s="3" t="s">
        <v>2686</v>
      </c>
      <c r="K1764" s="4">
        <v>89</v>
      </c>
      <c r="L1764" s="5">
        <v>19.260000000000002</v>
      </c>
      <c r="M1764" s="6">
        <v>0</v>
      </c>
      <c r="N1764" s="7">
        <v>1</v>
      </c>
      <c r="O1764" t="s">
        <v>2695</v>
      </c>
      <c r="P1764" s="3" t="s">
        <v>2654</v>
      </c>
      <c r="Q1764" s="8">
        <v>4.8279000000000002E-2</v>
      </c>
    </row>
    <row r="1765" spans="1:17" hidden="1" x14ac:dyDescent="0.55000000000000004">
      <c r="A1765" s="3" t="s">
        <v>2640</v>
      </c>
      <c r="B1765" s="3" t="s">
        <v>2681</v>
      </c>
      <c r="C1765" t="s">
        <v>2682</v>
      </c>
      <c r="D1765" s="3" t="s">
        <v>7312</v>
      </c>
      <c r="E1765" t="s">
        <v>2683</v>
      </c>
      <c r="F1765" s="3" t="s">
        <v>2684</v>
      </c>
      <c r="G1765" t="s">
        <v>19</v>
      </c>
      <c r="H1765" s="3" t="s">
        <v>2696</v>
      </c>
      <c r="I1765" t="s">
        <v>2697</v>
      </c>
      <c r="J1765" s="3" t="s">
        <v>2698</v>
      </c>
      <c r="K1765" s="4">
        <v>80</v>
      </c>
      <c r="L1765" s="5">
        <v>17.48</v>
      </c>
      <c r="M1765" s="6">
        <v>1</v>
      </c>
      <c r="N1765" s="7">
        <v>1</v>
      </c>
      <c r="O1765" t="s">
        <v>2699</v>
      </c>
      <c r="P1765" s="3" t="s">
        <v>2654</v>
      </c>
      <c r="Q1765" s="8">
        <v>4.8279000000000002E-2</v>
      </c>
    </row>
    <row r="1766" spans="1:17" hidden="1" x14ac:dyDescent="0.55000000000000004">
      <c r="A1766" s="3" t="s">
        <v>2640</v>
      </c>
      <c r="B1766" s="3" t="s">
        <v>2681</v>
      </c>
      <c r="C1766" t="s">
        <v>2682</v>
      </c>
      <c r="D1766" s="3" t="s">
        <v>7312</v>
      </c>
      <c r="E1766" t="s">
        <v>2683</v>
      </c>
      <c r="F1766" s="3" t="s">
        <v>2684</v>
      </c>
      <c r="G1766" t="s">
        <v>24</v>
      </c>
      <c r="H1766" s="3" t="s">
        <v>2700</v>
      </c>
      <c r="I1766" t="s">
        <v>52</v>
      </c>
      <c r="J1766" s="3" t="s">
        <v>2701</v>
      </c>
      <c r="K1766" s="4">
        <v>377</v>
      </c>
      <c r="L1766" s="5">
        <v>17.14</v>
      </c>
      <c r="M1766" s="6">
        <v>0</v>
      </c>
      <c r="N1766" s="7">
        <v>1</v>
      </c>
      <c r="O1766" t="s">
        <v>2702</v>
      </c>
      <c r="P1766" s="3" t="s">
        <v>55</v>
      </c>
      <c r="Q1766" s="8">
        <v>0.181807</v>
      </c>
    </row>
    <row r="1767" spans="1:17" hidden="1" x14ac:dyDescent="0.55000000000000004">
      <c r="A1767" s="3" t="s">
        <v>2640</v>
      </c>
      <c r="B1767" s="3" t="s">
        <v>2703</v>
      </c>
      <c r="C1767" t="s">
        <v>2703</v>
      </c>
      <c r="D1767" s="3" t="s">
        <v>7312</v>
      </c>
      <c r="E1767" t="s">
        <v>2704</v>
      </c>
      <c r="F1767" s="3" t="s">
        <v>2705</v>
      </c>
      <c r="G1767" t="s">
        <v>19</v>
      </c>
      <c r="H1767" s="3" t="s">
        <v>2706</v>
      </c>
      <c r="I1767" t="s">
        <v>1223</v>
      </c>
      <c r="J1767" s="3" t="s">
        <v>2707</v>
      </c>
      <c r="K1767" s="4">
        <v>156</v>
      </c>
      <c r="L1767" s="5">
        <v>33.869999999999997</v>
      </c>
      <c r="M1767" s="6">
        <v>0</v>
      </c>
      <c r="N1767" s="7">
        <v>1</v>
      </c>
      <c r="O1767" t="s">
        <v>2708</v>
      </c>
      <c r="P1767" s="3" t="s">
        <v>2654</v>
      </c>
      <c r="Q1767" s="8">
        <v>4.9931000000000003E-2</v>
      </c>
    </row>
    <row r="1768" spans="1:17" hidden="1" x14ac:dyDescent="0.55000000000000004">
      <c r="A1768" s="3" t="s">
        <v>2640</v>
      </c>
      <c r="B1768" s="3" t="s">
        <v>2703</v>
      </c>
      <c r="C1768" t="s">
        <v>2703</v>
      </c>
      <c r="D1768" s="3" t="s">
        <v>7312</v>
      </c>
      <c r="E1768" t="s">
        <v>2704</v>
      </c>
      <c r="F1768" s="3" t="s">
        <v>2705</v>
      </c>
      <c r="G1768" t="s">
        <v>19</v>
      </c>
      <c r="H1768" s="3" t="s">
        <v>2709</v>
      </c>
      <c r="I1768" t="s">
        <v>1227</v>
      </c>
      <c r="J1768" s="3" t="s">
        <v>2707</v>
      </c>
      <c r="K1768" s="4">
        <v>164</v>
      </c>
      <c r="L1768" s="5">
        <v>35.65</v>
      </c>
      <c r="M1768" s="6">
        <v>0</v>
      </c>
      <c r="N1768" s="7">
        <v>1</v>
      </c>
      <c r="O1768" t="s">
        <v>2710</v>
      </c>
      <c r="P1768" s="3" t="s">
        <v>2654</v>
      </c>
      <c r="Q1768" s="8">
        <v>4.9931000000000003E-2</v>
      </c>
    </row>
    <row r="1769" spans="1:17" hidden="1" x14ac:dyDescent="0.55000000000000004">
      <c r="A1769" s="3" t="s">
        <v>2640</v>
      </c>
      <c r="B1769" s="3" t="s">
        <v>2703</v>
      </c>
      <c r="C1769" t="s">
        <v>2703</v>
      </c>
      <c r="D1769" s="3" t="s">
        <v>7312</v>
      </c>
      <c r="E1769" t="s">
        <v>2704</v>
      </c>
      <c r="F1769" s="3" t="s">
        <v>2705</v>
      </c>
      <c r="G1769" t="s">
        <v>19</v>
      </c>
      <c r="H1769" s="3" t="s">
        <v>2711</v>
      </c>
      <c r="I1769" t="s">
        <v>1232</v>
      </c>
      <c r="J1769" s="3" t="s">
        <v>2707</v>
      </c>
      <c r="K1769" s="4">
        <v>665</v>
      </c>
      <c r="L1769" s="5">
        <v>144.5</v>
      </c>
      <c r="M1769" s="6">
        <v>0</v>
      </c>
      <c r="N1769" s="7">
        <v>1</v>
      </c>
      <c r="O1769" t="s">
        <v>2712</v>
      </c>
      <c r="P1769" s="3" t="s">
        <v>212</v>
      </c>
      <c r="Q1769" s="8">
        <v>0.125</v>
      </c>
    </row>
    <row r="1770" spans="1:17" hidden="1" x14ac:dyDescent="0.55000000000000004">
      <c r="A1770" s="3" t="s">
        <v>2640</v>
      </c>
      <c r="B1770" s="3" t="s">
        <v>2703</v>
      </c>
      <c r="C1770" t="s">
        <v>2703</v>
      </c>
      <c r="D1770" s="3" t="s">
        <v>7312</v>
      </c>
      <c r="E1770" t="s">
        <v>2704</v>
      </c>
      <c r="F1770" s="3" t="s">
        <v>2705</v>
      </c>
      <c r="G1770" t="s">
        <v>19</v>
      </c>
      <c r="H1770" s="3" t="s">
        <v>2713</v>
      </c>
      <c r="I1770" t="s">
        <v>686</v>
      </c>
      <c r="J1770" s="3" t="s">
        <v>2707</v>
      </c>
      <c r="K1770" s="4">
        <v>618</v>
      </c>
      <c r="L1770" s="5">
        <v>134.46</v>
      </c>
      <c r="M1770" s="6">
        <v>0</v>
      </c>
      <c r="N1770" s="7">
        <v>1</v>
      </c>
      <c r="O1770" t="s">
        <v>2714</v>
      </c>
      <c r="P1770" s="3" t="s">
        <v>212</v>
      </c>
      <c r="Q1770" s="8">
        <v>0.13061200000000001</v>
      </c>
    </row>
    <row r="1771" spans="1:17" hidden="1" x14ac:dyDescent="0.55000000000000004">
      <c r="A1771" s="3" t="s">
        <v>2640</v>
      </c>
      <c r="B1771" s="3" t="s">
        <v>2703</v>
      </c>
      <c r="C1771" t="s">
        <v>2703</v>
      </c>
      <c r="D1771" s="3" t="s">
        <v>7312</v>
      </c>
      <c r="E1771" t="s">
        <v>2704</v>
      </c>
      <c r="F1771" s="3" t="s">
        <v>2705</v>
      </c>
      <c r="G1771" t="s">
        <v>19</v>
      </c>
      <c r="H1771" s="3" t="s">
        <v>2715</v>
      </c>
      <c r="I1771" t="s">
        <v>1235</v>
      </c>
      <c r="J1771" s="3" t="s">
        <v>2707</v>
      </c>
      <c r="K1771" s="4">
        <v>317</v>
      </c>
      <c r="L1771" s="5">
        <v>68.959999999999994</v>
      </c>
      <c r="M1771" s="6">
        <v>0</v>
      </c>
      <c r="N1771" s="7">
        <v>1</v>
      </c>
      <c r="O1771" t="s">
        <v>2716</v>
      </c>
      <c r="P1771" s="3" t="s">
        <v>212</v>
      </c>
      <c r="Q1771" s="8">
        <v>9.9142999999999995E-2</v>
      </c>
    </row>
    <row r="1772" spans="1:17" hidden="1" x14ac:dyDescent="0.55000000000000004">
      <c r="A1772" s="3" t="s">
        <v>2640</v>
      </c>
      <c r="B1772" s="3" t="s">
        <v>2703</v>
      </c>
      <c r="C1772" t="s">
        <v>2703</v>
      </c>
      <c r="D1772" s="3" t="s">
        <v>7312</v>
      </c>
      <c r="E1772" t="s">
        <v>2704</v>
      </c>
      <c r="F1772" s="3" t="s">
        <v>2705</v>
      </c>
      <c r="G1772" t="s">
        <v>19</v>
      </c>
      <c r="H1772" s="3" t="s">
        <v>2717</v>
      </c>
      <c r="I1772" t="s">
        <v>2652</v>
      </c>
      <c r="J1772" s="3" t="s">
        <v>2707</v>
      </c>
      <c r="K1772" s="4">
        <v>148</v>
      </c>
      <c r="L1772" s="5">
        <v>32.11</v>
      </c>
      <c r="M1772" s="6">
        <v>0</v>
      </c>
      <c r="N1772" s="7">
        <v>1</v>
      </c>
      <c r="O1772" t="s">
        <v>2718</v>
      </c>
      <c r="P1772" s="3" t="s">
        <v>2654</v>
      </c>
      <c r="Q1772" s="8">
        <v>4.9931000000000003E-2</v>
      </c>
    </row>
    <row r="1773" spans="1:17" hidden="1" x14ac:dyDescent="0.55000000000000004">
      <c r="A1773" s="3" t="s">
        <v>2640</v>
      </c>
      <c r="B1773" s="3" t="s">
        <v>2703</v>
      </c>
      <c r="C1773" t="s">
        <v>2703</v>
      </c>
      <c r="D1773" s="3" t="s">
        <v>7312</v>
      </c>
      <c r="E1773" t="s">
        <v>2704</v>
      </c>
      <c r="F1773" s="3" t="s">
        <v>2705</v>
      </c>
      <c r="G1773" t="s">
        <v>19</v>
      </c>
      <c r="H1773" s="3" t="s">
        <v>2719</v>
      </c>
      <c r="I1773" t="s">
        <v>1223</v>
      </c>
      <c r="J1773" s="3" t="s">
        <v>2707</v>
      </c>
      <c r="K1773" s="4">
        <v>156</v>
      </c>
      <c r="L1773" s="5">
        <v>33.869999999999997</v>
      </c>
      <c r="M1773" s="6">
        <v>0</v>
      </c>
      <c r="N1773" s="7">
        <v>1</v>
      </c>
      <c r="O1773" t="s">
        <v>2708</v>
      </c>
      <c r="P1773" s="3" t="s">
        <v>2654</v>
      </c>
      <c r="Q1773" s="8">
        <v>4.9931000000000003E-2</v>
      </c>
    </row>
    <row r="1774" spans="1:17" hidden="1" x14ac:dyDescent="0.55000000000000004">
      <c r="A1774" s="3" t="s">
        <v>2640</v>
      </c>
      <c r="B1774" s="3" t="s">
        <v>2703</v>
      </c>
      <c r="C1774" t="s">
        <v>2703</v>
      </c>
      <c r="D1774" s="3" t="s">
        <v>7312</v>
      </c>
      <c r="E1774" t="s">
        <v>2704</v>
      </c>
      <c r="F1774" s="3" t="s">
        <v>2705</v>
      </c>
      <c r="G1774" t="s">
        <v>19</v>
      </c>
      <c r="H1774" s="3" t="s">
        <v>2720</v>
      </c>
      <c r="I1774" t="s">
        <v>1227</v>
      </c>
      <c r="J1774" s="3" t="s">
        <v>2707</v>
      </c>
      <c r="K1774" s="4">
        <v>164</v>
      </c>
      <c r="L1774" s="5">
        <v>35.65</v>
      </c>
      <c r="M1774" s="6">
        <v>1</v>
      </c>
      <c r="N1774" s="7">
        <v>1</v>
      </c>
      <c r="O1774" t="s">
        <v>2710</v>
      </c>
      <c r="P1774" s="3" t="s">
        <v>2654</v>
      </c>
      <c r="Q1774" s="8">
        <v>4.9931000000000003E-2</v>
      </c>
    </row>
    <row r="1775" spans="1:17" hidden="1" x14ac:dyDescent="0.55000000000000004">
      <c r="A1775" s="3" t="s">
        <v>2640</v>
      </c>
      <c r="B1775" s="3" t="s">
        <v>2703</v>
      </c>
      <c r="C1775" t="s">
        <v>2703</v>
      </c>
      <c r="D1775" s="3" t="s">
        <v>7312</v>
      </c>
      <c r="E1775" t="s">
        <v>2704</v>
      </c>
      <c r="F1775" s="3" t="s">
        <v>2705</v>
      </c>
      <c r="G1775" t="s">
        <v>24</v>
      </c>
      <c r="H1775" s="3" t="s">
        <v>2721</v>
      </c>
      <c r="I1775" t="s">
        <v>218</v>
      </c>
      <c r="J1775" s="3" t="s">
        <v>2722</v>
      </c>
      <c r="K1775" s="4">
        <v>504</v>
      </c>
      <c r="L1775" s="5">
        <v>22.89</v>
      </c>
      <c r="M1775" s="6">
        <v>0</v>
      </c>
      <c r="N1775" s="7">
        <v>1</v>
      </c>
      <c r="O1775" t="s">
        <v>2723</v>
      </c>
      <c r="P1775" s="3" t="s">
        <v>23</v>
      </c>
      <c r="Q1775" s="8" t="s">
        <v>23</v>
      </c>
    </row>
    <row r="1776" spans="1:17" hidden="1" x14ac:dyDescent="0.55000000000000004">
      <c r="A1776" s="3" t="s">
        <v>2640</v>
      </c>
      <c r="B1776" s="3" t="s">
        <v>2724</v>
      </c>
      <c r="C1776" t="s">
        <v>2724</v>
      </c>
      <c r="D1776" s="3" t="s">
        <v>7312</v>
      </c>
      <c r="E1776" t="s">
        <v>2725</v>
      </c>
      <c r="F1776" s="3" t="s">
        <v>2726</v>
      </c>
      <c r="G1776" t="s">
        <v>19</v>
      </c>
      <c r="H1776" s="3" t="s">
        <v>2727</v>
      </c>
      <c r="I1776" t="s">
        <v>1223</v>
      </c>
      <c r="J1776" s="3" t="s">
        <v>2728</v>
      </c>
      <c r="K1776" s="4">
        <v>170</v>
      </c>
      <c r="L1776" s="5">
        <v>36.96</v>
      </c>
      <c r="M1776" s="6">
        <v>0</v>
      </c>
      <c r="N1776" s="7">
        <v>1</v>
      </c>
      <c r="O1776" t="s">
        <v>2729</v>
      </c>
      <c r="P1776" s="3" t="s">
        <v>2654</v>
      </c>
      <c r="Q1776" s="8">
        <v>6.1383E-2</v>
      </c>
    </row>
    <row r="1777" spans="1:17" hidden="1" x14ac:dyDescent="0.55000000000000004">
      <c r="A1777" s="3" t="s">
        <v>2640</v>
      </c>
      <c r="B1777" s="3" t="s">
        <v>2724</v>
      </c>
      <c r="C1777" t="s">
        <v>2724</v>
      </c>
      <c r="D1777" s="3" t="s">
        <v>7312</v>
      </c>
      <c r="E1777" t="s">
        <v>2725</v>
      </c>
      <c r="F1777" s="3" t="s">
        <v>2726</v>
      </c>
      <c r="G1777" t="s">
        <v>19</v>
      </c>
      <c r="H1777" s="3" t="s">
        <v>2730</v>
      </c>
      <c r="I1777" t="s">
        <v>1227</v>
      </c>
      <c r="J1777" s="3" t="s">
        <v>2728</v>
      </c>
      <c r="K1777" s="4">
        <v>178</v>
      </c>
      <c r="L1777" s="5">
        <v>38.74</v>
      </c>
      <c r="M1777" s="6">
        <v>0</v>
      </c>
      <c r="N1777" s="7">
        <v>1</v>
      </c>
      <c r="O1777" t="s">
        <v>2731</v>
      </c>
      <c r="P1777" s="3" t="s">
        <v>2654</v>
      </c>
      <c r="Q1777" s="8">
        <v>6.1383E-2</v>
      </c>
    </row>
    <row r="1778" spans="1:17" hidden="1" x14ac:dyDescent="0.55000000000000004">
      <c r="A1778" s="3" t="s">
        <v>2640</v>
      </c>
      <c r="B1778" s="3" t="s">
        <v>2724</v>
      </c>
      <c r="C1778" t="s">
        <v>2724</v>
      </c>
      <c r="D1778" s="3" t="s">
        <v>7312</v>
      </c>
      <c r="E1778" t="s">
        <v>2725</v>
      </c>
      <c r="F1778" s="3" t="s">
        <v>2726</v>
      </c>
      <c r="G1778" t="s">
        <v>19</v>
      </c>
      <c r="H1778" s="3" t="s">
        <v>2732</v>
      </c>
      <c r="I1778" t="s">
        <v>1232</v>
      </c>
      <c r="J1778" s="3" t="s">
        <v>2728</v>
      </c>
      <c r="K1778" s="4">
        <v>679</v>
      </c>
      <c r="L1778" s="5">
        <v>147.57</v>
      </c>
      <c r="M1778" s="6">
        <v>0</v>
      </c>
      <c r="N1778" s="7">
        <v>1</v>
      </c>
      <c r="O1778" t="s">
        <v>2733</v>
      </c>
      <c r="P1778" s="3" t="s">
        <v>212</v>
      </c>
      <c r="Q1778" s="8">
        <v>0.11074000000000001</v>
      </c>
    </row>
    <row r="1779" spans="1:17" hidden="1" x14ac:dyDescent="0.55000000000000004">
      <c r="A1779" s="3" t="s">
        <v>2640</v>
      </c>
      <c r="B1779" s="3" t="s">
        <v>2724</v>
      </c>
      <c r="C1779" t="s">
        <v>2724</v>
      </c>
      <c r="D1779" s="3" t="s">
        <v>7312</v>
      </c>
      <c r="E1779" t="s">
        <v>2725</v>
      </c>
      <c r="F1779" s="3" t="s">
        <v>2726</v>
      </c>
      <c r="G1779" t="s">
        <v>19</v>
      </c>
      <c r="H1779" s="3" t="s">
        <v>2734</v>
      </c>
      <c r="I1779" t="s">
        <v>686</v>
      </c>
      <c r="J1779" s="3" t="s">
        <v>2728</v>
      </c>
      <c r="K1779" s="4">
        <v>633</v>
      </c>
      <c r="L1779" s="5">
        <v>137.52000000000001</v>
      </c>
      <c r="M1779" s="6">
        <v>0</v>
      </c>
      <c r="N1779" s="7">
        <v>1</v>
      </c>
      <c r="O1779" t="s">
        <v>2735</v>
      </c>
      <c r="P1779" s="3" t="s">
        <v>212</v>
      </c>
      <c r="Q1779" s="8">
        <v>0.115579</v>
      </c>
    </row>
    <row r="1780" spans="1:17" hidden="1" x14ac:dyDescent="0.55000000000000004">
      <c r="A1780" s="3" t="s">
        <v>2640</v>
      </c>
      <c r="B1780" s="3" t="s">
        <v>2724</v>
      </c>
      <c r="C1780" t="s">
        <v>2724</v>
      </c>
      <c r="D1780" s="3" t="s">
        <v>7312</v>
      </c>
      <c r="E1780" t="s">
        <v>2725</v>
      </c>
      <c r="F1780" s="3" t="s">
        <v>2726</v>
      </c>
      <c r="G1780" t="s">
        <v>19</v>
      </c>
      <c r="H1780" s="3" t="s">
        <v>2736</v>
      </c>
      <c r="I1780" t="s">
        <v>1235</v>
      </c>
      <c r="J1780" s="3" t="s">
        <v>2728</v>
      </c>
      <c r="K1780" s="4">
        <v>331</v>
      </c>
      <c r="L1780" s="5">
        <v>72.040000000000006</v>
      </c>
      <c r="M1780" s="6">
        <v>0</v>
      </c>
      <c r="N1780" s="7">
        <v>1</v>
      </c>
      <c r="O1780" t="s">
        <v>2737</v>
      </c>
      <c r="P1780" s="3" t="s">
        <v>212</v>
      </c>
      <c r="Q1780" s="8">
        <v>8.7613999999999997E-2</v>
      </c>
    </row>
    <row r="1781" spans="1:17" hidden="1" x14ac:dyDescent="0.55000000000000004">
      <c r="A1781" s="3" t="s">
        <v>2640</v>
      </c>
      <c r="B1781" s="3" t="s">
        <v>2724</v>
      </c>
      <c r="C1781" t="s">
        <v>2724</v>
      </c>
      <c r="D1781" s="3" t="s">
        <v>7312</v>
      </c>
      <c r="E1781" t="s">
        <v>2725</v>
      </c>
      <c r="F1781" s="3" t="s">
        <v>2726</v>
      </c>
      <c r="G1781" t="s">
        <v>19</v>
      </c>
      <c r="H1781" s="3" t="s">
        <v>2738</v>
      </c>
      <c r="I1781" t="s">
        <v>2652</v>
      </c>
      <c r="J1781" s="3" t="s">
        <v>2728</v>
      </c>
      <c r="K1781" s="4">
        <v>162</v>
      </c>
      <c r="L1781" s="5">
        <v>35.200000000000003</v>
      </c>
      <c r="M1781" s="6">
        <v>0</v>
      </c>
      <c r="N1781" s="7">
        <v>1</v>
      </c>
      <c r="O1781" t="s">
        <v>2739</v>
      </c>
      <c r="P1781" s="3" t="s">
        <v>2654</v>
      </c>
      <c r="Q1781" s="8">
        <v>6.1383E-2</v>
      </c>
    </row>
    <row r="1782" spans="1:17" hidden="1" x14ac:dyDescent="0.55000000000000004">
      <c r="A1782" s="3" t="s">
        <v>2640</v>
      </c>
      <c r="B1782" s="3" t="s">
        <v>2724</v>
      </c>
      <c r="C1782" t="s">
        <v>2724</v>
      </c>
      <c r="D1782" s="3" t="s">
        <v>7312</v>
      </c>
      <c r="E1782" t="s">
        <v>2725</v>
      </c>
      <c r="F1782" s="3" t="s">
        <v>2726</v>
      </c>
      <c r="G1782" t="s">
        <v>19</v>
      </c>
      <c r="H1782" s="3" t="s">
        <v>2740</v>
      </c>
      <c r="I1782" t="s">
        <v>1223</v>
      </c>
      <c r="J1782" s="3" t="s">
        <v>2728</v>
      </c>
      <c r="K1782" s="4">
        <v>170</v>
      </c>
      <c r="L1782" s="5">
        <v>36.96</v>
      </c>
      <c r="M1782" s="6">
        <v>0</v>
      </c>
      <c r="N1782" s="7">
        <v>1</v>
      </c>
      <c r="O1782" t="s">
        <v>2729</v>
      </c>
      <c r="P1782" s="3" t="s">
        <v>2654</v>
      </c>
      <c r="Q1782" s="8">
        <v>6.1383E-2</v>
      </c>
    </row>
    <row r="1783" spans="1:17" hidden="1" x14ac:dyDescent="0.55000000000000004">
      <c r="A1783" s="3" t="s">
        <v>2640</v>
      </c>
      <c r="B1783" s="3" t="s">
        <v>2724</v>
      </c>
      <c r="C1783" t="s">
        <v>2724</v>
      </c>
      <c r="D1783" s="3" t="s">
        <v>7312</v>
      </c>
      <c r="E1783" t="s">
        <v>2725</v>
      </c>
      <c r="F1783" s="3" t="s">
        <v>2726</v>
      </c>
      <c r="G1783" t="s">
        <v>19</v>
      </c>
      <c r="H1783" s="3" t="s">
        <v>2741</v>
      </c>
      <c r="I1783" t="s">
        <v>1227</v>
      </c>
      <c r="J1783" s="3" t="s">
        <v>2728</v>
      </c>
      <c r="K1783" s="4">
        <v>178</v>
      </c>
      <c r="L1783" s="5">
        <v>38.74</v>
      </c>
      <c r="M1783" s="6">
        <v>1</v>
      </c>
      <c r="N1783" s="7">
        <v>1</v>
      </c>
      <c r="O1783" t="s">
        <v>2731</v>
      </c>
      <c r="P1783" s="3" t="s">
        <v>2654</v>
      </c>
      <c r="Q1783" s="8">
        <v>6.1383E-2</v>
      </c>
    </row>
    <row r="1784" spans="1:17" hidden="1" x14ac:dyDescent="0.55000000000000004">
      <c r="A1784" s="3" t="s">
        <v>2640</v>
      </c>
      <c r="B1784" s="3" t="s">
        <v>2724</v>
      </c>
      <c r="C1784" t="s">
        <v>2724</v>
      </c>
      <c r="D1784" s="3" t="s">
        <v>7312</v>
      </c>
      <c r="E1784" t="s">
        <v>2725</v>
      </c>
      <c r="F1784" s="3" t="s">
        <v>2726</v>
      </c>
      <c r="G1784" t="s">
        <v>24</v>
      </c>
      <c r="H1784" s="3" t="s">
        <v>2742</v>
      </c>
      <c r="I1784" t="s">
        <v>52</v>
      </c>
      <c r="J1784" s="3" t="s">
        <v>2743</v>
      </c>
      <c r="K1784" s="4">
        <v>320</v>
      </c>
      <c r="L1784" s="5">
        <v>14.53</v>
      </c>
      <c r="M1784" s="6">
        <v>0</v>
      </c>
      <c r="N1784" s="7">
        <v>1</v>
      </c>
      <c r="O1784" t="s">
        <v>2744</v>
      </c>
      <c r="P1784" s="3" t="s">
        <v>55</v>
      </c>
      <c r="Q1784" s="8">
        <v>0.18123300000000001</v>
      </c>
    </row>
    <row r="1785" spans="1:17" hidden="1" x14ac:dyDescent="0.55000000000000004">
      <c r="A1785" s="3" t="s">
        <v>2640</v>
      </c>
      <c r="B1785" s="3" t="s">
        <v>2745</v>
      </c>
      <c r="C1785" t="s">
        <v>7356</v>
      </c>
      <c r="D1785" s="3" t="s">
        <v>7312</v>
      </c>
      <c r="E1785" t="s">
        <v>2746</v>
      </c>
      <c r="F1785" s="3" t="s">
        <v>2747</v>
      </c>
      <c r="G1785" t="s">
        <v>19</v>
      </c>
      <c r="H1785" s="3" t="s">
        <v>2748</v>
      </c>
      <c r="I1785" t="s">
        <v>2749</v>
      </c>
      <c r="J1785" s="3" t="s">
        <v>2750</v>
      </c>
      <c r="K1785" s="4">
        <v>205</v>
      </c>
      <c r="L1785" s="5">
        <v>44.65</v>
      </c>
      <c r="M1785" s="6">
        <v>1</v>
      </c>
      <c r="N1785" s="7">
        <v>1</v>
      </c>
      <c r="O1785" t="s">
        <v>2751</v>
      </c>
      <c r="P1785" s="3" t="s">
        <v>2752</v>
      </c>
      <c r="Q1785" s="8">
        <v>5.4224000000000001E-2</v>
      </c>
    </row>
    <row r="1786" spans="1:17" hidden="1" x14ac:dyDescent="0.55000000000000004">
      <c r="A1786" s="3" t="s">
        <v>2640</v>
      </c>
      <c r="B1786" s="3" t="s">
        <v>2745</v>
      </c>
      <c r="C1786" t="s">
        <v>7356</v>
      </c>
      <c r="D1786" s="3" t="s">
        <v>7312</v>
      </c>
      <c r="E1786" t="s">
        <v>2746</v>
      </c>
      <c r="F1786" s="3" t="s">
        <v>2747</v>
      </c>
      <c r="G1786" t="s">
        <v>24</v>
      </c>
      <c r="H1786" s="3" t="s">
        <v>2753</v>
      </c>
      <c r="I1786" t="s">
        <v>52</v>
      </c>
      <c r="J1786" s="3" t="s">
        <v>2754</v>
      </c>
      <c r="K1786" s="4">
        <v>545</v>
      </c>
      <c r="L1786" s="5">
        <v>24.78</v>
      </c>
      <c r="M1786" s="6">
        <v>0</v>
      </c>
      <c r="N1786" s="7">
        <v>1</v>
      </c>
      <c r="O1786" t="s">
        <v>2755</v>
      </c>
      <c r="P1786" s="3" t="s">
        <v>55</v>
      </c>
      <c r="Q1786" s="8">
        <v>0.18348300000000001</v>
      </c>
    </row>
    <row r="1787" spans="1:17" hidden="1" x14ac:dyDescent="0.55000000000000004">
      <c r="A1787" s="3" t="s">
        <v>2640</v>
      </c>
      <c r="B1787" s="3" t="s">
        <v>2756</v>
      </c>
      <c r="C1787" t="s">
        <v>7357</v>
      </c>
      <c r="D1787" s="3" t="s">
        <v>7312</v>
      </c>
      <c r="E1787" t="s">
        <v>2757</v>
      </c>
      <c r="F1787" s="3" t="s">
        <v>2758</v>
      </c>
      <c r="G1787" t="s">
        <v>24</v>
      </c>
      <c r="H1787" s="3" t="s">
        <v>2759</v>
      </c>
      <c r="I1787" t="s">
        <v>26</v>
      </c>
      <c r="J1787" s="3" t="s">
        <v>2760</v>
      </c>
      <c r="K1787" s="4">
        <v>398</v>
      </c>
      <c r="L1787" s="5">
        <v>18.11</v>
      </c>
      <c r="M1787" s="6">
        <v>0</v>
      </c>
      <c r="N1787" s="7">
        <v>0</v>
      </c>
      <c r="O1787" t="s">
        <v>2761</v>
      </c>
      <c r="P1787" s="3" t="s">
        <v>29</v>
      </c>
      <c r="Q1787" s="8">
        <v>0.18201999999999999</v>
      </c>
    </row>
    <row r="1788" spans="1:17" hidden="1" x14ac:dyDescent="0.55000000000000004">
      <c r="A1788" s="3" t="s">
        <v>2640</v>
      </c>
      <c r="B1788" s="3" t="s">
        <v>2762</v>
      </c>
      <c r="C1788" t="s">
        <v>7357</v>
      </c>
      <c r="D1788" s="3" t="s">
        <v>7312</v>
      </c>
      <c r="E1788" t="s">
        <v>2763</v>
      </c>
      <c r="F1788" s="3" t="s">
        <v>2764</v>
      </c>
      <c r="G1788" t="s">
        <v>19</v>
      </c>
      <c r="H1788" s="3" t="s">
        <v>2765</v>
      </c>
      <c r="I1788" t="s">
        <v>1276</v>
      </c>
      <c r="J1788" s="3" t="s">
        <v>2766</v>
      </c>
      <c r="K1788" s="4">
        <v>416</v>
      </c>
      <c r="L1788" s="5">
        <v>90.41</v>
      </c>
      <c r="M1788" s="6">
        <v>1</v>
      </c>
      <c r="N1788" s="7">
        <v>0</v>
      </c>
      <c r="O1788" t="s">
        <v>2767</v>
      </c>
      <c r="P1788" s="3" t="s">
        <v>1282</v>
      </c>
      <c r="Q1788" s="8">
        <v>6.5933000000000005E-2</v>
      </c>
    </row>
    <row r="1789" spans="1:17" hidden="1" x14ac:dyDescent="0.55000000000000004">
      <c r="A1789" s="3" t="s">
        <v>2640</v>
      </c>
      <c r="B1789" s="3" t="s">
        <v>2762</v>
      </c>
      <c r="C1789" t="s">
        <v>7357</v>
      </c>
      <c r="D1789" s="3" t="s">
        <v>7312</v>
      </c>
      <c r="E1789" t="s">
        <v>2763</v>
      </c>
      <c r="F1789" s="3" t="s">
        <v>2764</v>
      </c>
      <c r="G1789" t="s">
        <v>19</v>
      </c>
      <c r="H1789" s="3" t="s">
        <v>2765</v>
      </c>
      <c r="I1789" t="s">
        <v>1276</v>
      </c>
      <c r="J1789" s="3" t="s">
        <v>2766</v>
      </c>
      <c r="K1789" s="4">
        <v>416</v>
      </c>
      <c r="L1789" s="5">
        <v>90.41</v>
      </c>
      <c r="M1789" s="6">
        <v>1</v>
      </c>
      <c r="N1789" s="7">
        <v>0</v>
      </c>
      <c r="O1789" t="s">
        <v>1281</v>
      </c>
      <c r="P1789" s="3" t="s">
        <v>1282</v>
      </c>
      <c r="Q1789" s="8">
        <v>2.8874E-2</v>
      </c>
    </row>
    <row r="1790" spans="1:17" hidden="1" x14ac:dyDescent="0.55000000000000004">
      <c r="A1790" s="3" t="s">
        <v>2640</v>
      </c>
      <c r="B1790" s="3" t="s">
        <v>2762</v>
      </c>
      <c r="C1790" t="s">
        <v>7357</v>
      </c>
      <c r="D1790" s="3" t="s">
        <v>7312</v>
      </c>
      <c r="E1790" t="s">
        <v>2763</v>
      </c>
      <c r="F1790" s="3" t="s">
        <v>2764</v>
      </c>
      <c r="G1790" t="s">
        <v>19</v>
      </c>
      <c r="H1790" s="3" t="s">
        <v>2768</v>
      </c>
      <c r="I1790" t="s">
        <v>2749</v>
      </c>
      <c r="J1790" s="3" t="s">
        <v>2769</v>
      </c>
      <c r="K1790" s="4">
        <v>438</v>
      </c>
      <c r="L1790" s="5">
        <v>95.28</v>
      </c>
      <c r="M1790" s="6">
        <v>0</v>
      </c>
      <c r="N1790" s="7">
        <v>0</v>
      </c>
      <c r="O1790" t="s">
        <v>2770</v>
      </c>
      <c r="P1790" s="3" t="s">
        <v>2752</v>
      </c>
      <c r="Q1790" s="8">
        <v>9.7610000000000002E-2</v>
      </c>
    </row>
    <row r="1791" spans="1:17" hidden="1" x14ac:dyDescent="0.55000000000000004">
      <c r="A1791" s="3" t="s">
        <v>2640</v>
      </c>
      <c r="B1791" s="3" t="s">
        <v>2762</v>
      </c>
      <c r="C1791" t="s">
        <v>7357</v>
      </c>
      <c r="D1791" s="3" t="s">
        <v>7312</v>
      </c>
      <c r="E1791" t="s">
        <v>2763</v>
      </c>
      <c r="F1791" s="3" t="s">
        <v>2764</v>
      </c>
      <c r="G1791" t="s">
        <v>24</v>
      </c>
      <c r="H1791" s="3" t="s">
        <v>2771</v>
      </c>
      <c r="I1791" t="s">
        <v>52</v>
      </c>
      <c r="J1791" s="3" t="s">
        <v>2772</v>
      </c>
      <c r="K1791" s="4">
        <v>415</v>
      </c>
      <c r="L1791" s="5">
        <v>18.88</v>
      </c>
      <c r="M1791" s="6">
        <v>0</v>
      </c>
      <c r="N1791" s="7">
        <v>0</v>
      </c>
      <c r="O1791" t="s">
        <v>2773</v>
      </c>
      <c r="P1791" s="3" t="s">
        <v>55</v>
      </c>
      <c r="Q1791" s="8">
        <v>0.18218799999999999</v>
      </c>
    </row>
    <row r="1792" spans="1:17" hidden="1" x14ac:dyDescent="0.55000000000000004">
      <c r="A1792" s="3" t="s">
        <v>2640</v>
      </c>
      <c r="B1792" s="3" t="s">
        <v>2762</v>
      </c>
      <c r="C1792" t="s">
        <v>7357</v>
      </c>
      <c r="D1792" s="3" t="s">
        <v>7312</v>
      </c>
      <c r="E1792" t="s">
        <v>2774</v>
      </c>
      <c r="F1792" s="3" t="s">
        <v>2775</v>
      </c>
      <c r="G1792" t="s">
        <v>19</v>
      </c>
      <c r="H1792" s="3" t="s">
        <v>2776</v>
      </c>
      <c r="I1792" t="s">
        <v>1232</v>
      </c>
      <c r="J1792" s="3" t="s">
        <v>2777</v>
      </c>
      <c r="K1792" s="4">
        <v>715</v>
      </c>
      <c r="L1792" s="5">
        <v>155.5</v>
      </c>
      <c r="M1792" s="6">
        <v>0</v>
      </c>
      <c r="N1792" s="7">
        <v>1</v>
      </c>
      <c r="O1792" t="s">
        <v>2778</v>
      </c>
      <c r="P1792" s="3" t="s">
        <v>212</v>
      </c>
      <c r="Q1792" s="8">
        <v>0.13331899999999999</v>
      </c>
    </row>
    <row r="1793" spans="1:17" hidden="1" x14ac:dyDescent="0.55000000000000004">
      <c r="A1793" s="3" t="s">
        <v>2640</v>
      </c>
      <c r="B1793" s="3" t="s">
        <v>2762</v>
      </c>
      <c r="C1793" t="s">
        <v>7357</v>
      </c>
      <c r="D1793" s="3" t="s">
        <v>7312</v>
      </c>
      <c r="E1793" t="s">
        <v>2774</v>
      </c>
      <c r="F1793" s="3" t="s">
        <v>2775</v>
      </c>
      <c r="G1793" t="s">
        <v>19</v>
      </c>
      <c r="H1793" s="3" t="s">
        <v>2779</v>
      </c>
      <c r="I1793" t="s">
        <v>686</v>
      </c>
      <c r="J1793" s="3" t="s">
        <v>2777</v>
      </c>
      <c r="K1793" s="4">
        <v>669</v>
      </c>
      <c r="L1793" s="5">
        <v>145.46</v>
      </c>
      <c r="M1793" s="6">
        <v>0</v>
      </c>
      <c r="N1793" s="7">
        <v>1</v>
      </c>
      <c r="O1793" t="s">
        <v>2780</v>
      </c>
      <c r="P1793" s="3" t="s">
        <v>212</v>
      </c>
      <c r="Q1793" s="8">
        <v>0.138793</v>
      </c>
    </row>
    <row r="1794" spans="1:17" hidden="1" x14ac:dyDescent="0.55000000000000004">
      <c r="A1794" s="3" t="s">
        <v>2640</v>
      </c>
      <c r="B1794" s="3" t="s">
        <v>2762</v>
      </c>
      <c r="C1794" t="s">
        <v>7357</v>
      </c>
      <c r="D1794" s="3" t="s">
        <v>7312</v>
      </c>
      <c r="E1794" t="s">
        <v>2774</v>
      </c>
      <c r="F1794" s="3" t="s">
        <v>2775</v>
      </c>
      <c r="G1794" t="s">
        <v>19</v>
      </c>
      <c r="H1794" s="3" t="s">
        <v>2781</v>
      </c>
      <c r="I1794" t="s">
        <v>1235</v>
      </c>
      <c r="J1794" s="3" t="s">
        <v>2777</v>
      </c>
      <c r="K1794" s="4">
        <v>148</v>
      </c>
      <c r="L1794" s="5">
        <v>32.26</v>
      </c>
      <c r="M1794" s="6">
        <v>0</v>
      </c>
      <c r="N1794" s="7">
        <v>1</v>
      </c>
      <c r="O1794" t="s">
        <v>2782</v>
      </c>
      <c r="P1794" s="3" t="s">
        <v>212</v>
      </c>
      <c r="Q1794" s="8">
        <v>6.6020999999999996E-2</v>
      </c>
    </row>
    <row r="1795" spans="1:17" hidden="1" x14ac:dyDescent="0.55000000000000004">
      <c r="A1795" s="3" t="s">
        <v>2640</v>
      </c>
      <c r="B1795" s="3" t="s">
        <v>2762</v>
      </c>
      <c r="C1795" t="s">
        <v>7357</v>
      </c>
      <c r="D1795" s="3" t="s">
        <v>7312</v>
      </c>
      <c r="E1795" t="s">
        <v>2774</v>
      </c>
      <c r="F1795" s="3" t="s">
        <v>2775</v>
      </c>
      <c r="G1795" t="s">
        <v>19</v>
      </c>
      <c r="H1795" s="3" t="s">
        <v>2783</v>
      </c>
      <c r="I1795" t="s">
        <v>2652</v>
      </c>
      <c r="J1795" s="3" t="s">
        <v>2777</v>
      </c>
      <c r="K1795" s="4">
        <v>21</v>
      </c>
      <c r="L1795" s="5">
        <v>4.59</v>
      </c>
      <c r="M1795" s="6">
        <v>0</v>
      </c>
      <c r="N1795" s="7">
        <v>1</v>
      </c>
      <c r="O1795" t="s">
        <v>2784</v>
      </c>
      <c r="P1795" s="3" t="s">
        <v>2654</v>
      </c>
      <c r="Q1795" s="8">
        <v>3.1511999999999998E-2</v>
      </c>
    </row>
    <row r="1796" spans="1:17" hidden="1" x14ac:dyDescent="0.55000000000000004">
      <c r="A1796" s="3" t="s">
        <v>2640</v>
      </c>
      <c r="B1796" s="3" t="s">
        <v>2762</v>
      </c>
      <c r="C1796" t="s">
        <v>7357</v>
      </c>
      <c r="D1796" s="3" t="s">
        <v>7312</v>
      </c>
      <c r="E1796" t="s">
        <v>2774</v>
      </c>
      <c r="F1796" s="3" t="s">
        <v>2775</v>
      </c>
      <c r="G1796" t="s">
        <v>19</v>
      </c>
      <c r="H1796" s="3" t="s">
        <v>2785</v>
      </c>
      <c r="I1796" t="s">
        <v>1223</v>
      </c>
      <c r="J1796" s="3" t="s">
        <v>2777</v>
      </c>
      <c r="K1796" s="4">
        <v>29</v>
      </c>
      <c r="L1796" s="5">
        <v>6.35</v>
      </c>
      <c r="M1796" s="6">
        <v>0</v>
      </c>
      <c r="N1796" s="7">
        <v>1</v>
      </c>
      <c r="O1796" t="s">
        <v>2786</v>
      </c>
      <c r="P1796" s="3" t="s">
        <v>2654</v>
      </c>
      <c r="Q1796" s="8">
        <v>3.1511999999999998E-2</v>
      </c>
    </row>
    <row r="1797" spans="1:17" hidden="1" x14ac:dyDescent="0.55000000000000004">
      <c r="A1797" s="3" t="s">
        <v>2640</v>
      </c>
      <c r="B1797" s="3" t="s">
        <v>2762</v>
      </c>
      <c r="C1797" t="s">
        <v>7357</v>
      </c>
      <c r="D1797" s="3" t="s">
        <v>7312</v>
      </c>
      <c r="E1797" t="s">
        <v>2774</v>
      </c>
      <c r="F1797" s="3" t="s">
        <v>2775</v>
      </c>
      <c r="G1797" t="s">
        <v>19</v>
      </c>
      <c r="H1797" s="3" t="s">
        <v>2787</v>
      </c>
      <c r="I1797" t="s">
        <v>1227</v>
      </c>
      <c r="J1797" s="3" t="s">
        <v>2777</v>
      </c>
      <c r="K1797" s="4">
        <v>37</v>
      </c>
      <c r="L1797" s="5">
        <v>8.1300000000000008</v>
      </c>
      <c r="M1797" s="6">
        <v>1</v>
      </c>
      <c r="N1797" s="7">
        <v>1</v>
      </c>
      <c r="O1797" t="s">
        <v>2788</v>
      </c>
      <c r="P1797" s="3" t="s">
        <v>2654</v>
      </c>
      <c r="Q1797" s="8">
        <v>3.1511999999999998E-2</v>
      </c>
    </row>
    <row r="1798" spans="1:17" hidden="1" x14ac:dyDescent="0.55000000000000004">
      <c r="A1798" s="3" t="s">
        <v>2640</v>
      </c>
      <c r="B1798" s="3" t="s">
        <v>2762</v>
      </c>
      <c r="C1798" t="s">
        <v>7357</v>
      </c>
      <c r="D1798" s="3" t="s">
        <v>7312</v>
      </c>
      <c r="E1798" t="s">
        <v>2774</v>
      </c>
      <c r="F1798" s="3" t="s">
        <v>2775</v>
      </c>
      <c r="G1798" t="s">
        <v>24</v>
      </c>
      <c r="H1798" s="3" t="s">
        <v>2771</v>
      </c>
      <c r="I1798" t="s">
        <v>52</v>
      </c>
      <c r="J1798" s="3" t="s">
        <v>2772</v>
      </c>
      <c r="K1798" s="4">
        <v>415</v>
      </c>
      <c r="L1798" s="5">
        <v>18.88</v>
      </c>
      <c r="M1798" s="6">
        <v>0</v>
      </c>
      <c r="N1798" s="7">
        <v>1</v>
      </c>
      <c r="O1798" t="s">
        <v>2773</v>
      </c>
      <c r="P1798" s="3" t="s">
        <v>55</v>
      </c>
      <c r="Q1798" s="8">
        <v>0.18218799999999999</v>
      </c>
    </row>
    <row r="1799" spans="1:17" hidden="1" x14ac:dyDescent="0.55000000000000004">
      <c r="A1799" s="3" t="s">
        <v>2640</v>
      </c>
      <c r="B1799" s="3" t="s">
        <v>2762</v>
      </c>
      <c r="C1799" t="s">
        <v>7357</v>
      </c>
      <c r="D1799" s="3" t="s">
        <v>7312</v>
      </c>
      <c r="E1799" t="s">
        <v>2774</v>
      </c>
      <c r="F1799" s="3" t="s">
        <v>2775</v>
      </c>
      <c r="G1799" t="s">
        <v>24</v>
      </c>
      <c r="H1799" s="3" t="s">
        <v>2789</v>
      </c>
      <c r="I1799" t="s">
        <v>218</v>
      </c>
      <c r="J1799" s="3" t="s">
        <v>2790</v>
      </c>
      <c r="K1799" s="4">
        <v>495</v>
      </c>
      <c r="L1799" s="5">
        <v>22.48</v>
      </c>
      <c r="M1799" s="6">
        <v>0</v>
      </c>
      <c r="N1799" s="7">
        <v>1</v>
      </c>
      <c r="O1799" t="s">
        <v>2791</v>
      </c>
      <c r="P1799" s="3" t="s">
        <v>23</v>
      </c>
      <c r="Q1799" s="8" t="s">
        <v>23</v>
      </c>
    </row>
    <row r="1800" spans="1:17" hidden="1" x14ac:dyDescent="0.55000000000000004">
      <c r="A1800" s="3" t="s">
        <v>2640</v>
      </c>
      <c r="B1800" s="3" t="s">
        <v>2792</v>
      </c>
      <c r="C1800" t="s">
        <v>7357</v>
      </c>
      <c r="D1800" s="3" t="s">
        <v>7312</v>
      </c>
      <c r="E1800" t="s">
        <v>2793</v>
      </c>
      <c r="F1800" s="3" t="s">
        <v>2794</v>
      </c>
      <c r="G1800" t="s">
        <v>24</v>
      </c>
      <c r="H1800" s="3" t="s">
        <v>2795</v>
      </c>
      <c r="I1800" t="s">
        <v>52</v>
      </c>
      <c r="J1800" s="3" t="s">
        <v>2796</v>
      </c>
      <c r="K1800" s="4">
        <v>408</v>
      </c>
      <c r="L1800" s="5">
        <v>18.55</v>
      </c>
      <c r="M1800" s="6">
        <v>0</v>
      </c>
      <c r="N1800" s="7">
        <v>0</v>
      </c>
      <c r="O1800" t="s">
        <v>2797</v>
      </c>
      <c r="P1800" s="3" t="s">
        <v>55</v>
      </c>
      <c r="Q1800" s="8">
        <v>0.182116</v>
      </c>
    </row>
    <row r="1801" spans="1:17" hidden="1" x14ac:dyDescent="0.55000000000000004">
      <c r="A1801" s="3" t="s">
        <v>2640</v>
      </c>
      <c r="B1801" s="3" t="s">
        <v>2798</v>
      </c>
      <c r="C1801" t="s">
        <v>2799</v>
      </c>
      <c r="D1801" s="3" t="s">
        <v>7312</v>
      </c>
      <c r="E1801" t="s">
        <v>2800</v>
      </c>
      <c r="F1801" s="3" t="s">
        <v>2801</v>
      </c>
      <c r="G1801" t="s">
        <v>19</v>
      </c>
      <c r="H1801" s="3" t="s">
        <v>2802</v>
      </c>
      <c r="I1801" t="s">
        <v>2749</v>
      </c>
      <c r="J1801" s="3" t="s">
        <v>2803</v>
      </c>
      <c r="K1801" s="4">
        <v>328</v>
      </c>
      <c r="L1801" s="5">
        <v>71.41</v>
      </c>
      <c r="M1801" s="6">
        <v>1</v>
      </c>
      <c r="N1801" s="7">
        <v>1</v>
      </c>
      <c r="O1801" t="s">
        <v>2804</v>
      </c>
      <c r="P1801" s="3" t="s">
        <v>2752</v>
      </c>
      <c r="Q1801" s="8">
        <v>8.1331000000000001E-2</v>
      </c>
    </row>
    <row r="1802" spans="1:17" hidden="1" x14ac:dyDescent="0.55000000000000004">
      <c r="A1802" s="3" t="s">
        <v>2640</v>
      </c>
      <c r="B1802" s="3" t="s">
        <v>2798</v>
      </c>
      <c r="C1802" t="s">
        <v>2799</v>
      </c>
      <c r="D1802" s="3" t="s">
        <v>7312</v>
      </c>
      <c r="E1802" t="s">
        <v>2800</v>
      </c>
      <c r="F1802" s="3" t="s">
        <v>2801</v>
      </c>
      <c r="G1802" t="s">
        <v>24</v>
      </c>
      <c r="H1802" s="3" t="s">
        <v>2805</v>
      </c>
      <c r="I1802" t="s">
        <v>52</v>
      </c>
      <c r="J1802" s="3" t="s">
        <v>2806</v>
      </c>
      <c r="K1802" s="4">
        <v>442</v>
      </c>
      <c r="L1802" s="5">
        <v>20.100000000000001</v>
      </c>
      <c r="M1802" s="6">
        <v>0</v>
      </c>
      <c r="N1802" s="7">
        <v>1</v>
      </c>
      <c r="O1802" t="s">
        <v>2807</v>
      </c>
      <c r="P1802" s="3" t="s">
        <v>55</v>
      </c>
      <c r="Q1802" s="8">
        <v>0.18245500000000001</v>
      </c>
    </row>
    <row r="1803" spans="1:17" hidden="1" x14ac:dyDescent="0.55000000000000004">
      <c r="A1803" s="3" t="s">
        <v>2640</v>
      </c>
      <c r="B1803" s="3" t="s">
        <v>2808</v>
      </c>
      <c r="C1803" t="s">
        <v>2682</v>
      </c>
      <c r="D1803" s="3" t="s">
        <v>7312</v>
      </c>
      <c r="E1803" t="s">
        <v>2809</v>
      </c>
      <c r="F1803" s="3" t="s">
        <v>2810</v>
      </c>
      <c r="G1803" t="s">
        <v>19</v>
      </c>
      <c r="H1803" s="3" t="s">
        <v>2811</v>
      </c>
      <c r="I1803" t="s">
        <v>1276</v>
      </c>
      <c r="J1803" s="3" t="s">
        <v>2812</v>
      </c>
      <c r="K1803" s="4">
        <v>310</v>
      </c>
      <c r="L1803" s="5">
        <v>67.33</v>
      </c>
      <c r="M1803" s="6">
        <v>1</v>
      </c>
      <c r="N1803" s="7">
        <v>0</v>
      </c>
      <c r="O1803" t="s">
        <v>1281</v>
      </c>
      <c r="P1803" s="3" t="s">
        <v>1282</v>
      </c>
      <c r="Q1803" s="8">
        <v>2.8874E-2</v>
      </c>
    </row>
    <row r="1804" spans="1:17" hidden="1" x14ac:dyDescent="0.55000000000000004">
      <c r="A1804" s="3" t="s">
        <v>2640</v>
      </c>
      <c r="B1804" s="3" t="s">
        <v>2808</v>
      </c>
      <c r="C1804" t="s">
        <v>2682</v>
      </c>
      <c r="D1804" s="3" t="s">
        <v>7312</v>
      </c>
      <c r="E1804" t="s">
        <v>2809</v>
      </c>
      <c r="F1804" s="3" t="s">
        <v>2810</v>
      </c>
      <c r="G1804" t="s">
        <v>19</v>
      </c>
      <c r="H1804" s="3" t="s">
        <v>2811</v>
      </c>
      <c r="I1804" t="s">
        <v>1276</v>
      </c>
      <c r="J1804" s="3" t="s">
        <v>2812</v>
      </c>
      <c r="K1804" s="4">
        <v>310</v>
      </c>
      <c r="L1804" s="5">
        <v>67.33</v>
      </c>
      <c r="M1804" s="6">
        <v>1</v>
      </c>
      <c r="N1804" s="7">
        <v>0</v>
      </c>
      <c r="O1804" t="s">
        <v>2813</v>
      </c>
      <c r="P1804" s="3" t="s">
        <v>1282</v>
      </c>
      <c r="Q1804" s="8">
        <v>5.466E-2</v>
      </c>
    </row>
    <row r="1805" spans="1:17" hidden="1" x14ac:dyDescent="0.55000000000000004">
      <c r="A1805" s="3" t="s">
        <v>2640</v>
      </c>
      <c r="B1805" s="3" t="s">
        <v>2808</v>
      </c>
      <c r="C1805" t="s">
        <v>2682</v>
      </c>
      <c r="D1805" s="3" t="s">
        <v>7312</v>
      </c>
      <c r="E1805" t="s">
        <v>2809</v>
      </c>
      <c r="F1805" s="3" t="s">
        <v>2810</v>
      </c>
      <c r="G1805" t="s">
        <v>24</v>
      </c>
      <c r="H1805" s="3" t="s">
        <v>2814</v>
      </c>
      <c r="I1805" t="s">
        <v>52</v>
      </c>
      <c r="J1805" s="3" t="s">
        <v>2815</v>
      </c>
      <c r="K1805" s="4">
        <v>351</v>
      </c>
      <c r="L1805" s="5">
        <v>15.94</v>
      </c>
      <c r="M1805" s="6">
        <v>0</v>
      </c>
      <c r="N1805" s="7">
        <v>0</v>
      </c>
      <c r="O1805" t="s">
        <v>2816</v>
      </c>
      <c r="P1805" s="3" t="s">
        <v>55</v>
      </c>
      <c r="Q1805" s="8">
        <v>0.18154200000000001</v>
      </c>
    </row>
    <row r="1806" spans="1:17" hidden="1" x14ac:dyDescent="0.55000000000000004">
      <c r="A1806" s="3" t="s">
        <v>2640</v>
      </c>
      <c r="B1806" s="3" t="s">
        <v>2817</v>
      </c>
      <c r="C1806" t="s">
        <v>2662</v>
      </c>
      <c r="D1806" s="3" t="s">
        <v>7312</v>
      </c>
      <c r="E1806" t="s">
        <v>2818</v>
      </c>
      <c r="F1806" s="3" t="s">
        <v>2819</v>
      </c>
      <c r="G1806" t="s">
        <v>19</v>
      </c>
      <c r="H1806" s="3" t="s">
        <v>2820</v>
      </c>
      <c r="I1806" t="s">
        <v>1227</v>
      </c>
      <c r="J1806" s="3" t="s">
        <v>2821</v>
      </c>
      <c r="K1806" s="4">
        <v>167</v>
      </c>
      <c r="L1806" s="5">
        <v>36.299999999999997</v>
      </c>
      <c r="M1806" s="6">
        <v>1</v>
      </c>
      <c r="N1806" s="7">
        <v>1</v>
      </c>
      <c r="O1806" t="s">
        <v>2822</v>
      </c>
      <c r="P1806" s="3" t="s">
        <v>2654</v>
      </c>
      <c r="Q1806" s="8">
        <v>5.0436000000000002E-2</v>
      </c>
    </row>
    <row r="1807" spans="1:17" hidden="1" x14ac:dyDescent="0.55000000000000004">
      <c r="A1807" s="3" t="s">
        <v>2640</v>
      </c>
      <c r="B1807" s="3" t="s">
        <v>2817</v>
      </c>
      <c r="C1807" t="s">
        <v>2662</v>
      </c>
      <c r="D1807" s="3" t="s">
        <v>7312</v>
      </c>
      <c r="E1807" t="s">
        <v>2818</v>
      </c>
      <c r="F1807" s="3" t="s">
        <v>2819</v>
      </c>
      <c r="G1807" t="s">
        <v>19</v>
      </c>
      <c r="H1807" s="3" t="s">
        <v>2823</v>
      </c>
      <c r="I1807" t="s">
        <v>1235</v>
      </c>
      <c r="J1807" s="3" t="s">
        <v>2821</v>
      </c>
      <c r="K1807" s="4">
        <v>19</v>
      </c>
      <c r="L1807" s="5">
        <v>4.09</v>
      </c>
      <c r="M1807" s="6">
        <v>0</v>
      </c>
      <c r="N1807" s="7">
        <v>1</v>
      </c>
      <c r="O1807" t="s">
        <v>2824</v>
      </c>
      <c r="P1807" s="3" t="s">
        <v>212</v>
      </c>
      <c r="Q1807" s="8">
        <v>2.6679000000000001E-2</v>
      </c>
    </row>
    <row r="1808" spans="1:17" hidden="1" x14ac:dyDescent="0.55000000000000004">
      <c r="A1808" s="3" t="s">
        <v>2640</v>
      </c>
      <c r="B1808" s="3" t="s">
        <v>2817</v>
      </c>
      <c r="C1808" t="s">
        <v>2662</v>
      </c>
      <c r="D1808" s="3" t="s">
        <v>7312</v>
      </c>
      <c r="E1808" t="s">
        <v>2818</v>
      </c>
      <c r="F1808" s="3" t="s">
        <v>2819</v>
      </c>
      <c r="G1808" t="s">
        <v>19</v>
      </c>
      <c r="H1808" s="3" t="s">
        <v>2825</v>
      </c>
      <c r="I1808" t="s">
        <v>1223</v>
      </c>
      <c r="J1808" s="3" t="s">
        <v>2821</v>
      </c>
      <c r="K1808" s="4">
        <v>159</v>
      </c>
      <c r="L1808" s="5">
        <v>34.520000000000003</v>
      </c>
      <c r="M1808" s="6">
        <v>0</v>
      </c>
      <c r="N1808" s="7">
        <v>1</v>
      </c>
      <c r="O1808" t="s">
        <v>2826</v>
      </c>
      <c r="P1808" s="3" t="s">
        <v>2654</v>
      </c>
      <c r="Q1808" s="8">
        <v>5.0436000000000002E-2</v>
      </c>
    </row>
    <row r="1809" spans="1:17" hidden="1" x14ac:dyDescent="0.55000000000000004">
      <c r="A1809" s="3" t="s">
        <v>2640</v>
      </c>
      <c r="B1809" s="3" t="s">
        <v>2817</v>
      </c>
      <c r="C1809" t="s">
        <v>2662</v>
      </c>
      <c r="D1809" s="3" t="s">
        <v>7312</v>
      </c>
      <c r="E1809" t="s">
        <v>2818</v>
      </c>
      <c r="F1809" s="3" t="s">
        <v>2819</v>
      </c>
      <c r="G1809" t="s">
        <v>19</v>
      </c>
      <c r="H1809" s="3" t="s">
        <v>2827</v>
      </c>
      <c r="I1809" t="s">
        <v>686</v>
      </c>
      <c r="J1809" s="3" t="s">
        <v>2821</v>
      </c>
      <c r="K1809" s="4">
        <v>799</v>
      </c>
      <c r="L1809" s="5">
        <v>173.63</v>
      </c>
      <c r="M1809" s="6">
        <v>0</v>
      </c>
      <c r="N1809" s="7">
        <v>1</v>
      </c>
      <c r="O1809" t="s">
        <v>2828</v>
      </c>
      <c r="P1809" s="3" t="s">
        <v>212</v>
      </c>
      <c r="Q1809" s="8">
        <v>0.112452</v>
      </c>
    </row>
    <row r="1810" spans="1:17" hidden="1" x14ac:dyDescent="0.55000000000000004">
      <c r="A1810" s="3" t="s">
        <v>2640</v>
      </c>
      <c r="B1810" s="3" t="s">
        <v>2817</v>
      </c>
      <c r="C1810" t="s">
        <v>2662</v>
      </c>
      <c r="D1810" s="3" t="s">
        <v>7312</v>
      </c>
      <c r="E1810" t="s">
        <v>2818</v>
      </c>
      <c r="F1810" s="3" t="s">
        <v>2819</v>
      </c>
      <c r="G1810" t="s">
        <v>19</v>
      </c>
      <c r="H1810" s="3" t="s">
        <v>2829</v>
      </c>
      <c r="I1810" t="s">
        <v>2652</v>
      </c>
      <c r="J1810" s="3" t="s">
        <v>2821</v>
      </c>
      <c r="K1810" s="4">
        <v>151</v>
      </c>
      <c r="L1810" s="5">
        <v>32.76</v>
      </c>
      <c r="M1810" s="6">
        <v>0</v>
      </c>
      <c r="N1810" s="7">
        <v>1</v>
      </c>
      <c r="O1810" t="s">
        <v>2830</v>
      </c>
      <c r="P1810" s="3" t="s">
        <v>2654</v>
      </c>
      <c r="Q1810" s="8">
        <v>5.0436000000000002E-2</v>
      </c>
    </row>
    <row r="1811" spans="1:17" hidden="1" x14ac:dyDescent="0.55000000000000004">
      <c r="A1811" s="3" t="s">
        <v>2640</v>
      </c>
      <c r="B1811" s="3" t="s">
        <v>2817</v>
      </c>
      <c r="C1811" t="s">
        <v>2662</v>
      </c>
      <c r="D1811" s="3" t="s">
        <v>7312</v>
      </c>
      <c r="E1811" t="s">
        <v>2818</v>
      </c>
      <c r="F1811" s="3" t="s">
        <v>2819</v>
      </c>
      <c r="G1811" t="s">
        <v>19</v>
      </c>
      <c r="H1811" s="3" t="s">
        <v>2831</v>
      </c>
      <c r="I1811" t="s">
        <v>1232</v>
      </c>
      <c r="J1811" s="3" t="s">
        <v>2821</v>
      </c>
      <c r="K1811" s="4">
        <v>845</v>
      </c>
      <c r="L1811" s="5">
        <v>183.67</v>
      </c>
      <c r="M1811" s="6">
        <v>0</v>
      </c>
      <c r="N1811" s="7">
        <v>1</v>
      </c>
      <c r="O1811" t="s">
        <v>2832</v>
      </c>
      <c r="P1811" s="3" t="s">
        <v>212</v>
      </c>
      <c r="Q1811" s="8">
        <v>0.10760500000000001</v>
      </c>
    </row>
    <row r="1812" spans="1:17" hidden="1" x14ac:dyDescent="0.55000000000000004">
      <c r="A1812" s="9" t="s">
        <v>2640</v>
      </c>
      <c r="B1812" s="3" t="s">
        <v>2817</v>
      </c>
      <c r="C1812" t="s">
        <v>2662</v>
      </c>
      <c r="D1812" s="3" t="s">
        <v>7312</v>
      </c>
      <c r="E1812" t="s">
        <v>2818</v>
      </c>
      <c r="F1812" s="3" t="s">
        <v>2819</v>
      </c>
      <c r="G1812" t="s">
        <v>24</v>
      </c>
      <c r="H1812" s="3" t="s">
        <v>2833</v>
      </c>
      <c r="I1812" t="s">
        <v>52</v>
      </c>
      <c r="J1812" s="3" t="s">
        <v>2834</v>
      </c>
      <c r="K1812" s="4">
        <v>569</v>
      </c>
      <c r="L1812" s="5">
        <v>25.85</v>
      </c>
      <c r="M1812" s="6">
        <v>1</v>
      </c>
      <c r="N1812" s="7">
        <v>1</v>
      </c>
      <c r="O1812" t="s">
        <v>2835</v>
      </c>
      <c r="P1812" s="3" t="s">
        <v>55</v>
      </c>
      <c r="Q1812" s="8">
        <v>0.18371699999999999</v>
      </c>
    </row>
    <row r="1813" spans="1:17" hidden="1" x14ac:dyDescent="0.55000000000000004">
      <c r="A1813" s="3" t="s">
        <v>2836</v>
      </c>
      <c r="B1813" s="3" t="s">
        <v>2837</v>
      </c>
      <c r="C1813" t="s">
        <v>2837</v>
      </c>
      <c r="D1813" s="3" t="s">
        <v>7312</v>
      </c>
      <c r="E1813" t="s">
        <v>2838</v>
      </c>
      <c r="F1813" s="3" t="s">
        <v>2839</v>
      </c>
      <c r="G1813" t="s">
        <v>24</v>
      </c>
      <c r="H1813" s="3" t="s">
        <v>2840</v>
      </c>
      <c r="I1813" t="s">
        <v>52</v>
      </c>
      <c r="J1813" s="3" t="s">
        <v>2841</v>
      </c>
      <c r="K1813" s="4">
        <v>602</v>
      </c>
      <c r="L1813" s="5">
        <v>27.35</v>
      </c>
      <c r="M1813" s="6">
        <v>1</v>
      </c>
      <c r="N1813" s="7">
        <v>0</v>
      </c>
      <c r="O1813" t="s">
        <v>2842</v>
      </c>
      <c r="P1813" s="3" t="s">
        <v>55</v>
      </c>
      <c r="Q1813" s="8">
        <v>0.18404699999999999</v>
      </c>
    </row>
    <row r="1814" spans="1:17" hidden="1" x14ac:dyDescent="0.55000000000000004">
      <c r="A1814" s="3" t="s">
        <v>2836</v>
      </c>
      <c r="B1814" s="3" t="s">
        <v>7359</v>
      </c>
      <c r="C1814" t="s">
        <v>2837</v>
      </c>
      <c r="D1814" s="3" t="s">
        <v>7312</v>
      </c>
      <c r="E1814" t="s">
        <v>2843</v>
      </c>
      <c r="F1814" s="3" t="s">
        <v>2844</v>
      </c>
      <c r="G1814" t="s">
        <v>19</v>
      </c>
      <c r="H1814" s="3" t="s">
        <v>2845</v>
      </c>
      <c r="I1814" t="s">
        <v>246</v>
      </c>
      <c r="J1814" s="3" t="s">
        <v>2846</v>
      </c>
      <c r="K1814" s="4">
        <v>707</v>
      </c>
      <c r="L1814" s="5">
        <v>153.78</v>
      </c>
      <c r="M1814" s="6">
        <v>1</v>
      </c>
      <c r="N1814" s="7">
        <v>1</v>
      </c>
      <c r="O1814" t="s">
        <v>2847</v>
      </c>
      <c r="P1814" s="3" t="s">
        <v>249</v>
      </c>
      <c r="Q1814" s="8">
        <v>9.3816999999999998E-2</v>
      </c>
    </row>
    <row r="1815" spans="1:17" hidden="1" x14ac:dyDescent="0.55000000000000004">
      <c r="A1815" s="3" t="s">
        <v>2836</v>
      </c>
      <c r="B1815" s="3" t="s">
        <v>7359</v>
      </c>
      <c r="C1815" t="s">
        <v>2837</v>
      </c>
      <c r="D1815" s="3" t="s">
        <v>7312</v>
      </c>
      <c r="E1815" t="s">
        <v>2843</v>
      </c>
      <c r="F1815" s="3" t="s">
        <v>2844</v>
      </c>
      <c r="G1815" t="s">
        <v>24</v>
      </c>
      <c r="H1815" s="3" t="s">
        <v>2840</v>
      </c>
      <c r="I1815" t="s">
        <v>52</v>
      </c>
      <c r="J1815" s="3" t="s">
        <v>2841</v>
      </c>
      <c r="K1815" s="4">
        <v>602</v>
      </c>
      <c r="L1815" s="5">
        <v>27.35</v>
      </c>
      <c r="M1815" s="6">
        <v>1</v>
      </c>
      <c r="N1815" s="7">
        <v>1</v>
      </c>
      <c r="O1815" t="s">
        <v>2842</v>
      </c>
      <c r="P1815" s="3" t="s">
        <v>55</v>
      </c>
      <c r="Q1815" s="8">
        <v>0.18404699999999999</v>
      </c>
    </row>
    <row r="1816" spans="1:17" hidden="1" x14ac:dyDescent="0.55000000000000004">
      <c r="A1816" s="3" t="s">
        <v>2836</v>
      </c>
      <c r="B1816" s="3" t="s">
        <v>2848</v>
      </c>
      <c r="C1816" t="s">
        <v>2848</v>
      </c>
      <c r="D1816" s="3" t="s">
        <v>7312</v>
      </c>
      <c r="E1816" t="s">
        <v>2849</v>
      </c>
      <c r="F1816" s="3" t="s">
        <v>2850</v>
      </c>
      <c r="G1816" t="s">
        <v>24</v>
      </c>
      <c r="H1816" s="3" t="s">
        <v>2851</v>
      </c>
      <c r="I1816" t="s">
        <v>52</v>
      </c>
      <c r="J1816" s="3" t="s">
        <v>2852</v>
      </c>
      <c r="K1816" s="4">
        <v>268</v>
      </c>
      <c r="L1816" s="5">
        <v>12.16</v>
      </c>
      <c r="M1816" s="6">
        <v>1</v>
      </c>
      <c r="N1816" s="7">
        <v>0</v>
      </c>
      <c r="O1816" t="s">
        <v>2853</v>
      </c>
      <c r="P1816" s="3" t="s">
        <v>55</v>
      </c>
      <c r="Q1816" s="8">
        <v>0.18071400000000001</v>
      </c>
    </row>
    <row r="1817" spans="1:17" hidden="1" x14ac:dyDescent="0.55000000000000004">
      <c r="A1817" s="3" t="s">
        <v>2836</v>
      </c>
      <c r="B1817" s="3" t="s">
        <v>2848</v>
      </c>
      <c r="C1817" t="s">
        <v>2848</v>
      </c>
      <c r="D1817" s="3" t="s">
        <v>7312</v>
      </c>
      <c r="E1817" t="s">
        <v>2849</v>
      </c>
      <c r="F1817" s="3" t="s">
        <v>2850</v>
      </c>
      <c r="G1817" t="s">
        <v>24</v>
      </c>
      <c r="H1817" s="3" t="s">
        <v>23</v>
      </c>
      <c r="I1817" t="s">
        <v>67</v>
      </c>
      <c r="J1817" s="3" t="s">
        <v>2854</v>
      </c>
      <c r="K1817" s="4" t="s">
        <v>23</v>
      </c>
      <c r="L1817" s="5" t="s">
        <v>23</v>
      </c>
      <c r="M1817" s="6">
        <v>0</v>
      </c>
      <c r="N1817" s="7">
        <v>0</v>
      </c>
      <c r="O1817" t="s">
        <v>23</v>
      </c>
      <c r="P1817" s="3" t="s">
        <v>23</v>
      </c>
      <c r="Q1817" s="8" t="s">
        <v>23</v>
      </c>
    </row>
    <row r="1818" spans="1:17" hidden="1" x14ac:dyDescent="0.55000000000000004">
      <c r="A1818" s="3" t="s">
        <v>2836</v>
      </c>
      <c r="B1818" s="3" t="s">
        <v>2855</v>
      </c>
      <c r="C1818" t="s">
        <v>2855</v>
      </c>
      <c r="D1818" s="3" t="s">
        <v>7312</v>
      </c>
      <c r="E1818" t="s">
        <v>2856</v>
      </c>
      <c r="F1818" s="3" t="s">
        <v>2857</v>
      </c>
      <c r="G1818" t="s">
        <v>19</v>
      </c>
      <c r="H1818" s="3" t="s">
        <v>2858</v>
      </c>
      <c r="I1818" t="s">
        <v>209</v>
      </c>
      <c r="J1818" s="3" t="s">
        <v>2859</v>
      </c>
      <c r="K1818" s="4">
        <v>873</v>
      </c>
      <c r="L1818" s="5">
        <v>189.76</v>
      </c>
      <c r="M1818" s="6">
        <v>1</v>
      </c>
      <c r="N1818" s="7">
        <v>1</v>
      </c>
      <c r="O1818" t="s">
        <v>213</v>
      </c>
      <c r="P1818" s="3" t="s">
        <v>64</v>
      </c>
      <c r="Q1818" s="8">
        <v>6.7199999999999996E-2</v>
      </c>
    </row>
    <row r="1819" spans="1:17" hidden="1" x14ac:dyDescent="0.55000000000000004">
      <c r="A1819" s="3" t="s">
        <v>2836</v>
      </c>
      <c r="B1819" s="3" t="s">
        <v>2855</v>
      </c>
      <c r="C1819" t="s">
        <v>2855</v>
      </c>
      <c r="D1819" s="3" t="s">
        <v>7312</v>
      </c>
      <c r="E1819" t="s">
        <v>2856</v>
      </c>
      <c r="F1819" s="3" t="s">
        <v>2857</v>
      </c>
      <c r="G1819" t="s">
        <v>19</v>
      </c>
      <c r="H1819" s="3" t="s">
        <v>2858</v>
      </c>
      <c r="I1819" t="s">
        <v>209</v>
      </c>
      <c r="J1819" s="3" t="s">
        <v>2859</v>
      </c>
      <c r="K1819" s="4">
        <v>873</v>
      </c>
      <c r="L1819" s="5">
        <v>189.76</v>
      </c>
      <c r="M1819" s="6">
        <v>1</v>
      </c>
      <c r="N1819" s="7">
        <v>1</v>
      </c>
      <c r="O1819" t="s">
        <v>2860</v>
      </c>
      <c r="P1819" s="3" t="s">
        <v>212</v>
      </c>
      <c r="Q1819" s="8">
        <v>9.7075999999999996E-2</v>
      </c>
    </row>
    <row r="1820" spans="1:17" hidden="1" x14ac:dyDescent="0.55000000000000004">
      <c r="A1820" s="3" t="s">
        <v>2836</v>
      </c>
      <c r="B1820" s="3" t="s">
        <v>2855</v>
      </c>
      <c r="C1820" t="s">
        <v>2855</v>
      </c>
      <c r="D1820" s="3" t="s">
        <v>7312</v>
      </c>
      <c r="E1820" t="s">
        <v>2856</v>
      </c>
      <c r="F1820" s="3" t="s">
        <v>2857</v>
      </c>
      <c r="G1820" t="s">
        <v>24</v>
      </c>
      <c r="H1820" s="3" t="s">
        <v>2861</v>
      </c>
      <c r="I1820" t="s">
        <v>52</v>
      </c>
      <c r="J1820" s="3" t="s">
        <v>2862</v>
      </c>
      <c r="K1820" s="4">
        <v>417</v>
      </c>
      <c r="L1820" s="5">
        <v>18.96</v>
      </c>
      <c r="M1820" s="6">
        <v>1</v>
      </c>
      <c r="N1820" s="7">
        <v>1</v>
      </c>
      <c r="O1820" t="s">
        <v>2863</v>
      </c>
      <c r="P1820" s="3" t="s">
        <v>55</v>
      </c>
      <c r="Q1820" s="8">
        <v>0.18220500000000001</v>
      </c>
    </row>
    <row r="1821" spans="1:17" hidden="1" x14ac:dyDescent="0.55000000000000004">
      <c r="A1821" s="3" t="s">
        <v>2836</v>
      </c>
      <c r="B1821" s="3" t="s">
        <v>2864</v>
      </c>
      <c r="C1821" t="s">
        <v>2864</v>
      </c>
      <c r="D1821" s="3" t="s">
        <v>7312</v>
      </c>
      <c r="E1821" t="s">
        <v>2865</v>
      </c>
      <c r="F1821" s="3" t="s">
        <v>2866</v>
      </c>
      <c r="G1821" t="s">
        <v>19</v>
      </c>
      <c r="H1821" s="3" t="s">
        <v>2867</v>
      </c>
      <c r="I1821" t="s">
        <v>209</v>
      </c>
      <c r="J1821" s="3" t="s">
        <v>2868</v>
      </c>
      <c r="K1821" s="4">
        <v>1027</v>
      </c>
      <c r="L1821" s="5">
        <v>223.35</v>
      </c>
      <c r="M1821" s="6">
        <v>1</v>
      </c>
      <c r="N1821" s="7">
        <v>1</v>
      </c>
      <c r="O1821" t="s">
        <v>213</v>
      </c>
      <c r="P1821" s="3" t="s">
        <v>64</v>
      </c>
      <c r="Q1821" s="8">
        <v>6.7199999999999996E-2</v>
      </c>
    </row>
    <row r="1822" spans="1:17" hidden="1" x14ac:dyDescent="0.55000000000000004">
      <c r="A1822" s="3" t="s">
        <v>2836</v>
      </c>
      <c r="B1822" s="3" t="s">
        <v>2864</v>
      </c>
      <c r="C1822" t="s">
        <v>2864</v>
      </c>
      <c r="D1822" s="3" t="s">
        <v>7312</v>
      </c>
      <c r="E1822" t="s">
        <v>2865</v>
      </c>
      <c r="F1822" s="3" t="s">
        <v>2866</v>
      </c>
      <c r="G1822" t="s">
        <v>19</v>
      </c>
      <c r="H1822" s="3" t="s">
        <v>2867</v>
      </c>
      <c r="I1822" t="s">
        <v>209</v>
      </c>
      <c r="J1822" s="3" t="s">
        <v>2868</v>
      </c>
      <c r="K1822" s="4">
        <v>1027</v>
      </c>
      <c r="L1822" s="5">
        <v>223.35</v>
      </c>
      <c r="M1822" s="6">
        <v>1</v>
      </c>
      <c r="N1822" s="7">
        <v>1</v>
      </c>
      <c r="O1822" t="s">
        <v>2869</v>
      </c>
      <c r="P1822" s="3" t="s">
        <v>212</v>
      </c>
      <c r="Q1822" s="8">
        <v>0.12292400000000001</v>
      </c>
    </row>
    <row r="1823" spans="1:17" hidden="1" x14ac:dyDescent="0.55000000000000004">
      <c r="A1823" s="3" t="s">
        <v>2836</v>
      </c>
      <c r="B1823" s="3" t="s">
        <v>2864</v>
      </c>
      <c r="C1823" t="s">
        <v>2864</v>
      </c>
      <c r="D1823" s="3" t="s">
        <v>7312</v>
      </c>
      <c r="E1823" t="s">
        <v>2865</v>
      </c>
      <c r="F1823" s="3" t="s">
        <v>2866</v>
      </c>
      <c r="G1823" t="s">
        <v>24</v>
      </c>
      <c r="H1823" s="3" t="s">
        <v>2870</v>
      </c>
      <c r="I1823" t="s">
        <v>26</v>
      </c>
      <c r="J1823" s="3" t="s">
        <v>2871</v>
      </c>
      <c r="K1823" s="4">
        <v>248</v>
      </c>
      <c r="L1823" s="5">
        <v>11.27</v>
      </c>
      <c r="M1823" s="6">
        <v>1</v>
      </c>
      <c r="N1823" s="7">
        <v>1</v>
      </c>
      <c r="O1823" t="s">
        <v>2872</v>
      </c>
      <c r="P1823" s="3" t="s">
        <v>29</v>
      </c>
      <c r="Q1823" s="8">
        <v>0.18160000000000001</v>
      </c>
    </row>
    <row r="1824" spans="1:17" hidden="1" x14ac:dyDescent="0.55000000000000004">
      <c r="A1824" s="3" t="s">
        <v>2836</v>
      </c>
      <c r="B1824" s="3" t="s">
        <v>2873</v>
      </c>
      <c r="C1824" t="s">
        <v>2837</v>
      </c>
      <c r="D1824" s="3" t="s">
        <v>7312</v>
      </c>
      <c r="E1824" t="s">
        <v>2874</v>
      </c>
      <c r="F1824" s="3" t="s">
        <v>2875</v>
      </c>
      <c r="G1824" t="s">
        <v>24</v>
      </c>
      <c r="H1824" s="3" t="s">
        <v>2876</v>
      </c>
      <c r="I1824" t="s">
        <v>26</v>
      </c>
      <c r="J1824" s="3" t="s">
        <v>2877</v>
      </c>
      <c r="K1824" s="4">
        <v>475</v>
      </c>
      <c r="L1824" s="5">
        <v>21.6</v>
      </c>
      <c r="M1824" s="6">
        <v>1</v>
      </c>
      <c r="N1824" s="7">
        <v>0</v>
      </c>
      <c r="O1824" t="s">
        <v>2878</v>
      </c>
      <c r="P1824" s="3" t="s">
        <v>29</v>
      </c>
      <c r="Q1824" s="8">
        <v>0.18459800000000001</v>
      </c>
    </row>
    <row r="1825" spans="1:17" hidden="1" x14ac:dyDescent="0.55000000000000004">
      <c r="A1825" s="3" t="s">
        <v>2836</v>
      </c>
      <c r="B1825" s="3" t="s">
        <v>2879</v>
      </c>
      <c r="C1825" t="s">
        <v>2879</v>
      </c>
      <c r="D1825" s="3" t="s">
        <v>7312</v>
      </c>
      <c r="E1825" t="s">
        <v>2880</v>
      </c>
      <c r="F1825" s="3" t="s">
        <v>2881</v>
      </c>
      <c r="G1825" t="s">
        <v>19</v>
      </c>
      <c r="H1825" s="3" t="s">
        <v>2882</v>
      </c>
      <c r="I1825" t="s">
        <v>1612</v>
      </c>
      <c r="J1825" s="3" t="s">
        <v>2883</v>
      </c>
      <c r="K1825" s="4">
        <v>303</v>
      </c>
      <c r="L1825" s="5">
        <v>65.91</v>
      </c>
      <c r="M1825" s="6">
        <v>0</v>
      </c>
      <c r="N1825" s="7">
        <v>1</v>
      </c>
      <c r="O1825" t="s">
        <v>2884</v>
      </c>
      <c r="P1825" s="3" t="s">
        <v>1615</v>
      </c>
      <c r="Q1825" s="8">
        <v>4.7264E-2</v>
      </c>
    </row>
    <row r="1826" spans="1:17" hidden="1" x14ac:dyDescent="0.55000000000000004">
      <c r="A1826" s="3" t="s">
        <v>2836</v>
      </c>
      <c r="B1826" s="3" t="s">
        <v>2879</v>
      </c>
      <c r="C1826" t="s">
        <v>2879</v>
      </c>
      <c r="D1826" s="3" t="s">
        <v>7312</v>
      </c>
      <c r="E1826" t="s">
        <v>2880</v>
      </c>
      <c r="F1826" s="3" t="s">
        <v>2881</v>
      </c>
      <c r="G1826" t="s">
        <v>19</v>
      </c>
      <c r="H1826" s="3" t="s">
        <v>2885</v>
      </c>
      <c r="I1826" t="s">
        <v>1617</v>
      </c>
      <c r="J1826" s="3" t="s">
        <v>2883</v>
      </c>
      <c r="K1826" s="4">
        <v>581</v>
      </c>
      <c r="L1826" s="5">
        <v>126.39</v>
      </c>
      <c r="M1826" s="6">
        <v>1</v>
      </c>
      <c r="N1826" s="7">
        <v>1</v>
      </c>
      <c r="O1826" t="s">
        <v>1618</v>
      </c>
      <c r="P1826" s="3" t="s">
        <v>1615</v>
      </c>
      <c r="Q1826" s="8">
        <v>4.1689999999999998E-2</v>
      </c>
    </row>
    <row r="1827" spans="1:17" hidden="1" x14ac:dyDescent="0.55000000000000004">
      <c r="A1827" s="3" t="s">
        <v>2836</v>
      </c>
      <c r="B1827" s="3" t="s">
        <v>2879</v>
      </c>
      <c r="C1827" t="s">
        <v>2879</v>
      </c>
      <c r="D1827" s="3" t="s">
        <v>7312</v>
      </c>
      <c r="E1827" t="s">
        <v>2880</v>
      </c>
      <c r="F1827" s="3" t="s">
        <v>2881</v>
      </c>
      <c r="G1827" t="s">
        <v>19</v>
      </c>
      <c r="H1827" s="3" t="s">
        <v>2885</v>
      </c>
      <c r="I1827" t="s">
        <v>1617</v>
      </c>
      <c r="J1827" s="3" t="s">
        <v>2883</v>
      </c>
      <c r="K1827" s="4">
        <v>581</v>
      </c>
      <c r="L1827" s="5">
        <v>126.39</v>
      </c>
      <c r="M1827" s="6">
        <v>1</v>
      </c>
      <c r="N1827" s="7">
        <v>1</v>
      </c>
      <c r="O1827" t="s">
        <v>2884</v>
      </c>
      <c r="P1827" s="3" t="s">
        <v>1615</v>
      </c>
      <c r="Q1827" s="8">
        <v>4.7264E-2</v>
      </c>
    </row>
    <row r="1828" spans="1:17" hidden="1" x14ac:dyDescent="0.55000000000000004">
      <c r="A1828" s="3" t="s">
        <v>2836</v>
      </c>
      <c r="B1828" s="3" t="s">
        <v>2879</v>
      </c>
      <c r="C1828" t="s">
        <v>2879</v>
      </c>
      <c r="D1828" s="3" t="s">
        <v>7312</v>
      </c>
      <c r="E1828" t="s">
        <v>2880</v>
      </c>
      <c r="F1828" s="3" t="s">
        <v>2881</v>
      </c>
      <c r="G1828" t="s">
        <v>24</v>
      </c>
      <c r="H1828" s="3" t="s">
        <v>2886</v>
      </c>
      <c r="I1828" t="s">
        <v>26</v>
      </c>
      <c r="J1828" s="3" t="s">
        <v>2887</v>
      </c>
      <c r="K1828" s="4">
        <v>266</v>
      </c>
      <c r="L1828" s="5">
        <v>12.09</v>
      </c>
      <c r="M1828" s="6">
        <v>1</v>
      </c>
      <c r="N1828" s="7">
        <v>1</v>
      </c>
      <c r="O1828" t="s">
        <v>2888</v>
      </c>
      <c r="P1828" s="3" t="s">
        <v>29</v>
      </c>
      <c r="Q1828" s="8">
        <v>0.181838</v>
      </c>
    </row>
    <row r="1829" spans="1:17" hidden="1" x14ac:dyDescent="0.55000000000000004">
      <c r="A1829" s="3" t="s">
        <v>2836</v>
      </c>
      <c r="B1829" s="3" t="s">
        <v>2889</v>
      </c>
      <c r="C1829" t="s">
        <v>2889</v>
      </c>
      <c r="D1829" s="3" t="s">
        <v>7312</v>
      </c>
      <c r="E1829" t="s">
        <v>2891</v>
      </c>
      <c r="F1829" s="3" t="s">
        <v>2892</v>
      </c>
      <c r="G1829" t="s">
        <v>19</v>
      </c>
      <c r="H1829" s="3" t="s">
        <v>2893</v>
      </c>
      <c r="I1829" t="s">
        <v>209</v>
      </c>
      <c r="J1829" s="3" t="s">
        <v>2894</v>
      </c>
      <c r="K1829" s="4">
        <v>905</v>
      </c>
      <c r="L1829" s="5">
        <v>196.67</v>
      </c>
      <c r="M1829" s="6">
        <v>1</v>
      </c>
      <c r="N1829" s="7">
        <v>0</v>
      </c>
      <c r="O1829" t="s">
        <v>213</v>
      </c>
      <c r="P1829" s="3" t="s">
        <v>64</v>
      </c>
      <c r="Q1829" s="8">
        <v>6.7199999999999996E-2</v>
      </c>
    </row>
    <row r="1830" spans="1:17" hidden="1" x14ac:dyDescent="0.55000000000000004">
      <c r="A1830" s="3" t="s">
        <v>2836</v>
      </c>
      <c r="B1830" s="3" t="s">
        <v>2889</v>
      </c>
      <c r="C1830" t="s">
        <v>2889</v>
      </c>
      <c r="D1830" s="3" t="s">
        <v>7312</v>
      </c>
      <c r="E1830" t="s">
        <v>2891</v>
      </c>
      <c r="F1830" s="3" t="s">
        <v>2892</v>
      </c>
      <c r="G1830" t="s">
        <v>19</v>
      </c>
      <c r="H1830" s="3" t="s">
        <v>2893</v>
      </c>
      <c r="I1830" t="s">
        <v>209</v>
      </c>
      <c r="J1830" s="3" t="s">
        <v>2894</v>
      </c>
      <c r="K1830" s="4">
        <v>905</v>
      </c>
      <c r="L1830" s="5">
        <v>196.67</v>
      </c>
      <c r="M1830" s="6">
        <v>1</v>
      </c>
      <c r="N1830" s="7">
        <v>0</v>
      </c>
      <c r="O1830" t="s">
        <v>2895</v>
      </c>
      <c r="P1830" s="3" t="s">
        <v>212</v>
      </c>
      <c r="Q1830" s="8">
        <v>8.8648000000000005E-2</v>
      </c>
    </row>
    <row r="1831" spans="1:17" hidden="1" x14ac:dyDescent="0.55000000000000004">
      <c r="A1831" s="3" t="s">
        <v>2836</v>
      </c>
      <c r="B1831" s="3" t="s">
        <v>2889</v>
      </c>
      <c r="C1831" t="s">
        <v>2889</v>
      </c>
      <c r="D1831" s="3" t="s">
        <v>7312</v>
      </c>
      <c r="E1831" t="s">
        <v>2891</v>
      </c>
      <c r="F1831" s="3" t="s">
        <v>2892</v>
      </c>
      <c r="G1831" t="s">
        <v>24</v>
      </c>
      <c r="H1831" s="3" t="s">
        <v>2896</v>
      </c>
      <c r="I1831" t="s">
        <v>52</v>
      </c>
      <c r="J1831" s="3" t="s">
        <v>2897</v>
      </c>
      <c r="K1831" s="4">
        <v>435</v>
      </c>
      <c r="L1831" s="5">
        <v>19.77</v>
      </c>
      <c r="M1831" s="6">
        <v>1</v>
      </c>
      <c r="N1831" s="7">
        <v>0</v>
      </c>
      <c r="O1831" t="s">
        <v>2898</v>
      </c>
      <c r="P1831" s="3" t="s">
        <v>55</v>
      </c>
      <c r="Q1831" s="8">
        <v>0.18238299999999999</v>
      </c>
    </row>
    <row r="1832" spans="1:17" hidden="1" x14ac:dyDescent="0.55000000000000004">
      <c r="A1832" s="3" t="s">
        <v>2836</v>
      </c>
      <c r="B1832" s="3" t="s">
        <v>2889</v>
      </c>
      <c r="C1832" t="s">
        <v>2889</v>
      </c>
      <c r="D1832" s="3" t="s">
        <v>7312</v>
      </c>
      <c r="E1832" t="s">
        <v>2899</v>
      </c>
      <c r="F1832" s="3" t="s">
        <v>2900</v>
      </c>
      <c r="G1832" t="s">
        <v>19</v>
      </c>
      <c r="H1832" s="3" t="s">
        <v>2893</v>
      </c>
      <c r="I1832" t="s">
        <v>209</v>
      </c>
      <c r="J1832" s="3" t="s">
        <v>2894</v>
      </c>
      <c r="K1832" s="4">
        <v>905</v>
      </c>
      <c r="L1832" s="5">
        <v>196.67</v>
      </c>
      <c r="M1832" s="6">
        <v>1</v>
      </c>
      <c r="N1832" s="7">
        <v>1</v>
      </c>
      <c r="O1832" t="s">
        <v>213</v>
      </c>
      <c r="P1832" s="3" t="s">
        <v>64</v>
      </c>
      <c r="Q1832" s="8">
        <v>6.7199999999999996E-2</v>
      </c>
    </row>
    <row r="1833" spans="1:17" hidden="1" x14ac:dyDescent="0.55000000000000004">
      <c r="A1833" s="3" t="s">
        <v>2836</v>
      </c>
      <c r="B1833" s="3" t="s">
        <v>2889</v>
      </c>
      <c r="C1833" t="s">
        <v>2889</v>
      </c>
      <c r="D1833" s="3" t="s">
        <v>7312</v>
      </c>
      <c r="E1833" t="s">
        <v>2899</v>
      </c>
      <c r="F1833" s="3" t="s">
        <v>2900</v>
      </c>
      <c r="G1833" t="s">
        <v>19</v>
      </c>
      <c r="H1833" s="3" t="s">
        <v>2893</v>
      </c>
      <c r="I1833" t="s">
        <v>209</v>
      </c>
      <c r="J1833" s="3" t="s">
        <v>2894</v>
      </c>
      <c r="K1833" s="4">
        <v>905</v>
      </c>
      <c r="L1833" s="5">
        <v>196.67</v>
      </c>
      <c r="M1833" s="6">
        <v>1</v>
      </c>
      <c r="N1833" s="7">
        <v>1</v>
      </c>
      <c r="O1833" t="s">
        <v>2895</v>
      </c>
      <c r="P1833" s="3" t="s">
        <v>212</v>
      </c>
      <c r="Q1833" s="8">
        <v>8.8648000000000005E-2</v>
      </c>
    </row>
    <row r="1834" spans="1:17" hidden="1" x14ac:dyDescent="0.55000000000000004">
      <c r="A1834" s="3" t="s">
        <v>2836</v>
      </c>
      <c r="B1834" s="3" t="s">
        <v>2889</v>
      </c>
      <c r="C1834" t="s">
        <v>2889</v>
      </c>
      <c r="D1834" s="3" t="s">
        <v>7312</v>
      </c>
      <c r="E1834" t="s">
        <v>2899</v>
      </c>
      <c r="F1834" s="3" t="s">
        <v>2900</v>
      </c>
      <c r="G1834" t="s">
        <v>24</v>
      </c>
      <c r="H1834" s="3" t="s">
        <v>2896</v>
      </c>
      <c r="I1834" t="s">
        <v>52</v>
      </c>
      <c r="J1834" s="3" t="s">
        <v>2897</v>
      </c>
      <c r="K1834" s="4">
        <v>435</v>
      </c>
      <c r="L1834" s="5">
        <v>19.77</v>
      </c>
      <c r="M1834" s="6">
        <v>1</v>
      </c>
      <c r="N1834" s="7">
        <v>1</v>
      </c>
      <c r="O1834" t="s">
        <v>2898</v>
      </c>
      <c r="P1834" s="3" t="s">
        <v>55</v>
      </c>
      <c r="Q1834" s="8">
        <v>0.18238299999999999</v>
      </c>
    </row>
    <row r="1835" spans="1:17" hidden="1" x14ac:dyDescent="0.55000000000000004">
      <c r="A1835" s="3" t="s">
        <v>2836</v>
      </c>
      <c r="B1835" s="3" t="s">
        <v>2901</v>
      </c>
      <c r="C1835" t="s">
        <v>2901</v>
      </c>
      <c r="D1835" s="3" t="s">
        <v>7312</v>
      </c>
      <c r="E1835" t="s">
        <v>2902</v>
      </c>
      <c r="F1835" s="3" t="s">
        <v>2903</v>
      </c>
      <c r="G1835" t="s">
        <v>19</v>
      </c>
      <c r="H1835" s="3" t="s">
        <v>2904</v>
      </c>
      <c r="I1835" t="s">
        <v>209</v>
      </c>
      <c r="J1835" s="3" t="s">
        <v>2905</v>
      </c>
      <c r="K1835" s="4">
        <v>1110</v>
      </c>
      <c r="L1835" s="5">
        <v>241.39</v>
      </c>
      <c r="M1835" s="6">
        <v>1</v>
      </c>
      <c r="N1835" s="7">
        <v>1</v>
      </c>
      <c r="O1835" t="s">
        <v>213</v>
      </c>
      <c r="P1835" s="3" t="s">
        <v>64</v>
      </c>
      <c r="Q1835" s="8">
        <v>6.7199999999999996E-2</v>
      </c>
    </row>
    <row r="1836" spans="1:17" hidden="1" x14ac:dyDescent="0.55000000000000004">
      <c r="A1836" s="3" t="s">
        <v>2836</v>
      </c>
      <c r="B1836" s="3" t="s">
        <v>2901</v>
      </c>
      <c r="C1836" t="s">
        <v>2901</v>
      </c>
      <c r="D1836" s="3" t="s">
        <v>7312</v>
      </c>
      <c r="E1836" t="s">
        <v>2902</v>
      </c>
      <c r="F1836" s="3" t="s">
        <v>2903</v>
      </c>
      <c r="G1836" t="s">
        <v>19</v>
      </c>
      <c r="H1836" s="3" t="s">
        <v>2904</v>
      </c>
      <c r="I1836" t="s">
        <v>209</v>
      </c>
      <c r="J1836" s="3" t="s">
        <v>2905</v>
      </c>
      <c r="K1836" s="4">
        <v>1110</v>
      </c>
      <c r="L1836" s="5">
        <v>241.39</v>
      </c>
      <c r="M1836" s="6">
        <v>1</v>
      </c>
      <c r="N1836" s="7">
        <v>1</v>
      </c>
      <c r="O1836" t="s">
        <v>2906</v>
      </c>
      <c r="P1836" s="3" t="s">
        <v>212</v>
      </c>
      <c r="Q1836" s="8">
        <v>0.12292400000000001</v>
      </c>
    </row>
    <row r="1837" spans="1:17" hidden="1" x14ac:dyDescent="0.55000000000000004">
      <c r="A1837" s="3" t="s">
        <v>2836</v>
      </c>
      <c r="B1837" s="3" t="s">
        <v>2901</v>
      </c>
      <c r="C1837" t="s">
        <v>2901</v>
      </c>
      <c r="D1837" s="3" t="s">
        <v>7312</v>
      </c>
      <c r="E1837" t="s">
        <v>2902</v>
      </c>
      <c r="F1837" s="3" t="s">
        <v>2903</v>
      </c>
      <c r="G1837" t="s">
        <v>24</v>
      </c>
      <c r="H1837" s="3" t="s">
        <v>2907</v>
      </c>
      <c r="I1837" t="s">
        <v>52</v>
      </c>
      <c r="J1837" s="3" t="s">
        <v>2908</v>
      </c>
      <c r="K1837" s="4">
        <v>358</v>
      </c>
      <c r="L1837" s="5">
        <v>16.260000000000002</v>
      </c>
      <c r="M1837" s="6">
        <v>1</v>
      </c>
      <c r="N1837" s="7">
        <v>1</v>
      </c>
      <c r="O1837" t="s">
        <v>2909</v>
      </c>
      <c r="P1837" s="3" t="s">
        <v>55</v>
      </c>
      <c r="Q1837" s="8">
        <v>0.181612</v>
      </c>
    </row>
    <row r="1838" spans="1:17" hidden="1" x14ac:dyDescent="0.55000000000000004">
      <c r="A1838" s="3" t="s">
        <v>2836</v>
      </c>
      <c r="B1838" s="3" t="s">
        <v>2901</v>
      </c>
      <c r="C1838" t="s">
        <v>2901</v>
      </c>
      <c r="D1838" s="3" t="s">
        <v>7312</v>
      </c>
      <c r="E1838" t="s">
        <v>2902</v>
      </c>
      <c r="F1838" s="3" t="s">
        <v>2903</v>
      </c>
      <c r="G1838" t="s">
        <v>24</v>
      </c>
      <c r="H1838" s="3" t="s">
        <v>2910</v>
      </c>
      <c r="I1838" t="s">
        <v>48</v>
      </c>
      <c r="J1838" s="3" t="s">
        <v>2911</v>
      </c>
      <c r="K1838" s="4">
        <v>349</v>
      </c>
      <c r="L1838" s="5">
        <v>15.86</v>
      </c>
      <c r="M1838" s="6">
        <v>0</v>
      </c>
      <c r="N1838" s="7">
        <v>1</v>
      </c>
      <c r="O1838" t="s">
        <v>2912</v>
      </c>
      <c r="P1838" s="3" t="s">
        <v>23</v>
      </c>
      <c r="Q1838" s="8" t="s">
        <v>23</v>
      </c>
    </row>
    <row r="1839" spans="1:17" hidden="1" x14ac:dyDescent="0.55000000000000004">
      <c r="A1839" s="3" t="s">
        <v>2836</v>
      </c>
      <c r="B1839" s="3" t="s">
        <v>7360</v>
      </c>
      <c r="C1839" t="s">
        <v>2921</v>
      </c>
      <c r="D1839" s="3" t="s">
        <v>7312</v>
      </c>
      <c r="E1839" t="s">
        <v>2913</v>
      </c>
      <c r="F1839" s="3" t="s">
        <v>2914</v>
      </c>
      <c r="G1839" t="s">
        <v>19</v>
      </c>
      <c r="H1839" s="3" t="s">
        <v>2915</v>
      </c>
      <c r="I1839" t="s">
        <v>1607</v>
      </c>
      <c r="J1839" s="3" t="s">
        <v>2916</v>
      </c>
      <c r="K1839" s="4">
        <v>376</v>
      </c>
      <c r="L1839" s="5">
        <v>81.67</v>
      </c>
      <c r="M1839" s="6">
        <v>1</v>
      </c>
      <c r="N1839" s="7">
        <v>0</v>
      </c>
      <c r="O1839" t="s">
        <v>23</v>
      </c>
      <c r="P1839" s="3" t="s">
        <v>23</v>
      </c>
      <c r="Q1839" s="8" t="s">
        <v>23</v>
      </c>
    </row>
    <row r="1840" spans="1:17" hidden="1" x14ac:dyDescent="0.55000000000000004">
      <c r="A1840" s="3" t="s">
        <v>2836</v>
      </c>
      <c r="B1840" s="3" t="s">
        <v>7360</v>
      </c>
      <c r="C1840" t="s">
        <v>2921</v>
      </c>
      <c r="D1840" s="3" t="s">
        <v>7312</v>
      </c>
      <c r="E1840" t="s">
        <v>2913</v>
      </c>
      <c r="F1840" s="3" t="s">
        <v>2914</v>
      </c>
      <c r="G1840" t="s">
        <v>24</v>
      </c>
      <c r="H1840" s="3" t="s">
        <v>2917</v>
      </c>
      <c r="I1840" t="s">
        <v>52</v>
      </c>
      <c r="J1840" s="3" t="s">
        <v>2918</v>
      </c>
      <c r="K1840" s="4">
        <v>467</v>
      </c>
      <c r="L1840" s="5">
        <v>21.23</v>
      </c>
      <c r="M1840" s="6">
        <v>1</v>
      </c>
      <c r="N1840" s="7">
        <v>0</v>
      </c>
      <c r="O1840" t="s">
        <v>2919</v>
      </c>
      <c r="P1840" s="3" t="s">
        <v>55</v>
      </c>
      <c r="Q1840" s="8">
        <v>0.18270400000000001</v>
      </c>
    </row>
    <row r="1841" spans="1:17" hidden="1" x14ac:dyDescent="0.55000000000000004">
      <c r="A1841" s="3" t="s">
        <v>2836</v>
      </c>
      <c r="B1841" s="3" t="s">
        <v>7360</v>
      </c>
      <c r="C1841" t="s">
        <v>2921</v>
      </c>
      <c r="D1841" s="3" t="s">
        <v>7312</v>
      </c>
      <c r="E1841" t="s">
        <v>2913</v>
      </c>
      <c r="F1841" s="3" t="s">
        <v>2914</v>
      </c>
      <c r="G1841" t="s">
        <v>24</v>
      </c>
      <c r="H1841" s="3" t="s">
        <v>23</v>
      </c>
      <c r="I1841" t="s">
        <v>67</v>
      </c>
      <c r="J1841" s="3" t="s">
        <v>2920</v>
      </c>
      <c r="K1841" s="4" t="s">
        <v>23</v>
      </c>
      <c r="L1841" s="5" t="s">
        <v>23</v>
      </c>
      <c r="M1841" s="6">
        <v>0</v>
      </c>
      <c r="N1841" s="7">
        <v>0</v>
      </c>
      <c r="O1841" t="s">
        <v>23</v>
      </c>
      <c r="P1841" s="3" t="s">
        <v>23</v>
      </c>
      <c r="Q1841" s="8" t="s">
        <v>23</v>
      </c>
    </row>
    <row r="1842" spans="1:17" hidden="1" x14ac:dyDescent="0.55000000000000004">
      <c r="A1842" s="3" t="s">
        <v>2836</v>
      </c>
      <c r="B1842" s="3" t="s">
        <v>2921</v>
      </c>
      <c r="C1842" t="s">
        <v>2921</v>
      </c>
      <c r="D1842" s="3" t="s">
        <v>7312</v>
      </c>
      <c r="E1842" t="s">
        <v>2922</v>
      </c>
      <c r="F1842" s="3" t="s">
        <v>2923</v>
      </c>
      <c r="G1842" t="s">
        <v>19</v>
      </c>
      <c r="H1842" s="3" t="s">
        <v>2924</v>
      </c>
      <c r="I1842" t="s">
        <v>1607</v>
      </c>
      <c r="J1842" s="3" t="s">
        <v>2925</v>
      </c>
      <c r="K1842" s="4">
        <v>424</v>
      </c>
      <c r="L1842" s="5">
        <v>92.17</v>
      </c>
      <c r="M1842" s="6">
        <v>1</v>
      </c>
      <c r="N1842" s="7">
        <v>0</v>
      </c>
      <c r="O1842" t="s">
        <v>2926</v>
      </c>
      <c r="P1842" s="3" t="s">
        <v>1610</v>
      </c>
      <c r="Q1842" s="8">
        <v>5.3880999999999998E-2</v>
      </c>
    </row>
    <row r="1843" spans="1:17" hidden="1" x14ac:dyDescent="0.55000000000000004">
      <c r="A1843" s="3" t="s">
        <v>2836</v>
      </c>
      <c r="B1843" s="3" t="s">
        <v>2921</v>
      </c>
      <c r="C1843" t="s">
        <v>2921</v>
      </c>
      <c r="D1843" s="3" t="s">
        <v>7312</v>
      </c>
      <c r="E1843" t="s">
        <v>2922</v>
      </c>
      <c r="F1843" s="3" t="s">
        <v>2923</v>
      </c>
      <c r="G1843" t="s">
        <v>24</v>
      </c>
      <c r="H1843" s="3" t="s">
        <v>2927</v>
      </c>
      <c r="I1843" t="s">
        <v>26</v>
      </c>
      <c r="J1843" s="3" t="s">
        <v>2928</v>
      </c>
      <c r="K1843" s="4">
        <v>482</v>
      </c>
      <c r="L1843" s="5">
        <v>21.91</v>
      </c>
      <c r="M1843" s="6">
        <v>1</v>
      </c>
      <c r="N1843" s="7">
        <v>0</v>
      </c>
      <c r="O1843" t="s">
        <v>2929</v>
      </c>
      <c r="P1843" s="3" t="s">
        <v>76</v>
      </c>
      <c r="Q1843" s="8">
        <v>0.188167</v>
      </c>
    </row>
    <row r="1844" spans="1:17" hidden="1" x14ac:dyDescent="0.55000000000000004">
      <c r="A1844" s="3" t="s">
        <v>2836</v>
      </c>
      <c r="B1844" s="3" t="s">
        <v>2921</v>
      </c>
      <c r="C1844" t="s">
        <v>2921</v>
      </c>
      <c r="D1844" s="3" t="s">
        <v>7312</v>
      </c>
      <c r="E1844" t="s">
        <v>2922</v>
      </c>
      <c r="F1844" s="3" t="s">
        <v>2923</v>
      </c>
      <c r="G1844" t="s">
        <v>24</v>
      </c>
      <c r="H1844" s="3" t="s">
        <v>2930</v>
      </c>
      <c r="I1844" t="s">
        <v>218</v>
      </c>
      <c r="J1844" s="3" t="s">
        <v>2928</v>
      </c>
      <c r="K1844" s="4">
        <v>368</v>
      </c>
      <c r="L1844" s="5">
        <v>16.72</v>
      </c>
      <c r="M1844" s="6">
        <v>0</v>
      </c>
      <c r="N1844" s="7">
        <v>0</v>
      </c>
      <c r="O1844" t="s">
        <v>2931</v>
      </c>
      <c r="P1844" s="3" t="s">
        <v>23</v>
      </c>
      <c r="Q1844" s="8" t="s">
        <v>23</v>
      </c>
    </row>
    <row r="1845" spans="1:17" hidden="1" x14ac:dyDescent="0.55000000000000004">
      <c r="A1845" s="3" t="s">
        <v>2836</v>
      </c>
      <c r="B1845" s="3" t="s">
        <v>2921</v>
      </c>
      <c r="C1845" t="s">
        <v>2921</v>
      </c>
      <c r="D1845" s="3" t="s">
        <v>7312</v>
      </c>
      <c r="E1845" t="s">
        <v>2932</v>
      </c>
      <c r="F1845" s="3" t="s">
        <v>2933</v>
      </c>
      <c r="G1845" t="s">
        <v>19</v>
      </c>
      <c r="H1845" s="3" t="s">
        <v>2934</v>
      </c>
      <c r="I1845" t="s">
        <v>1540</v>
      </c>
      <c r="J1845" s="3" t="s">
        <v>2935</v>
      </c>
      <c r="K1845" s="4">
        <v>13</v>
      </c>
      <c r="L1845" s="5">
        <v>2.76</v>
      </c>
      <c r="M1845" s="6">
        <v>1</v>
      </c>
      <c r="N1845" s="7">
        <v>1</v>
      </c>
      <c r="O1845" t="s">
        <v>2936</v>
      </c>
      <c r="P1845" s="3" t="s">
        <v>1543</v>
      </c>
      <c r="Q1845" s="8">
        <v>1.4182999999999999E-2</v>
      </c>
    </row>
    <row r="1846" spans="1:17" hidden="1" x14ac:dyDescent="0.55000000000000004">
      <c r="A1846" s="3" t="s">
        <v>2836</v>
      </c>
      <c r="B1846" s="3" t="s">
        <v>2921</v>
      </c>
      <c r="C1846" t="s">
        <v>2921</v>
      </c>
      <c r="D1846" s="3" t="s">
        <v>7312</v>
      </c>
      <c r="E1846" t="s">
        <v>2932</v>
      </c>
      <c r="F1846" s="3" t="s">
        <v>2933</v>
      </c>
      <c r="G1846" t="s">
        <v>24</v>
      </c>
      <c r="H1846" s="3" t="s">
        <v>2927</v>
      </c>
      <c r="I1846" t="s">
        <v>26</v>
      </c>
      <c r="J1846" s="3" t="s">
        <v>2928</v>
      </c>
      <c r="K1846" s="4">
        <v>482</v>
      </c>
      <c r="L1846" s="5">
        <v>21.91</v>
      </c>
      <c r="M1846" s="6">
        <v>1</v>
      </c>
      <c r="N1846" s="7">
        <v>1</v>
      </c>
      <c r="O1846" t="s">
        <v>2929</v>
      </c>
      <c r="P1846" s="3" t="s">
        <v>76</v>
      </c>
      <c r="Q1846" s="8">
        <v>0.188167</v>
      </c>
    </row>
    <row r="1847" spans="1:17" hidden="1" x14ac:dyDescent="0.55000000000000004">
      <c r="A1847" s="3" t="s">
        <v>2836</v>
      </c>
      <c r="B1847" s="3" t="s">
        <v>2921</v>
      </c>
      <c r="C1847" t="s">
        <v>2921</v>
      </c>
      <c r="D1847" s="3" t="s">
        <v>7312</v>
      </c>
      <c r="E1847" t="s">
        <v>2932</v>
      </c>
      <c r="F1847" s="3" t="s">
        <v>2933</v>
      </c>
      <c r="G1847" t="s">
        <v>24</v>
      </c>
      <c r="H1847" s="3" t="s">
        <v>2930</v>
      </c>
      <c r="I1847" t="s">
        <v>218</v>
      </c>
      <c r="J1847" s="3" t="s">
        <v>2928</v>
      </c>
      <c r="K1847" s="4">
        <v>368</v>
      </c>
      <c r="L1847" s="5">
        <v>16.72</v>
      </c>
      <c r="M1847" s="6">
        <v>0</v>
      </c>
      <c r="N1847" s="7">
        <v>1</v>
      </c>
      <c r="O1847" t="s">
        <v>2931</v>
      </c>
      <c r="P1847" s="3" t="s">
        <v>23</v>
      </c>
      <c r="Q1847" s="8" t="s">
        <v>23</v>
      </c>
    </row>
    <row r="1848" spans="1:17" hidden="1" x14ac:dyDescent="0.55000000000000004">
      <c r="A1848" s="3" t="s">
        <v>2836</v>
      </c>
      <c r="B1848" s="3" t="s">
        <v>2921</v>
      </c>
      <c r="C1848" t="s">
        <v>2921</v>
      </c>
      <c r="D1848" s="3" t="s">
        <v>7312</v>
      </c>
      <c r="E1848" t="s">
        <v>2937</v>
      </c>
      <c r="F1848" s="3" t="s">
        <v>2938</v>
      </c>
      <c r="G1848" t="s">
        <v>19</v>
      </c>
      <c r="H1848" s="3" t="s">
        <v>2924</v>
      </c>
      <c r="I1848" t="s">
        <v>1607</v>
      </c>
      <c r="J1848" s="3" t="s">
        <v>2925</v>
      </c>
      <c r="K1848" s="4">
        <v>424</v>
      </c>
      <c r="L1848" s="5">
        <v>92.17</v>
      </c>
      <c r="M1848" s="6">
        <v>1</v>
      </c>
      <c r="N1848" s="7">
        <v>0</v>
      </c>
      <c r="O1848" t="s">
        <v>2926</v>
      </c>
      <c r="P1848" s="3" t="s">
        <v>1610</v>
      </c>
      <c r="Q1848" s="8">
        <v>5.3880999999999998E-2</v>
      </c>
    </row>
    <row r="1849" spans="1:17" hidden="1" x14ac:dyDescent="0.55000000000000004">
      <c r="A1849" s="3" t="s">
        <v>2836</v>
      </c>
      <c r="B1849" s="3" t="s">
        <v>2921</v>
      </c>
      <c r="C1849" t="s">
        <v>2921</v>
      </c>
      <c r="D1849" s="3" t="s">
        <v>7312</v>
      </c>
      <c r="E1849" t="s">
        <v>2937</v>
      </c>
      <c r="F1849" s="3" t="s">
        <v>2938</v>
      </c>
      <c r="G1849" t="s">
        <v>24</v>
      </c>
      <c r="H1849" s="3" t="s">
        <v>2927</v>
      </c>
      <c r="I1849" t="s">
        <v>26</v>
      </c>
      <c r="J1849" s="3" t="s">
        <v>2928</v>
      </c>
      <c r="K1849" s="4">
        <v>482</v>
      </c>
      <c r="L1849" s="5">
        <v>21.91</v>
      </c>
      <c r="M1849" s="6">
        <v>1</v>
      </c>
      <c r="N1849" s="7">
        <v>0</v>
      </c>
      <c r="O1849" t="s">
        <v>2929</v>
      </c>
      <c r="P1849" s="3" t="s">
        <v>76</v>
      </c>
      <c r="Q1849" s="8">
        <v>0.188167</v>
      </c>
    </row>
    <row r="1850" spans="1:17" hidden="1" x14ac:dyDescent="0.55000000000000004">
      <c r="A1850" s="3" t="s">
        <v>2836</v>
      </c>
      <c r="B1850" s="3" t="s">
        <v>2921</v>
      </c>
      <c r="C1850" t="s">
        <v>2921</v>
      </c>
      <c r="D1850" s="3" t="s">
        <v>7312</v>
      </c>
      <c r="E1850" t="s">
        <v>2937</v>
      </c>
      <c r="F1850" s="3" t="s">
        <v>2938</v>
      </c>
      <c r="G1850" t="s">
        <v>24</v>
      </c>
      <c r="H1850" s="3" t="s">
        <v>2930</v>
      </c>
      <c r="I1850" t="s">
        <v>218</v>
      </c>
      <c r="J1850" s="3" t="s">
        <v>2928</v>
      </c>
      <c r="K1850" s="4">
        <v>368</v>
      </c>
      <c r="L1850" s="5">
        <v>16.72</v>
      </c>
      <c r="M1850" s="6">
        <v>0</v>
      </c>
      <c r="N1850" s="7">
        <v>0</v>
      </c>
      <c r="O1850" t="s">
        <v>2931</v>
      </c>
      <c r="P1850" s="3" t="s">
        <v>23</v>
      </c>
      <c r="Q1850" s="8" t="s">
        <v>23</v>
      </c>
    </row>
    <row r="1851" spans="1:17" hidden="1" x14ac:dyDescent="0.55000000000000004">
      <c r="A1851" s="3" t="s">
        <v>2836</v>
      </c>
      <c r="B1851" s="3" t="s">
        <v>2890</v>
      </c>
      <c r="C1851" t="s">
        <v>2890</v>
      </c>
      <c r="D1851" s="3" t="s">
        <v>7312</v>
      </c>
      <c r="E1851" t="s">
        <v>2939</v>
      </c>
      <c r="F1851" s="3" t="s">
        <v>2940</v>
      </c>
      <c r="G1851" t="s">
        <v>19</v>
      </c>
      <c r="H1851" s="3" t="s">
        <v>2941</v>
      </c>
      <c r="I1851" t="s">
        <v>209</v>
      </c>
      <c r="J1851" s="3" t="s">
        <v>2942</v>
      </c>
      <c r="K1851" s="4">
        <v>925</v>
      </c>
      <c r="L1851" s="5">
        <v>201.15</v>
      </c>
      <c r="M1851" s="6">
        <v>1</v>
      </c>
      <c r="N1851" s="7">
        <v>1</v>
      </c>
      <c r="O1851" t="s">
        <v>213</v>
      </c>
      <c r="P1851" s="3" t="s">
        <v>64</v>
      </c>
      <c r="Q1851" s="8">
        <v>6.7199999999999996E-2</v>
      </c>
    </row>
    <row r="1852" spans="1:17" hidden="1" x14ac:dyDescent="0.55000000000000004">
      <c r="A1852" s="3" t="s">
        <v>2836</v>
      </c>
      <c r="B1852" s="3" t="s">
        <v>2890</v>
      </c>
      <c r="C1852" t="s">
        <v>2890</v>
      </c>
      <c r="D1852" s="3" t="s">
        <v>7312</v>
      </c>
      <c r="E1852" t="s">
        <v>2939</v>
      </c>
      <c r="F1852" s="3" t="s">
        <v>2940</v>
      </c>
      <c r="G1852" t="s">
        <v>19</v>
      </c>
      <c r="H1852" s="3" t="s">
        <v>2941</v>
      </c>
      <c r="I1852" t="s">
        <v>209</v>
      </c>
      <c r="J1852" s="3" t="s">
        <v>2942</v>
      </c>
      <c r="K1852" s="4">
        <v>925</v>
      </c>
      <c r="L1852" s="5">
        <v>201.15</v>
      </c>
      <c r="M1852" s="6">
        <v>1</v>
      </c>
      <c r="N1852" s="7">
        <v>1</v>
      </c>
      <c r="O1852" t="s">
        <v>2943</v>
      </c>
      <c r="P1852" s="3" t="s">
        <v>212</v>
      </c>
      <c r="Q1852" s="8">
        <v>9.7449999999999995E-2</v>
      </c>
    </row>
    <row r="1853" spans="1:17" hidden="1" x14ac:dyDescent="0.55000000000000004">
      <c r="A1853" s="3" t="s">
        <v>2836</v>
      </c>
      <c r="B1853" s="3" t="s">
        <v>2890</v>
      </c>
      <c r="C1853" t="s">
        <v>2890</v>
      </c>
      <c r="D1853" s="3" t="s">
        <v>7312</v>
      </c>
      <c r="E1853" t="s">
        <v>2939</v>
      </c>
      <c r="F1853" s="3" t="s">
        <v>2940</v>
      </c>
      <c r="G1853" t="s">
        <v>24</v>
      </c>
      <c r="H1853" s="3" t="s">
        <v>2944</v>
      </c>
      <c r="I1853" t="s">
        <v>52</v>
      </c>
      <c r="J1853" s="3" t="s">
        <v>2945</v>
      </c>
      <c r="K1853" s="4">
        <v>440</v>
      </c>
      <c r="L1853" s="5">
        <v>20.010000000000002</v>
      </c>
      <c r="M1853" s="6">
        <v>1</v>
      </c>
      <c r="N1853" s="7">
        <v>1</v>
      </c>
      <c r="O1853" t="s">
        <v>2946</v>
      </c>
      <c r="P1853" s="3" t="s">
        <v>55</v>
      </c>
      <c r="Q1853" s="8">
        <v>0.18243500000000001</v>
      </c>
    </row>
    <row r="1854" spans="1:17" hidden="1" x14ac:dyDescent="0.55000000000000004">
      <c r="A1854" s="3" t="s">
        <v>2836</v>
      </c>
      <c r="B1854" s="3" t="s">
        <v>2947</v>
      </c>
      <c r="C1854" t="s">
        <v>1999</v>
      </c>
      <c r="D1854" s="3" t="s">
        <v>7312</v>
      </c>
      <c r="E1854" t="s">
        <v>2948</v>
      </c>
      <c r="F1854" s="3" t="s">
        <v>2949</v>
      </c>
      <c r="G1854" t="s">
        <v>19</v>
      </c>
      <c r="H1854" s="3" t="s">
        <v>2950</v>
      </c>
      <c r="I1854" t="s">
        <v>2951</v>
      </c>
      <c r="J1854" s="3" t="s">
        <v>2952</v>
      </c>
      <c r="K1854" s="4">
        <v>309</v>
      </c>
      <c r="L1854" s="5">
        <v>67.2</v>
      </c>
      <c r="M1854" s="6">
        <v>0</v>
      </c>
      <c r="N1854" s="7">
        <v>0</v>
      </c>
      <c r="O1854" t="s">
        <v>2953</v>
      </c>
      <c r="P1854" s="3" t="s">
        <v>1279</v>
      </c>
      <c r="Q1854" s="8">
        <v>2.3370999999999999E-2</v>
      </c>
    </row>
    <row r="1855" spans="1:17" hidden="1" x14ac:dyDescent="0.55000000000000004">
      <c r="A1855" s="3" t="s">
        <v>2836</v>
      </c>
      <c r="B1855" s="3" t="s">
        <v>2947</v>
      </c>
      <c r="C1855" t="s">
        <v>1999</v>
      </c>
      <c r="D1855" s="3" t="s">
        <v>7312</v>
      </c>
      <c r="E1855" t="s">
        <v>2948</v>
      </c>
      <c r="F1855" s="3" t="s">
        <v>2949</v>
      </c>
      <c r="G1855" t="s">
        <v>19</v>
      </c>
      <c r="H1855" s="3" t="s">
        <v>2950</v>
      </c>
      <c r="I1855" t="s">
        <v>2951</v>
      </c>
      <c r="J1855" s="3" t="s">
        <v>2952</v>
      </c>
      <c r="K1855" s="4">
        <v>309</v>
      </c>
      <c r="L1855" s="5">
        <v>67.2</v>
      </c>
      <c r="M1855" s="6">
        <v>0</v>
      </c>
      <c r="N1855" s="7">
        <v>0</v>
      </c>
      <c r="O1855" t="s">
        <v>2954</v>
      </c>
      <c r="P1855" s="3" t="s">
        <v>2955</v>
      </c>
      <c r="Q1855" s="8">
        <v>0.113593</v>
      </c>
    </row>
    <row r="1856" spans="1:17" hidden="1" x14ac:dyDescent="0.55000000000000004">
      <c r="A1856" s="3" t="s">
        <v>2836</v>
      </c>
      <c r="B1856" s="3" t="s">
        <v>2947</v>
      </c>
      <c r="C1856" t="s">
        <v>1999</v>
      </c>
      <c r="D1856" s="3" t="s">
        <v>7312</v>
      </c>
      <c r="E1856" t="s">
        <v>2948</v>
      </c>
      <c r="F1856" s="3" t="s">
        <v>2949</v>
      </c>
      <c r="G1856" t="s">
        <v>19</v>
      </c>
      <c r="H1856" s="3" t="s">
        <v>2956</v>
      </c>
      <c r="I1856" t="s">
        <v>1276</v>
      </c>
      <c r="J1856" s="3" t="s">
        <v>2952</v>
      </c>
      <c r="K1856" s="4">
        <v>505</v>
      </c>
      <c r="L1856" s="5">
        <v>109.83</v>
      </c>
      <c r="M1856" s="6">
        <v>1</v>
      </c>
      <c r="N1856" s="7">
        <v>0</v>
      </c>
      <c r="O1856" t="s">
        <v>1280</v>
      </c>
      <c r="P1856" s="3" t="s">
        <v>1279</v>
      </c>
      <c r="Q1856" s="8">
        <v>5.5162000000000003E-2</v>
      </c>
    </row>
    <row r="1857" spans="1:17" hidden="1" x14ac:dyDescent="0.55000000000000004">
      <c r="A1857" s="3" t="s">
        <v>2836</v>
      </c>
      <c r="B1857" s="3" t="s">
        <v>2947</v>
      </c>
      <c r="C1857" t="s">
        <v>1999</v>
      </c>
      <c r="D1857" s="3" t="s">
        <v>7312</v>
      </c>
      <c r="E1857" t="s">
        <v>2948</v>
      </c>
      <c r="F1857" s="3" t="s">
        <v>2949</v>
      </c>
      <c r="G1857" t="s">
        <v>19</v>
      </c>
      <c r="H1857" s="3" t="s">
        <v>2956</v>
      </c>
      <c r="I1857" t="s">
        <v>1276</v>
      </c>
      <c r="J1857" s="3" t="s">
        <v>2952</v>
      </c>
      <c r="K1857" s="4">
        <v>505</v>
      </c>
      <c r="L1857" s="5">
        <v>109.83</v>
      </c>
      <c r="M1857" s="6">
        <v>1</v>
      </c>
      <c r="N1857" s="7">
        <v>0</v>
      </c>
      <c r="O1857" t="s">
        <v>1281</v>
      </c>
      <c r="P1857" s="3" t="s">
        <v>1282</v>
      </c>
      <c r="Q1857" s="8">
        <v>2.8874E-2</v>
      </c>
    </row>
    <row r="1858" spans="1:17" hidden="1" x14ac:dyDescent="0.55000000000000004">
      <c r="A1858" s="3" t="s">
        <v>2836</v>
      </c>
      <c r="B1858" s="3" t="s">
        <v>2947</v>
      </c>
      <c r="C1858" t="s">
        <v>1999</v>
      </c>
      <c r="D1858" s="3" t="s">
        <v>7312</v>
      </c>
      <c r="E1858" t="s">
        <v>2948</v>
      </c>
      <c r="F1858" s="3" t="s">
        <v>2949</v>
      </c>
      <c r="G1858" t="s">
        <v>24</v>
      </c>
      <c r="H1858" s="3" t="s">
        <v>2957</v>
      </c>
      <c r="I1858" t="s">
        <v>52</v>
      </c>
      <c r="J1858" s="3" t="s">
        <v>2958</v>
      </c>
      <c r="K1858" s="4">
        <v>248</v>
      </c>
      <c r="L1858" s="5">
        <v>11.28</v>
      </c>
      <c r="M1858" s="6">
        <v>1</v>
      </c>
      <c r="N1858" s="7">
        <v>0</v>
      </c>
      <c r="O1858" t="s">
        <v>2959</v>
      </c>
      <c r="P1858" s="3" t="s">
        <v>55</v>
      </c>
      <c r="Q1858" s="8">
        <v>0.18052000000000001</v>
      </c>
    </row>
    <row r="1859" spans="1:17" hidden="1" x14ac:dyDescent="0.55000000000000004">
      <c r="A1859" s="9" t="s">
        <v>2836</v>
      </c>
      <c r="B1859" s="3" t="s">
        <v>2947</v>
      </c>
      <c r="C1859" t="s">
        <v>1999</v>
      </c>
      <c r="D1859" s="3" t="s">
        <v>7312</v>
      </c>
      <c r="E1859" t="s">
        <v>2948</v>
      </c>
      <c r="F1859" s="3" t="s">
        <v>2949</v>
      </c>
      <c r="G1859" t="s">
        <v>24</v>
      </c>
      <c r="H1859" s="3" t="s">
        <v>2960</v>
      </c>
      <c r="I1859" t="s">
        <v>218</v>
      </c>
      <c r="J1859" s="3" t="s">
        <v>2961</v>
      </c>
      <c r="K1859" s="4">
        <v>560</v>
      </c>
      <c r="L1859" s="5">
        <v>25.47</v>
      </c>
      <c r="M1859" s="6">
        <v>0</v>
      </c>
      <c r="N1859" s="7">
        <v>0</v>
      </c>
      <c r="O1859" t="s">
        <v>2962</v>
      </c>
      <c r="P1859" s="3" t="s">
        <v>23</v>
      </c>
      <c r="Q1859" s="8" t="s">
        <v>23</v>
      </c>
    </row>
    <row r="1860" spans="1:17" hidden="1" x14ac:dyDescent="0.55000000000000004">
      <c r="A1860" s="3" t="s">
        <v>2963</v>
      </c>
      <c r="B1860" s="3" t="s">
        <v>2964</v>
      </c>
      <c r="C1860" t="s">
        <v>2964</v>
      </c>
      <c r="D1860" s="3" t="s">
        <v>7314</v>
      </c>
      <c r="E1860" t="s">
        <v>2965</v>
      </c>
      <c r="F1860" s="3" t="s">
        <v>2966</v>
      </c>
      <c r="G1860" t="s">
        <v>24</v>
      </c>
      <c r="H1860" s="3" t="s">
        <v>2967</v>
      </c>
      <c r="I1860" t="s">
        <v>304</v>
      </c>
      <c r="J1860" s="3" t="s">
        <v>2968</v>
      </c>
      <c r="K1860" s="4">
        <v>768</v>
      </c>
      <c r="L1860" s="5">
        <v>34.9</v>
      </c>
      <c r="M1860" s="6">
        <v>1</v>
      </c>
      <c r="N1860" s="7">
        <v>0</v>
      </c>
      <c r="O1860" t="s">
        <v>2969</v>
      </c>
      <c r="P1860" s="3" t="s">
        <v>55</v>
      </c>
      <c r="Q1860" s="8">
        <v>0.21784600000000001</v>
      </c>
    </row>
    <row r="1861" spans="1:17" hidden="1" x14ac:dyDescent="0.55000000000000004">
      <c r="A1861" s="3" t="s">
        <v>2963</v>
      </c>
      <c r="B1861" s="3" t="s">
        <v>2970</v>
      </c>
      <c r="C1861" t="s">
        <v>2970</v>
      </c>
      <c r="D1861" s="3" t="s">
        <v>7314</v>
      </c>
      <c r="E1861" t="s">
        <v>2971</v>
      </c>
      <c r="F1861" s="3" t="s">
        <v>2972</v>
      </c>
      <c r="G1861" t="s">
        <v>19</v>
      </c>
      <c r="H1861" s="3" t="s">
        <v>2973</v>
      </c>
      <c r="I1861" t="s">
        <v>81</v>
      </c>
      <c r="J1861" s="3" t="s">
        <v>2974</v>
      </c>
      <c r="K1861" s="4">
        <v>386</v>
      </c>
      <c r="L1861" s="5">
        <v>83.8</v>
      </c>
      <c r="M1861" s="6">
        <v>1</v>
      </c>
      <c r="N1861" s="7">
        <v>0</v>
      </c>
      <c r="O1861" t="s">
        <v>2975</v>
      </c>
      <c r="P1861" s="3" t="s">
        <v>84</v>
      </c>
      <c r="Q1861" s="8">
        <v>2.9499999999999998E-2</v>
      </c>
    </row>
    <row r="1862" spans="1:17" hidden="1" x14ac:dyDescent="0.55000000000000004">
      <c r="A1862" s="3" t="s">
        <v>2963</v>
      </c>
      <c r="B1862" s="3" t="s">
        <v>2970</v>
      </c>
      <c r="C1862" t="s">
        <v>2970</v>
      </c>
      <c r="D1862" s="3" t="s">
        <v>7314</v>
      </c>
      <c r="E1862" t="s">
        <v>2971</v>
      </c>
      <c r="F1862" s="3" t="s">
        <v>2972</v>
      </c>
      <c r="G1862" t="s">
        <v>19</v>
      </c>
      <c r="H1862" s="3" t="s">
        <v>2976</v>
      </c>
      <c r="I1862" t="s">
        <v>86</v>
      </c>
      <c r="J1862" s="3" t="s">
        <v>2977</v>
      </c>
      <c r="K1862" s="4">
        <v>130</v>
      </c>
      <c r="L1862" s="5">
        <v>28.2</v>
      </c>
      <c r="M1862" s="6">
        <v>0</v>
      </c>
      <c r="N1862" s="7">
        <v>0</v>
      </c>
      <c r="O1862" t="s">
        <v>2978</v>
      </c>
      <c r="P1862" s="3" t="s">
        <v>89</v>
      </c>
      <c r="Q1862" s="8">
        <v>1.8526000000000001E-2</v>
      </c>
    </row>
    <row r="1863" spans="1:17" hidden="1" x14ac:dyDescent="0.55000000000000004">
      <c r="A1863" s="3" t="s">
        <v>2963</v>
      </c>
      <c r="B1863" s="3" t="s">
        <v>2970</v>
      </c>
      <c r="C1863" t="s">
        <v>2970</v>
      </c>
      <c r="D1863" s="3" t="s">
        <v>7314</v>
      </c>
      <c r="E1863" t="s">
        <v>2971</v>
      </c>
      <c r="F1863" s="3" t="s">
        <v>2972</v>
      </c>
      <c r="G1863" t="s">
        <v>24</v>
      </c>
      <c r="H1863" s="3" t="s">
        <v>2979</v>
      </c>
      <c r="I1863" t="s">
        <v>43</v>
      </c>
      <c r="J1863" s="3" t="s">
        <v>2980</v>
      </c>
      <c r="K1863" s="4">
        <v>781</v>
      </c>
      <c r="L1863" s="5">
        <v>35.51</v>
      </c>
      <c r="M1863" s="6">
        <v>1</v>
      </c>
      <c r="N1863" s="7">
        <v>0</v>
      </c>
      <c r="O1863" t="s">
        <v>2981</v>
      </c>
      <c r="P1863" s="3" t="s">
        <v>46</v>
      </c>
      <c r="Q1863" s="8">
        <v>0.189667</v>
      </c>
    </row>
    <row r="1864" spans="1:17" hidden="1" x14ac:dyDescent="0.55000000000000004">
      <c r="A1864" s="3" t="s">
        <v>2963</v>
      </c>
      <c r="B1864" s="3" t="s">
        <v>2970</v>
      </c>
      <c r="C1864" t="s">
        <v>2970</v>
      </c>
      <c r="D1864" s="3" t="s">
        <v>7314</v>
      </c>
      <c r="E1864" t="s">
        <v>2971</v>
      </c>
      <c r="F1864" s="3" t="s">
        <v>2972</v>
      </c>
      <c r="G1864" t="s">
        <v>24</v>
      </c>
      <c r="H1864" s="3" t="s">
        <v>2982</v>
      </c>
      <c r="I1864" t="s">
        <v>48</v>
      </c>
      <c r="J1864" s="3" t="s">
        <v>2980</v>
      </c>
      <c r="K1864" s="4">
        <v>961</v>
      </c>
      <c r="L1864" s="5">
        <v>43.69</v>
      </c>
      <c r="M1864" s="6">
        <v>0</v>
      </c>
      <c r="N1864" s="7">
        <v>0</v>
      </c>
      <c r="O1864" t="s">
        <v>2983</v>
      </c>
      <c r="P1864" s="3" t="s">
        <v>23</v>
      </c>
      <c r="Q1864" s="8" t="s">
        <v>23</v>
      </c>
    </row>
    <row r="1865" spans="1:17" hidden="1" x14ac:dyDescent="0.55000000000000004">
      <c r="A1865" s="3" t="s">
        <v>2963</v>
      </c>
      <c r="B1865" s="3" t="s">
        <v>2970</v>
      </c>
      <c r="C1865" t="s">
        <v>2970</v>
      </c>
      <c r="D1865" s="3" t="s">
        <v>7314</v>
      </c>
      <c r="E1865" t="s">
        <v>2984</v>
      </c>
      <c r="F1865" s="3" t="s">
        <v>2985</v>
      </c>
      <c r="G1865" t="s">
        <v>19</v>
      </c>
      <c r="H1865" s="3" t="s">
        <v>2973</v>
      </c>
      <c r="I1865" t="s">
        <v>81</v>
      </c>
      <c r="J1865" s="3" t="s">
        <v>2974</v>
      </c>
      <c r="K1865" s="4">
        <v>386</v>
      </c>
      <c r="L1865" s="5">
        <v>83.8</v>
      </c>
      <c r="M1865" s="6">
        <v>1</v>
      </c>
      <c r="N1865" s="7">
        <v>1</v>
      </c>
      <c r="O1865" t="s">
        <v>2975</v>
      </c>
      <c r="P1865" s="3" t="s">
        <v>84</v>
      </c>
      <c r="Q1865" s="8">
        <v>2.9499999999999998E-2</v>
      </c>
    </row>
    <row r="1866" spans="1:17" hidden="1" x14ac:dyDescent="0.55000000000000004">
      <c r="A1866" s="3" t="s">
        <v>2963</v>
      </c>
      <c r="B1866" s="3" t="s">
        <v>2970</v>
      </c>
      <c r="C1866" t="s">
        <v>2970</v>
      </c>
      <c r="D1866" s="3" t="s">
        <v>7314</v>
      </c>
      <c r="E1866" t="s">
        <v>2984</v>
      </c>
      <c r="F1866" s="3" t="s">
        <v>2985</v>
      </c>
      <c r="G1866" t="s">
        <v>19</v>
      </c>
      <c r="H1866" s="3" t="s">
        <v>2976</v>
      </c>
      <c r="I1866" t="s">
        <v>86</v>
      </c>
      <c r="J1866" s="3" t="s">
        <v>2977</v>
      </c>
      <c r="K1866" s="4">
        <v>130</v>
      </c>
      <c r="L1866" s="5">
        <v>28.2</v>
      </c>
      <c r="M1866" s="6">
        <v>0</v>
      </c>
      <c r="N1866" s="7">
        <v>1</v>
      </c>
      <c r="O1866" t="s">
        <v>2978</v>
      </c>
      <c r="P1866" s="3" t="s">
        <v>89</v>
      </c>
      <c r="Q1866" s="8">
        <v>1.8526000000000001E-2</v>
      </c>
    </row>
    <row r="1867" spans="1:17" hidden="1" x14ac:dyDescent="0.55000000000000004">
      <c r="A1867" s="3" t="s">
        <v>2963</v>
      </c>
      <c r="B1867" s="3" t="s">
        <v>2970</v>
      </c>
      <c r="C1867" t="s">
        <v>2970</v>
      </c>
      <c r="D1867" s="3" t="s">
        <v>7314</v>
      </c>
      <c r="E1867" t="s">
        <v>2984</v>
      </c>
      <c r="F1867" s="3" t="s">
        <v>2985</v>
      </c>
      <c r="G1867" t="s">
        <v>24</v>
      </c>
      <c r="H1867" s="3" t="s">
        <v>2979</v>
      </c>
      <c r="I1867" t="s">
        <v>43</v>
      </c>
      <c r="J1867" s="3" t="s">
        <v>2980</v>
      </c>
      <c r="K1867" s="4">
        <v>781</v>
      </c>
      <c r="L1867" s="5">
        <v>35.51</v>
      </c>
      <c r="M1867" s="6">
        <v>1</v>
      </c>
      <c r="N1867" s="7">
        <v>1</v>
      </c>
      <c r="O1867" t="s">
        <v>2981</v>
      </c>
      <c r="P1867" s="3" t="s">
        <v>46</v>
      </c>
      <c r="Q1867" s="8">
        <v>0.189667</v>
      </c>
    </row>
    <row r="1868" spans="1:17" hidden="1" x14ac:dyDescent="0.55000000000000004">
      <c r="A1868" s="3" t="s">
        <v>2963</v>
      </c>
      <c r="B1868" s="3" t="s">
        <v>2970</v>
      </c>
      <c r="C1868" t="s">
        <v>2970</v>
      </c>
      <c r="D1868" s="3" t="s">
        <v>7314</v>
      </c>
      <c r="E1868" t="s">
        <v>2984</v>
      </c>
      <c r="F1868" s="3" t="s">
        <v>2985</v>
      </c>
      <c r="G1868" t="s">
        <v>24</v>
      </c>
      <c r="H1868" s="3" t="s">
        <v>2982</v>
      </c>
      <c r="I1868" t="s">
        <v>48</v>
      </c>
      <c r="J1868" s="3" t="s">
        <v>2980</v>
      </c>
      <c r="K1868" s="4">
        <v>961</v>
      </c>
      <c r="L1868" s="5">
        <v>43.69</v>
      </c>
      <c r="M1868" s="6">
        <v>0</v>
      </c>
      <c r="N1868" s="7">
        <v>1</v>
      </c>
      <c r="O1868" t="s">
        <v>2983</v>
      </c>
      <c r="P1868" s="3" t="s">
        <v>23</v>
      </c>
      <c r="Q1868" s="8" t="s">
        <v>23</v>
      </c>
    </row>
    <row r="1869" spans="1:17" hidden="1" x14ac:dyDescent="0.55000000000000004">
      <c r="A1869" s="3" t="s">
        <v>2963</v>
      </c>
      <c r="B1869" s="3" t="s">
        <v>2970</v>
      </c>
      <c r="C1869" t="s">
        <v>2970</v>
      </c>
      <c r="D1869" s="3" t="s">
        <v>7314</v>
      </c>
      <c r="E1869" t="s">
        <v>2986</v>
      </c>
      <c r="F1869" s="3" t="s">
        <v>2987</v>
      </c>
      <c r="G1869" t="s">
        <v>19</v>
      </c>
      <c r="H1869" s="3" t="s">
        <v>2973</v>
      </c>
      <c r="I1869" t="s">
        <v>81</v>
      </c>
      <c r="J1869" s="3" t="s">
        <v>2974</v>
      </c>
      <c r="K1869" s="4">
        <v>386</v>
      </c>
      <c r="L1869" s="5">
        <v>83.8</v>
      </c>
      <c r="M1869" s="6">
        <v>1</v>
      </c>
      <c r="N1869" s="7">
        <v>0</v>
      </c>
      <c r="O1869" t="s">
        <v>2975</v>
      </c>
      <c r="P1869" s="3" t="s">
        <v>84</v>
      </c>
      <c r="Q1869" s="8">
        <v>2.9499999999999998E-2</v>
      </c>
    </row>
    <row r="1870" spans="1:17" hidden="1" x14ac:dyDescent="0.55000000000000004">
      <c r="A1870" s="3" t="s">
        <v>2963</v>
      </c>
      <c r="B1870" s="3" t="s">
        <v>2970</v>
      </c>
      <c r="C1870" t="s">
        <v>2970</v>
      </c>
      <c r="D1870" s="3" t="s">
        <v>7314</v>
      </c>
      <c r="E1870" t="s">
        <v>2986</v>
      </c>
      <c r="F1870" s="3" t="s">
        <v>2987</v>
      </c>
      <c r="G1870" t="s">
        <v>19</v>
      </c>
      <c r="H1870" s="3" t="s">
        <v>2976</v>
      </c>
      <c r="I1870" t="s">
        <v>86</v>
      </c>
      <c r="J1870" s="3" t="s">
        <v>2977</v>
      </c>
      <c r="K1870" s="4">
        <v>130</v>
      </c>
      <c r="L1870" s="5">
        <v>28.2</v>
      </c>
      <c r="M1870" s="6">
        <v>0</v>
      </c>
      <c r="N1870" s="7">
        <v>0</v>
      </c>
      <c r="O1870" t="s">
        <v>2978</v>
      </c>
      <c r="P1870" s="3" t="s">
        <v>89</v>
      </c>
      <c r="Q1870" s="8">
        <v>1.8526000000000001E-2</v>
      </c>
    </row>
    <row r="1871" spans="1:17" hidden="1" x14ac:dyDescent="0.55000000000000004">
      <c r="A1871" s="3" t="s">
        <v>2963</v>
      </c>
      <c r="B1871" s="3" t="s">
        <v>2970</v>
      </c>
      <c r="C1871" t="s">
        <v>2970</v>
      </c>
      <c r="D1871" s="3" t="s">
        <v>7314</v>
      </c>
      <c r="E1871" t="s">
        <v>2986</v>
      </c>
      <c r="F1871" s="3" t="s">
        <v>2987</v>
      </c>
      <c r="G1871" t="s">
        <v>24</v>
      </c>
      <c r="H1871" s="3" t="s">
        <v>2979</v>
      </c>
      <c r="I1871" t="s">
        <v>43</v>
      </c>
      <c r="J1871" s="3" t="s">
        <v>2980</v>
      </c>
      <c r="K1871" s="4">
        <v>781</v>
      </c>
      <c r="L1871" s="5">
        <v>35.51</v>
      </c>
      <c r="M1871" s="6">
        <v>1</v>
      </c>
      <c r="N1871" s="7">
        <v>0</v>
      </c>
      <c r="O1871" t="s">
        <v>2981</v>
      </c>
      <c r="P1871" s="3" t="s">
        <v>46</v>
      </c>
      <c r="Q1871" s="8">
        <v>0.189667</v>
      </c>
    </row>
    <row r="1872" spans="1:17" hidden="1" x14ac:dyDescent="0.55000000000000004">
      <c r="A1872" s="3" t="s">
        <v>2963</v>
      </c>
      <c r="B1872" s="3" t="s">
        <v>2970</v>
      </c>
      <c r="C1872" t="s">
        <v>2970</v>
      </c>
      <c r="D1872" s="3" t="s">
        <v>7314</v>
      </c>
      <c r="E1872" t="s">
        <v>2986</v>
      </c>
      <c r="F1872" s="3" t="s">
        <v>2987</v>
      </c>
      <c r="G1872" t="s">
        <v>24</v>
      </c>
      <c r="H1872" s="3" t="s">
        <v>2982</v>
      </c>
      <c r="I1872" t="s">
        <v>48</v>
      </c>
      <c r="J1872" s="3" t="s">
        <v>2980</v>
      </c>
      <c r="K1872" s="4">
        <v>961</v>
      </c>
      <c r="L1872" s="5">
        <v>43.69</v>
      </c>
      <c r="M1872" s="6">
        <v>0</v>
      </c>
      <c r="N1872" s="7">
        <v>0</v>
      </c>
      <c r="O1872" t="s">
        <v>2983</v>
      </c>
      <c r="P1872" s="3" t="s">
        <v>23</v>
      </c>
      <c r="Q1872" s="8" t="s">
        <v>23</v>
      </c>
    </row>
    <row r="1873" spans="1:17" hidden="1" x14ac:dyDescent="0.55000000000000004">
      <c r="A1873" s="3" t="s">
        <v>2963</v>
      </c>
      <c r="B1873" s="3" t="s">
        <v>2970</v>
      </c>
      <c r="C1873" t="s">
        <v>2970</v>
      </c>
      <c r="D1873" s="3" t="s">
        <v>7314</v>
      </c>
      <c r="E1873" t="s">
        <v>2988</v>
      </c>
      <c r="F1873" s="3" t="s">
        <v>2989</v>
      </c>
      <c r="G1873" t="s">
        <v>19</v>
      </c>
      <c r="H1873" s="3" t="s">
        <v>2973</v>
      </c>
      <c r="I1873" t="s">
        <v>81</v>
      </c>
      <c r="J1873" s="3" t="s">
        <v>2974</v>
      </c>
      <c r="K1873" s="4">
        <v>386</v>
      </c>
      <c r="L1873" s="5">
        <v>83.8</v>
      </c>
      <c r="M1873" s="6">
        <v>1</v>
      </c>
      <c r="N1873" s="7">
        <v>0</v>
      </c>
      <c r="O1873" t="s">
        <v>2975</v>
      </c>
      <c r="P1873" s="3" t="s">
        <v>84</v>
      </c>
      <c r="Q1873" s="8">
        <v>2.9499999999999998E-2</v>
      </c>
    </row>
    <row r="1874" spans="1:17" hidden="1" x14ac:dyDescent="0.55000000000000004">
      <c r="A1874" s="3" t="s">
        <v>2963</v>
      </c>
      <c r="B1874" s="3" t="s">
        <v>2970</v>
      </c>
      <c r="C1874" t="s">
        <v>2970</v>
      </c>
      <c r="D1874" s="3" t="s">
        <v>7314</v>
      </c>
      <c r="E1874" t="s">
        <v>2988</v>
      </c>
      <c r="F1874" s="3" t="s">
        <v>2989</v>
      </c>
      <c r="G1874" t="s">
        <v>24</v>
      </c>
      <c r="H1874" s="3" t="s">
        <v>2979</v>
      </c>
      <c r="I1874" t="s">
        <v>43</v>
      </c>
      <c r="J1874" s="3" t="s">
        <v>2980</v>
      </c>
      <c r="K1874" s="4">
        <v>781</v>
      </c>
      <c r="L1874" s="5">
        <v>35.51</v>
      </c>
      <c r="M1874" s="6">
        <v>1</v>
      </c>
      <c r="N1874" s="7">
        <v>0</v>
      </c>
      <c r="O1874" t="s">
        <v>2981</v>
      </c>
      <c r="P1874" s="3" t="s">
        <v>46</v>
      </c>
      <c r="Q1874" s="8">
        <v>0.189667</v>
      </c>
    </row>
    <row r="1875" spans="1:17" hidden="1" x14ac:dyDescent="0.55000000000000004">
      <c r="A1875" s="3" t="s">
        <v>2963</v>
      </c>
      <c r="B1875" s="3" t="s">
        <v>2970</v>
      </c>
      <c r="C1875" t="s">
        <v>2970</v>
      </c>
      <c r="D1875" s="3" t="s">
        <v>7314</v>
      </c>
      <c r="E1875" t="s">
        <v>2988</v>
      </c>
      <c r="F1875" s="3" t="s">
        <v>2989</v>
      </c>
      <c r="G1875" t="s">
        <v>24</v>
      </c>
      <c r="H1875" s="3" t="s">
        <v>2982</v>
      </c>
      <c r="I1875" t="s">
        <v>48</v>
      </c>
      <c r="J1875" s="3" t="s">
        <v>2980</v>
      </c>
      <c r="K1875" s="4">
        <v>961</v>
      </c>
      <c r="L1875" s="5">
        <v>43.69</v>
      </c>
      <c r="M1875" s="6">
        <v>0</v>
      </c>
      <c r="N1875" s="7">
        <v>0</v>
      </c>
      <c r="O1875" t="s">
        <v>2983</v>
      </c>
      <c r="P1875" s="3" t="s">
        <v>23</v>
      </c>
      <c r="Q1875" s="8" t="s">
        <v>23</v>
      </c>
    </row>
    <row r="1876" spans="1:17" hidden="1" x14ac:dyDescent="0.55000000000000004">
      <c r="A1876" s="3" t="s">
        <v>2963</v>
      </c>
      <c r="B1876" s="3" t="s">
        <v>2990</v>
      </c>
      <c r="C1876" t="s">
        <v>2990</v>
      </c>
      <c r="D1876" s="3" t="s">
        <v>7314</v>
      </c>
      <c r="E1876" t="s">
        <v>2991</v>
      </c>
      <c r="F1876" s="3" t="s">
        <v>2992</v>
      </c>
      <c r="G1876" t="s">
        <v>24</v>
      </c>
      <c r="H1876" s="3" t="s">
        <v>2993</v>
      </c>
      <c r="I1876" t="s">
        <v>26</v>
      </c>
      <c r="J1876" s="3" t="s">
        <v>2994</v>
      </c>
      <c r="K1876" s="4">
        <v>600</v>
      </c>
      <c r="L1876" s="5">
        <v>27.29</v>
      </c>
      <c r="M1876" s="6">
        <v>1</v>
      </c>
      <c r="N1876" s="7">
        <v>0</v>
      </c>
      <c r="O1876" t="s">
        <v>2995</v>
      </c>
      <c r="P1876" s="3" t="s">
        <v>29</v>
      </c>
      <c r="Q1876" s="8">
        <v>0.218392</v>
      </c>
    </row>
    <row r="1877" spans="1:17" hidden="1" x14ac:dyDescent="0.55000000000000004">
      <c r="A1877" s="3" t="s">
        <v>2963</v>
      </c>
      <c r="B1877" s="3" t="s">
        <v>2990</v>
      </c>
      <c r="C1877" t="s">
        <v>2990</v>
      </c>
      <c r="D1877" s="3" t="s">
        <v>7314</v>
      </c>
      <c r="E1877" t="s">
        <v>2996</v>
      </c>
      <c r="F1877" s="3" t="s">
        <v>2997</v>
      </c>
      <c r="G1877" t="s">
        <v>24</v>
      </c>
      <c r="H1877" s="3" t="s">
        <v>2993</v>
      </c>
      <c r="I1877" t="s">
        <v>26</v>
      </c>
      <c r="J1877" s="3" t="s">
        <v>2994</v>
      </c>
      <c r="K1877" s="4">
        <v>600</v>
      </c>
      <c r="L1877" s="5">
        <v>27.29</v>
      </c>
      <c r="M1877" s="6">
        <v>1</v>
      </c>
      <c r="N1877" s="7">
        <v>0</v>
      </c>
      <c r="O1877" t="s">
        <v>2995</v>
      </c>
      <c r="P1877" s="3" t="s">
        <v>29</v>
      </c>
      <c r="Q1877" s="8">
        <v>0.218392</v>
      </c>
    </row>
    <row r="1878" spans="1:17" hidden="1" x14ac:dyDescent="0.55000000000000004">
      <c r="A1878" s="3" t="s">
        <v>2963</v>
      </c>
      <c r="B1878" s="3" t="s">
        <v>2990</v>
      </c>
      <c r="C1878" t="s">
        <v>2990</v>
      </c>
      <c r="D1878" s="3" t="s">
        <v>7314</v>
      </c>
      <c r="E1878" t="s">
        <v>2998</v>
      </c>
      <c r="F1878" s="3" t="s">
        <v>2999</v>
      </c>
      <c r="G1878" t="s">
        <v>24</v>
      </c>
      <c r="H1878" s="3" t="s">
        <v>2993</v>
      </c>
      <c r="I1878" t="s">
        <v>26</v>
      </c>
      <c r="J1878" s="3" t="s">
        <v>2994</v>
      </c>
      <c r="K1878" s="4">
        <v>600</v>
      </c>
      <c r="L1878" s="5">
        <v>27.29</v>
      </c>
      <c r="M1878" s="6">
        <v>1</v>
      </c>
      <c r="N1878" s="7">
        <v>0</v>
      </c>
      <c r="O1878" t="s">
        <v>2995</v>
      </c>
      <c r="P1878" s="3" t="s">
        <v>29</v>
      </c>
      <c r="Q1878" s="8">
        <v>0.218392</v>
      </c>
    </row>
    <row r="1879" spans="1:17" hidden="1" x14ac:dyDescent="0.55000000000000004">
      <c r="A1879" s="3" t="s">
        <v>2963</v>
      </c>
      <c r="B1879" s="3" t="s">
        <v>2990</v>
      </c>
      <c r="C1879" t="s">
        <v>2990</v>
      </c>
      <c r="D1879" s="3" t="s">
        <v>7314</v>
      </c>
      <c r="E1879" t="s">
        <v>3000</v>
      </c>
      <c r="F1879" s="3" t="s">
        <v>3001</v>
      </c>
      <c r="G1879" t="s">
        <v>24</v>
      </c>
      <c r="H1879" s="3" t="s">
        <v>2993</v>
      </c>
      <c r="I1879" t="s">
        <v>26</v>
      </c>
      <c r="J1879" s="3" t="s">
        <v>2994</v>
      </c>
      <c r="K1879" s="4">
        <v>600</v>
      </c>
      <c r="L1879" s="5">
        <v>27.29</v>
      </c>
      <c r="M1879" s="6">
        <v>1</v>
      </c>
      <c r="N1879" s="7">
        <v>0</v>
      </c>
      <c r="O1879" t="s">
        <v>2995</v>
      </c>
      <c r="P1879" s="3" t="s">
        <v>29</v>
      </c>
      <c r="Q1879" s="8">
        <v>0.218392</v>
      </c>
    </row>
    <row r="1880" spans="1:17" hidden="1" x14ac:dyDescent="0.55000000000000004">
      <c r="A1880" s="3" t="s">
        <v>2963</v>
      </c>
      <c r="B1880" s="3" t="s">
        <v>3002</v>
      </c>
      <c r="C1880" t="s">
        <v>3002</v>
      </c>
      <c r="D1880" s="3" t="s">
        <v>7314</v>
      </c>
      <c r="E1880" t="s">
        <v>3003</v>
      </c>
      <c r="F1880" s="3" t="s">
        <v>3004</v>
      </c>
      <c r="G1880" t="s">
        <v>19</v>
      </c>
      <c r="H1880" s="3" t="s">
        <v>3005</v>
      </c>
      <c r="I1880" t="s">
        <v>81</v>
      </c>
      <c r="J1880" s="3" t="s">
        <v>3006</v>
      </c>
      <c r="K1880" s="4">
        <v>458</v>
      </c>
      <c r="L1880" s="5">
        <v>99.46</v>
      </c>
      <c r="M1880" s="6">
        <v>1</v>
      </c>
      <c r="N1880" s="7">
        <v>0</v>
      </c>
      <c r="O1880" t="s">
        <v>3007</v>
      </c>
      <c r="P1880" s="3" t="s">
        <v>84</v>
      </c>
      <c r="Q1880" s="8">
        <v>2.9499999999999998E-2</v>
      </c>
    </row>
    <row r="1881" spans="1:17" hidden="1" x14ac:dyDescent="0.55000000000000004">
      <c r="A1881" s="3" t="s">
        <v>2963</v>
      </c>
      <c r="B1881" s="3" t="s">
        <v>3002</v>
      </c>
      <c r="C1881" t="s">
        <v>3002</v>
      </c>
      <c r="D1881" s="3" t="s">
        <v>7314</v>
      </c>
      <c r="E1881" t="s">
        <v>3003</v>
      </c>
      <c r="F1881" s="3" t="s">
        <v>3004</v>
      </c>
      <c r="G1881" t="s">
        <v>24</v>
      </c>
      <c r="H1881" s="3" t="s">
        <v>3008</v>
      </c>
      <c r="I1881" t="s">
        <v>43</v>
      </c>
      <c r="J1881" s="3" t="s">
        <v>3009</v>
      </c>
      <c r="K1881" s="4">
        <v>518</v>
      </c>
      <c r="L1881" s="5">
        <v>23.54</v>
      </c>
      <c r="M1881" s="6">
        <v>1</v>
      </c>
      <c r="N1881" s="7">
        <v>0</v>
      </c>
      <c r="O1881" t="s">
        <v>3010</v>
      </c>
      <c r="P1881" s="3" t="s">
        <v>138</v>
      </c>
      <c r="Q1881" s="8">
        <v>0.21730099999999999</v>
      </c>
    </row>
    <row r="1882" spans="1:17" hidden="1" x14ac:dyDescent="0.55000000000000004">
      <c r="A1882" s="3" t="s">
        <v>2963</v>
      </c>
      <c r="B1882" s="3" t="s">
        <v>3002</v>
      </c>
      <c r="C1882" t="s">
        <v>3002</v>
      </c>
      <c r="D1882" s="3" t="s">
        <v>7314</v>
      </c>
      <c r="E1882" t="s">
        <v>3011</v>
      </c>
      <c r="F1882" s="3" t="s">
        <v>3012</v>
      </c>
      <c r="G1882" t="s">
        <v>19</v>
      </c>
      <c r="H1882" s="3" t="s">
        <v>3005</v>
      </c>
      <c r="I1882" t="s">
        <v>81</v>
      </c>
      <c r="J1882" s="3" t="s">
        <v>3006</v>
      </c>
      <c r="K1882" s="4">
        <v>458</v>
      </c>
      <c r="L1882" s="5">
        <v>99.46</v>
      </c>
      <c r="M1882" s="6">
        <v>1</v>
      </c>
      <c r="N1882" s="7">
        <v>0</v>
      </c>
      <c r="O1882" t="s">
        <v>3007</v>
      </c>
      <c r="P1882" s="3" t="s">
        <v>84</v>
      </c>
      <c r="Q1882" s="8">
        <v>2.9499999999999998E-2</v>
      </c>
    </row>
    <row r="1883" spans="1:17" hidden="1" x14ac:dyDescent="0.55000000000000004">
      <c r="A1883" s="3" t="s">
        <v>2963</v>
      </c>
      <c r="B1883" s="3" t="s">
        <v>3002</v>
      </c>
      <c r="C1883" t="s">
        <v>3002</v>
      </c>
      <c r="D1883" s="3" t="s">
        <v>7314</v>
      </c>
      <c r="E1883" t="s">
        <v>3011</v>
      </c>
      <c r="F1883" s="3" t="s">
        <v>3012</v>
      </c>
      <c r="G1883" t="s">
        <v>19</v>
      </c>
      <c r="H1883" s="3" t="s">
        <v>3013</v>
      </c>
      <c r="I1883" t="s">
        <v>86</v>
      </c>
      <c r="J1883" s="3" t="s">
        <v>3014</v>
      </c>
      <c r="K1883" s="4">
        <v>201</v>
      </c>
      <c r="L1883" s="5">
        <v>43.72</v>
      </c>
      <c r="M1883" s="6">
        <v>0</v>
      </c>
      <c r="N1883" s="7">
        <v>0</v>
      </c>
      <c r="O1883" t="s">
        <v>3015</v>
      </c>
      <c r="P1883" s="3" t="s">
        <v>89</v>
      </c>
      <c r="Q1883" s="8">
        <v>2.2157E-2</v>
      </c>
    </row>
    <row r="1884" spans="1:17" hidden="1" x14ac:dyDescent="0.55000000000000004">
      <c r="A1884" s="3" t="s">
        <v>2963</v>
      </c>
      <c r="B1884" s="3" t="s">
        <v>3002</v>
      </c>
      <c r="C1884" t="s">
        <v>3002</v>
      </c>
      <c r="D1884" s="3" t="s">
        <v>7314</v>
      </c>
      <c r="E1884" t="s">
        <v>3011</v>
      </c>
      <c r="F1884" s="3" t="s">
        <v>3012</v>
      </c>
      <c r="G1884" t="s">
        <v>24</v>
      </c>
      <c r="H1884" s="3" t="s">
        <v>3008</v>
      </c>
      <c r="I1884" t="s">
        <v>43</v>
      </c>
      <c r="J1884" s="3" t="s">
        <v>3009</v>
      </c>
      <c r="K1884" s="4">
        <v>518</v>
      </c>
      <c r="L1884" s="5">
        <v>23.54</v>
      </c>
      <c r="M1884" s="6">
        <v>1</v>
      </c>
      <c r="N1884" s="7">
        <v>0</v>
      </c>
      <c r="O1884" t="s">
        <v>3010</v>
      </c>
      <c r="P1884" s="3" t="s">
        <v>138</v>
      </c>
      <c r="Q1884" s="8">
        <v>0.21730099999999999</v>
      </c>
    </row>
    <row r="1885" spans="1:17" hidden="1" x14ac:dyDescent="0.55000000000000004">
      <c r="A1885" s="3" t="s">
        <v>2963</v>
      </c>
      <c r="B1885" s="3" t="s">
        <v>3002</v>
      </c>
      <c r="C1885" t="s">
        <v>3002</v>
      </c>
      <c r="D1885" s="3" t="s">
        <v>7314</v>
      </c>
      <c r="E1885" t="s">
        <v>3016</v>
      </c>
      <c r="F1885" s="3" t="s">
        <v>3017</v>
      </c>
      <c r="G1885" t="s">
        <v>19</v>
      </c>
      <c r="H1885" s="3" t="s">
        <v>3005</v>
      </c>
      <c r="I1885" t="s">
        <v>81</v>
      </c>
      <c r="J1885" s="3" t="s">
        <v>3006</v>
      </c>
      <c r="K1885" s="4">
        <v>458</v>
      </c>
      <c r="L1885" s="5">
        <v>99.46</v>
      </c>
      <c r="M1885" s="6">
        <v>1</v>
      </c>
      <c r="N1885" s="7">
        <v>0</v>
      </c>
      <c r="O1885" t="s">
        <v>3007</v>
      </c>
      <c r="P1885" s="3" t="s">
        <v>84</v>
      </c>
      <c r="Q1885" s="8">
        <v>2.9499999999999998E-2</v>
      </c>
    </row>
    <row r="1886" spans="1:17" hidden="1" x14ac:dyDescent="0.55000000000000004">
      <c r="A1886" s="3" t="s">
        <v>2963</v>
      </c>
      <c r="B1886" s="3" t="s">
        <v>3002</v>
      </c>
      <c r="C1886" t="s">
        <v>3002</v>
      </c>
      <c r="D1886" s="3" t="s">
        <v>7314</v>
      </c>
      <c r="E1886" t="s">
        <v>3016</v>
      </c>
      <c r="F1886" s="3" t="s">
        <v>3017</v>
      </c>
      <c r="G1886" t="s">
        <v>24</v>
      </c>
      <c r="H1886" s="3" t="s">
        <v>3008</v>
      </c>
      <c r="I1886" t="s">
        <v>43</v>
      </c>
      <c r="J1886" s="3" t="s">
        <v>3009</v>
      </c>
      <c r="K1886" s="4">
        <v>518</v>
      </c>
      <c r="L1886" s="5">
        <v>23.54</v>
      </c>
      <c r="M1886" s="6">
        <v>1</v>
      </c>
      <c r="N1886" s="7">
        <v>0</v>
      </c>
      <c r="O1886" t="s">
        <v>3010</v>
      </c>
      <c r="P1886" s="3" t="s">
        <v>138</v>
      </c>
      <c r="Q1886" s="8">
        <v>0.21730099999999999</v>
      </c>
    </row>
    <row r="1887" spans="1:17" hidden="1" x14ac:dyDescent="0.55000000000000004">
      <c r="A1887" s="3" t="s">
        <v>2963</v>
      </c>
      <c r="B1887" s="3" t="s">
        <v>3002</v>
      </c>
      <c r="C1887" t="s">
        <v>3002</v>
      </c>
      <c r="D1887" s="3" t="s">
        <v>7314</v>
      </c>
      <c r="E1887" t="s">
        <v>3018</v>
      </c>
      <c r="F1887" s="3" t="s">
        <v>3019</v>
      </c>
      <c r="G1887" t="s">
        <v>19</v>
      </c>
      <c r="H1887" s="3" t="s">
        <v>3005</v>
      </c>
      <c r="I1887" t="s">
        <v>81</v>
      </c>
      <c r="J1887" s="3" t="s">
        <v>3006</v>
      </c>
      <c r="K1887" s="4">
        <v>458</v>
      </c>
      <c r="L1887" s="5">
        <v>99.46</v>
      </c>
      <c r="M1887" s="6">
        <v>1</v>
      </c>
      <c r="N1887" s="7">
        <v>1</v>
      </c>
      <c r="O1887" t="s">
        <v>3007</v>
      </c>
      <c r="P1887" s="3" t="s">
        <v>84</v>
      </c>
      <c r="Q1887" s="8">
        <v>2.9499999999999998E-2</v>
      </c>
    </row>
    <row r="1888" spans="1:17" hidden="1" x14ac:dyDescent="0.55000000000000004">
      <c r="A1888" s="3" t="s">
        <v>2963</v>
      </c>
      <c r="B1888" s="3" t="s">
        <v>3002</v>
      </c>
      <c r="C1888" t="s">
        <v>3002</v>
      </c>
      <c r="D1888" s="3" t="s">
        <v>7314</v>
      </c>
      <c r="E1888" t="s">
        <v>3018</v>
      </c>
      <c r="F1888" s="3" t="s">
        <v>3019</v>
      </c>
      <c r="G1888" t="s">
        <v>24</v>
      </c>
      <c r="H1888" s="3" t="s">
        <v>3008</v>
      </c>
      <c r="I1888" t="s">
        <v>43</v>
      </c>
      <c r="J1888" s="3" t="s">
        <v>3009</v>
      </c>
      <c r="K1888" s="4">
        <v>518</v>
      </c>
      <c r="L1888" s="5">
        <v>23.54</v>
      </c>
      <c r="M1888" s="6">
        <v>1</v>
      </c>
      <c r="N1888" s="7">
        <v>1</v>
      </c>
      <c r="O1888" t="s">
        <v>3010</v>
      </c>
      <c r="P1888" s="3" t="s">
        <v>138</v>
      </c>
      <c r="Q1888" s="8">
        <v>0.21730099999999999</v>
      </c>
    </row>
    <row r="1889" spans="1:17" hidden="1" x14ac:dyDescent="0.55000000000000004">
      <c r="A1889" s="3" t="s">
        <v>2963</v>
      </c>
      <c r="B1889" s="3" t="s">
        <v>3020</v>
      </c>
      <c r="C1889" t="s">
        <v>3020</v>
      </c>
      <c r="D1889" s="3" t="s">
        <v>7314</v>
      </c>
      <c r="E1889" t="s">
        <v>3022</v>
      </c>
      <c r="F1889" s="3" t="s">
        <v>3023</v>
      </c>
      <c r="G1889" t="s">
        <v>24</v>
      </c>
      <c r="H1889" s="3" t="s">
        <v>3024</v>
      </c>
      <c r="I1889" t="s">
        <v>26</v>
      </c>
      <c r="J1889" s="3" t="s">
        <v>3025</v>
      </c>
      <c r="K1889" s="4">
        <v>711</v>
      </c>
      <c r="L1889" s="5">
        <v>32.31</v>
      </c>
      <c r="M1889" s="6">
        <v>1</v>
      </c>
      <c r="N1889" s="7">
        <v>0</v>
      </c>
      <c r="O1889" t="s">
        <v>3026</v>
      </c>
      <c r="P1889" s="3" t="s">
        <v>29</v>
      </c>
      <c r="Q1889" s="8">
        <v>0.25709100000000001</v>
      </c>
    </row>
    <row r="1890" spans="1:17" hidden="1" x14ac:dyDescent="0.55000000000000004">
      <c r="A1890" s="3" t="s">
        <v>2963</v>
      </c>
      <c r="B1890" s="3" t="s">
        <v>3027</v>
      </c>
      <c r="C1890" t="s">
        <v>3027</v>
      </c>
      <c r="D1890" s="3" t="s">
        <v>7314</v>
      </c>
      <c r="E1890" t="s">
        <v>3028</v>
      </c>
      <c r="F1890" s="3" t="s">
        <v>3029</v>
      </c>
      <c r="G1890" t="s">
        <v>24</v>
      </c>
      <c r="H1890" s="3" t="s">
        <v>3030</v>
      </c>
      <c r="I1890" t="s">
        <v>37</v>
      </c>
      <c r="J1890" s="3" t="s">
        <v>3031</v>
      </c>
      <c r="K1890" s="4">
        <v>1083</v>
      </c>
      <c r="L1890" s="5">
        <v>49.25</v>
      </c>
      <c r="M1890" s="6">
        <v>1</v>
      </c>
      <c r="N1890" s="7">
        <v>0</v>
      </c>
      <c r="O1890" t="s">
        <v>3032</v>
      </c>
      <c r="P1890" s="3" t="s">
        <v>40</v>
      </c>
      <c r="Q1890" s="8">
        <v>0.25840299999999999</v>
      </c>
    </row>
    <row r="1891" spans="1:17" hidden="1" x14ac:dyDescent="0.55000000000000004">
      <c r="A1891" s="9" t="s">
        <v>2963</v>
      </c>
      <c r="B1891" s="3" t="s">
        <v>3021</v>
      </c>
      <c r="C1891" t="s">
        <v>3021</v>
      </c>
      <c r="D1891" s="3" t="s">
        <v>7314</v>
      </c>
      <c r="E1891" t="s">
        <v>3033</v>
      </c>
      <c r="F1891" s="3" t="s">
        <v>3034</v>
      </c>
      <c r="G1891" t="s">
        <v>24</v>
      </c>
      <c r="H1891" s="3" t="s">
        <v>3035</v>
      </c>
      <c r="I1891" t="s">
        <v>43</v>
      </c>
      <c r="J1891" s="3" t="s">
        <v>3036</v>
      </c>
      <c r="K1891" s="4">
        <v>528</v>
      </c>
      <c r="L1891" s="5">
        <v>24</v>
      </c>
      <c r="M1891" s="6">
        <v>1</v>
      </c>
      <c r="N1891" s="7">
        <v>0</v>
      </c>
      <c r="O1891" t="s">
        <v>3037</v>
      </c>
      <c r="P1891" s="3" t="s">
        <v>138</v>
      </c>
      <c r="Q1891" s="8">
        <v>0.21743399999999999</v>
      </c>
    </row>
    <row r="1892" spans="1:17" hidden="1" x14ac:dyDescent="0.55000000000000004">
      <c r="A1892" s="3" t="s">
        <v>3038</v>
      </c>
      <c r="B1892" s="3" t="s">
        <v>3039</v>
      </c>
      <c r="C1892" t="s">
        <v>3039</v>
      </c>
      <c r="D1892" s="3" t="s">
        <v>7326</v>
      </c>
      <c r="E1892" t="s">
        <v>3040</v>
      </c>
      <c r="F1892" s="3" t="s">
        <v>3041</v>
      </c>
      <c r="G1892" t="s">
        <v>24</v>
      </c>
      <c r="H1892" s="3" t="s">
        <v>3042</v>
      </c>
      <c r="I1892" t="s">
        <v>52</v>
      </c>
      <c r="J1892" s="3" t="s">
        <v>3043</v>
      </c>
      <c r="K1892" s="4">
        <v>962</v>
      </c>
      <c r="L1892" s="5">
        <v>43.73</v>
      </c>
      <c r="M1892" s="6">
        <v>1</v>
      </c>
      <c r="N1892" s="7">
        <v>0</v>
      </c>
      <c r="O1892" t="s">
        <v>3044</v>
      </c>
      <c r="P1892" s="3" t="s">
        <v>55</v>
      </c>
      <c r="Q1892" s="8">
        <v>0.21978600000000001</v>
      </c>
    </row>
    <row r="1893" spans="1:17" hidden="1" x14ac:dyDescent="0.55000000000000004">
      <c r="A1893" s="3" t="s">
        <v>3038</v>
      </c>
      <c r="B1893" s="3" t="s">
        <v>7361</v>
      </c>
      <c r="C1893" t="s">
        <v>3039</v>
      </c>
      <c r="D1893" s="3" t="s">
        <v>7326</v>
      </c>
      <c r="E1893" t="s">
        <v>3045</v>
      </c>
      <c r="F1893" s="3" t="s">
        <v>3046</v>
      </c>
      <c r="G1893" t="s">
        <v>24</v>
      </c>
      <c r="H1893" s="3" t="s">
        <v>3042</v>
      </c>
      <c r="I1893" t="s">
        <v>52</v>
      </c>
      <c r="J1893" s="3" t="s">
        <v>3043</v>
      </c>
      <c r="K1893" s="4">
        <v>962</v>
      </c>
      <c r="L1893" s="5">
        <v>43.73</v>
      </c>
      <c r="M1893" s="6">
        <v>1</v>
      </c>
      <c r="N1893" s="7">
        <v>0</v>
      </c>
      <c r="O1893" t="s">
        <v>3044</v>
      </c>
      <c r="P1893" s="3" t="s">
        <v>55</v>
      </c>
      <c r="Q1893" s="8">
        <v>0.21978600000000001</v>
      </c>
    </row>
    <row r="1894" spans="1:17" hidden="1" x14ac:dyDescent="0.55000000000000004">
      <c r="A1894" s="3" t="s">
        <v>3038</v>
      </c>
      <c r="B1894" s="3" t="s">
        <v>3039</v>
      </c>
      <c r="C1894" t="s">
        <v>3039</v>
      </c>
      <c r="D1894" s="3" t="s">
        <v>7326</v>
      </c>
      <c r="E1894" t="s">
        <v>3047</v>
      </c>
      <c r="F1894" s="3" t="s">
        <v>3048</v>
      </c>
      <c r="G1894" t="s">
        <v>24</v>
      </c>
      <c r="H1894" s="3" t="s">
        <v>3042</v>
      </c>
      <c r="I1894" t="s">
        <v>52</v>
      </c>
      <c r="J1894" s="3" t="s">
        <v>3043</v>
      </c>
      <c r="K1894" s="4">
        <v>962</v>
      </c>
      <c r="L1894" s="5">
        <v>43.73</v>
      </c>
      <c r="M1894" s="6">
        <v>1</v>
      </c>
      <c r="N1894" s="7">
        <v>0</v>
      </c>
      <c r="O1894" t="s">
        <v>3044</v>
      </c>
      <c r="P1894" s="3" t="s">
        <v>55</v>
      </c>
      <c r="Q1894" s="8">
        <v>0.21978600000000001</v>
      </c>
    </row>
    <row r="1895" spans="1:17" hidden="1" x14ac:dyDescent="0.55000000000000004">
      <c r="A1895" s="3" t="s">
        <v>3038</v>
      </c>
      <c r="B1895" s="3" t="s">
        <v>3049</v>
      </c>
      <c r="C1895" t="s">
        <v>3049</v>
      </c>
      <c r="D1895" s="3" t="s">
        <v>7326</v>
      </c>
      <c r="E1895" t="s">
        <v>3050</v>
      </c>
      <c r="F1895" s="3" t="s">
        <v>3051</v>
      </c>
      <c r="G1895" t="s">
        <v>24</v>
      </c>
      <c r="H1895" s="3" t="s">
        <v>3052</v>
      </c>
      <c r="I1895" t="s">
        <v>52</v>
      </c>
      <c r="J1895" s="3" t="s">
        <v>3053</v>
      </c>
      <c r="K1895" s="4">
        <v>1112</v>
      </c>
      <c r="L1895" s="5">
        <v>50.55</v>
      </c>
      <c r="M1895" s="6">
        <v>1</v>
      </c>
      <c r="N1895" s="7">
        <v>0</v>
      </c>
      <c r="O1895" t="s">
        <v>3054</v>
      </c>
      <c r="P1895" s="3" t="s">
        <v>55</v>
      </c>
      <c r="Q1895" s="8">
        <v>0.25873099999999999</v>
      </c>
    </row>
    <row r="1896" spans="1:17" hidden="1" x14ac:dyDescent="0.55000000000000004">
      <c r="A1896" s="3" t="s">
        <v>3038</v>
      </c>
      <c r="B1896" s="3" t="s">
        <v>3049</v>
      </c>
      <c r="C1896" t="s">
        <v>3049</v>
      </c>
      <c r="D1896" s="3" t="s">
        <v>7326</v>
      </c>
      <c r="E1896" t="s">
        <v>3055</v>
      </c>
      <c r="F1896" s="3" t="s">
        <v>3056</v>
      </c>
      <c r="G1896" t="s">
        <v>24</v>
      </c>
      <c r="H1896" s="3" t="s">
        <v>3052</v>
      </c>
      <c r="I1896" t="s">
        <v>52</v>
      </c>
      <c r="J1896" s="3" t="s">
        <v>3053</v>
      </c>
      <c r="K1896" s="4">
        <v>1112</v>
      </c>
      <c r="L1896" s="5">
        <v>50.55</v>
      </c>
      <c r="M1896" s="6">
        <v>1</v>
      </c>
      <c r="N1896" s="7">
        <v>0</v>
      </c>
      <c r="O1896" t="s">
        <v>3054</v>
      </c>
      <c r="P1896" s="3" t="s">
        <v>55</v>
      </c>
      <c r="Q1896" s="8">
        <v>0.25873099999999999</v>
      </c>
    </row>
    <row r="1897" spans="1:17" hidden="1" x14ac:dyDescent="0.55000000000000004">
      <c r="A1897" s="3" t="s">
        <v>3038</v>
      </c>
      <c r="B1897" s="3" t="s">
        <v>3057</v>
      </c>
      <c r="C1897" t="s">
        <v>3057</v>
      </c>
      <c r="D1897" s="3" t="s">
        <v>7326</v>
      </c>
      <c r="E1897" t="s">
        <v>3058</v>
      </c>
      <c r="F1897" s="3" t="s">
        <v>3059</v>
      </c>
      <c r="G1897" t="s">
        <v>24</v>
      </c>
      <c r="H1897" s="3" t="s">
        <v>3060</v>
      </c>
      <c r="I1897" t="s">
        <v>52</v>
      </c>
      <c r="J1897" s="3" t="s">
        <v>3061</v>
      </c>
      <c r="K1897" s="4">
        <v>817</v>
      </c>
      <c r="L1897" s="5">
        <v>37.119999999999997</v>
      </c>
      <c r="M1897" s="6">
        <v>1</v>
      </c>
      <c r="N1897" s="7">
        <v>0</v>
      </c>
      <c r="O1897" t="s">
        <v>3062</v>
      </c>
      <c r="P1897" s="3" t="s">
        <v>55</v>
      </c>
      <c r="Q1897" s="8">
        <v>0.218334</v>
      </c>
    </row>
    <row r="1898" spans="1:17" hidden="1" x14ac:dyDescent="0.55000000000000004">
      <c r="A1898" s="3" t="s">
        <v>3038</v>
      </c>
      <c r="B1898" s="3" t="s">
        <v>3063</v>
      </c>
      <c r="C1898" t="s">
        <v>3063</v>
      </c>
      <c r="D1898" s="3" t="s">
        <v>7326</v>
      </c>
      <c r="E1898" t="s">
        <v>3064</v>
      </c>
      <c r="F1898" s="3" t="s">
        <v>3065</v>
      </c>
      <c r="G1898" t="s">
        <v>24</v>
      </c>
      <c r="H1898" s="3" t="s">
        <v>3066</v>
      </c>
      <c r="I1898" t="s">
        <v>52</v>
      </c>
      <c r="J1898" s="3" t="s">
        <v>3067</v>
      </c>
      <c r="K1898" s="4">
        <v>1185</v>
      </c>
      <c r="L1898" s="5">
        <v>53.88</v>
      </c>
      <c r="M1898" s="6">
        <v>1</v>
      </c>
      <c r="N1898" s="7">
        <v>0</v>
      </c>
      <c r="O1898" t="s">
        <v>3068</v>
      </c>
      <c r="P1898" s="3" t="s">
        <v>55</v>
      </c>
      <c r="Q1898" s="8">
        <v>0.25956699999999999</v>
      </c>
    </row>
    <row r="1899" spans="1:17" hidden="1" x14ac:dyDescent="0.55000000000000004">
      <c r="A1899" s="3" t="s">
        <v>3038</v>
      </c>
      <c r="B1899" s="3" t="s">
        <v>3063</v>
      </c>
      <c r="C1899" t="s">
        <v>3063</v>
      </c>
      <c r="D1899" s="3" t="s">
        <v>7326</v>
      </c>
      <c r="E1899" t="s">
        <v>3069</v>
      </c>
      <c r="F1899" s="3" t="s">
        <v>3070</v>
      </c>
      <c r="G1899" t="s">
        <v>24</v>
      </c>
      <c r="H1899" s="3" t="s">
        <v>3066</v>
      </c>
      <c r="I1899" t="s">
        <v>52</v>
      </c>
      <c r="J1899" s="3" t="s">
        <v>3067</v>
      </c>
      <c r="K1899" s="4">
        <v>1185</v>
      </c>
      <c r="L1899" s="5">
        <v>53.88</v>
      </c>
      <c r="M1899" s="6">
        <v>1</v>
      </c>
      <c r="N1899" s="7">
        <v>0</v>
      </c>
      <c r="O1899" t="s">
        <v>3068</v>
      </c>
      <c r="P1899" s="3" t="s">
        <v>55</v>
      </c>
      <c r="Q1899" s="8">
        <v>0.25956699999999999</v>
      </c>
    </row>
    <row r="1900" spans="1:17" hidden="1" x14ac:dyDescent="0.55000000000000004">
      <c r="A1900" s="3" t="s">
        <v>3038</v>
      </c>
      <c r="B1900" s="3" t="s">
        <v>3071</v>
      </c>
      <c r="C1900" t="s">
        <v>3071</v>
      </c>
      <c r="D1900" s="3" t="s">
        <v>7326</v>
      </c>
      <c r="E1900" t="s">
        <v>3072</v>
      </c>
      <c r="F1900" s="3" t="s">
        <v>3073</v>
      </c>
      <c r="G1900" t="s">
        <v>24</v>
      </c>
      <c r="H1900" s="3" t="s">
        <v>3074</v>
      </c>
      <c r="I1900" t="s">
        <v>52</v>
      </c>
      <c r="J1900" s="3" t="s">
        <v>3075</v>
      </c>
      <c r="K1900" s="4">
        <v>1196</v>
      </c>
      <c r="L1900" s="5">
        <v>54.38</v>
      </c>
      <c r="M1900" s="6">
        <v>1</v>
      </c>
      <c r="N1900" s="7">
        <v>0</v>
      </c>
      <c r="O1900" t="s">
        <v>3076</v>
      </c>
      <c r="P1900" s="3" t="s">
        <v>55</v>
      </c>
      <c r="Q1900" s="8">
        <v>0.25969300000000001</v>
      </c>
    </row>
    <row r="1901" spans="1:17" hidden="1" x14ac:dyDescent="0.55000000000000004">
      <c r="A1901" s="3" t="s">
        <v>3038</v>
      </c>
      <c r="B1901" s="3" t="s">
        <v>3071</v>
      </c>
      <c r="C1901" t="s">
        <v>3071</v>
      </c>
      <c r="D1901" s="3" t="s">
        <v>7326</v>
      </c>
      <c r="E1901" t="s">
        <v>3077</v>
      </c>
      <c r="F1901" s="3" t="s">
        <v>3078</v>
      </c>
      <c r="G1901" t="s">
        <v>24</v>
      </c>
      <c r="H1901" s="3" t="s">
        <v>3074</v>
      </c>
      <c r="I1901" t="s">
        <v>52</v>
      </c>
      <c r="J1901" s="3" t="s">
        <v>3075</v>
      </c>
      <c r="K1901" s="4">
        <v>1196</v>
      </c>
      <c r="L1901" s="5">
        <v>54.38</v>
      </c>
      <c r="M1901" s="6">
        <v>1</v>
      </c>
      <c r="N1901" s="7">
        <v>0</v>
      </c>
      <c r="O1901" t="s">
        <v>3076</v>
      </c>
      <c r="P1901" s="3" t="s">
        <v>55</v>
      </c>
      <c r="Q1901" s="8">
        <v>0.25969300000000001</v>
      </c>
    </row>
    <row r="1902" spans="1:17" hidden="1" x14ac:dyDescent="0.55000000000000004">
      <c r="A1902" s="9" t="s">
        <v>3038</v>
      </c>
      <c r="B1902" s="3" t="s">
        <v>3079</v>
      </c>
      <c r="C1902" t="s">
        <v>3079</v>
      </c>
      <c r="D1902" s="3" t="s">
        <v>7326</v>
      </c>
      <c r="E1902" t="s">
        <v>3080</v>
      </c>
      <c r="F1902" s="3" t="s">
        <v>3081</v>
      </c>
      <c r="G1902" t="s">
        <v>24</v>
      </c>
      <c r="H1902" s="3" t="s">
        <v>3082</v>
      </c>
      <c r="I1902" t="s">
        <v>52</v>
      </c>
      <c r="J1902" s="3" t="s">
        <v>3083</v>
      </c>
      <c r="K1902" s="4">
        <v>1322</v>
      </c>
      <c r="L1902" s="5">
        <v>60.09</v>
      </c>
      <c r="M1902" s="6">
        <v>1</v>
      </c>
      <c r="N1902" s="7">
        <v>0</v>
      </c>
      <c r="O1902" t="s">
        <v>3084</v>
      </c>
      <c r="P1902" s="3" t="s">
        <v>55</v>
      </c>
      <c r="Q1902" s="8">
        <v>0.261129</v>
      </c>
    </row>
    <row r="1903" spans="1:17" hidden="1" x14ac:dyDescent="0.55000000000000004">
      <c r="A1903" s="3" t="s">
        <v>3085</v>
      </c>
      <c r="B1903" s="3" t="s">
        <v>3086</v>
      </c>
      <c r="C1903" t="s">
        <v>7363</v>
      </c>
      <c r="D1903" s="3" t="s">
        <v>7329</v>
      </c>
      <c r="E1903" t="s">
        <v>3087</v>
      </c>
      <c r="F1903" s="3" t="s">
        <v>3088</v>
      </c>
      <c r="G1903" t="s">
        <v>19</v>
      </c>
      <c r="H1903" s="3" t="s">
        <v>3089</v>
      </c>
      <c r="I1903" t="s">
        <v>81</v>
      </c>
      <c r="J1903" s="3" t="s">
        <v>3090</v>
      </c>
      <c r="K1903" s="4">
        <v>1138</v>
      </c>
      <c r="L1903" s="5">
        <v>247.5</v>
      </c>
      <c r="M1903" s="6">
        <v>1</v>
      </c>
      <c r="N1903" s="7">
        <v>1</v>
      </c>
      <c r="O1903" t="s">
        <v>3091</v>
      </c>
      <c r="P1903" s="3" t="s">
        <v>84</v>
      </c>
      <c r="Q1903" s="8">
        <v>4.6736E-2</v>
      </c>
    </row>
    <row r="1904" spans="1:17" hidden="1" x14ac:dyDescent="0.55000000000000004">
      <c r="A1904" s="3" t="s">
        <v>3085</v>
      </c>
      <c r="B1904" s="3" t="s">
        <v>3086</v>
      </c>
      <c r="C1904" t="s">
        <v>7363</v>
      </c>
      <c r="D1904" s="3" t="s">
        <v>7329</v>
      </c>
      <c r="E1904" t="s">
        <v>3087</v>
      </c>
      <c r="F1904" s="3" t="s">
        <v>3088</v>
      </c>
      <c r="G1904" t="s">
        <v>24</v>
      </c>
      <c r="H1904" s="3" t="s">
        <v>3092</v>
      </c>
      <c r="I1904" t="s">
        <v>37</v>
      </c>
      <c r="J1904" s="3" t="s">
        <v>3093</v>
      </c>
      <c r="K1904" s="4">
        <v>869</v>
      </c>
      <c r="L1904" s="5">
        <v>39.49</v>
      </c>
      <c r="M1904" s="6">
        <v>1</v>
      </c>
      <c r="N1904" s="7">
        <v>1</v>
      </c>
      <c r="O1904" t="s">
        <v>3094</v>
      </c>
      <c r="P1904" s="3" t="s">
        <v>40</v>
      </c>
      <c r="Q1904" s="8">
        <v>0.21885499999999999</v>
      </c>
    </row>
    <row r="1905" spans="1:17" hidden="1" x14ac:dyDescent="0.55000000000000004">
      <c r="A1905" s="3" t="s">
        <v>3085</v>
      </c>
      <c r="B1905" s="3" t="s">
        <v>3095</v>
      </c>
      <c r="C1905" t="s">
        <v>3095</v>
      </c>
      <c r="D1905" s="3" t="s">
        <v>7329</v>
      </c>
      <c r="E1905" t="s">
        <v>3096</v>
      </c>
      <c r="F1905" s="3" t="s">
        <v>3097</v>
      </c>
      <c r="G1905" t="s">
        <v>19</v>
      </c>
      <c r="H1905" s="3" t="s">
        <v>3098</v>
      </c>
      <c r="I1905" t="s">
        <v>81</v>
      </c>
      <c r="J1905" s="3" t="s">
        <v>3099</v>
      </c>
      <c r="K1905" s="4">
        <v>986</v>
      </c>
      <c r="L1905" s="5">
        <v>214.3</v>
      </c>
      <c r="M1905" s="6">
        <v>1</v>
      </c>
      <c r="N1905" s="7">
        <v>0</v>
      </c>
      <c r="O1905" t="s">
        <v>3100</v>
      </c>
      <c r="P1905" s="3" t="s">
        <v>84</v>
      </c>
      <c r="Q1905" s="8">
        <v>4.2233E-2</v>
      </c>
    </row>
    <row r="1906" spans="1:17" hidden="1" x14ac:dyDescent="0.55000000000000004">
      <c r="A1906" s="3" t="s">
        <v>3085</v>
      </c>
      <c r="B1906" s="3" t="s">
        <v>3095</v>
      </c>
      <c r="C1906" t="s">
        <v>3095</v>
      </c>
      <c r="D1906" s="3" t="s">
        <v>7329</v>
      </c>
      <c r="E1906" t="s">
        <v>3096</v>
      </c>
      <c r="F1906" s="3" t="s">
        <v>3097</v>
      </c>
      <c r="G1906" t="s">
        <v>19</v>
      </c>
      <c r="H1906" s="3" t="s">
        <v>3101</v>
      </c>
      <c r="I1906" t="s">
        <v>86</v>
      </c>
      <c r="J1906" s="3" t="s">
        <v>3102</v>
      </c>
      <c r="K1906" s="4">
        <v>727</v>
      </c>
      <c r="L1906" s="5">
        <v>158.11000000000001</v>
      </c>
      <c r="M1906" s="6">
        <v>0</v>
      </c>
      <c r="N1906" s="7">
        <v>0</v>
      </c>
      <c r="O1906" t="s">
        <v>3103</v>
      </c>
      <c r="P1906" s="3" t="s">
        <v>89</v>
      </c>
      <c r="Q1906" s="8">
        <v>3.8912000000000002E-2</v>
      </c>
    </row>
    <row r="1907" spans="1:17" hidden="1" x14ac:dyDescent="0.55000000000000004">
      <c r="A1907" s="3" t="s">
        <v>3085</v>
      </c>
      <c r="B1907" s="3" t="s">
        <v>3095</v>
      </c>
      <c r="C1907" t="s">
        <v>3095</v>
      </c>
      <c r="D1907" s="3" t="s">
        <v>7329</v>
      </c>
      <c r="E1907" t="s">
        <v>3096</v>
      </c>
      <c r="F1907" s="3" t="s">
        <v>3097</v>
      </c>
      <c r="G1907" t="s">
        <v>24</v>
      </c>
      <c r="H1907" s="3" t="s">
        <v>3104</v>
      </c>
      <c r="I1907" t="s">
        <v>37</v>
      </c>
      <c r="J1907" s="3" t="s">
        <v>3105</v>
      </c>
      <c r="K1907" s="4">
        <v>807</v>
      </c>
      <c r="L1907" s="5">
        <v>36.659999999999997</v>
      </c>
      <c r="M1907" s="6">
        <v>1</v>
      </c>
      <c r="N1907" s="7">
        <v>0</v>
      </c>
      <c r="O1907" t="s">
        <v>3106</v>
      </c>
      <c r="P1907" s="3" t="s">
        <v>40</v>
      </c>
      <c r="Q1907" s="8">
        <v>0.21823200000000001</v>
      </c>
    </row>
    <row r="1908" spans="1:17" hidden="1" x14ac:dyDescent="0.55000000000000004">
      <c r="A1908" s="3" t="s">
        <v>3085</v>
      </c>
      <c r="B1908" s="3" t="s">
        <v>3095</v>
      </c>
      <c r="C1908" t="s">
        <v>3095</v>
      </c>
      <c r="D1908" s="3" t="s">
        <v>7329</v>
      </c>
      <c r="E1908" t="s">
        <v>3096</v>
      </c>
      <c r="F1908" s="3" t="s">
        <v>3097</v>
      </c>
      <c r="G1908" t="s">
        <v>24</v>
      </c>
      <c r="H1908" s="3" t="s">
        <v>3107</v>
      </c>
      <c r="I1908" t="s">
        <v>43</v>
      </c>
      <c r="J1908" s="3" t="s">
        <v>3108</v>
      </c>
      <c r="K1908" s="4">
        <v>752</v>
      </c>
      <c r="L1908" s="5">
        <v>34.18</v>
      </c>
      <c r="M1908" s="6">
        <v>0</v>
      </c>
      <c r="N1908" s="7">
        <v>0</v>
      </c>
      <c r="O1908" t="s">
        <v>3109</v>
      </c>
      <c r="P1908" s="3" t="s">
        <v>138</v>
      </c>
      <c r="Q1908" s="8">
        <v>0.24813299999999999</v>
      </c>
    </row>
    <row r="1909" spans="1:17" hidden="1" x14ac:dyDescent="0.55000000000000004">
      <c r="A1909" s="3" t="s">
        <v>3085</v>
      </c>
      <c r="B1909" s="3" t="s">
        <v>3095</v>
      </c>
      <c r="C1909" t="s">
        <v>3095</v>
      </c>
      <c r="D1909" s="3" t="s">
        <v>7329</v>
      </c>
      <c r="E1909" t="s">
        <v>3110</v>
      </c>
      <c r="F1909" s="3" t="s">
        <v>3111</v>
      </c>
      <c r="G1909" t="s">
        <v>19</v>
      </c>
      <c r="H1909" s="3" t="s">
        <v>3098</v>
      </c>
      <c r="I1909" t="s">
        <v>81</v>
      </c>
      <c r="J1909" s="3" t="s">
        <v>3099</v>
      </c>
      <c r="K1909" s="4">
        <v>986</v>
      </c>
      <c r="L1909" s="5">
        <v>214.3</v>
      </c>
      <c r="M1909" s="6">
        <v>1</v>
      </c>
      <c r="N1909" s="7">
        <v>0</v>
      </c>
      <c r="O1909" t="s">
        <v>3100</v>
      </c>
      <c r="P1909" s="3" t="s">
        <v>84</v>
      </c>
      <c r="Q1909" s="8">
        <v>4.2233E-2</v>
      </c>
    </row>
    <row r="1910" spans="1:17" hidden="1" x14ac:dyDescent="0.55000000000000004">
      <c r="A1910" s="3" t="s">
        <v>3085</v>
      </c>
      <c r="B1910" s="3" t="s">
        <v>3095</v>
      </c>
      <c r="C1910" t="s">
        <v>3095</v>
      </c>
      <c r="D1910" s="3" t="s">
        <v>7329</v>
      </c>
      <c r="E1910" t="s">
        <v>3110</v>
      </c>
      <c r="F1910" s="3" t="s">
        <v>3111</v>
      </c>
      <c r="G1910" t="s">
        <v>24</v>
      </c>
      <c r="H1910" s="3" t="s">
        <v>3104</v>
      </c>
      <c r="I1910" t="s">
        <v>37</v>
      </c>
      <c r="J1910" s="3" t="s">
        <v>3105</v>
      </c>
      <c r="K1910" s="4">
        <v>807</v>
      </c>
      <c r="L1910" s="5">
        <v>36.659999999999997</v>
      </c>
      <c r="M1910" s="6">
        <v>1</v>
      </c>
      <c r="N1910" s="7">
        <v>0</v>
      </c>
      <c r="O1910" t="s">
        <v>3106</v>
      </c>
      <c r="P1910" s="3" t="s">
        <v>40</v>
      </c>
      <c r="Q1910" s="8">
        <v>0.21823200000000001</v>
      </c>
    </row>
    <row r="1911" spans="1:17" hidden="1" x14ac:dyDescent="0.55000000000000004">
      <c r="A1911" s="3" t="s">
        <v>3085</v>
      </c>
      <c r="B1911" s="3" t="s">
        <v>3095</v>
      </c>
      <c r="C1911" t="s">
        <v>3095</v>
      </c>
      <c r="D1911" s="3" t="s">
        <v>7329</v>
      </c>
      <c r="E1911" t="s">
        <v>3110</v>
      </c>
      <c r="F1911" s="3" t="s">
        <v>3111</v>
      </c>
      <c r="G1911" t="s">
        <v>24</v>
      </c>
      <c r="H1911" s="3" t="s">
        <v>3107</v>
      </c>
      <c r="I1911" t="s">
        <v>43</v>
      </c>
      <c r="J1911" s="3" t="s">
        <v>3108</v>
      </c>
      <c r="K1911" s="4">
        <v>752</v>
      </c>
      <c r="L1911" s="5">
        <v>34.18</v>
      </c>
      <c r="M1911" s="6">
        <v>0</v>
      </c>
      <c r="N1911" s="7">
        <v>0</v>
      </c>
      <c r="O1911" t="s">
        <v>3109</v>
      </c>
      <c r="P1911" s="3" t="s">
        <v>138</v>
      </c>
      <c r="Q1911" s="8">
        <v>0.24813299999999999</v>
      </c>
    </row>
    <row r="1912" spans="1:17" hidden="1" x14ac:dyDescent="0.55000000000000004">
      <c r="A1912" s="3" t="s">
        <v>3085</v>
      </c>
      <c r="B1912" s="3" t="s">
        <v>3095</v>
      </c>
      <c r="C1912" t="s">
        <v>3095</v>
      </c>
      <c r="D1912" s="3" t="s">
        <v>7329</v>
      </c>
      <c r="E1912" t="s">
        <v>3112</v>
      </c>
      <c r="F1912" s="3" t="s">
        <v>3113</v>
      </c>
      <c r="G1912" t="s">
        <v>24</v>
      </c>
      <c r="H1912" s="3" t="s">
        <v>3104</v>
      </c>
      <c r="I1912" t="s">
        <v>37</v>
      </c>
      <c r="J1912" s="3" t="s">
        <v>3105</v>
      </c>
      <c r="K1912" s="4">
        <v>807</v>
      </c>
      <c r="L1912" s="5">
        <v>36.659999999999997</v>
      </c>
      <c r="M1912" s="6">
        <v>1</v>
      </c>
      <c r="N1912" s="7">
        <v>0</v>
      </c>
      <c r="O1912" t="s">
        <v>3106</v>
      </c>
      <c r="P1912" s="3" t="s">
        <v>40</v>
      </c>
      <c r="Q1912" s="8">
        <v>0.21823200000000001</v>
      </c>
    </row>
    <row r="1913" spans="1:17" hidden="1" x14ac:dyDescent="0.55000000000000004">
      <c r="A1913" s="3" t="s">
        <v>3085</v>
      </c>
      <c r="B1913" s="3" t="s">
        <v>3095</v>
      </c>
      <c r="C1913" t="s">
        <v>3095</v>
      </c>
      <c r="D1913" s="3" t="s">
        <v>7329</v>
      </c>
      <c r="E1913" t="s">
        <v>3112</v>
      </c>
      <c r="F1913" s="3" t="s">
        <v>3113</v>
      </c>
      <c r="G1913" t="s">
        <v>24</v>
      </c>
      <c r="H1913" s="3" t="s">
        <v>3107</v>
      </c>
      <c r="I1913" t="s">
        <v>43</v>
      </c>
      <c r="J1913" s="3" t="s">
        <v>3108</v>
      </c>
      <c r="K1913" s="4">
        <v>752</v>
      </c>
      <c r="L1913" s="5">
        <v>34.18</v>
      </c>
      <c r="M1913" s="6">
        <v>0</v>
      </c>
      <c r="N1913" s="7">
        <v>0</v>
      </c>
      <c r="O1913" t="s">
        <v>3109</v>
      </c>
      <c r="P1913" s="3" t="s">
        <v>138</v>
      </c>
      <c r="Q1913" s="8">
        <v>0.24813299999999999</v>
      </c>
    </row>
    <row r="1914" spans="1:17" hidden="1" x14ac:dyDescent="0.55000000000000004">
      <c r="A1914" s="3" t="s">
        <v>3085</v>
      </c>
      <c r="B1914" s="3" t="s">
        <v>3095</v>
      </c>
      <c r="C1914" t="s">
        <v>3095</v>
      </c>
      <c r="D1914" s="3" t="s">
        <v>7329</v>
      </c>
      <c r="E1914" t="s">
        <v>3114</v>
      </c>
      <c r="F1914" s="3" t="s">
        <v>3115</v>
      </c>
      <c r="G1914" t="s">
        <v>19</v>
      </c>
      <c r="H1914" s="3" t="s">
        <v>3098</v>
      </c>
      <c r="I1914" t="s">
        <v>81</v>
      </c>
      <c r="J1914" s="3" t="s">
        <v>3099</v>
      </c>
      <c r="K1914" s="4">
        <v>986</v>
      </c>
      <c r="L1914" s="5">
        <v>214.3</v>
      </c>
      <c r="M1914" s="6">
        <v>1</v>
      </c>
      <c r="N1914" s="7">
        <v>0</v>
      </c>
      <c r="O1914" t="s">
        <v>3100</v>
      </c>
      <c r="P1914" s="3" t="s">
        <v>84</v>
      </c>
      <c r="Q1914" s="8">
        <v>4.2233E-2</v>
      </c>
    </row>
    <row r="1915" spans="1:17" hidden="1" x14ac:dyDescent="0.55000000000000004">
      <c r="A1915" s="3" t="s">
        <v>3085</v>
      </c>
      <c r="B1915" s="3" t="s">
        <v>3095</v>
      </c>
      <c r="C1915" t="s">
        <v>3095</v>
      </c>
      <c r="D1915" s="3" t="s">
        <v>7329</v>
      </c>
      <c r="E1915" t="s">
        <v>3114</v>
      </c>
      <c r="F1915" s="3" t="s">
        <v>3115</v>
      </c>
      <c r="G1915" t="s">
        <v>24</v>
      </c>
      <c r="H1915" s="3" t="s">
        <v>3104</v>
      </c>
      <c r="I1915" t="s">
        <v>37</v>
      </c>
      <c r="J1915" s="3" t="s">
        <v>3105</v>
      </c>
      <c r="K1915" s="4">
        <v>807</v>
      </c>
      <c r="L1915" s="5">
        <v>36.659999999999997</v>
      </c>
      <c r="M1915" s="6">
        <v>1</v>
      </c>
      <c r="N1915" s="7">
        <v>0</v>
      </c>
      <c r="O1915" t="s">
        <v>3106</v>
      </c>
      <c r="P1915" s="3" t="s">
        <v>40</v>
      </c>
      <c r="Q1915" s="8">
        <v>0.21823200000000001</v>
      </c>
    </row>
    <row r="1916" spans="1:17" hidden="1" x14ac:dyDescent="0.55000000000000004">
      <c r="A1916" s="3" t="s">
        <v>3085</v>
      </c>
      <c r="B1916" s="3" t="s">
        <v>3095</v>
      </c>
      <c r="C1916" t="s">
        <v>3095</v>
      </c>
      <c r="D1916" s="3" t="s">
        <v>7329</v>
      </c>
      <c r="E1916" t="s">
        <v>3114</v>
      </c>
      <c r="F1916" s="3" t="s">
        <v>3115</v>
      </c>
      <c r="G1916" t="s">
        <v>24</v>
      </c>
      <c r="H1916" s="3" t="s">
        <v>3107</v>
      </c>
      <c r="I1916" t="s">
        <v>43</v>
      </c>
      <c r="J1916" s="3" t="s">
        <v>3108</v>
      </c>
      <c r="K1916" s="4">
        <v>752</v>
      </c>
      <c r="L1916" s="5">
        <v>34.18</v>
      </c>
      <c r="M1916" s="6">
        <v>0</v>
      </c>
      <c r="N1916" s="7">
        <v>0</v>
      </c>
      <c r="O1916" t="s">
        <v>3109</v>
      </c>
      <c r="P1916" s="3" t="s">
        <v>138</v>
      </c>
      <c r="Q1916" s="8">
        <v>0.24813299999999999</v>
      </c>
    </row>
    <row r="1917" spans="1:17" hidden="1" x14ac:dyDescent="0.55000000000000004">
      <c r="A1917" s="3" t="s">
        <v>3085</v>
      </c>
      <c r="B1917" s="3" t="s">
        <v>3095</v>
      </c>
      <c r="C1917" t="s">
        <v>3095</v>
      </c>
      <c r="D1917" s="3" t="s">
        <v>7329</v>
      </c>
      <c r="E1917" t="s">
        <v>3116</v>
      </c>
      <c r="F1917" s="3" t="s">
        <v>3117</v>
      </c>
      <c r="G1917" t="s">
        <v>19</v>
      </c>
      <c r="H1917" s="3" t="s">
        <v>3098</v>
      </c>
      <c r="I1917" t="s">
        <v>81</v>
      </c>
      <c r="J1917" s="3" t="s">
        <v>3099</v>
      </c>
      <c r="K1917" s="4">
        <v>986</v>
      </c>
      <c r="L1917" s="5">
        <v>214.3</v>
      </c>
      <c r="M1917" s="6">
        <v>1</v>
      </c>
      <c r="N1917" s="7">
        <v>0</v>
      </c>
      <c r="O1917" t="s">
        <v>3100</v>
      </c>
      <c r="P1917" s="3" t="s">
        <v>84</v>
      </c>
      <c r="Q1917" s="8">
        <v>4.2233E-2</v>
      </c>
    </row>
    <row r="1918" spans="1:17" hidden="1" x14ac:dyDescent="0.55000000000000004">
      <c r="A1918" s="3" t="s">
        <v>3085</v>
      </c>
      <c r="B1918" s="3" t="s">
        <v>3095</v>
      </c>
      <c r="C1918" t="s">
        <v>3095</v>
      </c>
      <c r="D1918" s="3" t="s">
        <v>7329</v>
      </c>
      <c r="E1918" t="s">
        <v>3116</v>
      </c>
      <c r="F1918" s="3" t="s">
        <v>3117</v>
      </c>
      <c r="G1918" t="s">
        <v>19</v>
      </c>
      <c r="H1918" s="3" t="s">
        <v>3101</v>
      </c>
      <c r="I1918" t="s">
        <v>86</v>
      </c>
      <c r="J1918" s="3" t="s">
        <v>3102</v>
      </c>
      <c r="K1918" s="4">
        <v>727</v>
      </c>
      <c r="L1918" s="5">
        <v>158.11000000000001</v>
      </c>
      <c r="M1918" s="6">
        <v>0</v>
      </c>
      <c r="N1918" s="7">
        <v>0</v>
      </c>
      <c r="O1918" t="s">
        <v>3103</v>
      </c>
      <c r="P1918" s="3" t="s">
        <v>89</v>
      </c>
      <c r="Q1918" s="8">
        <v>3.8912000000000002E-2</v>
      </c>
    </row>
    <row r="1919" spans="1:17" hidden="1" x14ac:dyDescent="0.55000000000000004">
      <c r="A1919" s="3" t="s">
        <v>3085</v>
      </c>
      <c r="B1919" s="3" t="s">
        <v>3095</v>
      </c>
      <c r="C1919" t="s">
        <v>3095</v>
      </c>
      <c r="D1919" s="3" t="s">
        <v>7329</v>
      </c>
      <c r="E1919" t="s">
        <v>3116</v>
      </c>
      <c r="F1919" s="3" t="s">
        <v>3117</v>
      </c>
      <c r="G1919" t="s">
        <v>24</v>
      </c>
      <c r="H1919" s="3" t="s">
        <v>3104</v>
      </c>
      <c r="I1919" t="s">
        <v>37</v>
      </c>
      <c r="J1919" s="3" t="s">
        <v>3105</v>
      </c>
      <c r="K1919" s="4">
        <v>807</v>
      </c>
      <c r="L1919" s="5">
        <v>36.659999999999997</v>
      </c>
      <c r="M1919" s="6">
        <v>1</v>
      </c>
      <c r="N1919" s="7">
        <v>0</v>
      </c>
      <c r="O1919" t="s">
        <v>3106</v>
      </c>
      <c r="P1919" s="3" t="s">
        <v>40</v>
      </c>
      <c r="Q1919" s="8">
        <v>0.21823200000000001</v>
      </c>
    </row>
    <row r="1920" spans="1:17" hidden="1" x14ac:dyDescent="0.55000000000000004">
      <c r="A1920" s="3" t="s">
        <v>3085</v>
      </c>
      <c r="B1920" s="3" t="s">
        <v>3095</v>
      </c>
      <c r="C1920" t="s">
        <v>3095</v>
      </c>
      <c r="D1920" s="3" t="s">
        <v>7329</v>
      </c>
      <c r="E1920" t="s">
        <v>3116</v>
      </c>
      <c r="F1920" s="3" t="s">
        <v>3117</v>
      </c>
      <c r="G1920" t="s">
        <v>24</v>
      </c>
      <c r="H1920" s="3" t="s">
        <v>3107</v>
      </c>
      <c r="I1920" t="s">
        <v>43</v>
      </c>
      <c r="J1920" s="3" t="s">
        <v>3108</v>
      </c>
      <c r="K1920" s="4">
        <v>752</v>
      </c>
      <c r="L1920" s="5">
        <v>34.18</v>
      </c>
      <c r="M1920" s="6">
        <v>0</v>
      </c>
      <c r="N1920" s="7">
        <v>0</v>
      </c>
      <c r="O1920" t="s">
        <v>3109</v>
      </c>
      <c r="P1920" s="3" t="s">
        <v>138</v>
      </c>
      <c r="Q1920" s="8">
        <v>0.24813299999999999</v>
      </c>
    </row>
    <row r="1921" spans="1:17" hidden="1" x14ac:dyDescent="0.55000000000000004">
      <c r="A1921" s="3" t="s">
        <v>3085</v>
      </c>
      <c r="B1921" s="3" t="s">
        <v>3095</v>
      </c>
      <c r="C1921" t="s">
        <v>3095</v>
      </c>
      <c r="D1921" s="3" t="s">
        <v>7329</v>
      </c>
      <c r="E1921" t="s">
        <v>3118</v>
      </c>
      <c r="F1921" s="3" t="s">
        <v>3119</v>
      </c>
      <c r="G1921" t="s">
        <v>19</v>
      </c>
      <c r="H1921" s="3" t="s">
        <v>3098</v>
      </c>
      <c r="I1921" t="s">
        <v>81</v>
      </c>
      <c r="J1921" s="3" t="s">
        <v>3099</v>
      </c>
      <c r="K1921" s="4">
        <v>986</v>
      </c>
      <c r="L1921" s="5">
        <v>214.3</v>
      </c>
      <c r="M1921" s="6">
        <v>1</v>
      </c>
      <c r="N1921" s="7">
        <v>1</v>
      </c>
      <c r="O1921" t="s">
        <v>3100</v>
      </c>
      <c r="P1921" s="3" t="s">
        <v>84</v>
      </c>
      <c r="Q1921" s="8">
        <v>4.2233E-2</v>
      </c>
    </row>
    <row r="1922" spans="1:17" hidden="1" x14ac:dyDescent="0.55000000000000004">
      <c r="A1922" s="3" t="s">
        <v>3085</v>
      </c>
      <c r="B1922" s="3" t="s">
        <v>3095</v>
      </c>
      <c r="C1922" t="s">
        <v>3095</v>
      </c>
      <c r="D1922" s="3" t="s">
        <v>7329</v>
      </c>
      <c r="E1922" t="s">
        <v>3118</v>
      </c>
      <c r="F1922" s="3" t="s">
        <v>3119</v>
      </c>
      <c r="G1922" t="s">
        <v>24</v>
      </c>
      <c r="H1922" s="3" t="s">
        <v>3104</v>
      </c>
      <c r="I1922" t="s">
        <v>37</v>
      </c>
      <c r="J1922" s="3" t="s">
        <v>3105</v>
      </c>
      <c r="K1922" s="4">
        <v>807</v>
      </c>
      <c r="L1922" s="5">
        <v>36.659999999999997</v>
      </c>
      <c r="M1922" s="6">
        <v>1</v>
      </c>
      <c r="N1922" s="7">
        <v>1</v>
      </c>
      <c r="O1922" t="s">
        <v>3106</v>
      </c>
      <c r="P1922" s="3" t="s">
        <v>40</v>
      </c>
      <c r="Q1922" s="8">
        <v>0.21823200000000001</v>
      </c>
    </row>
    <row r="1923" spans="1:17" hidden="1" x14ac:dyDescent="0.55000000000000004">
      <c r="A1923" s="3" t="s">
        <v>3085</v>
      </c>
      <c r="B1923" s="3" t="s">
        <v>3095</v>
      </c>
      <c r="C1923" t="s">
        <v>3095</v>
      </c>
      <c r="D1923" s="3" t="s">
        <v>7329</v>
      </c>
      <c r="E1923" t="s">
        <v>3118</v>
      </c>
      <c r="F1923" s="3" t="s">
        <v>3119</v>
      </c>
      <c r="G1923" t="s">
        <v>24</v>
      </c>
      <c r="H1923" s="3" t="s">
        <v>3107</v>
      </c>
      <c r="I1923" t="s">
        <v>43</v>
      </c>
      <c r="J1923" s="3" t="s">
        <v>3108</v>
      </c>
      <c r="K1923" s="4">
        <v>752</v>
      </c>
      <c r="L1923" s="5">
        <v>34.18</v>
      </c>
      <c r="M1923" s="6">
        <v>0</v>
      </c>
      <c r="N1923" s="7">
        <v>1</v>
      </c>
      <c r="O1923" t="s">
        <v>3109</v>
      </c>
      <c r="P1923" s="3" t="s">
        <v>138</v>
      </c>
      <c r="Q1923" s="8">
        <v>0.24813299999999999</v>
      </c>
    </row>
    <row r="1924" spans="1:17" hidden="1" x14ac:dyDescent="0.55000000000000004">
      <c r="A1924" s="3" t="s">
        <v>3085</v>
      </c>
      <c r="B1924" s="3" t="s">
        <v>3095</v>
      </c>
      <c r="C1924" t="s">
        <v>3095</v>
      </c>
      <c r="D1924" s="3" t="s">
        <v>7329</v>
      </c>
      <c r="E1924" t="s">
        <v>3120</v>
      </c>
      <c r="F1924" s="3" t="s">
        <v>3121</v>
      </c>
      <c r="G1924" t="s">
        <v>19</v>
      </c>
      <c r="H1924" s="3" t="s">
        <v>3098</v>
      </c>
      <c r="I1924" t="s">
        <v>81</v>
      </c>
      <c r="J1924" s="3" t="s">
        <v>3099</v>
      </c>
      <c r="K1924" s="4">
        <v>986</v>
      </c>
      <c r="L1924" s="5">
        <v>214.3</v>
      </c>
      <c r="M1924" s="6">
        <v>1</v>
      </c>
      <c r="N1924" s="7">
        <v>0</v>
      </c>
      <c r="O1924" t="s">
        <v>3100</v>
      </c>
      <c r="P1924" s="3" t="s">
        <v>84</v>
      </c>
      <c r="Q1924" s="8">
        <v>4.2233E-2</v>
      </c>
    </row>
    <row r="1925" spans="1:17" hidden="1" x14ac:dyDescent="0.55000000000000004">
      <c r="A1925" s="3" t="s">
        <v>3085</v>
      </c>
      <c r="B1925" s="3" t="s">
        <v>3095</v>
      </c>
      <c r="C1925" t="s">
        <v>3095</v>
      </c>
      <c r="D1925" s="3" t="s">
        <v>7329</v>
      </c>
      <c r="E1925" t="s">
        <v>3120</v>
      </c>
      <c r="F1925" s="3" t="s">
        <v>3121</v>
      </c>
      <c r="G1925" t="s">
        <v>24</v>
      </c>
      <c r="H1925" s="3" t="s">
        <v>3104</v>
      </c>
      <c r="I1925" t="s">
        <v>37</v>
      </c>
      <c r="J1925" s="3" t="s">
        <v>3105</v>
      </c>
      <c r="K1925" s="4">
        <v>807</v>
      </c>
      <c r="L1925" s="5">
        <v>36.659999999999997</v>
      </c>
      <c r="M1925" s="6">
        <v>1</v>
      </c>
      <c r="N1925" s="7">
        <v>0</v>
      </c>
      <c r="O1925" t="s">
        <v>3106</v>
      </c>
      <c r="P1925" s="3" t="s">
        <v>40</v>
      </c>
      <c r="Q1925" s="8">
        <v>0.21823200000000001</v>
      </c>
    </row>
    <row r="1926" spans="1:17" hidden="1" x14ac:dyDescent="0.55000000000000004">
      <c r="A1926" s="3" t="s">
        <v>3085</v>
      </c>
      <c r="B1926" s="3" t="s">
        <v>3095</v>
      </c>
      <c r="C1926" t="s">
        <v>3095</v>
      </c>
      <c r="D1926" s="3" t="s">
        <v>7329</v>
      </c>
      <c r="E1926" t="s">
        <v>3120</v>
      </c>
      <c r="F1926" s="3" t="s">
        <v>3121</v>
      </c>
      <c r="G1926" t="s">
        <v>24</v>
      </c>
      <c r="H1926" s="3" t="s">
        <v>3107</v>
      </c>
      <c r="I1926" t="s">
        <v>43</v>
      </c>
      <c r="J1926" s="3" t="s">
        <v>3108</v>
      </c>
      <c r="K1926" s="4">
        <v>752</v>
      </c>
      <c r="L1926" s="5">
        <v>34.18</v>
      </c>
      <c r="M1926" s="6">
        <v>0</v>
      </c>
      <c r="N1926" s="7">
        <v>0</v>
      </c>
      <c r="O1926" t="s">
        <v>3109</v>
      </c>
      <c r="P1926" s="3" t="s">
        <v>138</v>
      </c>
      <c r="Q1926" s="8">
        <v>0.24813299999999999</v>
      </c>
    </row>
    <row r="1927" spans="1:17" hidden="1" x14ac:dyDescent="0.55000000000000004">
      <c r="A1927" s="3" t="s">
        <v>3085</v>
      </c>
      <c r="B1927" s="3" t="s">
        <v>7362</v>
      </c>
      <c r="C1927" t="s">
        <v>3095</v>
      </c>
      <c r="D1927" s="3" t="s">
        <v>7329</v>
      </c>
      <c r="E1927" t="s">
        <v>3122</v>
      </c>
      <c r="F1927" s="3" t="s">
        <v>3123</v>
      </c>
      <c r="G1927" t="s">
        <v>19</v>
      </c>
      <c r="H1927" s="3" t="s">
        <v>3098</v>
      </c>
      <c r="I1927" t="s">
        <v>81</v>
      </c>
      <c r="J1927" s="3" t="s">
        <v>3099</v>
      </c>
      <c r="K1927" s="4">
        <v>986</v>
      </c>
      <c r="L1927" s="5">
        <v>214.3</v>
      </c>
      <c r="M1927" s="6">
        <v>1</v>
      </c>
      <c r="N1927" s="7">
        <v>0</v>
      </c>
      <c r="O1927" t="s">
        <v>3100</v>
      </c>
      <c r="P1927" s="3" t="s">
        <v>84</v>
      </c>
      <c r="Q1927" s="8">
        <v>4.2233E-2</v>
      </c>
    </row>
    <row r="1928" spans="1:17" hidden="1" x14ac:dyDescent="0.55000000000000004">
      <c r="A1928" s="3" t="s">
        <v>3085</v>
      </c>
      <c r="B1928" s="3" t="s">
        <v>7362</v>
      </c>
      <c r="C1928" t="s">
        <v>3095</v>
      </c>
      <c r="D1928" s="3" t="s">
        <v>7329</v>
      </c>
      <c r="E1928" t="s">
        <v>3122</v>
      </c>
      <c r="F1928" s="3" t="s">
        <v>3123</v>
      </c>
      <c r="G1928" t="s">
        <v>19</v>
      </c>
      <c r="H1928" s="3" t="s">
        <v>3101</v>
      </c>
      <c r="I1928" t="s">
        <v>86</v>
      </c>
      <c r="J1928" s="3" t="s">
        <v>3102</v>
      </c>
      <c r="K1928" s="4">
        <v>727</v>
      </c>
      <c r="L1928" s="5">
        <v>158.11000000000001</v>
      </c>
      <c r="M1928" s="6">
        <v>0</v>
      </c>
      <c r="N1928" s="7">
        <v>0</v>
      </c>
      <c r="O1928" t="s">
        <v>3103</v>
      </c>
      <c r="P1928" s="3" t="s">
        <v>89</v>
      </c>
      <c r="Q1928" s="8">
        <v>3.8912000000000002E-2</v>
      </c>
    </row>
    <row r="1929" spans="1:17" hidden="1" x14ac:dyDescent="0.55000000000000004">
      <c r="A1929" s="3" t="s">
        <v>3085</v>
      </c>
      <c r="B1929" s="3" t="s">
        <v>7362</v>
      </c>
      <c r="C1929" t="s">
        <v>3095</v>
      </c>
      <c r="D1929" s="3" t="s">
        <v>7329</v>
      </c>
      <c r="E1929" t="s">
        <v>3122</v>
      </c>
      <c r="F1929" s="3" t="s">
        <v>3123</v>
      </c>
      <c r="G1929" t="s">
        <v>24</v>
      </c>
      <c r="H1929" s="3" t="s">
        <v>3104</v>
      </c>
      <c r="I1929" t="s">
        <v>37</v>
      </c>
      <c r="J1929" s="3" t="s">
        <v>3105</v>
      </c>
      <c r="K1929" s="4">
        <v>807</v>
      </c>
      <c r="L1929" s="5">
        <v>36.659999999999997</v>
      </c>
      <c r="M1929" s="6">
        <v>1</v>
      </c>
      <c r="N1929" s="7">
        <v>0</v>
      </c>
      <c r="O1929" t="s">
        <v>3106</v>
      </c>
      <c r="P1929" s="3" t="s">
        <v>40</v>
      </c>
      <c r="Q1929" s="8">
        <v>0.21823200000000001</v>
      </c>
    </row>
    <row r="1930" spans="1:17" hidden="1" x14ac:dyDescent="0.55000000000000004">
      <c r="A1930" s="3" t="s">
        <v>3085</v>
      </c>
      <c r="B1930" s="3" t="s">
        <v>7362</v>
      </c>
      <c r="C1930" t="s">
        <v>3095</v>
      </c>
      <c r="D1930" s="3" t="s">
        <v>7329</v>
      </c>
      <c r="E1930" t="s">
        <v>3122</v>
      </c>
      <c r="F1930" s="3" t="s">
        <v>3123</v>
      </c>
      <c r="G1930" t="s">
        <v>24</v>
      </c>
      <c r="H1930" s="3" t="s">
        <v>3107</v>
      </c>
      <c r="I1930" t="s">
        <v>43</v>
      </c>
      <c r="J1930" s="3" t="s">
        <v>3108</v>
      </c>
      <c r="K1930" s="4">
        <v>752</v>
      </c>
      <c r="L1930" s="5">
        <v>34.18</v>
      </c>
      <c r="M1930" s="6">
        <v>0</v>
      </c>
      <c r="N1930" s="7">
        <v>0</v>
      </c>
      <c r="O1930" t="s">
        <v>3109</v>
      </c>
      <c r="P1930" s="3" t="s">
        <v>138</v>
      </c>
      <c r="Q1930" s="8">
        <v>0.24813299999999999</v>
      </c>
    </row>
    <row r="1931" spans="1:17" hidden="1" x14ac:dyDescent="0.55000000000000004">
      <c r="A1931" s="3" t="s">
        <v>3085</v>
      </c>
      <c r="B1931" s="3" t="s">
        <v>7362</v>
      </c>
      <c r="C1931" t="s">
        <v>3095</v>
      </c>
      <c r="D1931" s="3" t="s">
        <v>7329</v>
      </c>
      <c r="E1931" t="s">
        <v>3124</v>
      </c>
      <c r="F1931" s="3" t="s">
        <v>3125</v>
      </c>
      <c r="G1931" t="s">
        <v>19</v>
      </c>
      <c r="H1931" s="3" t="s">
        <v>3098</v>
      </c>
      <c r="I1931" t="s">
        <v>81</v>
      </c>
      <c r="J1931" s="3" t="s">
        <v>3099</v>
      </c>
      <c r="K1931" s="4">
        <v>986</v>
      </c>
      <c r="L1931" s="5">
        <v>214.3</v>
      </c>
      <c r="M1931" s="6">
        <v>1</v>
      </c>
      <c r="N1931" s="7">
        <v>0</v>
      </c>
      <c r="O1931" t="s">
        <v>3100</v>
      </c>
      <c r="P1931" s="3" t="s">
        <v>84</v>
      </c>
      <c r="Q1931" s="8">
        <v>4.2233E-2</v>
      </c>
    </row>
    <row r="1932" spans="1:17" hidden="1" x14ac:dyDescent="0.55000000000000004">
      <c r="A1932" s="3" t="s">
        <v>3085</v>
      </c>
      <c r="B1932" s="3" t="s">
        <v>7362</v>
      </c>
      <c r="C1932" t="s">
        <v>3095</v>
      </c>
      <c r="D1932" s="3" t="s">
        <v>7329</v>
      </c>
      <c r="E1932" t="s">
        <v>3124</v>
      </c>
      <c r="F1932" s="3" t="s">
        <v>3125</v>
      </c>
      <c r="G1932" t="s">
        <v>19</v>
      </c>
      <c r="H1932" s="3" t="s">
        <v>3101</v>
      </c>
      <c r="I1932" t="s">
        <v>86</v>
      </c>
      <c r="J1932" s="3" t="s">
        <v>3102</v>
      </c>
      <c r="K1932" s="4">
        <v>727</v>
      </c>
      <c r="L1932" s="5">
        <v>158.11000000000001</v>
      </c>
      <c r="M1932" s="6">
        <v>0</v>
      </c>
      <c r="N1932" s="7">
        <v>0</v>
      </c>
      <c r="O1932" t="s">
        <v>3103</v>
      </c>
      <c r="P1932" s="3" t="s">
        <v>89</v>
      </c>
      <c r="Q1932" s="8">
        <v>3.8912000000000002E-2</v>
      </c>
    </row>
    <row r="1933" spans="1:17" hidden="1" x14ac:dyDescent="0.55000000000000004">
      <c r="A1933" s="3" t="s">
        <v>3085</v>
      </c>
      <c r="B1933" s="3" t="s">
        <v>7362</v>
      </c>
      <c r="C1933" t="s">
        <v>3095</v>
      </c>
      <c r="D1933" s="3" t="s">
        <v>7329</v>
      </c>
      <c r="E1933" t="s">
        <v>3124</v>
      </c>
      <c r="F1933" s="3" t="s">
        <v>3125</v>
      </c>
      <c r="G1933" t="s">
        <v>24</v>
      </c>
      <c r="H1933" s="3" t="s">
        <v>3104</v>
      </c>
      <c r="I1933" t="s">
        <v>37</v>
      </c>
      <c r="J1933" s="3" t="s">
        <v>3105</v>
      </c>
      <c r="K1933" s="4">
        <v>807</v>
      </c>
      <c r="L1933" s="5">
        <v>36.659999999999997</v>
      </c>
      <c r="M1933" s="6">
        <v>1</v>
      </c>
      <c r="N1933" s="7">
        <v>0</v>
      </c>
      <c r="O1933" t="s">
        <v>3106</v>
      </c>
      <c r="P1933" s="3" t="s">
        <v>40</v>
      </c>
      <c r="Q1933" s="8">
        <v>0.21823200000000001</v>
      </c>
    </row>
    <row r="1934" spans="1:17" hidden="1" x14ac:dyDescent="0.55000000000000004">
      <c r="A1934" s="3" t="s">
        <v>3085</v>
      </c>
      <c r="B1934" s="3" t="s">
        <v>7362</v>
      </c>
      <c r="C1934" t="s">
        <v>3095</v>
      </c>
      <c r="D1934" s="3" t="s">
        <v>7329</v>
      </c>
      <c r="E1934" t="s">
        <v>3124</v>
      </c>
      <c r="F1934" s="3" t="s">
        <v>3125</v>
      </c>
      <c r="G1934" t="s">
        <v>24</v>
      </c>
      <c r="H1934" s="3" t="s">
        <v>3107</v>
      </c>
      <c r="I1934" t="s">
        <v>43</v>
      </c>
      <c r="J1934" s="3" t="s">
        <v>3108</v>
      </c>
      <c r="K1934" s="4">
        <v>752</v>
      </c>
      <c r="L1934" s="5">
        <v>34.18</v>
      </c>
      <c r="M1934" s="6">
        <v>0</v>
      </c>
      <c r="N1934" s="7">
        <v>0</v>
      </c>
      <c r="O1934" t="s">
        <v>3109</v>
      </c>
      <c r="P1934" s="3" t="s">
        <v>138</v>
      </c>
      <c r="Q1934" s="8">
        <v>0.24813299999999999</v>
      </c>
    </row>
    <row r="1935" spans="1:17" hidden="1" x14ac:dyDescent="0.55000000000000004">
      <c r="A1935" s="3" t="s">
        <v>3085</v>
      </c>
      <c r="B1935" s="3" t="s">
        <v>3095</v>
      </c>
      <c r="C1935" t="s">
        <v>3095</v>
      </c>
      <c r="D1935" s="3" t="s">
        <v>7329</v>
      </c>
      <c r="E1935" t="s">
        <v>3126</v>
      </c>
      <c r="F1935" s="3" t="s">
        <v>3127</v>
      </c>
      <c r="G1935" t="s">
        <v>19</v>
      </c>
      <c r="H1935" s="3" t="s">
        <v>3098</v>
      </c>
      <c r="I1935" t="s">
        <v>81</v>
      </c>
      <c r="J1935" s="3" t="s">
        <v>3099</v>
      </c>
      <c r="K1935" s="4">
        <v>986</v>
      </c>
      <c r="L1935" s="5">
        <v>214.3</v>
      </c>
      <c r="M1935" s="6">
        <v>1</v>
      </c>
      <c r="N1935" s="7">
        <v>0</v>
      </c>
      <c r="O1935" t="s">
        <v>3100</v>
      </c>
      <c r="P1935" s="3" t="s">
        <v>84</v>
      </c>
      <c r="Q1935" s="8">
        <v>4.2233E-2</v>
      </c>
    </row>
    <row r="1936" spans="1:17" hidden="1" x14ac:dyDescent="0.55000000000000004">
      <c r="A1936" s="3" t="s">
        <v>3085</v>
      </c>
      <c r="B1936" s="3" t="s">
        <v>3095</v>
      </c>
      <c r="C1936" t="s">
        <v>3095</v>
      </c>
      <c r="D1936" s="3" t="s">
        <v>7329</v>
      </c>
      <c r="E1936" t="s">
        <v>3126</v>
      </c>
      <c r="F1936" s="3" t="s">
        <v>3127</v>
      </c>
      <c r="G1936" t="s">
        <v>24</v>
      </c>
      <c r="H1936" s="3" t="s">
        <v>3104</v>
      </c>
      <c r="I1936" t="s">
        <v>37</v>
      </c>
      <c r="J1936" s="3" t="s">
        <v>3105</v>
      </c>
      <c r="K1936" s="4">
        <v>807</v>
      </c>
      <c r="L1936" s="5">
        <v>36.659999999999997</v>
      </c>
      <c r="M1936" s="6">
        <v>1</v>
      </c>
      <c r="N1936" s="7">
        <v>0</v>
      </c>
      <c r="O1936" t="s">
        <v>3106</v>
      </c>
      <c r="P1936" s="3" t="s">
        <v>40</v>
      </c>
      <c r="Q1936" s="8">
        <v>0.21823200000000001</v>
      </c>
    </row>
    <row r="1937" spans="1:17" hidden="1" x14ac:dyDescent="0.55000000000000004">
      <c r="A1937" s="3" t="s">
        <v>3085</v>
      </c>
      <c r="B1937" s="3" t="s">
        <v>3095</v>
      </c>
      <c r="C1937" t="s">
        <v>3095</v>
      </c>
      <c r="D1937" s="3" t="s">
        <v>7329</v>
      </c>
      <c r="E1937" t="s">
        <v>3126</v>
      </c>
      <c r="F1937" s="3" t="s">
        <v>3127</v>
      </c>
      <c r="G1937" t="s">
        <v>24</v>
      </c>
      <c r="H1937" s="3" t="s">
        <v>3107</v>
      </c>
      <c r="I1937" t="s">
        <v>43</v>
      </c>
      <c r="J1937" s="3" t="s">
        <v>3108</v>
      </c>
      <c r="K1937" s="4">
        <v>752</v>
      </c>
      <c r="L1937" s="5">
        <v>34.18</v>
      </c>
      <c r="M1937" s="6">
        <v>0</v>
      </c>
      <c r="N1937" s="7">
        <v>0</v>
      </c>
      <c r="O1937" t="s">
        <v>3109</v>
      </c>
      <c r="P1937" s="3" t="s">
        <v>138</v>
      </c>
      <c r="Q1937" s="8">
        <v>0.24813299999999999</v>
      </c>
    </row>
    <row r="1938" spans="1:17" hidden="1" x14ac:dyDescent="0.55000000000000004">
      <c r="A1938" s="3" t="s">
        <v>3085</v>
      </c>
      <c r="B1938" s="3" t="s">
        <v>3095</v>
      </c>
      <c r="C1938" t="s">
        <v>3095</v>
      </c>
      <c r="D1938" s="3" t="s">
        <v>7329</v>
      </c>
      <c r="E1938" t="s">
        <v>3128</v>
      </c>
      <c r="F1938" s="3" t="s">
        <v>3129</v>
      </c>
      <c r="G1938" t="s">
        <v>19</v>
      </c>
      <c r="H1938" s="3" t="s">
        <v>3098</v>
      </c>
      <c r="I1938" t="s">
        <v>81</v>
      </c>
      <c r="J1938" s="3" t="s">
        <v>3099</v>
      </c>
      <c r="K1938" s="4">
        <v>986</v>
      </c>
      <c r="L1938" s="5">
        <v>214.3</v>
      </c>
      <c r="M1938" s="6">
        <v>1</v>
      </c>
      <c r="N1938" s="7">
        <v>0</v>
      </c>
      <c r="O1938" t="s">
        <v>3100</v>
      </c>
      <c r="P1938" s="3" t="s">
        <v>84</v>
      </c>
      <c r="Q1938" s="8">
        <v>4.2233E-2</v>
      </c>
    </row>
    <row r="1939" spans="1:17" hidden="1" x14ac:dyDescent="0.55000000000000004">
      <c r="A1939" s="3" t="s">
        <v>3085</v>
      </c>
      <c r="B1939" s="3" t="s">
        <v>3095</v>
      </c>
      <c r="C1939" t="s">
        <v>3095</v>
      </c>
      <c r="D1939" s="3" t="s">
        <v>7329</v>
      </c>
      <c r="E1939" t="s">
        <v>3128</v>
      </c>
      <c r="F1939" s="3" t="s">
        <v>3129</v>
      </c>
      <c r="G1939" t="s">
        <v>24</v>
      </c>
      <c r="H1939" s="3" t="s">
        <v>3104</v>
      </c>
      <c r="I1939" t="s">
        <v>37</v>
      </c>
      <c r="J1939" s="3" t="s">
        <v>3105</v>
      </c>
      <c r="K1939" s="4">
        <v>807</v>
      </c>
      <c r="L1939" s="5">
        <v>36.659999999999997</v>
      </c>
      <c r="M1939" s="6">
        <v>1</v>
      </c>
      <c r="N1939" s="7">
        <v>0</v>
      </c>
      <c r="O1939" t="s">
        <v>3106</v>
      </c>
      <c r="P1939" s="3" t="s">
        <v>40</v>
      </c>
      <c r="Q1939" s="8">
        <v>0.21823200000000001</v>
      </c>
    </row>
    <row r="1940" spans="1:17" hidden="1" x14ac:dyDescent="0.55000000000000004">
      <c r="A1940" s="3" t="s">
        <v>3085</v>
      </c>
      <c r="B1940" s="3" t="s">
        <v>3095</v>
      </c>
      <c r="C1940" t="s">
        <v>3095</v>
      </c>
      <c r="D1940" s="3" t="s">
        <v>7329</v>
      </c>
      <c r="E1940" t="s">
        <v>3128</v>
      </c>
      <c r="F1940" s="3" t="s">
        <v>3129</v>
      </c>
      <c r="G1940" t="s">
        <v>24</v>
      </c>
      <c r="H1940" s="3" t="s">
        <v>3107</v>
      </c>
      <c r="I1940" t="s">
        <v>43</v>
      </c>
      <c r="J1940" s="3" t="s">
        <v>3108</v>
      </c>
      <c r="K1940" s="4">
        <v>752</v>
      </c>
      <c r="L1940" s="5">
        <v>34.18</v>
      </c>
      <c r="M1940" s="6">
        <v>0</v>
      </c>
      <c r="N1940" s="7">
        <v>0</v>
      </c>
      <c r="O1940" t="s">
        <v>3109</v>
      </c>
      <c r="P1940" s="3" t="s">
        <v>138</v>
      </c>
      <c r="Q1940" s="8">
        <v>0.24813299999999999</v>
      </c>
    </row>
    <row r="1941" spans="1:17" hidden="1" x14ac:dyDescent="0.55000000000000004">
      <c r="A1941" s="3" t="s">
        <v>3085</v>
      </c>
      <c r="B1941" s="3" t="s">
        <v>3130</v>
      </c>
      <c r="C1941" t="s">
        <v>3130</v>
      </c>
      <c r="D1941" s="3" t="s">
        <v>7329</v>
      </c>
      <c r="E1941" t="s">
        <v>3131</v>
      </c>
      <c r="F1941" s="3" t="s">
        <v>3132</v>
      </c>
      <c r="G1941" t="s">
        <v>19</v>
      </c>
      <c r="H1941" s="3" t="s">
        <v>3133</v>
      </c>
      <c r="I1941" t="s">
        <v>81</v>
      </c>
      <c r="J1941" s="3" t="s">
        <v>3134</v>
      </c>
      <c r="K1941" s="4">
        <v>1183</v>
      </c>
      <c r="L1941" s="5">
        <v>257.17</v>
      </c>
      <c r="M1941" s="6">
        <v>1</v>
      </c>
      <c r="N1941" s="7">
        <v>1</v>
      </c>
      <c r="O1941" t="s">
        <v>3135</v>
      </c>
      <c r="P1941" s="3" t="s">
        <v>84</v>
      </c>
      <c r="Q1941" s="8">
        <v>4.7424000000000001E-2</v>
      </c>
    </row>
    <row r="1942" spans="1:17" hidden="1" x14ac:dyDescent="0.55000000000000004">
      <c r="A1942" s="3" t="s">
        <v>3085</v>
      </c>
      <c r="B1942" s="3" t="s">
        <v>3130</v>
      </c>
      <c r="C1942" t="s">
        <v>3130</v>
      </c>
      <c r="D1942" s="3" t="s">
        <v>7329</v>
      </c>
      <c r="E1942" t="s">
        <v>3131</v>
      </c>
      <c r="F1942" s="3" t="s">
        <v>3132</v>
      </c>
      <c r="G1942" t="s">
        <v>24</v>
      </c>
      <c r="H1942" s="3" t="s">
        <v>3136</v>
      </c>
      <c r="I1942" t="s">
        <v>48</v>
      </c>
      <c r="J1942" s="3" t="s">
        <v>3137</v>
      </c>
      <c r="K1942" s="4">
        <v>892</v>
      </c>
      <c r="L1942" s="5">
        <v>40.54</v>
      </c>
      <c r="M1942" s="6">
        <v>0</v>
      </c>
      <c r="N1942" s="7">
        <v>1</v>
      </c>
      <c r="O1942" t="s">
        <v>3138</v>
      </c>
      <c r="P1942" s="3" t="s">
        <v>23</v>
      </c>
      <c r="Q1942" s="8" t="s">
        <v>23</v>
      </c>
    </row>
    <row r="1943" spans="1:17" hidden="1" x14ac:dyDescent="0.55000000000000004">
      <c r="A1943" s="3" t="s">
        <v>3085</v>
      </c>
      <c r="B1943" s="3" t="s">
        <v>3130</v>
      </c>
      <c r="C1943" t="s">
        <v>3130</v>
      </c>
      <c r="D1943" s="3" t="s">
        <v>7329</v>
      </c>
      <c r="E1943" t="s">
        <v>3131</v>
      </c>
      <c r="F1943" s="3" t="s">
        <v>3132</v>
      </c>
      <c r="G1943" t="s">
        <v>24</v>
      </c>
      <c r="H1943" s="3" t="s">
        <v>3139</v>
      </c>
      <c r="I1943" t="s">
        <v>43</v>
      </c>
      <c r="J1943" s="3" t="s">
        <v>3137</v>
      </c>
      <c r="K1943" s="4">
        <v>884</v>
      </c>
      <c r="L1943" s="5">
        <v>40.17</v>
      </c>
      <c r="M1943" s="6">
        <v>1</v>
      </c>
      <c r="N1943" s="7">
        <v>1</v>
      </c>
      <c r="O1943" t="s">
        <v>3140</v>
      </c>
      <c r="P1943" s="3" t="s">
        <v>46</v>
      </c>
      <c r="Q1943" s="8">
        <v>0.23263300000000001</v>
      </c>
    </row>
    <row r="1944" spans="1:17" hidden="1" x14ac:dyDescent="0.55000000000000004">
      <c r="A1944" s="3" t="s">
        <v>3085</v>
      </c>
      <c r="B1944" s="3" t="s">
        <v>3141</v>
      </c>
      <c r="C1944" t="s">
        <v>3141</v>
      </c>
      <c r="D1944" s="3" t="s">
        <v>7329</v>
      </c>
      <c r="E1944" t="s">
        <v>3142</v>
      </c>
      <c r="F1944" s="3" t="s">
        <v>3143</v>
      </c>
      <c r="G1944" t="s">
        <v>19</v>
      </c>
      <c r="H1944" s="3" t="s">
        <v>3144</v>
      </c>
      <c r="I1944" t="s">
        <v>81</v>
      </c>
      <c r="J1944" s="3" t="s">
        <v>3145</v>
      </c>
      <c r="K1944" s="4">
        <v>1068</v>
      </c>
      <c r="L1944" s="5">
        <v>232.13</v>
      </c>
      <c r="M1944" s="6">
        <v>1</v>
      </c>
      <c r="N1944" s="7">
        <v>1</v>
      </c>
      <c r="O1944" t="s">
        <v>3146</v>
      </c>
      <c r="P1944" s="3" t="s">
        <v>84</v>
      </c>
      <c r="Q1944" s="8">
        <v>4.4193000000000003E-2</v>
      </c>
    </row>
    <row r="1945" spans="1:17" hidden="1" x14ac:dyDescent="0.55000000000000004">
      <c r="A1945" s="3" t="s">
        <v>3085</v>
      </c>
      <c r="B1945" s="3" t="s">
        <v>3141</v>
      </c>
      <c r="C1945" t="s">
        <v>3141</v>
      </c>
      <c r="D1945" s="3" t="s">
        <v>7329</v>
      </c>
      <c r="E1945" t="s">
        <v>3142</v>
      </c>
      <c r="F1945" s="3" t="s">
        <v>3143</v>
      </c>
      <c r="G1945" t="s">
        <v>24</v>
      </c>
      <c r="H1945" s="3" t="s">
        <v>3147</v>
      </c>
      <c r="I1945" t="s">
        <v>43</v>
      </c>
      <c r="J1945" s="3" t="s">
        <v>3148</v>
      </c>
      <c r="K1945" s="4">
        <v>773</v>
      </c>
      <c r="L1945" s="5">
        <v>35.159999999999997</v>
      </c>
      <c r="M1945" s="6">
        <v>1</v>
      </c>
      <c r="N1945" s="7">
        <v>1</v>
      </c>
      <c r="O1945" t="s">
        <v>3149</v>
      </c>
      <c r="P1945" s="3" t="s">
        <v>46</v>
      </c>
      <c r="Q1945" s="8">
        <v>0.218333</v>
      </c>
    </row>
    <row r="1946" spans="1:17" hidden="1" x14ac:dyDescent="0.55000000000000004">
      <c r="A1946" s="3" t="s">
        <v>3085</v>
      </c>
      <c r="B1946" s="3" t="s">
        <v>3141</v>
      </c>
      <c r="C1946" t="s">
        <v>3141</v>
      </c>
      <c r="D1946" s="3" t="s">
        <v>7329</v>
      </c>
      <c r="E1946" t="s">
        <v>3142</v>
      </c>
      <c r="F1946" s="3" t="s">
        <v>3143</v>
      </c>
      <c r="G1946" t="s">
        <v>24</v>
      </c>
      <c r="H1946" s="3" t="s">
        <v>3150</v>
      </c>
      <c r="I1946" t="s">
        <v>48</v>
      </c>
      <c r="J1946" s="3" t="s">
        <v>3148</v>
      </c>
      <c r="K1946" s="4">
        <v>776</v>
      </c>
      <c r="L1946" s="5">
        <v>35.29</v>
      </c>
      <c r="M1946" s="6">
        <v>0</v>
      </c>
      <c r="N1946" s="7">
        <v>1</v>
      </c>
      <c r="O1946" t="s">
        <v>3151</v>
      </c>
      <c r="P1946" s="3" t="s">
        <v>23</v>
      </c>
      <c r="Q1946" s="8" t="s">
        <v>23</v>
      </c>
    </row>
    <row r="1947" spans="1:17" hidden="1" x14ac:dyDescent="0.55000000000000004">
      <c r="A1947" s="3" t="s">
        <v>3085</v>
      </c>
      <c r="B1947" s="3" t="s">
        <v>3141</v>
      </c>
      <c r="C1947" t="s">
        <v>3141</v>
      </c>
      <c r="D1947" s="3" t="s">
        <v>7329</v>
      </c>
      <c r="E1947" t="s">
        <v>3152</v>
      </c>
      <c r="F1947" s="3" t="s">
        <v>3153</v>
      </c>
      <c r="G1947" t="s">
        <v>19</v>
      </c>
      <c r="H1947" s="3" t="s">
        <v>3144</v>
      </c>
      <c r="I1947" t="s">
        <v>81</v>
      </c>
      <c r="J1947" s="3" t="s">
        <v>3145</v>
      </c>
      <c r="K1947" s="4">
        <v>1068</v>
      </c>
      <c r="L1947" s="5">
        <v>232.13</v>
      </c>
      <c r="M1947" s="6">
        <v>1</v>
      </c>
      <c r="N1947" s="7">
        <v>0</v>
      </c>
      <c r="O1947" t="s">
        <v>3146</v>
      </c>
      <c r="P1947" s="3" t="s">
        <v>84</v>
      </c>
      <c r="Q1947" s="8">
        <v>4.4193000000000003E-2</v>
      </c>
    </row>
    <row r="1948" spans="1:17" hidden="1" x14ac:dyDescent="0.55000000000000004">
      <c r="A1948" s="3" t="s">
        <v>3085</v>
      </c>
      <c r="B1948" s="3" t="s">
        <v>3141</v>
      </c>
      <c r="C1948" t="s">
        <v>3141</v>
      </c>
      <c r="D1948" s="3" t="s">
        <v>7329</v>
      </c>
      <c r="E1948" t="s">
        <v>3152</v>
      </c>
      <c r="F1948" s="3" t="s">
        <v>3153</v>
      </c>
      <c r="G1948" t="s">
        <v>19</v>
      </c>
      <c r="H1948" s="3" t="s">
        <v>3154</v>
      </c>
      <c r="I1948" t="s">
        <v>86</v>
      </c>
      <c r="J1948" s="3" t="s">
        <v>3155</v>
      </c>
      <c r="K1948" s="4">
        <v>811</v>
      </c>
      <c r="L1948" s="5">
        <v>176.26</v>
      </c>
      <c r="M1948" s="6">
        <v>0</v>
      </c>
      <c r="N1948" s="7">
        <v>0</v>
      </c>
      <c r="O1948" t="s">
        <v>3156</v>
      </c>
      <c r="P1948" s="3" t="s">
        <v>89</v>
      </c>
      <c r="Q1948" s="8">
        <v>4.0649999999999999E-2</v>
      </c>
    </row>
    <row r="1949" spans="1:17" hidden="1" x14ac:dyDescent="0.55000000000000004">
      <c r="A1949" s="3" t="s">
        <v>3085</v>
      </c>
      <c r="B1949" s="3" t="s">
        <v>3141</v>
      </c>
      <c r="C1949" t="s">
        <v>3141</v>
      </c>
      <c r="D1949" s="3" t="s">
        <v>7329</v>
      </c>
      <c r="E1949" t="s">
        <v>3152</v>
      </c>
      <c r="F1949" s="3" t="s">
        <v>3153</v>
      </c>
      <c r="G1949" t="s">
        <v>24</v>
      </c>
      <c r="H1949" s="3" t="s">
        <v>3147</v>
      </c>
      <c r="I1949" t="s">
        <v>43</v>
      </c>
      <c r="J1949" s="3" t="s">
        <v>3148</v>
      </c>
      <c r="K1949" s="4">
        <v>773</v>
      </c>
      <c r="L1949" s="5">
        <v>35.159999999999997</v>
      </c>
      <c r="M1949" s="6">
        <v>1</v>
      </c>
      <c r="N1949" s="7">
        <v>0</v>
      </c>
      <c r="O1949" t="s">
        <v>3149</v>
      </c>
      <c r="P1949" s="3" t="s">
        <v>46</v>
      </c>
      <c r="Q1949" s="8">
        <v>0.218333</v>
      </c>
    </row>
    <row r="1950" spans="1:17" hidden="1" x14ac:dyDescent="0.55000000000000004">
      <c r="A1950" s="3" t="s">
        <v>3085</v>
      </c>
      <c r="B1950" s="3" t="s">
        <v>3141</v>
      </c>
      <c r="C1950" t="s">
        <v>3141</v>
      </c>
      <c r="D1950" s="3" t="s">
        <v>7329</v>
      </c>
      <c r="E1950" t="s">
        <v>3152</v>
      </c>
      <c r="F1950" s="3" t="s">
        <v>3153</v>
      </c>
      <c r="G1950" t="s">
        <v>24</v>
      </c>
      <c r="H1950" s="3" t="s">
        <v>3150</v>
      </c>
      <c r="I1950" t="s">
        <v>48</v>
      </c>
      <c r="J1950" s="3" t="s">
        <v>3148</v>
      </c>
      <c r="K1950" s="4">
        <v>776</v>
      </c>
      <c r="L1950" s="5">
        <v>35.29</v>
      </c>
      <c r="M1950" s="6">
        <v>0</v>
      </c>
      <c r="N1950" s="7">
        <v>0</v>
      </c>
      <c r="O1950" t="s">
        <v>3151</v>
      </c>
      <c r="P1950" s="3" t="s">
        <v>23</v>
      </c>
      <c r="Q1950" s="8" t="s">
        <v>23</v>
      </c>
    </row>
    <row r="1951" spans="1:17" hidden="1" x14ac:dyDescent="0.55000000000000004">
      <c r="A1951" s="3" t="s">
        <v>3085</v>
      </c>
      <c r="B1951" s="3" t="s">
        <v>3141</v>
      </c>
      <c r="C1951" t="s">
        <v>3141</v>
      </c>
      <c r="D1951" s="3" t="s">
        <v>7329</v>
      </c>
      <c r="E1951" t="s">
        <v>3157</v>
      </c>
      <c r="F1951" s="3" t="s">
        <v>3158</v>
      </c>
      <c r="G1951" t="s">
        <v>19</v>
      </c>
      <c r="H1951" s="3" t="s">
        <v>3144</v>
      </c>
      <c r="I1951" t="s">
        <v>81</v>
      </c>
      <c r="J1951" s="3" t="s">
        <v>3145</v>
      </c>
      <c r="K1951" s="4">
        <v>1068</v>
      </c>
      <c r="L1951" s="5">
        <v>232.13</v>
      </c>
      <c r="M1951" s="6">
        <v>1</v>
      </c>
      <c r="N1951" s="7">
        <v>0</v>
      </c>
      <c r="O1951" t="s">
        <v>3146</v>
      </c>
      <c r="P1951" s="3" t="s">
        <v>84</v>
      </c>
      <c r="Q1951" s="8">
        <v>4.4193000000000003E-2</v>
      </c>
    </row>
    <row r="1952" spans="1:17" hidden="1" x14ac:dyDescent="0.55000000000000004">
      <c r="A1952" s="3" t="s">
        <v>3085</v>
      </c>
      <c r="B1952" s="3" t="s">
        <v>3141</v>
      </c>
      <c r="C1952" t="s">
        <v>3141</v>
      </c>
      <c r="D1952" s="3" t="s">
        <v>7329</v>
      </c>
      <c r="E1952" t="s">
        <v>3157</v>
      </c>
      <c r="F1952" s="3" t="s">
        <v>3158</v>
      </c>
      <c r="G1952" t="s">
        <v>19</v>
      </c>
      <c r="H1952" s="3" t="s">
        <v>3154</v>
      </c>
      <c r="I1952" t="s">
        <v>86</v>
      </c>
      <c r="J1952" s="3" t="s">
        <v>3155</v>
      </c>
      <c r="K1952" s="4">
        <v>811</v>
      </c>
      <c r="L1952" s="5">
        <v>176.26</v>
      </c>
      <c r="M1952" s="6">
        <v>0</v>
      </c>
      <c r="N1952" s="7">
        <v>0</v>
      </c>
      <c r="O1952" t="s">
        <v>3156</v>
      </c>
      <c r="P1952" s="3" t="s">
        <v>89</v>
      </c>
      <c r="Q1952" s="8">
        <v>4.0649999999999999E-2</v>
      </c>
    </row>
    <row r="1953" spans="1:17" hidden="1" x14ac:dyDescent="0.55000000000000004">
      <c r="A1953" s="3" t="s">
        <v>3085</v>
      </c>
      <c r="B1953" s="3" t="s">
        <v>3141</v>
      </c>
      <c r="C1953" t="s">
        <v>3141</v>
      </c>
      <c r="D1953" s="3" t="s">
        <v>7329</v>
      </c>
      <c r="E1953" t="s">
        <v>3157</v>
      </c>
      <c r="F1953" s="3" t="s">
        <v>3158</v>
      </c>
      <c r="G1953" t="s">
        <v>24</v>
      </c>
      <c r="H1953" s="3" t="s">
        <v>3147</v>
      </c>
      <c r="I1953" t="s">
        <v>43</v>
      </c>
      <c r="J1953" s="3" t="s">
        <v>3148</v>
      </c>
      <c r="K1953" s="4">
        <v>773</v>
      </c>
      <c r="L1953" s="5">
        <v>35.159999999999997</v>
      </c>
      <c r="M1953" s="6">
        <v>1</v>
      </c>
      <c r="N1953" s="7">
        <v>0</v>
      </c>
      <c r="O1953" t="s">
        <v>3149</v>
      </c>
      <c r="P1953" s="3" t="s">
        <v>46</v>
      </c>
      <c r="Q1953" s="8">
        <v>0.218333</v>
      </c>
    </row>
    <row r="1954" spans="1:17" hidden="1" x14ac:dyDescent="0.55000000000000004">
      <c r="A1954" s="3" t="s">
        <v>3085</v>
      </c>
      <c r="B1954" s="3" t="s">
        <v>3141</v>
      </c>
      <c r="C1954" t="s">
        <v>3141</v>
      </c>
      <c r="D1954" s="3" t="s">
        <v>7329</v>
      </c>
      <c r="E1954" t="s">
        <v>3157</v>
      </c>
      <c r="F1954" s="3" t="s">
        <v>3158</v>
      </c>
      <c r="G1954" t="s">
        <v>24</v>
      </c>
      <c r="H1954" s="3" t="s">
        <v>3150</v>
      </c>
      <c r="I1954" t="s">
        <v>48</v>
      </c>
      <c r="J1954" s="3" t="s">
        <v>3148</v>
      </c>
      <c r="K1954" s="4">
        <v>776</v>
      </c>
      <c r="L1954" s="5">
        <v>35.29</v>
      </c>
      <c r="M1954" s="6">
        <v>0</v>
      </c>
      <c r="N1954" s="7">
        <v>0</v>
      </c>
      <c r="O1954" t="s">
        <v>3151</v>
      </c>
      <c r="P1954" s="3" t="s">
        <v>23</v>
      </c>
      <c r="Q1954" s="8" t="s">
        <v>23</v>
      </c>
    </row>
    <row r="1955" spans="1:17" hidden="1" x14ac:dyDescent="0.55000000000000004">
      <c r="A1955" s="3" t="s">
        <v>3085</v>
      </c>
      <c r="B1955" s="3" t="s">
        <v>3141</v>
      </c>
      <c r="C1955" t="s">
        <v>3141</v>
      </c>
      <c r="D1955" s="3" t="s">
        <v>7329</v>
      </c>
      <c r="E1955" t="s">
        <v>3159</v>
      </c>
      <c r="F1955" s="3" t="s">
        <v>3160</v>
      </c>
      <c r="G1955" t="s">
        <v>19</v>
      </c>
      <c r="H1955" s="3" t="s">
        <v>3144</v>
      </c>
      <c r="I1955" t="s">
        <v>81</v>
      </c>
      <c r="J1955" s="3" t="s">
        <v>3145</v>
      </c>
      <c r="K1955" s="4">
        <v>1068</v>
      </c>
      <c r="L1955" s="5">
        <v>232.13</v>
      </c>
      <c r="M1955" s="6">
        <v>1</v>
      </c>
      <c r="N1955" s="7">
        <v>0</v>
      </c>
      <c r="O1955" t="s">
        <v>3146</v>
      </c>
      <c r="P1955" s="3" t="s">
        <v>84</v>
      </c>
      <c r="Q1955" s="8">
        <v>4.4193000000000003E-2</v>
      </c>
    </row>
    <row r="1956" spans="1:17" hidden="1" x14ac:dyDescent="0.55000000000000004">
      <c r="A1956" s="3" t="s">
        <v>3085</v>
      </c>
      <c r="B1956" s="3" t="s">
        <v>3141</v>
      </c>
      <c r="C1956" t="s">
        <v>3141</v>
      </c>
      <c r="D1956" s="3" t="s">
        <v>7329</v>
      </c>
      <c r="E1956" t="s">
        <v>3159</v>
      </c>
      <c r="F1956" s="3" t="s">
        <v>3160</v>
      </c>
      <c r="G1956" t="s">
        <v>24</v>
      </c>
      <c r="H1956" s="3" t="s">
        <v>3147</v>
      </c>
      <c r="I1956" t="s">
        <v>43</v>
      </c>
      <c r="J1956" s="3" t="s">
        <v>3148</v>
      </c>
      <c r="K1956" s="4">
        <v>773</v>
      </c>
      <c r="L1956" s="5">
        <v>35.159999999999997</v>
      </c>
      <c r="M1956" s="6">
        <v>1</v>
      </c>
      <c r="N1956" s="7">
        <v>0</v>
      </c>
      <c r="O1956" t="s">
        <v>3149</v>
      </c>
      <c r="P1956" s="3" t="s">
        <v>46</v>
      </c>
      <c r="Q1956" s="8">
        <v>0.218333</v>
      </c>
    </row>
    <row r="1957" spans="1:17" hidden="1" x14ac:dyDescent="0.55000000000000004">
      <c r="A1957" s="3" t="s">
        <v>3085</v>
      </c>
      <c r="B1957" s="3" t="s">
        <v>3141</v>
      </c>
      <c r="C1957" t="s">
        <v>3141</v>
      </c>
      <c r="D1957" s="3" t="s">
        <v>7329</v>
      </c>
      <c r="E1957" t="s">
        <v>3159</v>
      </c>
      <c r="F1957" s="3" t="s">
        <v>3160</v>
      </c>
      <c r="G1957" t="s">
        <v>24</v>
      </c>
      <c r="H1957" s="3" t="s">
        <v>3150</v>
      </c>
      <c r="I1957" t="s">
        <v>48</v>
      </c>
      <c r="J1957" s="3" t="s">
        <v>3148</v>
      </c>
      <c r="K1957" s="4">
        <v>776</v>
      </c>
      <c r="L1957" s="5">
        <v>35.29</v>
      </c>
      <c r="M1957" s="6">
        <v>0</v>
      </c>
      <c r="N1957" s="7">
        <v>0</v>
      </c>
      <c r="O1957" t="s">
        <v>3151</v>
      </c>
      <c r="P1957" s="3" t="s">
        <v>23</v>
      </c>
      <c r="Q1957" s="8" t="s">
        <v>23</v>
      </c>
    </row>
    <row r="1958" spans="1:17" hidden="1" x14ac:dyDescent="0.55000000000000004">
      <c r="A1958" s="3" t="s">
        <v>3085</v>
      </c>
      <c r="B1958" s="3" t="s">
        <v>3141</v>
      </c>
      <c r="C1958" t="s">
        <v>3141</v>
      </c>
      <c r="D1958" s="3" t="s">
        <v>7329</v>
      </c>
      <c r="E1958" t="s">
        <v>3161</v>
      </c>
      <c r="F1958" s="3" t="s">
        <v>3162</v>
      </c>
      <c r="G1958" t="s">
        <v>19</v>
      </c>
      <c r="H1958" s="3" t="s">
        <v>3144</v>
      </c>
      <c r="I1958" t="s">
        <v>81</v>
      </c>
      <c r="J1958" s="3" t="s">
        <v>3145</v>
      </c>
      <c r="K1958" s="4">
        <v>1068</v>
      </c>
      <c r="L1958" s="5">
        <v>232.13</v>
      </c>
      <c r="M1958" s="6">
        <v>1</v>
      </c>
      <c r="N1958" s="7">
        <v>0</v>
      </c>
      <c r="O1958" t="s">
        <v>3146</v>
      </c>
      <c r="P1958" s="3" t="s">
        <v>84</v>
      </c>
      <c r="Q1958" s="8">
        <v>4.4193000000000003E-2</v>
      </c>
    </row>
    <row r="1959" spans="1:17" hidden="1" x14ac:dyDescent="0.55000000000000004">
      <c r="A1959" s="3" t="s">
        <v>3085</v>
      </c>
      <c r="B1959" s="3" t="s">
        <v>3141</v>
      </c>
      <c r="C1959" t="s">
        <v>3141</v>
      </c>
      <c r="D1959" s="3" t="s">
        <v>7329</v>
      </c>
      <c r="E1959" t="s">
        <v>3161</v>
      </c>
      <c r="F1959" s="3" t="s">
        <v>3162</v>
      </c>
      <c r="G1959" t="s">
        <v>19</v>
      </c>
      <c r="H1959" s="3" t="s">
        <v>3154</v>
      </c>
      <c r="I1959" t="s">
        <v>86</v>
      </c>
      <c r="J1959" s="3" t="s">
        <v>3155</v>
      </c>
      <c r="K1959" s="4">
        <v>811</v>
      </c>
      <c r="L1959" s="5">
        <v>176.26</v>
      </c>
      <c r="M1959" s="6">
        <v>0</v>
      </c>
      <c r="N1959" s="7">
        <v>0</v>
      </c>
      <c r="O1959" t="s">
        <v>3156</v>
      </c>
      <c r="P1959" s="3" t="s">
        <v>89</v>
      </c>
      <c r="Q1959" s="8">
        <v>4.0649999999999999E-2</v>
      </c>
    </row>
    <row r="1960" spans="1:17" hidden="1" x14ac:dyDescent="0.55000000000000004">
      <c r="A1960" s="3" t="s">
        <v>3085</v>
      </c>
      <c r="B1960" s="3" t="s">
        <v>3141</v>
      </c>
      <c r="C1960" t="s">
        <v>3141</v>
      </c>
      <c r="D1960" s="3" t="s">
        <v>7329</v>
      </c>
      <c r="E1960" t="s">
        <v>3161</v>
      </c>
      <c r="F1960" s="3" t="s">
        <v>3162</v>
      </c>
      <c r="G1960" t="s">
        <v>24</v>
      </c>
      <c r="H1960" s="3" t="s">
        <v>3147</v>
      </c>
      <c r="I1960" t="s">
        <v>43</v>
      </c>
      <c r="J1960" s="3" t="s">
        <v>3148</v>
      </c>
      <c r="K1960" s="4">
        <v>773</v>
      </c>
      <c r="L1960" s="5">
        <v>35.159999999999997</v>
      </c>
      <c r="M1960" s="6">
        <v>1</v>
      </c>
      <c r="N1960" s="7">
        <v>0</v>
      </c>
      <c r="O1960" t="s">
        <v>3149</v>
      </c>
      <c r="P1960" s="3" t="s">
        <v>46</v>
      </c>
      <c r="Q1960" s="8">
        <v>0.218333</v>
      </c>
    </row>
    <row r="1961" spans="1:17" hidden="1" x14ac:dyDescent="0.55000000000000004">
      <c r="A1961" s="3" t="s">
        <v>3085</v>
      </c>
      <c r="B1961" s="3" t="s">
        <v>3141</v>
      </c>
      <c r="C1961" t="s">
        <v>3141</v>
      </c>
      <c r="D1961" s="3" t="s">
        <v>7329</v>
      </c>
      <c r="E1961" t="s">
        <v>3161</v>
      </c>
      <c r="F1961" s="3" t="s">
        <v>3162</v>
      </c>
      <c r="G1961" t="s">
        <v>24</v>
      </c>
      <c r="H1961" s="3" t="s">
        <v>3150</v>
      </c>
      <c r="I1961" t="s">
        <v>48</v>
      </c>
      <c r="J1961" s="3" t="s">
        <v>3148</v>
      </c>
      <c r="K1961" s="4">
        <v>776</v>
      </c>
      <c r="L1961" s="5">
        <v>35.29</v>
      </c>
      <c r="M1961" s="6">
        <v>0</v>
      </c>
      <c r="N1961" s="7">
        <v>0</v>
      </c>
      <c r="O1961" t="s">
        <v>3151</v>
      </c>
      <c r="P1961" s="3" t="s">
        <v>23</v>
      </c>
      <c r="Q1961" s="8" t="s">
        <v>23</v>
      </c>
    </row>
    <row r="1962" spans="1:17" hidden="1" x14ac:dyDescent="0.55000000000000004">
      <c r="A1962" s="3" t="s">
        <v>3085</v>
      </c>
      <c r="B1962" s="3" t="s">
        <v>3141</v>
      </c>
      <c r="C1962" t="s">
        <v>3141</v>
      </c>
      <c r="D1962" s="3" t="s">
        <v>7329</v>
      </c>
      <c r="E1962" t="s">
        <v>3163</v>
      </c>
      <c r="F1962" s="3" t="s">
        <v>3164</v>
      </c>
      <c r="G1962" t="s">
        <v>19</v>
      </c>
      <c r="H1962" s="3" t="s">
        <v>3144</v>
      </c>
      <c r="I1962" t="s">
        <v>81</v>
      </c>
      <c r="J1962" s="3" t="s">
        <v>3145</v>
      </c>
      <c r="K1962" s="4">
        <v>1068</v>
      </c>
      <c r="L1962" s="5">
        <v>232.13</v>
      </c>
      <c r="M1962" s="6">
        <v>1</v>
      </c>
      <c r="N1962" s="7">
        <v>0</v>
      </c>
      <c r="O1962" t="s">
        <v>3146</v>
      </c>
      <c r="P1962" s="3" t="s">
        <v>84</v>
      </c>
      <c r="Q1962" s="8">
        <v>4.4193000000000003E-2</v>
      </c>
    </row>
    <row r="1963" spans="1:17" hidden="1" x14ac:dyDescent="0.55000000000000004">
      <c r="A1963" s="3" t="s">
        <v>3085</v>
      </c>
      <c r="B1963" s="3" t="s">
        <v>3141</v>
      </c>
      <c r="C1963" t="s">
        <v>3141</v>
      </c>
      <c r="D1963" s="3" t="s">
        <v>7329</v>
      </c>
      <c r="E1963" t="s">
        <v>3163</v>
      </c>
      <c r="F1963" s="3" t="s">
        <v>3164</v>
      </c>
      <c r="G1963" t="s">
        <v>24</v>
      </c>
      <c r="H1963" s="3" t="s">
        <v>3147</v>
      </c>
      <c r="I1963" t="s">
        <v>43</v>
      </c>
      <c r="J1963" s="3" t="s">
        <v>3148</v>
      </c>
      <c r="K1963" s="4">
        <v>773</v>
      </c>
      <c r="L1963" s="5">
        <v>35.159999999999997</v>
      </c>
      <c r="M1963" s="6">
        <v>1</v>
      </c>
      <c r="N1963" s="7">
        <v>0</v>
      </c>
      <c r="O1963" t="s">
        <v>3149</v>
      </c>
      <c r="P1963" s="3" t="s">
        <v>46</v>
      </c>
      <c r="Q1963" s="8">
        <v>0.218333</v>
      </c>
    </row>
    <row r="1964" spans="1:17" hidden="1" x14ac:dyDescent="0.55000000000000004">
      <c r="A1964" s="3" t="s">
        <v>3085</v>
      </c>
      <c r="B1964" s="3" t="s">
        <v>3141</v>
      </c>
      <c r="C1964" t="s">
        <v>3141</v>
      </c>
      <c r="D1964" s="3" t="s">
        <v>7329</v>
      </c>
      <c r="E1964" t="s">
        <v>3163</v>
      </c>
      <c r="F1964" s="3" t="s">
        <v>3164</v>
      </c>
      <c r="G1964" t="s">
        <v>24</v>
      </c>
      <c r="H1964" s="3" t="s">
        <v>3150</v>
      </c>
      <c r="I1964" t="s">
        <v>48</v>
      </c>
      <c r="J1964" s="3" t="s">
        <v>3148</v>
      </c>
      <c r="K1964" s="4">
        <v>776</v>
      </c>
      <c r="L1964" s="5">
        <v>35.29</v>
      </c>
      <c r="M1964" s="6">
        <v>0</v>
      </c>
      <c r="N1964" s="7">
        <v>0</v>
      </c>
      <c r="O1964" t="s">
        <v>3151</v>
      </c>
      <c r="P1964" s="3" t="s">
        <v>23</v>
      </c>
      <c r="Q1964" s="8" t="s">
        <v>23</v>
      </c>
    </row>
    <row r="1965" spans="1:17" hidden="1" x14ac:dyDescent="0.55000000000000004">
      <c r="A1965" s="3" t="s">
        <v>3085</v>
      </c>
      <c r="B1965" s="3" t="s">
        <v>3141</v>
      </c>
      <c r="C1965" t="s">
        <v>3141</v>
      </c>
      <c r="D1965" s="3" t="s">
        <v>7329</v>
      </c>
      <c r="E1965" t="s">
        <v>3165</v>
      </c>
      <c r="F1965" s="3" t="s">
        <v>3166</v>
      </c>
      <c r="G1965" t="s">
        <v>19</v>
      </c>
      <c r="H1965" s="3" t="s">
        <v>3144</v>
      </c>
      <c r="I1965" t="s">
        <v>81</v>
      </c>
      <c r="J1965" s="3" t="s">
        <v>3145</v>
      </c>
      <c r="K1965" s="4">
        <v>1068</v>
      </c>
      <c r="L1965" s="5">
        <v>232.13</v>
      </c>
      <c r="M1965" s="6">
        <v>1</v>
      </c>
      <c r="N1965" s="7">
        <v>0</v>
      </c>
      <c r="O1965" t="s">
        <v>3146</v>
      </c>
      <c r="P1965" s="3" t="s">
        <v>84</v>
      </c>
      <c r="Q1965" s="8">
        <v>4.4193000000000003E-2</v>
      </c>
    </row>
    <row r="1966" spans="1:17" hidden="1" x14ac:dyDescent="0.55000000000000004">
      <c r="A1966" s="3" t="s">
        <v>3085</v>
      </c>
      <c r="B1966" s="3" t="s">
        <v>3141</v>
      </c>
      <c r="C1966" t="s">
        <v>3141</v>
      </c>
      <c r="D1966" s="3" t="s">
        <v>7329</v>
      </c>
      <c r="E1966" t="s">
        <v>3165</v>
      </c>
      <c r="F1966" s="3" t="s">
        <v>3166</v>
      </c>
      <c r="G1966" t="s">
        <v>24</v>
      </c>
      <c r="H1966" s="3" t="s">
        <v>3147</v>
      </c>
      <c r="I1966" t="s">
        <v>43</v>
      </c>
      <c r="J1966" s="3" t="s">
        <v>3148</v>
      </c>
      <c r="K1966" s="4">
        <v>773</v>
      </c>
      <c r="L1966" s="5">
        <v>35.159999999999997</v>
      </c>
      <c r="M1966" s="6">
        <v>1</v>
      </c>
      <c r="N1966" s="7">
        <v>0</v>
      </c>
      <c r="O1966" t="s">
        <v>3149</v>
      </c>
      <c r="P1966" s="3" t="s">
        <v>46</v>
      </c>
      <c r="Q1966" s="8">
        <v>0.218333</v>
      </c>
    </row>
    <row r="1967" spans="1:17" hidden="1" x14ac:dyDescent="0.55000000000000004">
      <c r="A1967" s="3" t="s">
        <v>3085</v>
      </c>
      <c r="B1967" s="3" t="s">
        <v>3141</v>
      </c>
      <c r="C1967" t="s">
        <v>3141</v>
      </c>
      <c r="D1967" s="3" t="s">
        <v>7329</v>
      </c>
      <c r="E1967" t="s">
        <v>3165</v>
      </c>
      <c r="F1967" s="3" t="s">
        <v>3166</v>
      </c>
      <c r="G1967" t="s">
        <v>24</v>
      </c>
      <c r="H1967" s="3" t="s">
        <v>3150</v>
      </c>
      <c r="I1967" t="s">
        <v>48</v>
      </c>
      <c r="J1967" s="3" t="s">
        <v>3148</v>
      </c>
      <c r="K1967" s="4">
        <v>776</v>
      </c>
      <c r="L1967" s="5">
        <v>35.29</v>
      </c>
      <c r="M1967" s="6">
        <v>0</v>
      </c>
      <c r="N1967" s="7">
        <v>0</v>
      </c>
      <c r="O1967" t="s">
        <v>3151</v>
      </c>
      <c r="P1967" s="3" t="s">
        <v>23</v>
      </c>
      <c r="Q1967" s="8" t="s">
        <v>23</v>
      </c>
    </row>
    <row r="1968" spans="1:17" hidden="1" x14ac:dyDescent="0.55000000000000004">
      <c r="A1968" s="3" t="s">
        <v>3085</v>
      </c>
      <c r="B1968" s="3" t="s">
        <v>3167</v>
      </c>
      <c r="C1968" t="s">
        <v>3167</v>
      </c>
      <c r="D1968" s="3" t="s">
        <v>7329</v>
      </c>
      <c r="E1968" t="s">
        <v>3168</v>
      </c>
      <c r="F1968" s="3" t="s">
        <v>3169</v>
      </c>
      <c r="G1968" t="s">
        <v>19</v>
      </c>
      <c r="H1968" s="3" t="s">
        <v>3170</v>
      </c>
      <c r="I1968" t="s">
        <v>81</v>
      </c>
      <c r="J1968" s="3" t="s">
        <v>3171</v>
      </c>
      <c r="K1968" s="4">
        <v>1171</v>
      </c>
      <c r="L1968" s="5">
        <v>254.54</v>
      </c>
      <c r="M1968" s="6">
        <v>1</v>
      </c>
      <c r="N1968" s="7">
        <v>0</v>
      </c>
      <c r="O1968" t="s">
        <v>3172</v>
      </c>
      <c r="P1968" s="3" t="s">
        <v>84</v>
      </c>
      <c r="Q1968" s="8">
        <v>4.7424000000000001E-2</v>
      </c>
    </row>
    <row r="1969" spans="1:17" hidden="1" x14ac:dyDescent="0.55000000000000004">
      <c r="A1969" s="3" t="s">
        <v>3085</v>
      </c>
      <c r="B1969" s="3" t="s">
        <v>3167</v>
      </c>
      <c r="C1969" t="s">
        <v>3167</v>
      </c>
      <c r="D1969" s="3" t="s">
        <v>7329</v>
      </c>
      <c r="E1969" t="s">
        <v>3168</v>
      </c>
      <c r="F1969" s="3" t="s">
        <v>3169</v>
      </c>
      <c r="G1969" t="s">
        <v>24</v>
      </c>
      <c r="H1969" s="3" t="s">
        <v>3173</v>
      </c>
      <c r="I1969" t="s">
        <v>48</v>
      </c>
      <c r="J1969" s="3" t="s">
        <v>3174</v>
      </c>
      <c r="K1969" s="4">
        <v>897</v>
      </c>
      <c r="L1969" s="5">
        <v>40.75</v>
      </c>
      <c r="M1969" s="6">
        <v>0</v>
      </c>
      <c r="N1969" s="7">
        <v>0</v>
      </c>
      <c r="O1969" t="s">
        <v>3175</v>
      </c>
      <c r="P1969" s="3" t="s">
        <v>23</v>
      </c>
      <c r="Q1969" s="8" t="s">
        <v>23</v>
      </c>
    </row>
    <row r="1970" spans="1:17" hidden="1" x14ac:dyDescent="0.55000000000000004">
      <c r="A1970" s="3" t="s">
        <v>3085</v>
      </c>
      <c r="B1970" s="3" t="s">
        <v>3167</v>
      </c>
      <c r="C1970" t="s">
        <v>3167</v>
      </c>
      <c r="D1970" s="3" t="s">
        <v>7329</v>
      </c>
      <c r="E1970" t="s">
        <v>3168</v>
      </c>
      <c r="F1970" s="3" t="s">
        <v>3169</v>
      </c>
      <c r="G1970" t="s">
        <v>24</v>
      </c>
      <c r="H1970" s="3" t="s">
        <v>3176</v>
      </c>
      <c r="I1970" t="s">
        <v>43</v>
      </c>
      <c r="J1970" s="3" t="s">
        <v>3174</v>
      </c>
      <c r="K1970" s="4">
        <v>902</v>
      </c>
      <c r="L1970" s="5">
        <v>41.02</v>
      </c>
      <c r="M1970" s="6">
        <v>1</v>
      </c>
      <c r="N1970" s="7">
        <v>0</v>
      </c>
      <c r="O1970" t="s">
        <v>3177</v>
      </c>
      <c r="P1970" s="3" t="s">
        <v>46</v>
      </c>
      <c r="Q1970" s="8">
        <v>0.23263300000000001</v>
      </c>
    </row>
    <row r="1971" spans="1:17" hidden="1" x14ac:dyDescent="0.55000000000000004">
      <c r="A1971" s="3" t="s">
        <v>3085</v>
      </c>
      <c r="B1971" s="3" t="s">
        <v>3167</v>
      </c>
      <c r="C1971" t="s">
        <v>3167</v>
      </c>
      <c r="D1971" s="3" t="s">
        <v>7329</v>
      </c>
      <c r="E1971" t="s">
        <v>3178</v>
      </c>
      <c r="F1971" s="3" t="s">
        <v>3179</v>
      </c>
      <c r="G1971" t="s">
        <v>19</v>
      </c>
      <c r="H1971" s="3" t="s">
        <v>3170</v>
      </c>
      <c r="I1971" t="s">
        <v>81</v>
      </c>
      <c r="J1971" s="3" t="s">
        <v>3171</v>
      </c>
      <c r="K1971" s="4">
        <v>1171</v>
      </c>
      <c r="L1971" s="5">
        <v>254.54</v>
      </c>
      <c r="M1971" s="6">
        <v>1</v>
      </c>
      <c r="N1971" s="7">
        <v>0</v>
      </c>
      <c r="O1971" t="s">
        <v>3172</v>
      </c>
      <c r="P1971" s="3" t="s">
        <v>84</v>
      </c>
      <c r="Q1971" s="8">
        <v>4.7424000000000001E-2</v>
      </c>
    </row>
    <row r="1972" spans="1:17" hidden="1" x14ac:dyDescent="0.55000000000000004">
      <c r="A1972" s="3" t="s">
        <v>3085</v>
      </c>
      <c r="B1972" s="3" t="s">
        <v>3167</v>
      </c>
      <c r="C1972" t="s">
        <v>3167</v>
      </c>
      <c r="D1972" s="3" t="s">
        <v>7329</v>
      </c>
      <c r="E1972" t="s">
        <v>3178</v>
      </c>
      <c r="F1972" s="3" t="s">
        <v>3179</v>
      </c>
      <c r="G1972" t="s">
        <v>24</v>
      </c>
      <c r="H1972" s="3" t="s">
        <v>3173</v>
      </c>
      <c r="I1972" t="s">
        <v>48</v>
      </c>
      <c r="J1972" s="3" t="s">
        <v>3174</v>
      </c>
      <c r="K1972" s="4">
        <v>897</v>
      </c>
      <c r="L1972" s="5">
        <v>40.75</v>
      </c>
      <c r="M1972" s="6">
        <v>0</v>
      </c>
      <c r="N1972" s="7">
        <v>0</v>
      </c>
      <c r="O1972" t="s">
        <v>3175</v>
      </c>
      <c r="P1972" s="3" t="s">
        <v>23</v>
      </c>
      <c r="Q1972" s="8" t="s">
        <v>23</v>
      </c>
    </row>
    <row r="1973" spans="1:17" hidden="1" x14ac:dyDescent="0.55000000000000004">
      <c r="A1973" s="3" t="s">
        <v>3085</v>
      </c>
      <c r="B1973" s="3" t="s">
        <v>3167</v>
      </c>
      <c r="C1973" t="s">
        <v>3167</v>
      </c>
      <c r="D1973" s="3" t="s">
        <v>7329</v>
      </c>
      <c r="E1973" t="s">
        <v>3178</v>
      </c>
      <c r="F1973" s="3" t="s">
        <v>3179</v>
      </c>
      <c r="G1973" t="s">
        <v>24</v>
      </c>
      <c r="H1973" s="3" t="s">
        <v>3176</v>
      </c>
      <c r="I1973" t="s">
        <v>43</v>
      </c>
      <c r="J1973" s="3" t="s">
        <v>3174</v>
      </c>
      <c r="K1973" s="4">
        <v>902</v>
      </c>
      <c r="L1973" s="5">
        <v>41.02</v>
      </c>
      <c r="M1973" s="6">
        <v>1</v>
      </c>
      <c r="N1973" s="7">
        <v>0</v>
      </c>
      <c r="O1973" t="s">
        <v>3177</v>
      </c>
      <c r="P1973" s="3" t="s">
        <v>46</v>
      </c>
      <c r="Q1973" s="8">
        <v>0.23263300000000001</v>
      </c>
    </row>
    <row r="1974" spans="1:17" hidden="1" x14ac:dyDescent="0.55000000000000004">
      <c r="A1974" s="3" t="s">
        <v>3085</v>
      </c>
      <c r="B1974" s="3" t="s">
        <v>3167</v>
      </c>
      <c r="C1974" t="s">
        <v>3167</v>
      </c>
      <c r="D1974" s="3" t="s">
        <v>7329</v>
      </c>
      <c r="E1974" t="s">
        <v>3180</v>
      </c>
      <c r="F1974" s="3" t="s">
        <v>3181</v>
      </c>
      <c r="G1974" t="s">
        <v>19</v>
      </c>
      <c r="H1974" s="3" t="s">
        <v>3170</v>
      </c>
      <c r="I1974" t="s">
        <v>81</v>
      </c>
      <c r="J1974" s="3" t="s">
        <v>3171</v>
      </c>
      <c r="K1974" s="4">
        <v>1171</v>
      </c>
      <c r="L1974" s="5">
        <v>254.54</v>
      </c>
      <c r="M1974" s="6">
        <v>1</v>
      </c>
      <c r="N1974" s="7">
        <v>0</v>
      </c>
      <c r="O1974" t="s">
        <v>3172</v>
      </c>
      <c r="P1974" s="3" t="s">
        <v>84</v>
      </c>
      <c r="Q1974" s="8">
        <v>4.7424000000000001E-2</v>
      </c>
    </row>
    <row r="1975" spans="1:17" hidden="1" x14ac:dyDescent="0.55000000000000004">
      <c r="A1975" s="3" t="s">
        <v>3085</v>
      </c>
      <c r="B1975" s="3" t="s">
        <v>3167</v>
      </c>
      <c r="C1975" t="s">
        <v>3167</v>
      </c>
      <c r="D1975" s="3" t="s">
        <v>7329</v>
      </c>
      <c r="E1975" t="s">
        <v>3180</v>
      </c>
      <c r="F1975" s="3" t="s">
        <v>3181</v>
      </c>
      <c r="G1975" t="s">
        <v>24</v>
      </c>
      <c r="H1975" s="3" t="s">
        <v>3173</v>
      </c>
      <c r="I1975" t="s">
        <v>48</v>
      </c>
      <c r="J1975" s="3" t="s">
        <v>3174</v>
      </c>
      <c r="K1975" s="4">
        <v>897</v>
      </c>
      <c r="L1975" s="5">
        <v>40.75</v>
      </c>
      <c r="M1975" s="6">
        <v>0</v>
      </c>
      <c r="N1975" s="7">
        <v>0</v>
      </c>
      <c r="O1975" t="s">
        <v>3175</v>
      </c>
      <c r="P1975" s="3" t="s">
        <v>23</v>
      </c>
      <c r="Q1975" s="8" t="s">
        <v>23</v>
      </c>
    </row>
    <row r="1976" spans="1:17" hidden="1" x14ac:dyDescent="0.55000000000000004">
      <c r="A1976" s="3" t="s">
        <v>3085</v>
      </c>
      <c r="B1976" s="3" t="s">
        <v>3167</v>
      </c>
      <c r="C1976" t="s">
        <v>3167</v>
      </c>
      <c r="D1976" s="3" t="s">
        <v>7329</v>
      </c>
      <c r="E1976" t="s">
        <v>3180</v>
      </c>
      <c r="F1976" s="3" t="s">
        <v>3181</v>
      </c>
      <c r="G1976" t="s">
        <v>24</v>
      </c>
      <c r="H1976" s="3" t="s">
        <v>3176</v>
      </c>
      <c r="I1976" t="s">
        <v>43</v>
      </c>
      <c r="J1976" s="3" t="s">
        <v>3174</v>
      </c>
      <c r="K1976" s="4">
        <v>902</v>
      </c>
      <c r="L1976" s="5">
        <v>41.02</v>
      </c>
      <c r="M1976" s="6">
        <v>1</v>
      </c>
      <c r="N1976" s="7">
        <v>0</v>
      </c>
      <c r="O1976" t="s">
        <v>3177</v>
      </c>
      <c r="P1976" s="3" t="s">
        <v>46</v>
      </c>
      <c r="Q1976" s="8">
        <v>0.23263300000000001</v>
      </c>
    </row>
    <row r="1977" spans="1:17" hidden="1" x14ac:dyDescent="0.55000000000000004">
      <c r="A1977" s="3" t="s">
        <v>3085</v>
      </c>
      <c r="B1977" s="3" t="s">
        <v>3167</v>
      </c>
      <c r="C1977" t="s">
        <v>3167</v>
      </c>
      <c r="D1977" s="3" t="s">
        <v>7329</v>
      </c>
      <c r="E1977" t="s">
        <v>3182</v>
      </c>
      <c r="F1977" s="3" t="s">
        <v>3183</v>
      </c>
      <c r="G1977" t="s">
        <v>19</v>
      </c>
      <c r="H1977" s="3" t="s">
        <v>3170</v>
      </c>
      <c r="I1977" t="s">
        <v>81</v>
      </c>
      <c r="J1977" s="3" t="s">
        <v>3171</v>
      </c>
      <c r="K1977" s="4">
        <v>1171</v>
      </c>
      <c r="L1977" s="5">
        <v>254.54</v>
      </c>
      <c r="M1977" s="6">
        <v>1</v>
      </c>
      <c r="N1977" s="7">
        <v>0</v>
      </c>
      <c r="O1977" t="s">
        <v>3172</v>
      </c>
      <c r="P1977" s="3" t="s">
        <v>84</v>
      </c>
      <c r="Q1977" s="8">
        <v>4.7424000000000001E-2</v>
      </c>
    </row>
    <row r="1978" spans="1:17" hidden="1" x14ac:dyDescent="0.55000000000000004">
      <c r="A1978" s="3" t="s">
        <v>3085</v>
      </c>
      <c r="B1978" s="3" t="s">
        <v>3167</v>
      </c>
      <c r="C1978" t="s">
        <v>3167</v>
      </c>
      <c r="D1978" s="3" t="s">
        <v>7329</v>
      </c>
      <c r="E1978" t="s">
        <v>3182</v>
      </c>
      <c r="F1978" s="3" t="s">
        <v>3183</v>
      </c>
      <c r="G1978" t="s">
        <v>24</v>
      </c>
      <c r="H1978" s="3" t="s">
        <v>3173</v>
      </c>
      <c r="I1978" t="s">
        <v>48</v>
      </c>
      <c r="J1978" s="3" t="s">
        <v>3174</v>
      </c>
      <c r="K1978" s="4">
        <v>897</v>
      </c>
      <c r="L1978" s="5">
        <v>40.75</v>
      </c>
      <c r="M1978" s="6">
        <v>0</v>
      </c>
      <c r="N1978" s="7">
        <v>0</v>
      </c>
      <c r="O1978" t="s">
        <v>3175</v>
      </c>
      <c r="P1978" s="3" t="s">
        <v>23</v>
      </c>
      <c r="Q1978" s="8" t="s">
        <v>23</v>
      </c>
    </row>
    <row r="1979" spans="1:17" hidden="1" x14ac:dyDescent="0.55000000000000004">
      <c r="A1979" s="3" t="s">
        <v>3085</v>
      </c>
      <c r="B1979" s="3" t="s">
        <v>3167</v>
      </c>
      <c r="C1979" t="s">
        <v>3167</v>
      </c>
      <c r="D1979" s="3" t="s">
        <v>7329</v>
      </c>
      <c r="E1979" t="s">
        <v>3182</v>
      </c>
      <c r="F1979" s="3" t="s">
        <v>3183</v>
      </c>
      <c r="G1979" t="s">
        <v>24</v>
      </c>
      <c r="H1979" s="3" t="s">
        <v>3176</v>
      </c>
      <c r="I1979" t="s">
        <v>43</v>
      </c>
      <c r="J1979" s="3" t="s">
        <v>3174</v>
      </c>
      <c r="K1979" s="4">
        <v>902</v>
      </c>
      <c r="L1979" s="5">
        <v>41.02</v>
      </c>
      <c r="M1979" s="6">
        <v>1</v>
      </c>
      <c r="N1979" s="7">
        <v>0</v>
      </c>
      <c r="O1979" t="s">
        <v>3177</v>
      </c>
      <c r="P1979" s="3" t="s">
        <v>46</v>
      </c>
      <c r="Q1979" s="8">
        <v>0.23263300000000001</v>
      </c>
    </row>
    <row r="1980" spans="1:17" hidden="1" x14ac:dyDescent="0.55000000000000004">
      <c r="A1980" s="3" t="s">
        <v>3085</v>
      </c>
      <c r="B1980" s="3" t="s">
        <v>3167</v>
      </c>
      <c r="C1980" t="s">
        <v>3167</v>
      </c>
      <c r="D1980" s="3" t="s">
        <v>7329</v>
      </c>
      <c r="E1980" t="s">
        <v>3184</v>
      </c>
      <c r="F1980" s="3" t="s">
        <v>3185</v>
      </c>
      <c r="G1980" t="s">
        <v>19</v>
      </c>
      <c r="H1980" s="3" t="s">
        <v>3170</v>
      </c>
      <c r="I1980" t="s">
        <v>81</v>
      </c>
      <c r="J1980" s="3" t="s">
        <v>3171</v>
      </c>
      <c r="K1980" s="4">
        <v>1171</v>
      </c>
      <c r="L1980" s="5">
        <v>254.54</v>
      </c>
      <c r="M1980" s="6">
        <v>1</v>
      </c>
      <c r="N1980" s="7">
        <v>0</v>
      </c>
      <c r="O1980" t="s">
        <v>3172</v>
      </c>
      <c r="P1980" s="3" t="s">
        <v>84</v>
      </c>
      <c r="Q1980" s="8">
        <v>4.7424000000000001E-2</v>
      </c>
    </row>
    <row r="1981" spans="1:17" hidden="1" x14ac:dyDescent="0.55000000000000004">
      <c r="A1981" s="3" t="s">
        <v>3085</v>
      </c>
      <c r="B1981" s="3" t="s">
        <v>3167</v>
      </c>
      <c r="C1981" t="s">
        <v>3167</v>
      </c>
      <c r="D1981" s="3" t="s">
        <v>7329</v>
      </c>
      <c r="E1981" t="s">
        <v>3184</v>
      </c>
      <c r="F1981" s="3" t="s">
        <v>3185</v>
      </c>
      <c r="G1981" t="s">
        <v>24</v>
      </c>
      <c r="H1981" s="3" t="s">
        <v>3173</v>
      </c>
      <c r="I1981" t="s">
        <v>48</v>
      </c>
      <c r="J1981" s="3" t="s">
        <v>3174</v>
      </c>
      <c r="K1981" s="4">
        <v>897</v>
      </c>
      <c r="L1981" s="5">
        <v>40.75</v>
      </c>
      <c r="M1981" s="6">
        <v>0</v>
      </c>
      <c r="N1981" s="7">
        <v>0</v>
      </c>
      <c r="O1981" t="s">
        <v>3175</v>
      </c>
      <c r="P1981" s="3" t="s">
        <v>23</v>
      </c>
      <c r="Q1981" s="8" t="s">
        <v>23</v>
      </c>
    </row>
    <row r="1982" spans="1:17" hidden="1" x14ac:dyDescent="0.55000000000000004">
      <c r="A1982" s="3" t="s">
        <v>3085</v>
      </c>
      <c r="B1982" s="3" t="s">
        <v>3167</v>
      </c>
      <c r="C1982" t="s">
        <v>3167</v>
      </c>
      <c r="D1982" s="3" t="s">
        <v>7329</v>
      </c>
      <c r="E1982" t="s">
        <v>3184</v>
      </c>
      <c r="F1982" s="3" t="s">
        <v>3185</v>
      </c>
      <c r="G1982" t="s">
        <v>24</v>
      </c>
      <c r="H1982" s="3" t="s">
        <v>3176</v>
      </c>
      <c r="I1982" t="s">
        <v>43</v>
      </c>
      <c r="J1982" s="3" t="s">
        <v>3174</v>
      </c>
      <c r="K1982" s="4">
        <v>902</v>
      </c>
      <c r="L1982" s="5">
        <v>41.02</v>
      </c>
      <c r="M1982" s="6">
        <v>1</v>
      </c>
      <c r="N1982" s="7">
        <v>0</v>
      </c>
      <c r="O1982" t="s">
        <v>3177</v>
      </c>
      <c r="P1982" s="3" t="s">
        <v>46</v>
      </c>
      <c r="Q1982" s="8">
        <v>0.23263300000000001</v>
      </c>
    </row>
    <row r="1983" spans="1:17" hidden="1" x14ac:dyDescent="0.55000000000000004">
      <c r="A1983" s="3" t="s">
        <v>3085</v>
      </c>
      <c r="B1983" s="3" t="s">
        <v>3167</v>
      </c>
      <c r="C1983" t="s">
        <v>3167</v>
      </c>
      <c r="D1983" s="3" t="s">
        <v>7329</v>
      </c>
      <c r="E1983" t="s">
        <v>3186</v>
      </c>
      <c r="F1983" s="3" t="s">
        <v>3187</v>
      </c>
      <c r="G1983" t="s">
        <v>19</v>
      </c>
      <c r="H1983" s="3" t="s">
        <v>3170</v>
      </c>
      <c r="I1983" t="s">
        <v>81</v>
      </c>
      <c r="J1983" s="3" t="s">
        <v>3171</v>
      </c>
      <c r="K1983" s="4">
        <v>1171</v>
      </c>
      <c r="L1983" s="5">
        <v>254.54</v>
      </c>
      <c r="M1983" s="6">
        <v>1</v>
      </c>
      <c r="N1983" s="7">
        <v>0</v>
      </c>
      <c r="O1983" t="s">
        <v>3172</v>
      </c>
      <c r="P1983" s="3" t="s">
        <v>84</v>
      </c>
      <c r="Q1983" s="8">
        <v>4.7424000000000001E-2</v>
      </c>
    </row>
    <row r="1984" spans="1:17" hidden="1" x14ac:dyDescent="0.55000000000000004">
      <c r="A1984" s="3" t="s">
        <v>3085</v>
      </c>
      <c r="B1984" s="3" t="s">
        <v>3167</v>
      </c>
      <c r="C1984" t="s">
        <v>3167</v>
      </c>
      <c r="D1984" s="3" t="s">
        <v>7329</v>
      </c>
      <c r="E1984" t="s">
        <v>3186</v>
      </c>
      <c r="F1984" s="3" t="s">
        <v>3187</v>
      </c>
      <c r="G1984" t="s">
        <v>24</v>
      </c>
      <c r="H1984" s="3" t="s">
        <v>3173</v>
      </c>
      <c r="I1984" t="s">
        <v>48</v>
      </c>
      <c r="J1984" s="3" t="s">
        <v>3174</v>
      </c>
      <c r="K1984" s="4">
        <v>897</v>
      </c>
      <c r="L1984" s="5">
        <v>40.75</v>
      </c>
      <c r="M1984" s="6">
        <v>0</v>
      </c>
      <c r="N1984" s="7">
        <v>0</v>
      </c>
      <c r="O1984" t="s">
        <v>3175</v>
      </c>
      <c r="P1984" s="3" t="s">
        <v>23</v>
      </c>
      <c r="Q1984" s="8" t="s">
        <v>23</v>
      </c>
    </row>
    <row r="1985" spans="1:17" hidden="1" x14ac:dyDescent="0.55000000000000004">
      <c r="A1985" s="3" t="s">
        <v>3085</v>
      </c>
      <c r="B1985" s="3" t="s">
        <v>3167</v>
      </c>
      <c r="C1985" t="s">
        <v>3167</v>
      </c>
      <c r="D1985" s="3" t="s">
        <v>7329</v>
      </c>
      <c r="E1985" t="s">
        <v>3186</v>
      </c>
      <c r="F1985" s="3" t="s">
        <v>3187</v>
      </c>
      <c r="G1985" t="s">
        <v>24</v>
      </c>
      <c r="H1985" s="3" t="s">
        <v>3176</v>
      </c>
      <c r="I1985" t="s">
        <v>43</v>
      </c>
      <c r="J1985" s="3" t="s">
        <v>3174</v>
      </c>
      <c r="K1985" s="4">
        <v>902</v>
      </c>
      <c r="L1985" s="5">
        <v>41.02</v>
      </c>
      <c r="M1985" s="6">
        <v>1</v>
      </c>
      <c r="N1985" s="7">
        <v>0</v>
      </c>
      <c r="O1985" t="s">
        <v>3177</v>
      </c>
      <c r="P1985" s="3" t="s">
        <v>46</v>
      </c>
      <c r="Q1985" s="8">
        <v>0.23263300000000001</v>
      </c>
    </row>
    <row r="1986" spans="1:17" hidden="1" x14ac:dyDescent="0.55000000000000004">
      <c r="A1986" s="3" t="s">
        <v>3085</v>
      </c>
      <c r="B1986" s="3" t="s">
        <v>3167</v>
      </c>
      <c r="C1986" t="s">
        <v>3167</v>
      </c>
      <c r="D1986" s="3" t="s">
        <v>7329</v>
      </c>
      <c r="E1986" t="s">
        <v>3188</v>
      </c>
      <c r="F1986" s="3" t="s">
        <v>3189</v>
      </c>
      <c r="G1986" t="s">
        <v>19</v>
      </c>
      <c r="H1986" s="3" t="s">
        <v>3170</v>
      </c>
      <c r="I1986" t="s">
        <v>81</v>
      </c>
      <c r="J1986" s="3" t="s">
        <v>3171</v>
      </c>
      <c r="K1986" s="4">
        <v>1171</v>
      </c>
      <c r="L1986" s="5">
        <v>254.54</v>
      </c>
      <c r="M1986" s="6">
        <v>1</v>
      </c>
      <c r="N1986" s="7">
        <v>0</v>
      </c>
      <c r="O1986" t="s">
        <v>3172</v>
      </c>
      <c r="P1986" s="3" t="s">
        <v>84</v>
      </c>
      <c r="Q1986" s="8">
        <v>4.7424000000000001E-2</v>
      </c>
    </row>
    <row r="1987" spans="1:17" hidden="1" x14ac:dyDescent="0.55000000000000004">
      <c r="A1987" s="3" t="s">
        <v>3085</v>
      </c>
      <c r="B1987" s="3" t="s">
        <v>3167</v>
      </c>
      <c r="C1987" t="s">
        <v>3167</v>
      </c>
      <c r="D1987" s="3" t="s">
        <v>7329</v>
      </c>
      <c r="E1987" t="s">
        <v>3188</v>
      </c>
      <c r="F1987" s="3" t="s">
        <v>3189</v>
      </c>
      <c r="G1987" t="s">
        <v>24</v>
      </c>
      <c r="H1987" s="3" t="s">
        <v>3173</v>
      </c>
      <c r="I1987" t="s">
        <v>48</v>
      </c>
      <c r="J1987" s="3" t="s">
        <v>3174</v>
      </c>
      <c r="K1987" s="4">
        <v>897</v>
      </c>
      <c r="L1987" s="5">
        <v>40.75</v>
      </c>
      <c r="M1987" s="6">
        <v>0</v>
      </c>
      <c r="N1987" s="7">
        <v>0</v>
      </c>
      <c r="O1987" t="s">
        <v>3175</v>
      </c>
      <c r="P1987" s="3" t="s">
        <v>23</v>
      </c>
      <c r="Q1987" s="8" t="s">
        <v>23</v>
      </c>
    </row>
    <row r="1988" spans="1:17" hidden="1" x14ac:dyDescent="0.55000000000000004">
      <c r="A1988" s="3" t="s">
        <v>3085</v>
      </c>
      <c r="B1988" s="3" t="s">
        <v>3167</v>
      </c>
      <c r="C1988" t="s">
        <v>3167</v>
      </c>
      <c r="D1988" s="3" t="s">
        <v>7329</v>
      </c>
      <c r="E1988" t="s">
        <v>3188</v>
      </c>
      <c r="F1988" s="3" t="s">
        <v>3189</v>
      </c>
      <c r="G1988" t="s">
        <v>24</v>
      </c>
      <c r="H1988" s="3" t="s">
        <v>3176</v>
      </c>
      <c r="I1988" t="s">
        <v>43</v>
      </c>
      <c r="J1988" s="3" t="s">
        <v>3174</v>
      </c>
      <c r="K1988" s="4">
        <v>902</v>
      </c>
      <c r="L1988" s="5">
        <v>41.02</v>
      </c>
      <c r="M1988" s="6">
        <v>1</v>
      </c>
      <c r="N1988" s="7">
        <v>0</v>
      </c>
      <c r="O1988" t="s">
        <v>3177</v>
      </c>
      <c r="P1988" s="3" t="s">
        <v>46</v>
      </c>
      <c r="Q1988" s="8">
        <v>0.23263300000000001</v>
      </c>
    </row>
    <row r="1989" spans="1:17" hidden="1" x14ac:dyDescent="0.55000000000000004">
      <c r="A1989" s="3" t="s">
        <v>3085</v>
      </c>
      <c r="B1989" s="3" t="s">
        <v>3167</v>
      </c>
      <c r="C1989" t="s">
        <v>3167</v>
      </c>
      <c r="D1989" s="3" t="s">
        <v>7329</v>
      </c>
      <c r="E1989" t="s">
        <v>3190</v>
      </c>
      <c r="F1989" s="3" t="s">
        <v>3191</v>
      </c>
      <c r="G1989" t="s">
        <v>19</v>
      </c>
      <c r="H1989" s="3" t="s">
        <v>3170</v>
      </c>
      <c r="I1989" t="s">
        <v>81</v>
      </c>
      <c r="J1989" s="3" t="s">
        <v>3171</v>
      </c>
      <c r="K1989" s="4">
        <v>1171</v>
      </c>
      <c r="L1989" s="5">
        <v>254.54</v>
      </c>
      <c r="M1989" s="6">
        <v>1</v>
      </c>
      <c r="N1989" s="7">
        <v>0</v>
      </c>
      <c r="O1989" t="s">
        <v>3172</v>
      </c>
      <c r="P1989" s="3" t="s">
        <v>84</v>
      </c>
      <c r="Q1989" s="8">
        <v>4.7424000000000001E-2</v>
      </c>
    </row>
    <row r="1990" spans="1:17" hidden="1" x14ac:dyDescent="0.55000000000000004">
      <c r="A1990" s="3" t="s">
        <v>3085</v>
      </c>
      <c r="B1990" s="3" t="s">
        <v>3167</v>
      </c>
      <c r="C1990" t="s">
        <v>3167</v>
      </c>
      <c r="D1990" s="3" t="s">
        <v>7329</v>
      </c>
      <c r="E1990" t="s">
        <v>3190</v>
      </c>
      <c r="F1990" s="3" t="s">
        <v>3191</v>
      </c>
      <c r="G1990" t="s">
        <v>24</v>
      </c>
      <c r="H1990" s="3" t="s">
        <v>3173</v>
      </c>
      <c r="I1990" t="s">
        <v>48</v>
      </c>
      <c r="J1990" s="3" t="s">
        <v>3174</v>
      </c>
      <c r="K1990" s="4">
        <v>897</v>
      </c>
      <c r="L1990" s="5">
        <v>40.75</v>
      </c>
      <c r="M1990" s="6">
        <v>0</v>
      </c>
      <c r="N1990" s="7">
        <v>0</v>
      </c>
      <c r="O1990" t="s">
        <v>3175</v>
      </c>
      <c r="P1990" s="3" t="s">
        <v>23</v>
      </c>
      <c r="Q1990" s="8" t="s">
        <v>23</v>
      </c>
    </row>
    <row r="1991" spans="1:17" hidden="1" x14ac:dyDescent="0.55000000000000004">
      <c r="A1991" s="3" t="s">
        <v>3085</v>
      </c>
      <c r="B1991" s="3" t="s">
        <v>3167</v>
      </c>
      <c r="C1991" t="s">
        <v>3167</v>
      </c>
      <c r="D1991" s="3" t="s">
        <v>7329</v>
      </c>
      <c r="E1991" t="s">
        <v>3190</v>
      </c>
      <c r="F1991" s="3" t="s">
        <v>3191</v>
      </c>
      <c r="G1991" t="s">
        <v>24</v>
      </c>
      <c r="H1991" s="3" t="s">
        <v>3176</v>
      </c>
      <c r="I1991" t="s">
        <v>43</v>
      </c>
      <c r="J1991" s="3" t="s">
        <v>3174</v>
      </c>
      <c r="K1991" s="4">
        <v>902</v>
      </c>
      <c r="L1991" s="5">
        <v>41.02</v>
      </c>
      <c r="M1991" s="6">
        <v>1</v>
      </c>
      <c r="N1991" s="7">
        <v>0</v>
      </c>
      <c r="O1991" t="s">
        <v>3177</v>
      </c>
      <c r="P1991" s="3" t="s">
        <v>46</v>
      </c>
      <c r="Q1991" s="8">
        <v>0.23263300000000001</v>
      </c>
    </row>
    <row r="1992" spans="1:17" hidden="1" x14ac:dyDescent="0.55000000000000004">
      <c r="A1992" s="3" t="s">
        <v>3085</v>
      </c>
      <c r="B1992" s="3" t="s">
        <v>3167</v>
      </c>
      <c r="C1992" t="s">
        <v>3167</v>
      </c>
      <c r="D1992" s="3" t="s">
        <v>7329</v>
      </c>
      <c r="E1992" t="s">
        <v>3192</v>
      </c>
      <c r="F1992" s="3" t="s">
        <v>3193</v>
      </c>
      <c r="G1992" t="s">
        <v>19</v>
      </c>
      <c r="H1992" s="3" t="s">
        <v>3170</v>
      </c>
      <c r="I1992" t="s">
        <v>81</v>
      </c>
      <c r="J1992" s="3" t="s">
        <v>3171</v>
      </c>
      <c r="K1992" s="4">
        <v>1171</v>
      </c>
      <c r="L1992" s="5">
        <v>254.54</v>
      </c>
      <c r="M1992" s="6">
        <v>1</v>
      </c>
      <c r="N1992" s="7">
        <v>0</v>
      </c>
      <c r="O1992" t="s">
        <v>3172</v>
      </c>
      <c r="P1992" s="3" t="s">
        <v>84</v>
      </c>
      <c r="Q1992" s="8">
        <v>4.7424000000000001E-2</v>
      </c>
    </row>
    <row r="1993" spans="1:17" hidden="1" x14ac:dyDescent="0.55000000000000004">
      <c r="A1993" s="3" t="s">
        <v>3085</v>
      </c>
      <c r="B1993" s="3" t="s">
        <v>3167</v>
      </c>
      <c r="C1993" t="s">
        <v>3167</v>
      </c>
      <c r="D1993" s="3" t="s">
        <v>7329</v>
      </c>
      <c r="E1993" t="s">
        <v>3192</v>
      </c>
      <c r="F1993" s="3" t="s">
        <v>3193</v>
      </c>
      <c r="G1993" t="s">
        <v>24</v>
      </c>
      <c r="H1993" s="3" t="s">
        <v>3173</v>
      </c>
      <c r="I1993" t="s">
        <v>48</v>
      </c>
      <c r="J1993" s="3" t="s">
        <v>3174</v>
      </c>
      <c r="K1993" s="4">
        <v>897</v>
      </c>
      <c r="L1993" s="5">
        <v>40.75</v>
      </c>
      <c r="M1993" s="6">
        <v>0</v>
      </c>
      <c r="N1993" s="7">
        <v>0</v>
      </c>
      <c r="O1993" t="s">
        <v>3175</v>
      </c>
      <c r="P1993" s="3" t="s">
        <v>23</v>
      </c>
      <c r="Q1993" s="8" t="s">
        <v>23</v>
      </c>
    </row>
    <row r="1994" spans="1:17" hidden="1" x14ac:dyDescent="0.55000000000000004">
      <c r="A1994" s="3" t="s">
        <v>3085</v>
      </c>
      <c r="B1994" s="3" t="s">
        <v>3167</v>
      </c>
      <c r="C1994" t="s">
        <v>3167</v>
      </c>
      <c r="D1994" s="3" t="s">
        <v>7329</v>
      </c>
      <c r="E1994" t="s">
        <v>3192</v>
      </c>
      <c r="F1994" s="3" t="s">
        <v>3193</v>
      </c>
      <c r="G1994" t="s">
        <v>24</v>
      </c>
      <c r="H1994" s="3" t="s">
        <v>3176</v>
      </c>
      <c r="I1994" t="s">
        <v>43</v>
      </c>
      <c r="J1994" s="3" t="s">
        <v>3174</v>
      </c>
      <c r="K1994" s="4">
        <v>902</v>
      </c>
      <c r="L1994" s="5">
        <v>41.02</v>
      </c>
      <c r="M1994" s="6">
        <v>1</v>
      </c>
      <c r="N1994" s="7">
        <v>0</v>
      </c>
      <c r="O1994" t="s">
        <v>3177</v>
      </c>
      <c r="P1994" s="3" t="s">
        <v>46</v>
      </c>
      <c r="Q1994" s="8">
        <v>0.23263300000000001</v>
      </c>
    </row>
    <row r="1995" spans="1:17" hidden="1" x14ac:dyDescent="0.55000000000000004">
      <c r="A1995" s="3" t="s">
        <v>3085</v>
      </c>
      <c r="B1995" s="3" t="s">
        <v>3167</v>
      </c>
      <c r="C1995" t="s">
        <v>3167</v>
      </c>
      <c r="D1995" s="3" t="s">
        <v>7329</v>
      </c>
      <c r="E1995" t="s">
        <v>3194</v>
      </c>
      <c r="F1995" s="3" t="s">
        <v>3195</v>
      </c>
      <c r="G1995" t="s">
        <v>19</v>
      </c>
      <c r="H1995" s="3" t="s">
        <v>3170</v>
      </c>
      <c r="I1995" t="s">
        <v>81</v>
      </c>
      <c r="J1995" s="3" t="s">
        <v>3171</v>
      </c>
      <c r="K1995" s="4">
        <v>1171</v>
      </c>
      <c r="L1995" s="5">
        <v>254.54</v>
      </c>
      <c r="M1995" s="6">
        <v>1</v>
      </c>
      <c r="N1995" s="7">
        <v>1</v>
      </c>
      <c r="O1995" t="s">
        <v>3172</v>
      </c>
      <c r="P1995" s="3" t="s">
        <v>84</v>
      </c>
      <c r="Q1995" s="8">
        <v>4.7424000000000001E-2</v>
      </c>
    </row>
    <row r="1996" spans="1:17" hidden="1" x14ac:dyDescent="0.55000000000000004">
      <c r="A1996" s="3" t="s">
        <v>3085</v>
      </c>
      <c r="B1996" s="3" t="s">
        <v>3167</v>
      </c>
      <c r="C1996" t="s">
        <v>3167</v>
      </c>
      <c r="D1996" s="3" t="s">
        <v>7329</v>
      </c>
      <c r="E1996" t="s">
        <v>3194</v>
      </c>
      <c r="F1996" s="3" t="s">
        <v>3195</v>
      </c>
      <c r="G1996" t="s">
        <v>24</v>
      </c>
      <c r="H1996" s="3" t="s">
        <v>3173</v>
      </c>
      <c r="I1996" t="s">
        <v>48</v>
      </c>
      <c r="J1996" s="3" t="s">
        <v>3174</v>
      </c>
      <c r="K1996" s="4">
        <v>897</v>
      </c>
      <c r="L1996" s="5">
        <v>40.75</v>
      </c>
      <c r="M1996" s="6">
        <v>0</v>
      </c>
      <c r="N1996" s="7">
        <v>1</v>
      </c>
      <c r="O1996" t="s">
        <v>3175</v>
      </c>
      <c r="P1996" s="3" t="s">
        <v>23</v>
      </c>
      <c r="Q1996" s="8" t="s">
        <v>23</v>
      </c>
    </row>
    <row r="1997" spans="1:17" hidden="1" x14ac:dyDescent="0.55000000000000004">
      <c r="A1997" s="3" t="s">
        <v>3085</v>
      </c>
      <c r="B1997" s="3" t="s">
        <v>3167</v>
      </c>
      <c r="C1997" t="s">
        <v>3167</v>
      </c>
      <c r="D1997" s="3" t="s">
        <v>7329</v>
      </c>
      <c r="E1997" t="s">
        <v>3194</v>
      </c>
      <c r="F1997" s="3" t="s">
        <v>3195</v>
      </c>
      <c r="G1997" t="s">
        <v>24</v>
      </c>
      <c r="H1997" s="3" t="s">
        <v>3176</v>
      </c>
      <c r="I1997" t="s">
        <v>43</v>
      </c>
      <c r="J1997" s="3" t="s">
        <v>3174</v>
      </c>
      <c r="K1997" s="4">
        <v>902</v>
      </c>
      <c r="L1997" s="5">
        <v>41.02</v>
      </c>
      <c r="M1997" s="6">
        <v>1</v>
      </c>
      <c r="N1997" s="7">
        <v>1</v>
      </c>
      <c r="O1997" t="s">
        <v>3177</v>
      </c>
      <c r="P1997" s="3" t="s">
        <v>46</v>
      </c>
      <c r="Q1997" s="8">
        <v>0.23263300000000001</v>
      </c>
    </row>
    <row r="1998" spans="1:17" hidden="1" x14ac:dyDescent="0.55000000000000004">
      <c r="A1998" s="3" t="s">
        <v>3085</v>
      </c>
      <c r="B1998" s="3" t="s">
        <v>3196</v>
      </c>
      <c r="C1998" t="s">
        <v>3196</v>
      </c>
      <c r="D1998" s="3" t="s">
        <v>7329</v>
      </c>
      <c r="E1998" t="s">
        <v>3197</v>
      </c>
      <c r="F1998" s="3" t="s">
        <v>3198</v>
      </c>
      <c r="G1998" t="s">
        <v>24</v>
      </c>
      <c r="H1998" s="3" t="s">
        <v>3199</v>
      </c>
      <c r="I1998" t="s">
        <v>37</v>
      </c>
      <c r="J1998" s="3" t="s">
        <v>3200</v>
      </c>
      <c r="K1998" s="4">
        <v>1014</v>
      </c>
      <c r="L1998" s="5">
        <v>46.11</v>
      </c>
      <c r="M1998" s="6">
        <v>1</v>
      </c>
      <c r="N1998" s="7">
        <v>0</v>
      </c>
      <c r="O1998" t="s">
        <v>3201</v>
      </c>
      <c r="P1998" s="3" t="s">
        <v>40</v>
      </c>
      <c r="Q1998" s="8">
        <v>0.25761400000000001</v>
      </c>
    </row>
    <row r="1999" spans="1:17" hidden="1" x14ac:dyDescent="0.55000000000000004">
      <c r="A1999" s="9" t="s">
        <v>3085</v>
      </c>
      <c r="B1999" s="3" t="s">
        <v>3196</v>
      </c>
      <c r="C1999" t="s">
        <v>3196</v>
      </c>
      <c r="D1999" s="3" t="s">
        <v>7329</v>
      </c>
      <c r="E1999" t="s">
        <v>3202</v>
      </c>
      <c r="F1999" s="3" t="s">
        <v>3203</v>
      </c>
      <c r="G1999" t="s">
        <v>24</v>
      </c>
      <c r="H1999" s="3" t="s">
        <v>3199</v>
      </c>
      <c r="I1999" t="s">
        <v>37</v>
      </c>
      <c r="J1999" s="3" t="s">
        <v>3200</v>
      </c>
      <c r="K1999" s="4">
        <v>1014</v>
      </c>
      <c r="L1999" s="5">
        <v>46.11</v>
      </c>
      <c r="M1999" s="6">
        <v>1</v>
      </c>
      <c r="N1999" s="7">
        <v>0</v>
      </c>
      <c r="O1999" t="s">
        <v>3201</v>
      </c>
      <c r="P1999" s="3" t="s">
        <v>40</v>
      </c>
      <c r="Q1999" s="8">
        <v>0.25761400000000001</v>
      </c>
    </row>
    <row r="2000" spans="1:17" hidden="1" x14ac:dyDescent="0.55000000000000004">
      <c r="A2000" s="3" t="s">
        <v>3204</v>
      </c>
      <c r="B2000" s="3" t="s">
        <v>3205</v>
      </c>
      <c r="C2000" t="s">
        <v>3205</v>
      </c>
      <c r="D2000" s="3" t="s">
        <v>7312</v>
      </c>
      <c r="E2000" t="s">
        <v>3206</v>
      </c>
      <c r="F2000" s="3" t="s">
        <v>3207</v>
      </c>
      <c r="G2000" t="s">
        <v>24</v>
      </c>
      <c r="H2000" s="3" t="s">
        <v>3208</v>
      </c>
      <c r="I2000" t="s">
        <v>52</v>
      </c>
      <c r="J2000" s="3" t="s">
        <v>3209</v>
      </c>
      <c r="K2000" s="4">
        <v>715</v>
      </c>
      <c r="L2000" s="5">
        <v>32.479999999999997</v>
      </c>
      <c r="M2000" s="6">
        <v>1</v>
      </c>
      <c r="N2000" s="7">
        <v>0</v>
      </c>
      <c r="O2000" t="s">
        <v>3210</v>
      </c>
      <c r="P2000" s="3" t="s">
        <v>55</v>
      </c>
      <c r="Q2000" s="8">
        <v>0.21731200000000001</v>
      </c>
    </row>
    <row r="2001" spans="1:17" hidden="1" x14ac:dyDescent="0.55000000000000004">
      <c r="A2001" s="3" t="s">
        <v>3204</v>
      </c>
      <c r="B2001" s="3" t="s">
        <v>3211</v>
      </c>
      <c r="C2001" t="s">
        <v>3211</v>
      </c>
      <c r="D2001" s="3" t="s">
        <v>7312</v>
      </c>
      <c r="E2001" t="s">
        <v>3212</v>
      </c>
      <c r="F2001" s="3" t="s">
        <v>3213</v>
      </c>
      <c r="G2001" t="s">
        <v>19</v>
      </c>
      <c r="H2001" s="3" t="s">
        <v>3214</v>
      </c>
      <c r="I2001" t="s">
        <v>1223</v>
      </c>
      <c r="J2001" s="3" t="s">
        <v>3215</v>
      </c>
      <c r="K2001" s="4">
        <v>272</v>
      </c>
      <c r="L2001" s="5">
        <v>59.09</v>
      </c>
      <c r="M2001" s="6">
        <v>0</v>
      </c>
      <c r="N2001" s="7">
        <v>1</v>
      </c>
      <c r="O2001" t="s">
        <v>3216</v>
      </c>
      <c r="P2001" s="3" t="s">
        <v>212</v>
      </c>
      <c r="Q2001" s="8">
        <v>8.1828999999999999E-2</v>
      </c>
    </row>
    <row r="2002" spans="1:17" hidden="1" x14ac:dyDescent="0.55000000000000004">
      <c r="A2002" s="3" t="s">
        <v>3204</v>
      </c>
      <c r="B2002" s="3" t="s">
        <v>3211</v>
      </c>
      <c r="C2002" t="s">
        <v>3211</v>
      </c>
      <c r="D2002" s="3" t="s">
        <v>7312</v>
      </c>
      <c r="E2002" t="s">
        <v>3212</v>
      </c>
      <c r="F2002" s="3" t="s">
        <v>3213</v>
      </c>
      <c r="G2002" t="s">
        <v>19</v>
      </c>
      <c r="H2002" s="3" t="s">
        <v>3217</v>
      </c>
      <c r="I2002" t="s">
        <v>1227</v>
      </c>
      <c r="J2002" s="3" t="s">
        <v>3215</v>
      </c>
      <c r="K2002" s="4">
        <v>280</v>
      </c>
      <c r="L2002" s="5">
        <v>60.87</v>
      </c>
      <c r="M2002" s="6">
        <v>1</v>
      </c>
      <c r="N2002" s="7">
        <v>1</v>
      </c>
      <c r="O2002" t="s">
        <v>3218</v>
      </c>
      <c r="P2002" s="3" t="s">
        <v>212</v>
      </c>
      <c r="Q2002" s="8">
        <v>8.1828999999999999E-2</v>
      </c>
    </row>
    <row r="2003" spans="1:17" hidden="1" x14ac:dyDescent="0.55000000000000004">
      <c r="A2003" s="3" t="s">
        <v>3204</v>
      </c>
      <c r="B2003" s="3" t="s">
        <v>3211</v>
      </c>
      <c r="C2003" t="s">
        <v>3211</v>
      </c>
      <c r="D2003" s="3" t="s">
        <v>7312</v>
      </c>
      <c r="E2003" t="s">
        <v>3212</v>
      </c>
      <c r="F2003" s="3" t="s">
        <v>3213</v>
      </c>
      <c r="G2003" t="s">
        <v>19</v>
      </c>
      <c r="H2003" s="3" t="s">
        <v>3219</v>
      </c>
      <c r="I2003" t="s">
        <v>1232</v>
      </c>
      <c r="J2003" s="3" t="s">
        <v>3215</v>
      </c>
      <c r="K2003" s="4">
        <v>903</v>
      </c>
      <c r="L2003" s="5">
        <v>196.35</v>
      </c>
      <c r="M2003" s="6">
        <v>0</v>
      </c>
      <c r="N2003" s="7">
        <v>1</v>
      </c>
      <c r="O2003" t="s">
        <v>3220</v>
      </c>
      <c r="P2003" s="3" t="s">
        <v>212</v>
      </c>
      <c r="Q2003" s="8">
        <v>0.15856700000000001</v>
      </c>
    </row>
    <row r="2004" spans="1:17" hidden="1" x14ac:dyDescent="0.55000000000000004">
      <c r="A2004" s="3" t="s">
        <v>3204</v>
      </c>
      <c r="B2004" s="3" t="s">
        <v>3211</v>
      </c>
      <c r="C2004" t="s">
        <v>3211</v>
      </c>
      <c r="D2004" s="3" t="s">
        <v>7312</v>
      </c>
      <c r="E2004" t="s">
        <v>3212</v>
      </c>
      <c r="F2004" s="3" t="s">
        <v>3213</v>
      </c>
      <c r="G2004" t="s">
        <v>19</v>
      </c>
      <c r="H2004" s="3" t="s">
        <v>3221</v>
      </c>
      <c r="I2004" t="s">
        <v>686</v>
      </c>
      <c r="J2004" s="3" t="s">
        <v>3215</v>
      </c>
      <c r="K2004" s="4">
        <v>857</v>
      </c>
      <c r="L2004" s="5">
        <v>186.3</v>
      </c>
      <c r="M2004" s="6">
        <v>0</v>
      </c>
      <c r="N2004" s="7">
        <v>1</v>
      </c>
      <c r="O2004" t="s">
        <v>3222</v>
      </c>
      <c r="P2004" s="3" t="s">
        <v>212</v>
      </c>
      <c r="Q2004" s="8">
        <v>0.16395000000000001</v>
      </c>
    </row>
    <row r="2005" spans="1:17" hidden="1" x14ac:dyDescent="0.55000000000000004">
      <c r="A2005" s="3" t="s">
        <v>3204</v>
      </c>
      <c r="B2005" s="3" t="s">
        <v>3211</v>
      </c>
      <c r="C2005" t="s">
        <v>3211</v>
      </c>
      <c r="D2005" s="3" t="s">
        <v>7312</v>
      </c>
      <c r="E2005" t="s">
        <v>3212</v>
      </c>
      <c r="F2005" s="3" t="s">
        <v>3213</v>
      </c>
      <c r="G2005" t="s">
        <v>19</v>
      </c>
      <c r="H2005" s="3" t="s">
        <v>3223</v>
      </c>
      <c r="I2005" t="s">
        <v>1235</v>
      </c>
      <c r="J2005" s="3" t="s">
        <v>3215</v>
      </c>
      <c r="K2005" s="4">
        <v>433</v>
      </c>
      <c r="L2005" s="5">
        <v>94.17</v>
      </c>
      <c r="M2005" s="6">
        <v>0</v>
      </c>
      <c r="N2005" s="7">
        <v>1</v>
      </c>
      <c r="O2005" t="s">
        <v>3224</v>
      </c>
      <c r="P2005" s="3" t="s">
        <v>212</v>
      </c>
      <c r="Q2005" s="8">
        <v>0.10594000000000001</v>
      </c>
    </row>
    <row r="2006" spans="1:17" hidden="1" x14ac:dyDescent="0.55000000000000004">
      <c r="A2006" s="3" t="s">
        <v>3204</v>
      </c>
      <c r="B2006" s="3" t="s">
        <v>3211</v>
      </c>
      <c r="C2006" t="s">
        <v>3211</v>
      </c>
      <c r="D2006" s="3" t="s">
        <v>7312</v>
      </c>
      <c r="E2006" t="s">
        <v>3212</v>
      </c>
      <c r="F2006" s="3" t="s">
        <v>3213</v>
      </c>
      <c r="G2006" t="s">
        <v>24</v>
      </c>
      <c r="H2006" s="3" t="s">
        <v>3225</v>
      </c>
      <c r="I2006" t="s">
        <v>52</v>
      </c>
      <c r="J2006" s="3" t="s">
        <v>3226</v>
      </c>
      <c r="K2006" s="4">
        <v>546</v>
      </c>
      <c r="L2006" s="5">
        <v>24.8</v>
      </c>
      <c r="M2006" s="6">
        <v>0</v>
      </c>
      <c r="N2006" s="7">
        <v>1</v>
      </c>
      <c r="O2006" t="s">
        <v>3227</v>
      </c>
      <c r="P2006" s="3" t="s">
        <v>55</v>
      </c>
      <c r="Q2006" s="8">
        <v>0.18348700000000001</v>
      </c>
    </row>
    <row r="2007" spans="1:17" hidden="1" x14ac:dyDescent="0.55000000000000004">
      <c r="A2007" s="3" t="s">
        <v>3204</v>
      </c>
      <c r="B2007" s="3" t="s">
        <v>3228</v>
      </c>
      <c r="C2007" t="s">
        <v>3228</v>
      </c>
      <c r="D2007" s="3" t="s">
        <v>7312</v>
      </c>
      <c r="E2007" t="s">
        <v>3229</v>
      </c>
      <c r="F2007" s="3" t="s">
        <v>3230</v>
      </c>
      <c r="G2007" t="s">
        <v>19</v>
      </c>
      <c r="H2007" s="3" t="s">
        <v>3231</v>
      </c>
      <c r="I2007" t="s">
        <v>1223</v>
      </c>
      <c r="J2007" s="3" t="s">
        <v>3232</v>
      </c>
      <c r="K2007" s="4">
        <v>349</v>
      </c>
      <c r="L2007" s="5">
        <v>75.930000000000007</v>
      </c>
      <c r="M2007" s="6">
        <v>0</v>
      </c>
      <c r="N2007" s="7">
        <v>1</v>
      </c>
      <c r="O2007" t="s">
        <v>3233</v>
      </c>
      <c r="P2007" s="3" t="s">
        <v>212</v>
      </c>
      <c r="Q2007" s="8">
        <v>6.6423999999999997E-2</v>
      </c>
    </row>
    <row r="2008" spans="1:17" hidden="1" x14ac:dyDescent="0.55000000000000004">
      <c r="A2008" s="3" t="s">
        <v>3204</v>
      </c>
      <c r="B2008" s="3" t="s">
        <v>3228</v>
      </c>
      <c r="C2008" t="s">
        <v>3228</v>
      </c>
      <c r="D2008" s="3" t="s">
        <v>7312</v>
      </c>
      <c r="E2008" t="s">
        <v>3229</v>
      </c>
      <c r="F2008" s="3" t="s">
        <v>3230</v>
      </c>
      <c r="G2008" t="s">
        <v>19</v>
      </c>
      <c r="H2008" s="3" t="s">
        <v>3234</v>
      </c>
      <c r="I2008" t="s">
        <v>1227</v>
      </c>
      <c r="J2008" s="3" t="s">
        <v>3232</v>
      </c>
      <c r="K2008" s="4">
        <v>358</v>
      </c>
      <c r="L2008" s="5">
        <v>77.72</v>
      </c>
      <c r="M2008" s="6">
        <v>1</v>
      </c>
      <c r="N2008" s="7">
        <v>1</v>
      </c>
      <c r="O2008" t="s">
        <v>3235</v>
      </c>
      <c r="P2008" s="3" t="s">
        <v>212</v>
      </c>
      <c r="Q2008" s="8">
        <v>6.6423999999999997E-2</v>
      </c>
    </row>
    <row r="2009" spans="1:17" hidden="1" x14ac:dyDescent="0.55000000000000004">
      <c r="A2009" s="3" t="s">
        <v>3204</v>
      </c>
      <c r="B2009" s="3" t="s">
        <v>3228</v>
      </c>
      <c r="C2009" t="s">
        <v>3228</v>
      </c>
      <c r="D2009" s="3" t="s">
        <v>7312</v>
      </c>
      <c r="E2009" t="s">
        <v>3229</v>
      </c>
      <c r="F2009" s="3" t="s">
        <v>3230</v>
      </c>
      <c r="G2009" t="s">
        <v>19</v>
      </c>
      <c r="H2009" s="3" t="s">
        <v>3236</v>
      </c>
      <c r="I2009" t="s">
        <v>1232</v>
      </c>
      <c r="J2009" s="3" t="s">
        <v>3232</v>
      </c>
      <c r="K2009" s="4">
        <v>981</v>
      </c>
      <c r="L2009" s="5">
        <v>213.2</v>
      </c>
      <c r="M2009" s="6">
        <v>0</v>
      </c>
      <c r="N2009" s="7">
        <v>1</v>
      </c>
      <c r="O2009" t="s">
        <v>3237</v>
      </c>
      <c r="P2009" s="3" t="s">
        <v>212</v>
      </c>
      <c r="Q2009" s="8">
        <v>0.128688</v>
      </c>
    </row>
    <row r="2010" spans="1:17" hidden="1" x14ac:dyDescent="0.55000000000000004">
      <c r="A2010" s="3" t="s">
        <v>3204</v>
      </c>
      <c r="B2010" s="3" t="s">
        <v>3228</v>
      </c>
      <c r="C2010" t="s">
        <v>3228</v>
      </c>
      <c r="D2010" s="3" t="s">
        <v>7312</v>
      </c>
      <c r="E2010" t="s">
        <v>3229</v>
      </c>
      <c r="F2010" s="3" t="s">
        <v>3230</v>
      </c>
      <c r="G2010" t="s">
        <v>19</v>
      </c>
      <c r="H2010" s="3" t="s">
        <v>3238</v>
      </c>
      <c r="I2010" t="s">
        <v>686</v>
      </c>
      <c r="J2010" s="3" t="s">
        <v>3232</v>
      </c>
      <c r="K2010" s="4">
        <v>934</v>
      </c>
      <c r="L2010" s="5">
        <v>203.15</v>
      </c>
      <c r="M2010" s="6">
        <v>0</v>
      </c>
      <c r="N2010" s="7">
        <v>1</v>
      </c>
      <c r="O2010" t="s">
        <v>3239</v>
      </c>
      <c r="P2010" s="3" t="s">
        <v>212</v>
      </c>
      <c r="Q2010" s="8">
        <v>0.133517</v>
      </c>
    </row>
    <row r="2011" spans="1:17" hidden="1" x14ac:dyDescent="0.55000000000000004">
      <c r="A2011" s="3" t="s">
        <v>3204</v>
      </c>
      <c r="B2011" s="3" t="s">
        <v>3228</v>
      </c>
      <c r="C2011" t="s">
        <v>3228</v>
      </c>
      <c r="D2011" s="3" t="s">
        <v>7312</v>
      </c>
      <c r="E2011" t="s">
        <v>3229</v>
      </c>
      <c r="F2011" s="3" t="s">
        <v>3230</v>
      </c>
      <c r="G2011" t="s">
        <v>19</v>
      </c>
      <c r="H2011" s="3" t="s">
        <v>3240</v>
      </c>
      <c r="I2011" t="s">
        <v>1235</v>
      </c>
      <c r="J2011" s="3" t="s">
        <v>3232</v>
      </c>
      <c r="K2011" s="4">
        <v>511</v>
      </c>
      <c r="L2011" s="5">
        <v>111.02</v>
      </c>
      <c r="M2011" s="6">
        <v>0</v>
      </c>
      <c r="N2011" s="7">
        <v>1</v>
      </c>
      <c r="O2011" t="s">
        <v>3241</v>
      </c>
      <c r="P2011" s="3" t="s">
        <v>212</v>
      </c>
      <c r="Q2011" s="8">
        <v>8.5952000000000001E-2</v>
      </c>
    </row>
    <row r="2012" spans="1:17" hidden="1" x14ac:dyDescent="0.55000000000000004">
      <c r="A2012" s="3" t="s">
        <v>3204</v>
      </c>
      <c r="B2012" s="3" t="s">
        <v>3228</v>
      </c>
      <c r="C2012" t="s">
        <v>3228</v>
      </c>
      <c r="D2012" s="3" t="s">
        <v>7312</v>
      </c>
      <c r="E2012" t="s">
        <v>3229</v>
      </c>
      <c r="F2012" s="3" t="s">
        <v>3230</v>
      </c>
      <c r="G2012" t="s">
        <v>24</v>
      </c>
      <c r="H2012" s="3" t="s">
        <v>3242</v>
      </c>
      <c r="I2012" t="s">
        <v>52</v>
      </c>
      <c r="J2012" s="3" t="s">
        <v>3243</v>
      </c>
      <c r="K2012" s="4">
        <v>643</v>
      </c>
      <c r="L2012" s="5">
        <v>29.21</v>
      </c>
      <c r="M2012" s="6">
        <v>1</v>
      </c>
      <c r="N2012" s="7">
        <v>1</v>
      </c>
      <c r="O2012" t="s">
        <v>3244</v>
      </c>
      <c r="P2012" s="3" t="s">
        <v>55</v>
      </c>
      <c r="Q2012" s="8">
        <v>0.18445600000000001</v>
      </c>
    </row>
    <row r="2013" spans="1:17" hidden="1" x14ac:dyDescent="0.55000000000000004">
      <c r="A2013" s="3" t="s">
        <v>3204</v>
      </c>
      <c r="B2013" s="3" t="s">
        <v>3245</v>
      </c>
      <c r="C2013" t="s">
        <v>3245</v>
      </c>
      <c r="D2013" s="3" t="s">
        <v>7312</v>
      </c>
      <c r="E2013" t="s">
        <v>3246</v>
      </c>
      <c r="F2013" s="3" t="s">
        <v>3247</v>
      </c>
      <c r="G2013" t="s">
        <v>19</v>
      </c>
      <c r="H2013" s="3" t="s">
        <v>3248</v>
      </c>
      <c r="I2013" t="s">
        <v>2749</v>
      </c>
      <c r="J2013" s="3" t="s">
        <v>3249</v>
      </c>
      <c r="K2013" s="4">
        <v>100</v>
      </c>
      <c r="L2013" s="5">
        <v>21.85</v>
      </c>
      <c r="M2013" s="6">
        <v>1</v>
      </c>
      <c r="N2013" s="7">
        <v>0</v>
      </c>
      <c r="O2013" t="s">
        <v>3250</v>
      </c>
      <c r="P2013" s="3" t="s">
        <v>3251</v>
      </c>
      <c r="Q2013" s="8">
        <v>2.7380999999999999E-2</v>
      </c>
    </row>
    <row r="2014" spans="1:17" hidden="1" x14ac:dyDescent="0.55000000000000004">
      <c r="A2014" s="3" t="s">
        <v>3204</v>
      </c>
      <c r="B2014" s="3" t="s">
        <v>3245</v>
      </c>
      <c r="C2014" t="s">
        <v>3245</v>
      </c>
      <c r="D2014" s="3" t="s">
        <v>7312</v>
      </c>
      <c r="E2014" t="s">
        <v>3246</v>
      </c>
      <c r="F2014" s="3" t="s">
        <v>3247</v>
      </c>
      <c r="G2014" t="s">
        <v>24</v>
      </c>
      <c r="H2014" s="3" t="s">
        <v>3252</v>
      </c>
      <c r="I2014" t="s">
        <v>52</v>
      </c>
      <c r="J2014" s="3" t="s">
        <v>3253</v>
      </c>
      <c r="K2014" s="4">
        <v>578</v>
      </c>
      <c r="L2014" s="5">
        <v>26.27</v>
      </c>
      <c r="M2014" s="6">
        <v>1</v>
      </c>
      <c r="N2014" s="7">
        <v>0</v>
      </c>
      <c r="O2014" t="s">
        <v>3254</v>
      </c>
      <c r="P2014" s="3" t="s">
        <v>55</v>
      </c>
      <c r="Q2014" s="8">
        <v>0.18381</v>
      </c>
    </row>
    <row r="2015" spans="1:17" hidden="1" x14ac:dyDescent="0.55000000000000004">
      <c r="A2015" s="3" t="s">
        <v>3204</v>
      </c>
      <c r="B2015" s="3" t="s">
        <v>3245</v>
      </c>
      <c r="C2015" t="s">
        <v>3245</v>
      </c>
      <c r="D2015" s="3" t="s">
        <v>7312</v>
      </c>
      <c r="E2015" t="s">
        <v>3255</v>
      </c>
      <c r="F2015" s="3" t="s">
        <v>3256</v>
      </c>
      <c r="G2015" t="s">
        <v>19</v>
      </c>
      <c r="H2015" s="3" t="s">
        <v>3257</v>
      </c>
      <c r="I2015" t="s">
        <v>1284</v>
      </c>
      <c r="J2015" s="3" t="s">
        <v>3258</v>
      </c>
      <c r="K2015" s="4">
        <v>695</v>
      </c>
      <c r="L2015" s="5">
        <v>151.07</v>
      </c>
      <c r="M2015" s="6">
        <v>0</v>
      </c>
      <c r="N2015" s="7">
        <v>0</v>
      </c>
      <c r="O2015" t="s">
        <v>3259</v>
      </c>
      <c r="P2015" s="3" t="s">
        <v>1287</v>
      </c>
      <c r="Q2015" s="8">
        <v>0.107888</v>
      </c>
    </row>
    <row r="2016" spans="1:17" hidden="1" x14ac:dyDescent="0.55000000000000004">
      <c r="A2016" s="3" t="s">
        <v>3204</v>
      </c>
      <c r="B2016" s="3" t="s">
        <v>3245</v>
      </c>
      <c r="C2016" t="s">
        <v>3245</v>
      </c>
      <c r="D2016" s="3" t="s">
        <v>7312</v>
      </c>
      <c r="E2016" t="s">
        <v>3255</v>
      </c>
      <c r="F2016" s="3" t="s">
        <v>3256</v>
      </c>
      <c r="G2016" t="s">
        <v>19</v>
      </c>
      <c r="H2016" s="3" t="s">
        <v>3260</v>
      </c>
      <c r="I2016" t="s">
        <v>1357</v>
      </c>
      <c r="J2016" s="3" t="s">
        <v>3258</v>
      </c>
      <c r="K2016" s="4">
        <v>781</v>
      </c>
      <c r="L2016" s="5">
        <v>169.72</v>
      </c>
      <c r="M2016" s="6">
        <v>1</v>
      </c>
      <c r="N2016" s="7">
        <v>0</v>
      </c>
      <c r="O2016" t="s">
        <v>3261</v>
      </c>
      <c r="P2016" s="3" t="s">
        <v>1287</v>
      </c>
      <c r="Q2016" s="8">
        <v>0.107888</v>
      </c>
    </row>
    <row r="2017" spans="1:17" hidden="1" x14ac:dyDescent="0.55000000000000004">
      <c r="A2017" s="3" t="s">
        <v>3204</v>
      </c>
      <c r="B2017" s="3" t="s">
        <v>3245</v>
      </c>
      <c r="C2017" t="s">
        <v>3245</v>
      </c>
      <c r="D2017" s="3" t="s">
        <v>7312</v>
      </c>
      <c r="E2017" t="s">
        <v>3255</v>
      </c>
      <c r="F2017" s="3" t="s">
        <v>3256</v>
      </c>
      <c r="G2017" t="s">
        <v>24</v>
      </c>
      <c r="H2017" s="3" t="s">
        <v>3252</v>
      </c>
      <c r="I2017" t="s">
        <v>52</v>
      </c>
      <c r="J2017" s="3" t="s">
        <v>3253</v>
      </c>
      <c r="K2017" s="4">
        <v>578</v>
      </c>
      <c r="L2017" s="5">
        <v>26.27</v>
      </c>
      <c r="M2017" s="6">
        <v>1</v>
      </c>
      <c r="N2017" s="7">
        <v>0</v>
      </c>
      <c r="O2017" t="s">
        <v>3254</v>
      </c>
      <c r="P2017" s="3" t="s">
        <v>55</v>
      </c>
      <c r="Q2017" s="8">
        <v>0.18381</v>
      </c>
    </row>
    <row r="2018" spans="1:17" hidden="1" x14ac:dyDescent="0.55000000000000004">
      <c r="A2018" s="3" t="s">
        <v>3204</v>
      </c>
      <c r="B2018" s="3" t="s">
        <v>3262</v>
      </c>
      <c r="C2018" t="s">
        <v>7364</v>
      </c>
      <c r="D2018" s="3" t="s">
        <v>7312</v>
      </c>
      <c r="E2018" t="s">
        <v>3263</v>
      </c>
      <c r="F2018" s="3" t="s">
        <v>3264</v>
      </c>
      <c r="G2018" t="s">
        <v>19</v>
      </c>
      <c r="H2018" s="3" t="s">
        <v>3265</v>
      </c>
      <c r="I2018" t="s">
        <v>2749</v>
      </c>
      <c r="J2018" s="3" t="s">
        <v>3266</v>
      </c>
      <c r="K2018" s="4">
        <v>2</v>
      </c>
      <c r="L2018" s="5">
        <v>0.39</v>
      </c>
      <c r="M2018" s="6">
        <v>0</v>
      </c>
      <c r="N2018" s="7">
        <v>0</v>
      </c>
      <c r="O2018" t="s">
        <v>3267</v>
      </c>
      <c r="P2018" s="3" t="s">
        <v>3251</v>
      </c>
      <c r="Q2018" s="8">
        <v>1.3693E-2</v>
      </c>
    </row>
    <row r="2019" spans="1:17" hidden="1" x14ac:dyDescent="0.55000000000000004">
      <c r="A2019" s="3" t="s">
        <v>3204</v>
      </c>
      <c r="B2019" s="3" t="s">
        <v>3262</v>
      </c>
      <c r="C2019" t="s">
        <v>7364</v>
      </c>
      <c r="D2019" s="3" t="s">
        <v>7312</v>
      </c>
      <c r="E2019" t="s">
        <v>3263</v>
      </c>
      <c r="F2019" s="3" t="s">
        <v>3264</v>
      </c>
      <c r="G2019" t="s">
        <v>24</v>
      </c>
      <c r="H2019" s="3" t="s">
        <v>3268</v>
      </c>
      <c r="I2019" t="s">
        <v>52</v>
      </c>
      <c r="J2019" s="3" t="s">
        <v>3269</v>
      </c>
      <c r="K2019" s="4">
        <v>635</v>
      </c>
      <c r="L2019" s="5">
        <v>28.87</v>
      </c>
      <c r="M2019" s="6">
        <v>1</v>
      </c>
      <c r="N2019" s="7">
        <v>0</v>
      </c>
      <c r="O2019" t="s">
        <v>3270</v>
      </c>
      <c r="P2019" s="3" t="s">
        <v>55</v>
      </c>
      <c r="Q2019" s="8">
        <v>0.18438099999999999</v>
      </c>
    </row>
    <row r="2020" spans="1:17" hidden="1" x14ac:dyDescent="0.55000000000000004">
      <c r="A2020" s="9" t="s">
        <v>3204</v>
      </c>
      <c r="B2020" s="3" t="s">
        <v>3271</v>
      </c>
      <c r="C2020" t="s">
        <v>3271</v>
      </c>
      <c r="D2020" s="3" t="s">
        <v>7312</v>
      </c>
      <c r="E2020" t="s">
        <v>3272</v>
      </c>
      <c r="F2020" s="3" t="s">
        <v>3273</v>
      </c>
      <c r="G2020" t="s">
        <v>24</v>
      </c>
      <c r="H2020" s="3" t="s">
        <v>3274</v>
      </c>
      <c r="I2020" t="s">
        <v>52</v>
      </c>
      <c r="J2020" s="3" t="s">
        <v>3275</v>
      </c>
      <c r="K2020" s="4">
        <v>757</v>
      </c>
      <c r="L2020" s="5">
        <v>34.409999999999997</v>
      </c>
      <c r="M2020" s="6">
        <v>1</v>
      </c>
      <c r="N2020" s="7">
        <v>0</v>
      </c>
      <c r="O2020" t="s">
        <v>3276</v>
      </c>
      <c r="P2020" s="3" t="s">
        <v>55</v>
      </c>
      <c r="Q2020" s="8">
        <v>0.21773700000000001</v>
      </c>
    </row>
    <row r="2021" spans="1:17" hidden="1" x14ac:dyDescent="0.55000000000000004">
      <c r="A2021" s="3" t="s">
        <v>3277</v>
      </c>
      <c r="B2021" s="3" t="s">
        <v>3278</v>
      </c>
      <c r="C2021" t="s">
        <v>3278</v>
      </c>
      <c r="D2021" s="3" t="s">
        <v>7312</v>
      </c>
      <c r="E2021" t="s">
        <v>3279</v>
      </c>
      <c r="F2021" s="3" t="s">
        <v>3280</v>
      </c>
      <c r="G2021" t="s">
        <v>19</v>
      </c>
      <c r="H2021" s="3" t="s">
        <v>3281</v>
      </c>
      <c r="I2021" t="s">
        <v>1289</v>
      </c>
      <c r="J2021" s="3" t="s">
        <v>3282</v>
      </c>
      <c r="K2021" s="4">
        <v>246</v>
      </c>
      <c r="L2021" s="5">
        <v>53.52</v>
      </c>
      <c r="M2021" s="6">
        <v>0</v>
      </c>
      <c r="N2021" s="7">
        <v>1</v>
      </c>
      <c r="O2021" t="s">
        <v>3283</v>
      </c>
      <c r="P2021" s="3" t="s">
        <v>1287</v>
      </c>
      <c r="Q2021" s="8">
        <v>5.6590000000000001E-2</v>
      </c>
    </row>
    <row r="2022" spans="1:17" hidden="1" x14ac:dyDescent="0.55000000000000004">
      <c r="A2022" s="3" t="s">
        <v>3277</v>
      </c>
      <c r="B2022" s="3" t="s">
        <v>3278</v>
      </c>
      <c r="C2022" t="s">
        <v>3278</v>
      </c>
      <c r="D2022" s="3" t="s">
        <v>7312</v>
      </c>
      <c r="E2022" t="s">
        <v>3279</v>
      </c>
      <c r="F2022" s="3" t="s">
        <v>3280</v>
      </c>
      <c r="G2022" t="s">
        <v>19</v>
      </c>
      <c r="H2022" s="3" t="s">
        <v>3284</v>
      </c>
      <c r="I2022" t="s">
        <v>1357</v>
      </c>
      <c r="J2022" s="3" t="s">
        <v>3282</v>
      </c>
      <c r="K2022" s="4">
        <v>392</v>
      </c>
      <c r="L2022" s="5">
        <v>85.24</v>
      </c>
      <c r="M2022" s="6">
        <v>1</v>
      </c>
      <c r="N2022" s="7">
        <v>1</v>
      </c>
      <c r="O2022" t="s">
        <v>3285</v>
      </c>
      <c r="P2022" s="3" t="s">
        <v>1287</v>
      </c>
      <c r="Q2022" s="8">
        <v>5.876E-2</v>
      </c>
    </row>
    <row r="2023" spans="1:17" hidden="1" x14ac:dyDescent="0.55000000000000004">
      <c r="A2023" s="3" t="s">
        <v>3277</v>
      </c>
      <c r="B2023" s="3" t="s">
        <v>3278</v>
      </c>
      <c r="C2023" t="s">
        <v>3278</v>
      </c>
      <c r="D2023" s="3" t="s">
        <v>7312</v>
      </c>
      <c r="E2023" t="s">
        <v>3279</v>
      </c>
      <c r="F2023" s="3" t="s">
        <v>3280</v>
      </c>
      <c r="G2023" t="s">
        <v>19</v>
      </c>
      <c r="H2023" s="3" t="s">
        <v>3286</v>
      </c>
      <c r="I2023" t="s">
        <v>1284</v>
      </c>
      <c r="J2023" s="3" t="s">
        <v>3282</v>
      </c>
      <c r="K2023" s="4">
        <v>306</v>
      </c>
      <c r="L2023" s="5">
        <v>66.59</v>
      </c>
      <c r="M2023" s="6">
        <v>0</v>
      </c>
      <c r="N2023" s="7">
        <v>1</v>
      </c>
      <c r="O2023" t="s">
        <v>3287</v>
      </c>
      <c r="P2023" s="3" t="s">
        <v>1287</v>
      </c>
      <c r="Q2023" s="8">
        <v>5.8716999999999998E-2</v>
      </c>
    </row>
    <row r="2024" spans="1:17" hidden="1" x14ac:dyDescent="0.55000000000000004">
      <c r="A2024" s="3" t="s">
        <v>3277</v>
      </c>
      <c r="B2024" s="3" t="s">
        <v>3278</v>
      </c>
      <c r="C2024" t="s">
        <v>3278</v>
      </c>
      <c r="D2024" s="3" t="s">
        <v>7312</v>
      </c>
      <c r="E2024" t="s">
        <v>3279</v>
      </c>
      <c r="F2024" s="3" t="s">
        <v>3280</v>
      </c>
      <c r="G2024" t="s">
        <v>24</v>
      </c>
      <c r="H2024" s="3" t="s">
        <v>3288</v>
      </c>
      <c r="I2024" t="s">
        <v>26</v>
      </c>
      <c r="J2024" s="3" t="s">
        <v>3289</v>
      </c>
      <c r="K2024" s="4">
        <v>135</v>
      </c>
      <c r="L2024" s="5">
        <v>6.14</v>
      </c>
      <c r="M2024" s="6">
        <v>0</v>
      </c>
      <c r="N2024" s="7">
        <v>1</v>
      </c>
      <c r="O2024" t="s">
        <v>3290</v>
      </c>
      <c r="P2024" s="3" t="s">
        <v>29</v>
      </c>
      <c r="Q2024" s="8">
        <v>0.179392</v>
      </c>
    </row>
    <row r="2025" spans="1:17" hidden="1" x14ac:dyDescent="0.55000000000000004">
      <c r="A2025" s="3" t="s">
        <v>3277</v>
      </c>
      <c r="B2025" s="3" t="s">
        <v>3291</v>
      </c>
      <c r="C2025" t="s">
        <v>3291</v>
      </c>
      <c r="D2025" s="3" t="s">
        <v>7312</v>
      </c>
      <c r="E2025" t="s">
        <v>3292</v>
      </c>
      <c r="F2025" s="3" t="s">
        <v>3293</v>
      </c>
      <c r="G2025" t="s">
        <v>19</v>
      </c>
      <c r="H2025" s="3" t="s">
        <v>3294</v>
      </c>
      <c r="I2025" t="s">
        <v>1223</v>
      </c>
      <c r="J2025" s="3" t="s">
        <v>3295</v>
      </c>
      <c r="K2025" s="4">
        <v>599</v>
      </c>
      <c r="L2025" s="5">
        <v>130.28</v>
      </c>
      <c r="M2025" s="6">
        <v>0</v>
      </c>
      <c r="N2025" s="7">
        <v>1</v>
      </c>
      <c r="O2025" t="s">
        <v>3296</v>
      </c>
      <c r="P2025" s="3" t="s">
        <v>212</v>
      </c>
      <c r="Q2025" s="8">
        <v>8.8317000000000007E-2</v>
      </c>
    </row>
    <row r="2026" spans="1:17" hidden="1" x14ac:dyDescent="0.55000000000000004">
      <c r="A2026" s="3" t="s">
        <v>3277</v>
      </c>
      <c r="B2026" s="3" t="s">
        <v>3291</v>
      </c>
      <c r="C2026" t="s">
        <v>3291</v>
      </c>
      <c r="D2026" s="3" t="s">
        <v>7312</v>
      </c>
      <c r="E2026" t="s">
        <v>3292</v>
      </c>
      <c r="F2026" s="3" t="s">
        <v>3293</v>
      </c>
      <c r="G2026" t="s">
        <v>19</v>
      </c>
      <c r="H2026" s="3" t="s">
        <v>3297</v>
      </c>
      <c r="I2026" t="s">
        <v>1227</v>
      </c>
      <c r="J2026" s="3" t="s">
        <v>3295</v>
      </c>
      <c r="K2026" s="4">
        <v>608</v>
      </c>
      <c r="L2026" s="5">
        <v>132.07</v>
      </c>
      <c r="M2026" s="6">
        <v>0</v>
      </c>
      <c r="N2026" s="7">
        <v>1</v>
      </c>
      <c r="O2026" t="s">
        <v>3298</v>
      </c>
      <c r="P2026" s="3" t="s">
        <v>212</v>
      </c>
      <c r="Q2026" s="8">
        <v>8.8317000000000007E-2</v>
      </c>
    </row>
    <row r="2027" spans="1:17" hidden="1" x14ac:dyDescent="0.55000000000000004">
      <c r="A2027" s="3" t="s">
        <v>3277</v>
      </c>
      <c r="B2027" s="3" t="s">
        <v>3291</v>
      </c>
      <c r="C2027" t="s">
        <v>3291</v>
      </c>
      <c r="D2027" s="3" t="s">
        <v>7312</v>
      </c>
      <c r="E2027" t="s">
        <v>3292</v>
      </c>
      <c r="F2027" s="3" t="s">
        <v>3293</v>
      </c>
      <c r="G2027" t="s">
        <v>19</v>
      </c>
      <c r="H2027" s="3" t="s">
        <v>3299</v>
      </c>
      <c r="I2027" t="s">
        <v>686</v>
      </c>
      <c r="J2027" s="3" t="s">
        <v>3295</v>
      </c>
      <c r="K2027" s="4">
        <v>475</v>
      </c>
      <c r="L2027" s="5">
        <v>103.2</v>
      </c>
      <c r="M2027" s="6">
        <v>0</v>
      </c>
      <c r="N2027" s="7">
        <v>1</v>
      </c>
      <c r="O2027" t="s">
        <v>3300</v>
      </c>
      <c r="P2027" s="3" t="s">
        <v>212</v>
      </c>
      <c r="Q2027" s="8">
        <v>6.8104999999999999E-2</v>
      </c>
    </row>
    <row r="2028" spans="1:17" hidden="1" x14ac:dyDescent="0.55000000000000004">
      <c r="A2028" s="3" t="s">
        <v>3277</v>
      </c>
      <c r="B2028" s="3" t="s">
        <v>3291</v>
      </c>
      <c r="C2028" t="s">
        <v>3291</v>
      </c>
      <c r="D2028" s="3" t="s">
        <v>7312</v>
      </c>
      <c r="E2028" t="s">
        <v>3292</v>
      </c>
      <c r="F2028" s="3" t="s">
        <v>3293</v>
      </c>
      <c r="G2028" t="s">
        <v>19</v>
      </c>
      <c r="H2028" s="3" t="s">
        <v>3301</v>
      </c>
      <c r="I2028" t="s">
        <v>1232</v>
      </c>
      <c r="J2028" s="3" t="s">
        <v>3295</v>
      </c>
      <c r="K2028" s="4">
        <v>521</v>
      </c>
      <c r="L2028" s="5">
        <v>113.24</v>
      </c>
      <c r="M2028" s="6">
        <v>1</v>
      </c>
      <c r="N2028" s="7">
        <v>1</v>
      </c>
      <c r="O2028" t="s">
        <v>3302</v>
      </c>
      <c r="P2028" s="3" t="s">
        <v>212</v>
      </c>
      <c r="Q2028" s="8">
        <v>6.8104999999999999E-2</v>
      </c>
    </row>
    <row r="2029" spans="1:17" hidden="1" x14ac:dyDescent="0.55000000000000004">
      <c r="A2029" s="3" t="s">
        <v>3277</v>
      </c>
      <c r="B2029" s="3" t="s">
        <v>3291</v>
      </c>
      <c r="C2029" t="s">
        <v>3291</v>
      </c>
      <c r="D2029" s="3" t="s">
        <v>7312</v>
      </c>
      <c r="E2029" t="s">
        <v>3292</v>
      </c>
      <c r="F2029" s="3" t="s">
        <v>3293</v>
      </c>
      <c r="G2029" t="s">
        <v>24</v>
      </c>
      <c r="H2029" s="3" t="s">
        <v>3303</v>
      </c>
      <c r="I2029" t="s">
        <v>52</v>
      </c>
      <c r="J2029" s="3" t="s">
        <v>3304</v>
      </c>
      <c r="K2029" s="4">
        <v>208</v>
      </c>
      <c r="L2029" s="5">
        <v>9.4499999999999993</v>
      </c>
      <c r="M2029" s="6">
        <v>0</v>
      </c>
      <c r="N2029" s="7">
        <v>1</v>
      </c>
      <c r="O2029" t="s">
        <v>3305</v>
      </c>
      <c r="P2029" s="3" t="s">
        <v>55</v>
      </c>
      <c r="Q2029" s="8">
        <v>0.180118</v>
      </c>
    </row>
    <row r="2030" spans="1:17" hidden="1" x14ac:dyDescent="0.55000000000000004">
      <c r="A2030" s="3" t="s">
        <v>3277</v>
      </c>
      <c r="B2030" s="3" t="s">
        <v>3291</v>
      </c>
      <c r="C2030" t="s">
        <v>3291</v>
      </c>
      <c r="D2030" s="3" t="s">
        <v>7312</v>
      </c>
      <c r="E2030" t="s">
        <v>3292</v>
      </c>
      <c r="F2030" s="3" t="s">
        <v>3293</v>
      </c>
      <c r="G2030" t="s">
        <v>24</v>
      </c>
      <c r="H2030" s="3" t="s">
        <v>3306</v>
      </c>
      <c r="I2030" t="s">
        <v>218</v>
      </c>
      <c r="J2030" s="3" t="s">
        <v>3307</v>
      </c>
      <c r="K2030" s="4">
        <v>769</v>
      </c>
      <c r="L2030" s="5">
        <v>34.950000000000003</v>
      </c>
      <c r="M2030" s="6">
        <v>0</v>
      </c>
      <c r="N2030" s="7">
        <v>1</v>
      </c>
      <c r="O2030" t="s">
        <v>3308</v>
      </c>
      <c r="P2030" s="3" t="s">
        <v>23</v>
      </c>
      <c r="Q2030" s="8" t="s">
        <v>23</v>
      </c>
    </row>
    <row r="2031" spans="1:17" hidden="1" x14ac:dyDescent="0.55000000000000004">
      <c r="A2031" s="3" t="s">
        <v>3277</v>
      </c>
      <c r="B2031" s="3" t="s">
        <v>3309</v>
      </c>
      <c r="C2031" t="s">
        <v>3309</v>
      </c>
      <c r="D2031" s="3" t="s">
        <v>7312</v>
      </c>
      <c r="E2031" t="s">
        <v>3311</v>
      </c>
      <c r="F2031" s="3" t="s">
        <v>3312</v>
      </c>
      <c r="G2031" t="s">
        <v>19</v>
      </c>
      <c r="H2031" s="3" t="s">
        <v>3313</v>
      </c>
      <c r="I2031" t="s">
        <v>1289</v>
      </c>
      <c r="J2031" s="3" t="s">
        <v>3314</v>
      </c>
      <c r="K2031" s="4">
        <v>160</v>
      </c>
      <c r="L2031" s="5">
        <v>34.869999999999997</v>
      </c>
      <c r="M2031" s="6">
        <v>0</v>
      </c>
      <c r="N2031" s="7">
        <v>1</v>
      </c>
      <c r="O2031" t="s">
        <v>3315</v>
      </c>
      <c r="P2031" s="3" t="s">
        <v>1287</v>
      </c>
      <c r="Q2031" s="8">
        <v>4.2755000000000001E-2</v>
      </c>
    </row>
    <row r="2032" spans="1:17" hidden="1" x14ac:dyDescent="0.55000000000000004">
      <c r="A2032" s="3" t="s">
        <v>3277</v>
      </c>
      <c r="B2032" s="3" t="s">
        <v>3309</v>
      </c>
      <c r="C2032" t="s">
        <v>3309</v>
      </c>
      <c r="D2032" s="3" t="s">
        <v>7312</v>
      </c>
      <c r="E2032" t="s">
        <v>3311</v>
      </c>
      <c r="F2032" s="3" t="s">
        <v>3312</v>
      </c>
      <c r="G2032" t="s">
        <v>19</v>
      </c>
      <c r="H2032" s="3" t="s">
        <v>3316</v>
      </c>
      <c r="I2032" t="s">
        <v>1284</v>
      </c>
      <c r="J2032" s="3" t="s">
        <v>3314</v>
      </c>
      <c r="K2032" s="4">
        <v>220</v>
      </c>
      <c r="L2032" s="5">
        <v>47.93</v>
      </c>
      <c r="M2032" s="6">
        <v>0</v>
      </c>
      <c r="N2032" s="7">
        <v>1</v>
      </c>
      <c r="O2032" t="s">
        <v>3317</v>
      </c>
      <c r="P2032" s="3" t="s">
        <v>1287</v>
      </c>
      <c r="Q2032" s="8">
        <v>4.4930999999999999E-2</v>
      </c>
    </row>
    <row r="2033" spans="1:17" hidden="1" x14ac:dyDescent="0.55000000000000004">
      <c r="A2033" s="3" t="s">
        <v>3277</v>
      </c>
      <c r="B2033" s="3" t="s">
        <v>3309</v>
      </c>
      <c r="C2033" t="s">
        <v>3309</v>
      </c>
      <c r="D2033" s="3" t="s">
        <v>7312</v>
      </c>
      <c r="E2033" t="s">
        <v>3311</v>
      </c>
      <c r="F2033" s="3" t="s">
        <v>3312</v>
      </c>
      <c r="G2033" t="s">
        <v>19</v>
      </c>
      <c r="H2033" s="3" t="s">
        <v>3318</v>
      </c>
      <c r="I2033" t="s">
        <v>1357</v>
      </c>
      <c r="J2033" s="3" t="s">
        <v>3314</v>
      </c>
      <c r="K2033" s="4">
        <v>306</v>
      </c>
      <c r="L2033" s="5">
        <v>66.59</v>
      </c>
      <c r="M2033" s="6">
        <v>1</v>
      </c>
      <c r="N2033" s="7">
        <v>1</v>
      </c>
      <c r="O2033" t="s">
        <v>3319</v>
      </c>
      <c r="P2033" s="3" t="s">
        <v>1287</v>
      </c>
      <c r="Q2033" s="8">
        <v>4.4937999999999999E-2</v>
      </c>
    </row>
    <row r="2034" spans="1:17" hidden="1" x14ac:dyDescent="0.55000000000000004">
      <c r="A2034" s="3" t="s">
        <v>3277</v>
      </c>
      <c r="B2034" s="3" t="s">
        <v>3309</v>
      </c>
      <c r="C2034" t="s">
        <v>3309</v>
      </c>
      <c r="D2034" s="3" t="s">
        <v>7312</v>
      </c>
      <c r="E2034" t="s">
        <v>3311</v>
      </c>
      <c r="F2034" s="3" t="s">
        <v>3312</v>
      </c>
      <c r="G2034" t="s">
        <v>24</v>
      </c>
      <c r="H2034" s="3" t="s">
        <v>3320</v>
      </c>
      <c r="I2034" t="s">
        <v>52</v>
      </c>
      <c r="J2034" s="3" t="s">
        <v>3321</v>
      </c>
      <c r="K2034" s="4">
        <v>166</v>
      </c>
      <c r="L2034" s="5">
        <v>7.57</v>
      </c>
      <c r="M2034" s="6">
        <v>0</v>
      </c>
      <c r="N2034" s="7">
        <v>1</v>
      </c>
      <c r="O2034" t="s">
        <v>3322</v>
      </c>
      <c r="P2034" s="3" t="s">
        <v>55</v>
      </c>
      <c r="Q2034" s="8">
        <v>0.179705</v>
      </c>
    </row>
    <row r="2035" spans="1:17" hidden="1" x14ac:dyDescent="0.55000000000000004">
      <c r="A2035" s="3" t="s">
        <v>3277</v>
      </c>
      <c r="B2035" s="3" t="s">
        <v>3323</v>
      </c>
      <c r="C2035" t="s">
        <v>3323</v>
      </c>
      <c r="D2035" s="3" t="s">
        <v>7312</v>
      </c>
      <c r="E2035" t="s">
        <v>3324</v>
      </c>
      <c r="F2035" s="3" t="s">
        <v>3325</v>
      </c>
      <c r="G2035" t="s">
        <v>19</v>
      </c>
      <c r="H2035" s="3" t="s">
        <v>3326</v>
      </c>
      <c r="I2035" t="s">
        <v>1223</v>
      </c>
      <c r="J2035" s="3" t="s">
        <v>3327</v>
      </c>
      <c r="K2035" s="4">
        <v>507</v>
      </c>
      <c r="L2035" s="5">
        <v>110.13</v>
      </c>
      <c r="M2035" s="6">
        <v>0</v>
      </c>
      <c r="N2035" s="7">
        <v>0</v>
      </c>
      <c r="O2035" t="s">
        <v>3328</v>
      </c>
      <c r="P2035" s="3" t="s">
        <v>212</v>
      </c>
      <c r="Q2035" s="8">
        <v>8.6260000000000003E-2</v>
      </c>
    </row>
    <row r="2036" spans="1:17" hidden="1" x14ac:dyDescent="0.55000000000000004">
      <c r="A2036" s="3" t="s">
        <v>3277</v>
      </c>
      <c r="B2036" s="3" t="s">
        <v>3323</v>
      </c>
      <c r="C2036" t="s">
        <v>3323</v>
      </c>
      <c r="D2036" s="3" t="s">
        <v>7312</v>
      </c>
      <c r="E2036" t="s">
        <v>3324</v>
      </c>
      <c r="F2036" s="3" t="s">
        <v>3325</v>
      </c>
      <c r="G2036" t="s">
        <v>19</v>
      </c>
      <c r="H2036" s="3" t="s">
        <v>3329</v>
      </c>
      <c r="I2036" t="s">
        <v>1227</v>
      </c>
      <c r="J2036" s="3" t="s">
        <v>3327</v>
      </c>
      <c r="K2036" s="4">
        <v>515</v>
      </c>
      <c r="L2036" s="5">
        <v>111.91</v>
      </c>
      <c r="M2036" s="6">
        <v>0</v>
      </c>
      <c r="N2036" s="7">
        <v>0</v>
      </c>
      <c r="O2036" t="s">
        <v>3330</v>
      </c>
      <c r="P2036" s="3" t="s">
        <v>212</v>
      </c>
      <c r="Q2036" s="8">
        <v>8.6260000000000003E-2</v>
      </c>
    </row>
    <row r="2037" spans="1:17" hidden="1" x14ac:dyDescent="0.55000000000000004">
      <c r="A2037" s="3" t="s">
        <v>3277</v>
      </c>
      <c r="B2037" s="3" t="s">
        <v>3323</v>
      </c>
      <c r="C2037" t="s">
        <v>3323</v>
      </c>
      <c r="D2037" s="3" t="s">
        <v>7312</v>
      </c>
      <c r="E2037" t="s">
        <v>3324</v>
      </c>
      <c r="F2037" s="3" t="s">
        <v>3325</v>
      </c>
      <c r="G2037" t="s">
        <v>19</v>
      </c>
      <c r="H2037" s="3" t="s">
        <v>3331</v>
      </c>
      <c r="I2037" t="s">
        <v>1232</v>
      </c>
      <c r="J2037" s="3" t="s">
        <v>3327</v>
      </c>
      <c r="K2037" s="4">
        <v>428</v>
      </c>
      <c r="L2037" s="5">
        <v>93.09</v>
      </c>
      <c r="M2037" s="6">
        <v>1</v>
      </c>
      <c r="N2037" s="7">
        <v>0</v>
      </c>
      <c r="O2037" t="s">
        <v>3332</v>
      </c>
      <c r="P2037" s="3" t="s">
        <v>212</v>
      </c>
      <c r="Q2037" s="8">
        <v>8.7262000000000006E-2</v>
      </c>
    </row>
    <row r="2038" spans="1:17" hidden="1" x14ac:dyDescent="0.55000000000000004">
      <c r="A2038" s="3" t="s">
        <v>3277</v>
      </c>
      <c r="B2038" s="3" t="s">
        <v>3323</v>
      </c>
      <c r="C2038" t="s">
        <v>3323</v>
      </c>
      <c r="D2038" s="3" t="s">
        <v>7312</v>
      </c>
      <c r="E2038" t="s">
        <v>3324</v>
      </c>
      <c r="F2038" s="3" t="s">
        <v>3325</v>
      </c>
      <c r="G2038" t="s">
        <v>19</v>
      </c>
      <c r="H2038" s="3" t="s">
        <v>3333</v>
      </c>
      <c r="I2038" t="s">
        <v>686</v>
      </c>
      <c r="J2038" s="3" t="s">
        <v>3327</v>
      </c>
      <c r="K2038" s="4">
        <v>382</v>
      </c>
      <c r="L2038" s="5">
        <v>83.04</v>
      </c>
      <c r="M2038" s="6">
        <v>0</v>
      </c>
      <c r="N2038" s="7">
        <v>0</v>
      </c>
      <c r="O2038" t="s">
        <v>3334</v>
      </c>
      <c r="P2038" s="3" t="s">
        <v>212</v>
      </c>
      <c r="Q2038" s="8">
        <v>8.7262000000000006E-2</v>
      </c>
    </row>
    <row r="2039" spans="1:17" hidden="1" x14ac:dyDescent="0.55000000000000004">
      <c r="A2039" s="3" t="s">
        <v>3277</v>
      </c>
      <c r="B2039" s="3" t="s">
        <v>3323</v>
      </c>
      <c r="C2039" t="s">
        <v>3323</v>
      </c>
      <c r="D2039" s="3" t="s">
        <v>7312</v>
      </c>
      <c r="E2039" t="s">
        <v>3324</v>
      </c>
      <c r="F2039" s="3" t="s">
        <v>3325</v>
      </c>
      <c r="G2039" t="s">
        <v>24</v>
      </c>
      <c r="H2039" s="3" t="s">
        <v>3335</v>
      </c>
      <c r="I2039" t="s">
        <v>218</v>
      </c>
      <c r="J2039" s="3" t="s">
        <v>3336</v>
      </c>
      <c r="K2039" s="4">
        <v>656</v>
      </c>
      <c r="L2039" s="5">
        <v>29.82</v>
      </c>
      <c r="M2039" s="6">
        <v>0</v>
      </c>
      <c r="N2039" s="7">
        <v>0</v>
      </c>
      <c r="O2039" t="s">
        <v>3337</v>
      </c>
      <c r="P2039" s="3" t="s">
        <v>23</v>
      </c>
      <c r="Q2039" s="8" t="s">
        <v>23</v>
      </c>
    </row>
    <row r="2040" spans="1:17" hidden="1" x14ac:dyDescent="0.55000000000000004">
      <c r="A2040" s="3" t="s">
        <v>3277</v>
      </c>
      <c r="B2040" s="3" t="s">
        <v>3323</v>
      </c>
      <c r="C2040" t="s">
        <v>3323</v>
      </c>
      <c r="D2040" s="3" t="s">
        <v>7312</v>
      </c>
      <c r="E2040" t="s">
        <v>3338</v>
      </c>
      <c r="F2040" s="3" t="s">
        <v>3339</v>
      </c>
      <c r="G2040" t="s">
        <v>19</v>
      </c>
      <c r="H2040" s="3" t="s">
        <v>3326</v>
      </c>
      <c r="I2040" t="s">
        <v>1223</v>
      </c>
      <c r="J2040" s="3" t="s">
        <v>3327</v>
      </c>
      <c r="K2040" s="4">
        <v>507</v>
      </c>
      <c r="L2040" s="5">
        <v>110.13</v>
      </c>
      <c r="M2040" s="6">
        <v>0</v>
      </c>
      <c r="N2040" s="7">
        <v>1</v>
      </c>
      <c r="O2040" t="s">
        <v>3328</v>
      </c>
      <c r="P2040" s="3" t="s">
        <v>212</v>
      </c>
      <c r="Q2040" s="8">
        <v>8.6260000000000003E-2</v>
      </c>
    </row>
    <row r="2041" spans="1:17" hidden="1" x14ac:dyDescent="0.55000000000000004">
      <c r="A2041" s="3" t="s">
        <v>3277</v>
      </c>
      <c r="B2041" s="3" t="s">
        <v>3323</v>
      </c>
      <c r="C2041" t="s">
        <v>3323</v>
      </c>
      <c r="D2041" s="3" t="s">
        <v>7312</v>
      </c>
      <c r="E2041" t="s">
        <v>3338</v>
      </c>
      <c r="F2041" s="3" t="s">
        <v>3339</v>
      </c>
      <c r="G2041" t="s">
        <v>19</v>
      </c>
      <c r="H2041" s="3" t="s">
        <v>3329</v>
      </c>
      <c r="I2041" t="s">
        <v>1227</v>
      </c>
      <c r="J2041" s="3" t="s">
        <v>3327</v>
      </c>
      <c r="K2041" s="4">
        <v>515</v>
      </c>
      <c r="L2041" s="5">
        <v>111.91</v>
      </c>
      <c r="M2041" s="6">
        <v>0</v>
      </c>
      <c r="N2041" s="7">
        <v>1</v>
      </c>
      <c r="O2041" t="s">
        <v>3330</v>
      </c>
      <c r="P2041" s="3" t="s">
        <v>212</v>
      </c>
      <c r="Q2041" s="8">
        <v>8.6260000000000003E-2</v>
      </c>
    </row>
    <row r="2042" spans="1:17" hidden="1" x14ac:dyDescent="0.55000000000000004">
      <c r="A2042" s="3" t="s">
        <v>3277</v>
      </c>
      <c r="B2042" s="3" t="s">
        <v>3323</v>
      </c>
      <c r="C2042" t="s">
        <v>3323</v>
      </c>
      <c r="D2042" s="3" t="s">
        <v>7312</v>
      </c>
      <c r="E2042" t="s">
        <v>3338</v>
      </c>
      <c r="F2042" s="3" t="s">
        <v>3339</v>
      </c>
      <c r="G2042" t="s">
        <v>19</v>
      </c>
      <c r="H2042" s="3" t="s">
        <v>3331</v>
      </c>
      <c r="I2042" t="s">
        <v>1232</v>
      </c>
      <c r="J2042" s="3" t="s">
        <v>3327</v>
      </c>
      <c r="K2042" s="4">
        <v>428</v>
      </c>
      <c r="L2042" s="5">
        <v>93.09</v>
      </c>
      <c r="M2042" s="6">
        <v>1</v>
      </c>
      <c r="N2042" s="7">
        <v>1</v>
      </c>
      <c r="O2042" t="s">
        <v>3332</v>
      </c>
      <c r="P2042" s="3" t="s">
        <v>212</v>
      </c>
      <c r="Q2042" s="8">
        <v>8.7262000000000006E-2</v>
      </c>
    </row>
    <row r="2043" spans="1:17" hidden="1" x14ac:dyDescent="0.55000000000000004">
      <c r="A2043" s="3" t="s">
        <v>3277</v>
      </c>
      <c r="B2043" s="3" t="s">
        <v>3323</v>
      </c>
      <c r="C2043" t="s">
        <v>3323</v>
      </c>
      <c r="D2043" s="3" t="s">
        <v>7312</v>
      </c>
      <c r="E2043" t="s">
        <v>3338</v>
      </c>
      <c r="F2043" s="3" t="s">
        <v>3339</v>
      </c>
      <c r="G2043" t="s">
        <v>19</v>
      </c>
      <c r="H2043" s="3" t="s">
        <v>3333</v>
      </c>
      <c r="I2043" t="s">
        <v>686</v>
      </c>
      <c r="J2043" s="3" t="s">
        <v>3327</v>
      </c>
      <c r="K2043" s="4">
        <v>382</v>
      </c>
      <c r="L2043" s="5">
        <v>83.04</v>
      </c>
      <c r="M2043" s="6">
        <v>0</v>
      </c>
      <c r="N2043" s="7">
        <v>1</v>
      </c>
      <c r="O2043" t="s">
        <v>3334</v>
      </c>
      <c r="P2043" s="3" t="s">
        <v>212</v>
      </c>
      <c r="Q2043" s="8">
        <v>8.7262000000000006E-2</v>
      </c>
    </row>
    <row r="2044" spans="1:17" hidden="1" x14ac:dyDescent="0.55000000000000004">
      <c r="A2044" s="3" t="s">
        <v>3277</v>
      </c>
      <c r="B2044" s="3" t="s">
        <v>3323</v>
      </c>
      <c r="C2044" t="s">
        <v>3323</v>
      </c>
      <c r="D2044" s="3" t="s">
        <v>7312</v>
      </c>
      <c r="E2044" t="s">
        <v>3338</v>
      </c>
      <c r="F2044" s="3" t="s">
        <v>3339</v>
      </c>
      <c r="G2044" t="s">
        <v>24</v>
      </c>
      <c r="H2044" s="3" t="s">
        <v>3335</v>
      </c>
      <c r="I2044" t="s">
        <v>218</v>
      </c>
      <c r="J2044" s="3" t="s">
        <v>3336</v>
      </c>
      <c r="K2044" s="4">
        <v>656</v>
      </c>
      <c r="L2044" s="5">
        <v>29.82</v>
      </c>
      <c r="M2044" s="6">
        <v>0</v>
      </c>
      <c r="N2044" s="7">
        <v>1</v>
      </c>
      <c r="O2044" t="s">
        <v>3337</v>
      </c>
      <c r="P2044" s="3" t="s">
        <v>23</v>
      </c>
      <c r="Q2044" s="8" t="s">
        <v>23</v>
      </c>
    </row>
    <row r="2045" spans="1:17" hidden="1" x14ac:dyDescent="0.55000000000000004">
      <c r="A2045" s="3" t="s">
        <v>3277</v>
      </c>
      <c r="B2045" s="3" t="s">
        <v>3340</v>
      </c>
      <c r="C2045" t="s">
        <v>3340</v>
      </c>
      <c r="D2045" s="3" t="s">
        <v>7312</v>
      </c>
      <c r="E2045" t="s">
        <v>3341</v>
      </c>
      <c r="F2045" s="3" t="s">
        <v>3342</v>
      </c>
      <c r="G2045" t="s">
        <v>19</v>
      </c>
      <c r="H2045" s="3" t="s">
        <v>3343</v>
      </c>
      <c r="I2045" t="s">
        <v>1289</v>
      </c>
      <c r="J2045" s="3" t="s">
        <v>3344</v>
      </c>
      <c r="K2045" s="4">
        <v>273</v>
      </c>
      <c r="L2045" s="5">
        <v>59.28</v>
      </c>
      <c r="M2045" s="6">
        <v>0</v>
      </c>
      <c r="N2045" s="7">
        <v>1</v>
      </c>
      <c r="O2045" t="s">
        <v>3345</v>
      </c>
      <c r="P2045" s="3" t="s">
        <v>1287</v>
      </c>
      <c r="Q2045" s="8">
        <v>6.2787999999999997E-2</v>
      </c>
    </row>
    <row r="2046" spans="1:17" hidden="1" x14ac:dyDescent="0.55000000000000004">
      <c r="A2046" s="3" t="s">
        <v>3277</v>
      </c>
      <c r="B2046" s="3" t="s">
        <v>3340</v>
      </c>
      <c r="C2046" t="s">
        <v>3340</v>
      </c>
      <c r="D2046" s="3" t="s">
        <v>7312</v>
      </c>
      <c r="E2046" t="s">
        <v>3341</v>
      </c>
      <c r="F2046" s="3" t="s">
        <v>3342</v>
      </c>
      <c r="G2046" t="s">
        <v>19</v>
      </c>
      <c r="H2046" s="3" t="s">
        <v>3346</v>
      </c>
      <c r="I2046" t="s">
        <v>1357</v>
      </c>
      <c r="J2046" s="3" t="s">
        <v>3344</v>
      </c>
      <c r="K2046" s="4">
        <v>419</v>
      </c>
      <c r="L2046" s="5">
        <v>91</v>
      </c>
      <c r="M2046" s="6">
        <v>1</v>
      </c>
      <c r="N2046" s="7">
        <v>1</v>
      </c>
      <c r="O2046" t="s">
        <v>3347</v>
      </c>
      <c r="P2046" s="3" t="s">
        <v>1287</v>
      </c>
      <c r="Q2046" s="8">
        <v>6.4880999999999994E-2</v>
      </c>
    </row>
    <row r="2047" spans="1:17" hidden="1" x14ac:dyDescent="0.55000000000000004">
      <c r="A2047" s="3" t="s">
        <v>3277</v>
      </c>
      <c r="B2047" s="3" t="s">
        <v>3340</v>
      </c>
      <c r="C2047" t="s">
        <v>3340</v>
      </c>
      <c r="D2047" s="3" t="s">
        <v>7312</v>
      </c>
      <c r="E2047" t="s">
        <v>3341</v>
      </c>
      <c r="F2047" s="3" t="s">
        <v>3342</v>
      </c>
      <c r="G2047" t="s">
        <v>19</v>
      </c>
      <c r="H2047" s="3" t="s">
        <v>3348</v>
      </c>
      <c r="I2047" t="s">
        <v>1284</v>
      </c>
      <c r="J2047" s="3" t="s">
        <v>3344</v>
      </c>
      <c r="K2047" s="4">
        <v>333</v>
      </c>
      <c r="L2047" s="5">
        <v>72.349999999999994</v>
      </c>
      <c r="M2047" s="6">
        <v>0</v>
      </c>
      <c r="N2047" s="7">
        <v>1</v>
      </c>
      <c r="O2047" t="s">
        <v>3349</v>
      </c>
      <c r="P2047" s="3" t="s">
        <v>1287</v>
      </c>
      <c r="Q2047" s="8">
        <v>6.4880999999999994E-2</v>
      </c>
    </row>
    <row r="2048" spans="1:17" hidden="1" x14ac:dyDescent="0.55000000000000004">
      <c r="A2048" s="3" t="s">
        <v>3277</v>
      </c>
      <c r="B2048" s="3" t="s">
        <v>3340</v>
      </c>
      <c r="C2048" t="s">
        <v>3340</v>
      </c>
      <c r="D2048" s="3" t="s">
        <v>7312</v>
      </c>
      <c r="E2048" t="s">
        <v>3341</v>
      </c>
      <c r="F2048" s="3" t="s">
        <v>3342</v>
      </c>
      <c r="G2048" t="s">
        <v>24</v>
      </c>
      <c r="H2048" s="3" t="s">
        <v>3350</v>
      </c>
      <c r="I2048" t="s">
        <v>52</v>
      </c>
      <c r="J2048" s="3" t="s">
        <v>3351</v>
      </c>
      <c r="K2048" s="4">
        <v>156</v>
      </c>
      <c r="L2048" s="5">
        <v>7.1</v>
      </c>
      <c r="M2048" s="6">
        <v>0</v>
      </c>
      <c r="N2048" s="7">
        <v>1</v>
      </c>
      <c r="O2048" t="s">
        <v>3352</v>
      </c>
      <c r="P2048" s="3" t="s">
        <v>55</v>
      </c>
      <c r="Q2048" s="8">
        <v>0.17960200000000001</v>
      </c>
    </row>
    <row r="2049" spans="1:17" hidden="1" x14ac:dyDescent="0.55000000000000004">
      <c r="A2049" s="3" t="s">
        <v>3277</v>
      </c>
      <c r="B2049" s="3" t="s">
        <v>3340</v>
      </c>
      <c r="C2049" t="s">
        <v>3340</v>
      </c>
      <c r="D2049" s="3" t="s">
        <v>7312</v>
      </c>
      <c r="E2049" t="s">
        <v>3341</v>
      </c>
      <c r="F2049" s="3" t="s">
        <v>3342</v>
      </c>
      <c r="G2049" t="s">
        <v>24</v>
      </c>
      <c r="H2049" s="3" t="s">
        <v>23</v>
      </c>
      <c r="I2049" t="s">
        <v>67</v>
      </c>
      <c r="J2049" s="3" t="s">
        <v>3353</v>
      </c>
      <c r="K2049" s="4" t="s">
        <v>23</v>
      </c>
      <c r="L2049" s="5" t="s">
        <v>23</v>
      </c>
      <c r="M2049" s="6">
        <v>0</v>
      </c>
      <c r="N2049" s="7">
        <v>1</v>
      </c>
      <c r="O2049" t="s">
        <v>23</v>
      </c>
      <c r="P2049" s="3" t="s">
        <v>23</v>
      </c>
      <c r="Q2049" s="8" t="s">
        <v>23</v>
      </c>
    </row>
    <row r="2050" spans="1:17" hidden="1" x14ac:dyDescent="0.55000000000000004">
      <c r="A2050" s="3" t="s">
        <v>3277</v>
      </c>
      <c r="B2050" s="3" t="s">
        <v>3354</v>
      </c>
      <c r="C2050" t="s">
        <v>3354</v>
      </c>
      <c r="D2050" s="3" t="s">
        <v>7312</v>
      </c>
      <c r="E2050" t="s">
        <v>3355</v>
      </c>
      <c r="F2050" s="3" t="s">
        <v>3356</v>
      </c>
      <c r="G2050" t="s">
        <v>19</v>
      </c>
      <c r="H2050" s="3" t="s">
        <v>3357</v>
      </c>
      <c r="I2050" t="s">
        <v>1289</v>
      </c>
      <c r="J2050" s="3" t="s">
        <v>3358</v>
      </c>
      <c r="K2050" s="4">
        <v>348</v>
      </c>
      <c r="L2050" s="5">
        <v>75.739999999999995</v>
      </c>
      <c r="M2050" s="6">
        <v>0</v>
      </c>
      <c r="N2050" s="7">
        <v>1</v>
      </c>
      <c r="O2050" t="s">
        <v>3359</v>
      </c>
      <c r="P2050" s="3" t="s">
        <v>1287</v>
      </c>
      <c r="Q2050" s="8">
        <v>6.8451999999999999E-2</v>
      </c>
    </row>
    <row r="2051" spans="1:17" hidden="1" x14ac:dyDescent="0.55000000000000004">
      <c r="A2051" s="3" t="s">
        <v>3277</v>
      </c>
      <c r="B2051" s="3" t="s">
        <v>3354</v>
      </c>
      <c r="C2051" t="s">
        <v>3354</v>
      </c>
      <c r="D2051" s="3" t="s">
        <v>7312</v>
      </c>
      <c r="E2051" t="s">
        <v>3355</v>
      </c>
      <c r="F2051" s="3" t="s">
        <v>3356</v>
      </c>
      <c r="G2051" t="s">
        <v>19</v>
      </c>
      <c r="H2051" s="3" t="s">
        <v>3360</v>
      </c>
      <c r="I2051" t="s">
        <v>1357</v>
      </c>
      <c r="J2051" s="3" t="s">
        <v>3358</v>
      </c>
      <c r="K2051" s="4">
        <v>494</v>
      </c>
      <c r="L2051" s="5">
        <v>107.46</v>
      </c>
      <c r="M2051" s="6">
        <v>1</v>
      </c>
      <c r="N2051" s="7">
        <v>1</v>
      </c>
      <c r="O2051" t="s">
        <v>3361</v>
      </c>
      <c r="P2051" s="3" t="s">
        <v>1287</v>
      </c>
      <c r="Q2051" s="8">
        <v>7.1168999999999996E-2</v>
      </c>
    </row>
    <row r="2052" spans="1:17" hidden="1" x14ac:dyDescent="0.55000000000000004">
      <c r="A2052" s="3" t="s">
        <v>3277</v>
      </c>
      <c r="B2052" s="3" t="s">
        <v>3354</v>
      </c>
      <c r="C2052" t="s">
        <v>3354</v>
      </c>
      <c r="D2052" s="3" t="s">
        <v>7312</v>
      </c>
      <c r="E2052" t="s">
        <v>3355</v>
      </c>
      <c r="F2052" s="3" t="s">
        <v>3356</v>
      </c>
      <c r="G2052" t="s">
        <v>19</v>
      </c>
      <c r="H2052" s="3" t="s">
        <v>3362</v>
      </c>
      <c r="I2052" t="s">
        <v>1284</v>
      </c>
      <c r="J2052" s="3" t="s">
        <v>3358</v>
      </c>
      <c r="K2052" s="4">
        <v>409</v>
      </c>
      <c r="L2052" s="5">
        <v>88.8</v>
      </c>
      <c r="M2052" s="6">
        <v>0</v>
      </c>
      <c r="N2052" s="7">
        <v>1</v>
      </c>
      <c r="O2052" t="s">
        <v>3363</v>
      </c>
      <c r="P2052" s="3" t="s">
        <v>1287</v>
      </c>
      <c r="Q2052" s="8">
        <v>7.0461999999999997E-2</v>
      </c>
    </row>
    <row r="2053" spans="1:17" hidden="1" x14ac:dyDescent="0.55000000000000004">
      <c r="A2053" s="3" t="s">
        <v>3277</v>
      </c>
      <c r="B2053" s="3" t="s">
        <v>3354</v>
      </c>
      <c r="C2053" t="s">
        <v>3354</v>
      </c>
      <c r="D2053" s="3" t="s">
        <v>7312</v>
      </c>
      <c r="E2053" t="s">
        <v>3355</v>
      </c>
      <c r="F2053" s="3" t="s">
        <v>3356</v>
      </c>
      <c r="G2053" t="s">
        <v>24</v>
      </c>
      <c r="H2053" s="3" t="s">
        <v>3364</v>
      </c>
      <c r="I2053" t="s">
        <v>26</v>
      </c>
      <c r="J2053" s="3" t="s">
        <v>3365</v>
      </c>
      <c r="K2053" s="4">
        <v>368</v>
      </c>
      <c r="L2053" s="5">
        <v>16.72</v>
      </c>
      <c r="M2053" s="6">
        <v>1</v>
      </c>
      <c r="N2053" s="7">
        <v>1</v>
      </c>
      <c r="O2053" t="s">
        <v>3366</v>
      </c>
      <c r="P2053" s="3" t="s">
        <v>29</v>
      </c>
      <c r="Q2053" s="8">
        <v>0.18171399999999999</v>
      </c>
    </row>
    <row r="2054" spans="1:17" hidden="1" x14ac:dyDescent="0.55000000000000004">
      <c r="A2054" s="3" t="s">
        <v>3277</v>
      </c>
      <c r="B2054" s="3" t="s">
        <v>3310</v>
      </c>
      <c r="C2054" t="s">
        <v>3310</v>
      </c>
      <c r="D2054" s="3" t="s">
        <v>7312</v>
      </c>
      <c r="E2054" t="s">
        <v>3367</v>
      </c>
      <c r="F2054" s="3" t="s">
        <v>3368</v>
      </c>
      <c r="G2054" t="s">
        <v>19</v>
      </c>
      <c r="H2054" s="3" t="s">
        <v>3369</v>
      </c>
      <c r="I2054" t="s">
        <v>1223</v>
      </c>
      <c r="J2054" s="3" t="s">
        <v>3370</v>
      </c>
      <c r="K2054" s="4">
        <v>426</v>
      </c>
      <c r="L2054" s="5">
        <v>92.54</v>
      </c>
      <c r="M2054" s="6">
        <v>0</v>
      </c>
      <c r="N2054" s="7">
        <v>1</v>
      </c>
      <c r="O2054" t="s">
        <v>3371</v>
      </c>
      <c r="P2054" s="3" t="s">
        <v>212</v>
      </c>
      <c r="Q2054" s="8">
        <v>7.9839999999999994E-2</v>
      </c>
    </row>
    <row r="2055" spans="1:17" hidden="1" x14ac:dyDescent="0.55000000000000004">
      <c r="A2055" s="3" t="s">
        <v>3277</v>
      </c>
      <c r="B2055" s="3" t="s">
        <v>3310</v>
      </c>
      <c r="C2055" t="s">
        <v>3310</v>
      </c>
      <c r="D2055" s="3" t="s">
        <v>7312</v>
      </c>
      <c r="E2055" t="s">
        <v>3367</v>
      </c>
      <c r="F2055" s="3" t="s">
        <v>3368</v>
      </c>
      <c r="G2055" t="s">
        <v>19</v>
      </c>
      <c r="H2055" s="3" t="s">
        <v>3372</v>
      </c>
      <c r="I2055" t="s">
        <v>1227</v>
      </c>
      <c r="J2055" s="3" t="s">
        <v>3370</v>
      </c>
      <c r="K2055" s="4">
        <v>434</v>
      </c>
      <c r="L2055" s="5">
        <v>94.33</v>
      </c>
      <c r="M2055" s="6">
        <v>0</v>
      </c>
      <c r="N2055" s="7">
        <v>1</v>
      </c>
      <c r="O2055" t="s">
        <v>3373</v>
      </c>
      <c r="P2055" s="3" t="s">
        <v>212</v>
      </c>
      <c r="Q2055" s="8">
        <v>7.9839999999999994E-2</v>
      </c>
    </row>
    <row r="2056" spans="1:17" hidden="1" x14ac:dyDescent="0.55000000000000004">
      <c r="A2056" s="3" t="s">
        <v>3277</v>
      </c>
      <c r="B2056" s="3" t="s">
        <v>3310</v>
      </c>
      <c r="C2056" t="s">
        <v>3310</v>
      </c>
      <c r="D2056" s="3" t="s">
        <v>7312</v>
      </c>
      <c r="E2056" t="s">
        <v>3367</v>
      </c>
      <c r="F2056" s="3" t="s">
        <v>3368</v>
      </c>
      <c r="G2056" t="s">
        <v>19</v>
      </c>
      <c r="H2056" s="3" t="s">
        <v>3374</v>
      </c>
      <c r="I2056" t="s">
        <v>1232</v>
      </c>
      <c r="J2056" s="3" t="s">
        <v>3370</v>
      </c>
      <c r="K2056" s="4">
        <v>442</v>
      </c>
      <c r="L2056" s="5">
        <v>96.2</v>
      </c>
      <c r="M2056" s="6">
        <v>1</v>
      </c>
      <c r="N2056" s="7">
        <v>1</v>
      </c>
      <c r="O2056" t="s">
        <v>3375</v>
      </c>
      <c r="P2056" s="3" t="s">
        <v>212</v>
      </c>
      <c r="Q2056" s="8">
        <v>8.0767000000000005E-2</v>
      </c>
    </row>
    <row r="2057" spans="1:17" hidden="1" x14ac:dyDescent="0.55000000000000004">
      <c r="A2057" s="3" t="s">
        <v>3277</v>
      </c>
      <c r="B2057" s="3" t="s">
        <v>3310</v>
      </c>
      <c r="C2057" t="s">
        <v>3310</v>
      </c>
      <c r="D2057" s="3" t="s">
        <v>7312</v>
      </c>
      <c r="E2057" t="s">
        <v>3367</v>
      </c>
      <c r="F2057" s="3" t="s">
        <v>3368</v>
      </c>
      <c r="G2057" t="s">
        <v>19</v>
      </c>
      <c r="H2057" s="3" t="s">
        <v>3376</v>
      </c>
      <c r="I2057" t="s">
        <v>686</v>
      </c>
      <c r="J2057" s="3" t="s">
        <v>3370</v>
      </c>
      <c r="K2057" s="4">
        <v>396</v>
      </c>
      <c r="L2057" s="5">
        <v>86.15</v>
      </c>
      <c r="M2057" s="6">
        <v>0</v>
      </c>
      <c r="N2057" s="7">
        <v>1</v>
      </c>
      <c r="O2057" t="s">
        <v>3377</v>
      </c>
      <c r="P2057" s="3" t="s">
        <v>212</v>
      </c>
      <c r="Q2057" s="8">
        <v>8.5944999999999994E-2</v>
      </c>
    </row>
    <row r="2058" spans="1:17" hidden="1" x14ac:dyDescent="0.55000000000000004">
      <c r="A2058" s="3" t="s">
        <v>3277</v>
      </c>
      <c r="B2058" s="3" t="s">
        <v>3310</v>
      </c>
      <c r="C2058" t="s">
        <v>3310</v>
      </c>
      <c r="D2058" s="3" t="s">
        <v>7312</v>
      </c>
      <c r="E2058" t="s">
        <v>3367</v>
      </c>
      <c r="F2058" s="3" t="s">
        <v>3368</v>
      </c>
      <c r="G2058" t="s">
        <v>24</v>
      </c>
      <c r="H2058" s="3" t="s">
        <v>3378</v>
      </c>
      <c r="I2058" t="s">
        <v>218</v>
      </c>
      <c r="J2058" s="3" t="s">
        <v>3379</v>
      </c>
      <c r="K2058" s="4">
        <v>594</v>
      </c>
      <c r="L2058" s="5">
        <v>27.01</v>
      </c>
      <c r="M2058" s="6">
        <v>0</v>
      </c>
      <c r="N2058" s="7">
        <v>1</v>
      </c>
      <c r="O2058" t="s">
        <v>3380</v>
      </c>
      <c r="P2058" s="3" t="s">
        <v>23</v>
      </c>
      <c r="Q2058" s="8" t="s">
        <v>23</v>
      </c>
    </row>
    <row r="2059" spans="1:17" hidden="1" x14ac:dyDescent="0.55000000000000004">
      <c r="A2059" s="3" t="s">
        <v>3277</v>
      </c>
      <c r="B2059" s="3" t="s">
        <v>3381</v>
      </c>
      <c r="C2059" t="s">
        <v>3381</v>
      </c>
      <c r="D2059" s="3" t="s">
        <v>7312</v>
      </c>
      <c r="E2059" t="s">
        <v>3382</v>
      </c>
      <c r="F2059" s="3" t="s">
        <v>3383</v>
      </c>
      <c r="G2059" t="s">
        <v>19</v>
      </c>
      <c r="H2059" s="3" t="s">
        <v>3384</v>
      </c>
      <c r="I2059" t="s">
        <v>1289</v>
      </c>
      <c r="J2059" s="3" t="s">
        <v>3385</v>
      </c>
      <c r="K2059" s="4">
        <v>207</v>
      </c>
      <c r="L2059" s="5">
        <v>45.02</v>
      </c>
      <c r="M2059" s="6">
        <v>0</v>
      </c>
      <c r="N2059" s="7">
        <v>0</v>
      </c>
      <c r="O2059" t="s">
        <v>3386</v>
      </c>
      <c r="P2059" s="3" t="s">
        <v>1287</v>
      </c>
      <c r="Q2059" s="8">
        <v>5.4757E-2</v>
      </c>
    </row>
    <row r="2060" spans="1:17" hidden="1" x14ac:dyDescent="0.55000000000000004">
      <c r="A2060" s="3" t="s">
        <v>3277</v>
      </c>
      <c r="B2060" s="3" t="s">
        <v>3381</v>
      </c>
      <c r="C2060" t="s">
        <v>3381</v>
      </c>
      <c r="D2060" s="3" t="s">
        <v>7312</v>
      </c>
      <c r="E2060" t="s">
        <v>3382</v>
      </c>
      <c r="F2060" s="3" t="s">
        <v>3383</v>
      </c>
      <c r="G2060" t="s">
        <v>19</v>
      </c>
      <c r="H2060" s="3" t="s">
        <v>3387</v>
      </c>
      <c r="I2060" t="s">
        <v>1357</v>
      </c>
      <c r="J2060" s="3" t="s">
        <v>3385</v>
      </c>
      <c r="K2060" s="4">
        <v>353</v>
      </c>
      <c r="L2060" s="5">
        <v>76.739999999999995</v>
      </c>
      <c r="M2060" s="6">
        <v>1</v>
      </c>
      <c r="N2060" s="7">
        <v>0</v>
      </c>
      <c r="O2060" t="s">
        <v>3388</v>
      </c>
      <c r="P2060" s="3" t="s">
        <v>1287</v>
      </c>
      <c r="Q2060" s="8">
        <v>5.6892999999999999E-2</v>
      </c>
    </row>
    <row r="2061" spans="1:17" hidden="1" x14ac:dyDescent="0.55000000000000004">
      <c r="A2061" s="3" t="s">
        <v>3277</v>
      </c>
      <c r="B2061" s="3" t="s">
        <v>3381</v>
      </c>
      <c r="C2061" t="s">
        <v>3381</v>
      </c>
      <c r="D2061" s="3" t="s">
        <v>7312</v>
      </c>
      <c r="E2061" t="s">
        <v>3382</v>
      </c>
      <c r="F2061" s="3" t="s">
        <v>3383</v>
      </c>
      <c r="G2061" t="s">
        <v>19</v>
      </c>
      <c r="H2061" s="3" t="s">
        <v>3389</v>
      </c>
      <c r="I2061" t="s">
        <v>1284</v>
      </c>
      <c r="J2061" s="3" t="s">
        <v>3385</v>
      </c>
      <c r="K2061" s="4">
        <v>267</v>
      </c>
      <c r="L2061" s="5">
        <v>58.09</v>
      </c>
      <c r="M2061" s="6">
        <v>0</v>
      </c>
      <c r="N2061" s="7">
        <v>0</v>
      </c>
      <c r="O2061" t="s">
        <v>3390</v>
      </c>
      <c r="P2061" s="3" t="s">
        <v>1287</v>
      </c>
      <c r="Q2061" s="8">
        <v>5.6892999999999999E-2</v>
      </c>
    </row>
    <row r="2062" spans="1:17" hidden="1" x14ac:dyDescent="0.55000000000000004">
      <c r="A2062" s="3" t="s">
        <v>3277</v>
      </c>
      <c r="B2062" s="3" t="s">
        <v>3381</v>
      </c>
      <c r="C2062" t="s">
        <v>3381</v>
      </c>
      <c r="D2062" s="3" t="s">
        <v>7312</v>
      </c>
      <c r="E2062" t="s">
        <v>3382</v>
      </c>
      <c r="F2062" s="3" t="s">
        <v>3383</v>
      </c>
      <c r="G2062" t="s">
        <v>24</v>
      </c>
      <c r="H2062" s="3" t="s">
        <v>3391</v>
      </c>
      <c r="I2062" t="s">
        <v>26</v>
      </c>
      <c r="J2062" s="3" t="s">
        <v>3392</v>
      </c>
      <c r="K2062" s="4">
        <v>147</v>
      </c>
      <c r="L2062" s="5">
        <v>6.67</v>
      </c>
      <c r="M2062" s="6">
        <v>0</v>
      </c>
      <c r="N2062" s="7">
        <v>0</v>
      </c>
      <c r="O2062" t="s">
        <v>3393</v>
      </c>
      <c r="P2062" s="3" t="s">
        <v>29</v>
      </c>
      <c r="Q2062" s="8">
        <v>0.179508</v>
      </c>
    </row>
    <row r="2063" spans="1:17" hidden="1" x14ac:dyDescent="0.55000000000000004">
      <c r="A2063" s="9" t="s">
        <v>3277</v>
      </c>
      <c r="B2063" s="3" t="s">
        <v>3394</v>
      </c>
      <c r="C2063" t="s">
        <v>3354</v>
      </c>
      <c r="D2063" s="3" t="s">
        <v>7312</v>
      </c>
      <c r="E2063" t="s">
        <v>3395</v>
      </c>
      <c r="F2063" s="3" t="s">
        <v>3396</v>
      </c>
      <c r="G2063" t="s">
        <v>24</v>
      </c>
      <c r="H2063" s="3" t="s">
        <v>3397</v>
      </c>
      <c r="I2063" t="s">
        <v>26</v>
      </c>
      <c r="J2063" s="3" t="s">
        <v>3398</v>
      </c>
      <c r="K2063" s="4">
        <v>372</v>
      </c>
      <c r="L2063" s="5">
        <v>16.899999999999999</v>
      </c>
      <c r="M2063" s="6">
        <v>1</v>
      </c>
      <c r="N2063" s="7">
        <v>0</v>
      </c>
      <c r="O2063" t="s">
        <v>3399</v>
      </c>
      <c r="P2063" s="3" t="s">
        <v>29</v>
      </c>
      <c r="Q2063" s="8">
        <v>0.18323400000000001</v>
      </c>
    </row>
    <row r="2064" spans="1:17" hidden="1" x14ac:dyDescent="0.55000000000000004">
      <c r="A2064" s="3" t="s">
        <v>3400</v>
      </c>
      <c r="B2064" s="3" t="s">
        <v>3401</v>
      </c>
      <c r="C2064" t="s">
        <v>3401</v>
      </c>
      <c r="D2064" s="3" t="s">
        <v>7329</v>
      </c>
      <c r="E2064" t="s">
        <v>3402</v>
      </c>
      <c r="F2064" s="3" t="s">
        <v>3403</v>
      </c>
      <c r="G2064" t="s">
        <v>19</v>
      </c>
      <c r="H2064" s="3" t="s">
        <v>23</v>
      </c>
      <c r="I2064" t="s">
        <v>67</v>
      </c>
      <c r="J2064" s="3" t="s">
        <v>67</v>
      </c>
      <c r="K2064" s="4" t="s">
        <v>23</v>
      </c>
      <c r="L2064" s="5" t="s">
        <v>23</v>
      </c>
      <c r="M2064" s="6">
        <v>0</v>
      </c>
      <c r="N2064" s="7">
        <v>0</v>
      </c>
      <c r="O2064" t="s">
        <v>23</v>
      </c>
      <c r="P2064" s="3" t="s">
        <v>23</v>
      </c>
      <c r="Q2064" s="8" t="s">
        <v>23</v>
      </c>
    </row>
    <row r="2065" spans="1:17" hidden="1" x14ac:dyDescent="0.55000000000000004">
      <c r="A2065" s="9" t="s">
        <v>3400</v>
      </c>
      <c r="B2065" s="3" t="s">
        <v>7365</v>
      </c>
      <c r="C2065" t="s">
        <v>3401</v>
      </c>
      <c r="D2065" s="3" t="s">
        <v>7329</v>
      </c>
      <c r="E2065" t="s">
        <v>3404</v>
      </c>
      <c r="F2065" s="3" t="s">
        <v>3405</v>
      </c>
      <c r="G2065" t="s">
        <v>19</v>
      </c>
      <c r="H2065" s="3" t="s">
        <v>23</v>
      </c>
      <c r="I2065" t="s">
        <v>67</v>
      </c>
      <c r="J2065" s="3" t="s">
        <v>67</v>
      </c>
      <c r="K2065" s="4" t="s">
        <v>23</v>
      </c>
      <c r="L2065" s="5" t="s">
        <v>23</v>
      </c>
      <c r="M2065" s="6">
        <v>0</v>
      </c>
      <c r="N2065" s="7">
        <v>0</v>
      </c>
      <c r="O2065" t="s">
        <v>23</v>
      </c>
      <c r="P2065" s="3" t="s">
        <v>23</v>
      </c>
      <c r="Q2065" s="8" t="s">
        <v>23</v>
      </c>
    </row>
    <row r="2066" spans="1:17" hidden="1" x14ac:dyDescent="0.55000000000000004">
      <c r="A2066" s="3" t="s">
        <v>3406</v>
      </c>
      <c r="B2066" s="3" t="s">
        <v>3407</v>
      </c>
      <c r="C2066" t="s">
        <v>3408</v>
      </c>
      <c r="D2066" s="3" t="s">
        <v>7329</v>
      </c>
      <c r="E2066" t="s">
        <v>3409</v>
      </c>
      <c r="F2066" s="3" t="s">
        <v>3410</v>
      </c>
      <c r="G2066" t="s">
        <v>19</v>
      </c>
      <c r="H2066" s="3" t="s">
        <v>3411</v>
      </c>
      <c r="I2066" t="s">
        <v>81</v>
      </c>
      <c r="J2066" s="3" t="s">
        <v>3412</v>
      </c>
      <c r="K2066" s="4">
        <v>1550</v>
      </c>
      <c r="L2066" s="5">
        <v>336.93</v>
      </c>
      <c r="M2066" s="6">
        <v>1</v>
      </c>
      <c r="N2066" s="7">
        <v>0</v>
      </c>
      <c r="O2066" t="s">
        <v>23</v>
      </c>
      <c r="P2066" s="3" t="s">
        <v>23</v>
      </c>
      <c r="Q2066" s="8" t="s">
        <v>23</v>
      </c>
    </row>
    <row r="2067" spans="1:17" hidden="1" x14ac:dyDescent="0.55000000000000004">
      <c r="A2067" s="3" t="s">
        <v>3406</v>
      </c>
      <c r="B2067" s="3" t="s">
        <v>3407</v>
      </c>
      <c r="C2067" t="s">
        <v>3408</v>
      </c>
      <c r="D2067" s="3" t="s">
        <v>7329</v>
      </c>
      <c r="E2067" t="s">
        <v>3409</v>
      </c>
      <c r="F2067" s="3" t="s">
        <v>3410</v>
      </c>
      <c r="G2067" t="s">
        <v>19</v>
      </c>
      <c r="H2067" s="3" t="s">
        <v>23</v>
      </c>
      <c r="I2067" t="s">
        <v>67</v>
      </c>
      <c r="J2067" s="3" t="s">
        <v>3413</v>
      </c>
      <c r="K2067" s="4" t="s">
        <v>23</v>
      </c>
      <c r="L2067" s="5" t="s">
        <v>23</v>
      </c>
      <c r="M2067" s="6">
        <v>0</v>
      </c>
      <c r="N2067" s="7">
        <v>0</v>
      </c>
      <c r="O2067" t="s">
        <v>23</v>
      </c>
      <c r="P2067" s="3" t="s">
        <v>23</v>
      </c>
      <c r="Q2067" s="8" t="s">
        <v>23</v>
      </c>
    </row>
    <row r="2068" spans="1:17" hidden="1" x14ac:dyDescent="0.55000000000000004">
      <c r="A2068" s="3" t="s">
        <v>3406</v>
      </c>
      <c r="B2068" s="3" t="s">
        <v>3407</v>
      </c>
      <c r="C2068" t="s">
        <v>3408</v>
      </c>
      <c r="D2068" s="3" t="s">
        <v>7329</v>
      </c>
      <c r="E2068" t="s">
        <v>3409</v>
      </c>
      <c r="F2068" s="3" t="s">
        <v>3410</v>
      </c>
      <c r="G2068" t="s">
        <v>24</v>
      </c>
      <c r="H2068" s="3" t="s">
        <v>3414</v>
      </c>
      <c r="I2068" t="s">
        <v>37</v>
      </c>
      <c r="J2068" s="3" t="s">
        <v>3415</v>
      </c>
      <c r="K2068" s="4">
        <v>963</v>
      </c>
      <c r="L2068" s="5">
        <v>43.75</v>
      </c>
      <c r="M2068" s="6">
        <v>1</v>
      </c>
      <c r="N2068" s="7">
        <v>0</v>
      </c>
      <c r="O2068" t="s">
        <v>3416</v>
      </c>
      <c r="P2068" s="3" t="s">
        <v>40</v>
      </c>
      <c r="Q2068" s="8">
        <v>0.21979299999999999</v>
      </c>
    </row>
    <row r="2069" spans="1:17" hidden="1" x14ac:dyDescent="0.55000000000000004">
      <c r="A2069" s="3" t="s">
        <v>3406</v>
      </c>
      <c r="B2069" s="3" t="s">
        <v>3407</v>
      </c>
      <c r="C2069" t="s">
        <v>3408</v>
      </c>
      <c r="D2069" s="3" t="s">
        <v>7329</v>
      </c>
      <c r="E2069" t="s">
        <v>3409</v>
      </c>
      <c r="F2069" s="3" t="s">
        <v>3410</v>
      </c>
      <c r="G2069" t="s">
        <v>24</v>
      </c>
      <c r="H2069" s="3" t="s">
        <v>3417</v>
      </c>
      <c r="I2069" t="s">
        <v>43</v>
      </c>
      <c r="J2069" s="3" t="s">
        <v>3418</v>
      </c>
      <c r="K2069" s="4">
        <v>1065</v>
      </c>
      <c r="L2069" s="5">
        <v>48.42</v>
      </c>
      <c r="M2069" s="6">
        <v>0</v>
      </c>
      <c r="N2069" s="7">
        <v>0</v>
      </c>
      <c r="O2069" t="s">
        <v>3419</v>
      </c>
      <c r="P2069" s="3" t="s">
        <v>138</v>
      </c>
      <c r="Q2069" s="8">
        <v>0.204233</v>
      </c>
    </row>
    <row r="2070" spans="1:17" hidden="1" x14ac:dyDescent="0.55000000000000004">
      <c r="A2070" s="3" t="s">
        <v>3406</v>
      </c>
      <c r="B2070" s="3" t="s">
        <v>3420</v>
      </c>
      <c r="C2070" t="s">
        <v>3408</v>
      </c>
      <c r="D2070" s="3" t="s">
        <v>7329</v>
      </c>
      <c r="E2070" t="s">
        <v>3421</v>
      </c>
      <c r="F2070" s="3" t="s">
        <v>3422</v>
      </c>
      <c r="G2070" t="s">
        <v>19</v>
      </c>
      <c r="H2070" s="3" t="s">
        <v>3411</v>
      </c>
      <c r="I2070" t="s">
        <v>81</v>
      </c>
      <c r="J2070" s="3" t="s">
        <v>3412</v>
      </c>
      <c r="K2070" s="4">
        <v>1550</v>
      </c>
      <c r="L2070" s="5">
        <v>336.93</v>
      </c>
      <c r="M2070" s="6">
        <v>1</v>
      </c>
      <c r="N2070" s="7">
        <v>0</v>
      </c>
      <c r="O2070" t="s">
        <v>23</v>
      </c>
      <c r="P2070" s="3" t="s">
        <v>23</v>
      </c>
      <c r="Q2070" s="8" t="s">
        <v>23</v>
      </c>
    </row>
    <row r="2071" spans="1:17" hidden="1" x14ac:dyDescent="0.55000000000000004">
      <c r="A2071" s="3" t="s">
        <v>3406</v>
      </c>
      <c r="B2071" s="3" t="s">
        <v>3420</v>
      </c>
      <c r="C2071" t="s">
        <v>3408</v>
      </c>
      <c r="D2071" s="3" t="s">
        <v>7329</v>
      </c>
      <c r="E2071" t="s">
        <v>3421</v>
      </c>
      <c r="F2071" s="3" t="s">
        <v>3422</v>
      </c>
      <c r="G2071" t="s">
        <v>19</v>
      </c>
      <c r="H2071" s="3" t="s">
        <v>23</v>
      </c>
      <c r="I2071" t="s">
        <v>67</v>
      </c>
      <c r="J2071" s="3" t="s">
        <v>3413</v>
      </c>
      <c r="K2071" s="4" t="s">
        <v>23</v>
      </c>
      <c r="L2071" s="5" t="s">
        <v>23</v>
      </c>
      <c r="M2071" s="6">
        <v>0</v>
      </c>
      <c r="N2071" s="7">
        <v>0</v>
      </c>
      <c r="O2071" t="s">
        <v>23</v>
      </c>
      <c r="P2071" s="3" t="s">
        <v>23</v>
      </c>
      <c r="Q2071" s="8" t="s">
        <v>23</v>
      </c>
    </row>
    <row r="2072" spans="1:17" hidden="1" x14ac:dyDescent="0.55000000000000004">
      <c r="A2072" s="3" t="s">
        <v>3406</v>
      </c>
      <c r="B2072" s="3" t="s">
        <v>3420</v>
      </c>
      <c r="C2072" t="s">
        <v>3408</v>
      </c>
      <c r="D2072" s="3" t="s">
        <v>7329</v>
      </c>
      <c r="E2072" t="s">
        <v>3421</v>
      </c>
      <c r="F2072" s="3" t="s">
        <v>3422</v>
      </c>
      <c r="G2072" t="s">
        <v>24</v>
      </c>
      <c r="H2072" s="3" t="s">
        <v>3423</v>
      </c>
      <c r="I2072" t="s">
        <v>37</v>
      </c>
      <c r="J2072" s="3" t="s">
        <v>3424</v>
      </c>
      <c r="K2072" s="4">
        <v>957</v>
      </c>
      <c r="L2072" s="5">
        <v>43.51</v>
      </c>
      <c r="M2072" s="6">
        <v>1</v>
      </c>
      <c r="N2072" s="7">
        <v>0</v>
      </c>
      <c r="O2072" t="s">
        <v>3425</v>
      </c>
      <c r="P2072" s="3" t="s">
        <v>40</v>
      </c>
      <c r="Q2072" s="8">
        <v>0.21973899999999999</v>
      </c>
    </row>
    <row r="2073" spans="1:17" hidden="1" x14ac:dyDescent="0.55000000000000004">
      <c r="A2073" s="3" t="s">
        <v>3406</v>
      </c>
      <c r="B2073" s="3" t="s">
        <v>3420</v>
      </c>
      <c r="C2073" t="s">
        <v>3408</v>
      </c>
      <c r="D2073" s="3" t="s">
        <v>7329</v>
      </c>
      <c r="E2073" t="s">
        <v>3421</v>
      </c>
      <c r="F2073" s="3" t="s">
        <v>3422</v>
      </c>
      <c r="G2073" t="s">
        <v>24</v>
      </c>
      <c r="H2073" s="3" t="s">
        <v>3426</v>
      </c>
      <c r="I2073" t="s">
        <v>43</v>
      </c>
      <c r="J2073" s="3" t="s">
        <v>3427</v>
      </c>
      <c r="K2073" s="4">
        <v>1058</v>
      </c>
      <c r="L2073" s="5">
        <v>48.1</v>
      </c>
      <c r="M2073" s="6">
        <v>0</v>
      </c>
      <c r="N2073" s="7">
        <v>0</v>
      </c>
      <c r="O2073" t="s">
        <v>3428</v>
      </c>
      <c r="P2073" s="3" t="s">
        <v>138</v>
      </c>
      <c r="Q2073" s="8">
        <v>0.204233</v>
      </c>
    </row>
    <row r="2074" spans="1:17" hidden="1" x14ac:dyDescent="0.55000000000000004">
      <c r="A2074" s="3" t="s">
        <v>3406</v>
      </c>
      <c r="B2074" s="3" t="s">
        <v>7366</v>
      </c>
      <c r="C2074" t="s">
        <v>3408</v>
      </c>
      <c r="D2074" s="3" t="s">
        <v>7329</v>
      </c>
      <c r="E2074" t="s">
        <v>3430</v>
      </c>
      <c r="F2074" s="3" t="s">
        <v>3431</v>
      </c>
      <c r="G2074" t="s">
        <v>19</v>
      </c>
      <c r="H2074" s="3" t="s">
        <v>23</v>
      </c>
      <c r="I2074" t="s">
        <v>67</v>
      </c>
      <c r="J2074" s="3" t="s">
        <v>3432</v>
      </c>
      <c r="K2074" s="4" t="s">
        <v>23</v>
      </c>
      <c r="L2074" s="5" t="s">
        <v>23</v>
      </c>
      <c r="M2074" s="6">
        <v>0</v>
      </c>
      <c r="N2074" s="7">
        <v>0</v>
      </c>
      <c r="O2074" t="s">
        <v>23</v>
      </c>
      <c r="P2074" s="3" t="s">
        <v>23</v>
      </c>
      <c r="Q2074" s="8" t="s">
        <v>23</v>
      </c>
    </row>
    <row r="2075" spans="1:17" hidden="1" x14ac:dyDescent="0.55000000000000004">
      <c r="A2075" s="3" t="s">
        <v>3406</v>
      </c>
      <c r="B2075" s="3" t="s">
        <v>7366</v>
      </c>
      <c r="C2075" t="s">
        <v>3408</v>
      </c>
      <c r="D2075" s="3" t="s">
        <v>7329</v>
      </c>
      <c r="E2075" t="s">
        <v>3430</v>
      </c>
      <c r="F2075" s="3" t="s">
        <v>3431</v>
      </c>
      <c r="G2075" t="s">
        <v>24</v>
      </c>
      <c r="H2075" s="3" t="s">
        <v>3433</v>
      </c>
      <c r="I2075" t="s">
        <v>37</v>
      </c>
      <c r="J2075" s="3" t="s">
        <v>3434</v>
      </c>
      <c r="K2075" s="4">
        <v>954</v>
      </c>
      <c r="L2075" s="5">
        <v>43.38</v>
      </c>
      <c r="M2075" s="6">
        <v>1</v>
      </c>
      <c r="N2075" s="7">
        <v>0</v>
      </c>
      <c r="O2075" t="s">
        <v>3435</v>
      </c>
      <c r="P2075" s="3" t="s">
        <v>40</v>
      </c>
      <c r="Q2075" s="8">
        <v>0.21970899999999999</v>
      </c>
    </row>
    <row r="2076" spans="1:17" hidden="1" x14ac:dyDescent="0.55000000000000004">
      <c r="A2076" s="3" t="s">
        <v>3406</v>
      </c>
      <c r="B2076" s="3" t="s">
        <v>7366</v>
      </c>
      <c r="C2076" t="s">
        <v>3408</v>
      </c>
      <c r="D2076" s="3" t="s">
        <v>7329</v>
      </c>
      <c r="E2076" t="s">
        <v>3430</v>
      </c>
      <c r="F2076" s="3" t="s">
        <v>3431</v>
      </c>
      <c r="G2076" t="s">
        <v>24</v>
      </c>
      <c r="H2076" s="3" t="s">
        <v>3436</v>
      </c>
      <c r="I2076" t="s">
        <v>43</v>
      </c>
      <c r="J2076" s="3" t="s">
        <v>3437</v>
      </c>
      <c r="K2076" s="4">
        <v>1056</v>
      </c>
      <c r="L2076" s="5">
        <v>48</v>
      </c>
      <c r="M2076" s="6">
        <v>0</v>
      </c>
      <c r="N2076" s="7">
        <v>0</v>
      </c>
      <c r="O2076" t="s">
        <v>3438</v>
      </c>
      <c r="P2076" s="3" t="s">
        <v>138</v>
      </c>
      <c r="Q2076" s="8">
        <v>0.204233</v>
      </c>
    </row>
    <row r="2077" spans="1:17" hidden="1" x14ac:dyDescent="0.55000000000000004">
      <c r="A2077" s="3" t="s">
        <v>3406</v>
      </c>
      <c r="B2077" s="3" t="s">
        <v>7366</v>
      </c>
      <c r="C2077" t="s">
        <v>3408</v>
      </c>
      <c r="D2077" s="3" t="s">
        <v>7329</v>
      </c>
      <c r="E2077" t="s">
        <v>3430</v>
      </c>
      <c r="F2077" s="3" t="s">
        <v>3431</v>
      </c>
      <c r="G2077" t="s">
        <v>24</v>
      </c>
      <c r="H2077" s="3" t="s">
        <v>3439</v>
      </c>
      <c r="I2077" t="s">
        <v>114</v>
      </c>
      <c r="J2077" s="3" t="s">
        <v>3440</v>
      </c>
      <c r="K2077" s="4">
        <v>674</v>
      </c>
      <c r="L2077" s="5">
        <v>0</v>
      </c>
      <c r="M2077" s="6">
        <v>0</v>
      </c>
      <c r="N2077" s="7">
        <v>0</v>
      </c>
      <c r="O2077" t="s">
        <v>23</v>
      </c>
      <c r="P2077" s="3" t="s">
        <v>23</v>
      </c>
      <c r="Q2077" s="8" t="s">
        <v>23</v>
      </c>
    </row>
    <row r="2078" spans="1:17" hidden="1" x14ac:dyDescent="0.55000000000000004">
      <c r="A2078" s="3" t="s">
        <v>3406</v>
      </c>
      <c r="B2078" s="3" t="s">
        <v>7366</v>
      </c>
      <c r="C2078" t="s">
        <v>3408</v>
      </c>
      <c r="D2078" s="3" t="s">
        <v>7329</v>
      </c>
      <c r="E2078" t="s">
        <v>3430</v>
      </c>
      <c r="F2078" s="3" t="s">
        <v>3431</v>
      </c>
      <c r="G2078" t="s">
        <v>24</v>
      </c>
      <c r="H2078" s="3" t="s">
        <v>3441</v>
      </c>
      <c r="I2078" t="s">
        <v>48</v>
      </c>
      <c r="J2078" s="3" t="s">
        <v>3440</v>
      </c>
      <c r="K2078" s="4">
        <v>735</v>
      </c>
      <c r="L2078" s="5">
        <v>0</v>
      </c>
      <c r="M2078" s="6">
        <v>0</v>
      </c>
      <c r="N2078" s="7">
        <v>0</v>
      </c>
      <c r="O2078" t="s">
        <v>23</v>
      </c>
      <c r="P2078" s="3" t="s">
        <v>23</v>
      </c>
      <c r="Q2078" s="8" t="s">
        <v>23</v>
      </c>
    </row>
    <row r="2079" spans="1:17" hidden="1" x14ac:dyDescent="0.55000000000000004">
      <c r="A2079" s="3" t="s">
        <v>3406</v>
      </c>
      <c r="B2079" s="3" t="s">
        <v>3429</v>
      </c>
      <c r="C2079" t="s">
        <v>3408</v>
      </c>
      <c r="D2079" s="3" t="s">
        <v>7329</v>
      </c>
      <c r="E2079" t="s">
        <v>3442</v>
      </c>
      <c r="F2079" s="3" t="s">
        <v>3443</v>
      </c>
      <c r="G2079" t="s">
        <v>19</v>
      </c>
      <c r="H2079" s="3" t="s">
        <v>3411</v>
      </c>
      <c r="I2079" t="s">
        <v>81</v>
      </c>
      <c r="J2079" s="3" t="s">
        <v>3412</v>
      </c>
      <c r="K2079" s="4">
        <v>1550</v>
      </c>
      <c r="L2079" s="5">
        <v>336.93</v>
      </c>
      <c r="M2079" s="6">
        <v>1</v>
      </c>
      <c r="N2079" s="7">
        <v>0</v>
      </c>
      <c r="O2079" t="s">
        <v>23</v>
      </c>
      <c r="P2079" s="3" t="s">
        <v>23</v>
      </c>
      <c r="Q2079" s="8" t="s">
        <v>23</v>
      </c>
    </row>
    <row r="2080" spans="1:17" hidden="1" x14ac:dyDescent="0.55000000000000004">
      <c r="A2080" s="3" t="s">
        <v>3406</v>
      </c>
      <c r="B2080" s="3" t="s">
        <v>3429</v>
      </c>
      <c r="C2080" t="s">
        <v>3408</v>
      </c>
      <c r="D2080" s="3" t="s">
        <v>7329</v>
      </c>
      <c r="E2080" t="s">
        <v>3442</v>
      </c>
      <c r="F2080" s="3" t="s">
        <v>3443</v>
      </c>
      <c r="G2080" t="s">
        <v>19</v>
      </c>
      <c r="H2080" s="3" t="s">
        <v>23</v>
      </c>
      <c r="I2080" t="s">
        <v>67</v>
      </c>
      <c r="J2080" s="3" t="s">
        <v>3413</v>
      </c>
      <c r="K2080" s="4" t="s">
        <v>23</v>
      </c>
      <c r="L2080" s="5" t="s">
        <v>23</v>
      </c>
      <c r="M2080" s="6">
        <v>0</v>
      </c>
      <c r="N2080" s="7">
        <v>0</v>
      </c>
      <c r="O2080" t="s">
        <v>23</v>
      </c>
      <c r="P2080" s="3" t="s">
        <v>23</v>
      </c>
      <c r="Q2080" s="8" t="s">
        <v>23</v>
      </c>
    </row>
    <row r="2081" spans="1:17" hidden="1" x14ac:dyDescent="0.55000000000000004">
      <c r="A2081" s="3" t="s">
        <v>3406</v>
      </c>
      <c r="B2081" s="3" t="s">
        <v>3429</v>
      </c>
      <c r="C2081" t="s">
        <v>3408</v>
      </c>
      <c r="D2081" s="3" t="s">
        <v>7329</v>
      </c>
      <c r="E2081" t="s">
        <v>3442</v>
      </c>
      <c r="F2081" s="3" t="s">
        <v>3443</v>
      </c>
      <c r="G2081" t="s">
        <v>24</v>
      </c>
      <c r="H2081" s="3" t="s">
        <v>3433</v>
      </c>
      <c r="I2081" t="s">
        <v>37</v>
      </c>
      <c r="J2081" s="3" t="s">
        <v>3434</v>
      </c>
      <c r="K2081" s="4">
        <v>954</v>
      </c>
      <c r="L2081" s="5">
        <v>43.38</v>
      </c>
      <c r="M2081" s="6">
        <v>1</v>
      </c>
      <c r="N2081" s="7">
        <v>0</v>
      </c>
      <c r="O2081" t="s">
        <v>3435</v>
      </c>
      <c r="P2081" s="3" t="s">
        <v>40</v>
      </c>
      <c r="Q2081" s="8">
        <v>0.21970899999999999</v>
      </c>
    </row>
    <row r="2082" spans="1:17" hidden="1" x14ac:dyDescent="0.55000000000000004">
      <c r="A2082" s="3" t="s">
        <v>3406</v>
      </c>
      <c r="B2082" s="3" t="s">
        <v>3429</v>
      </c>
      <c r="C2082" t="s">
        <v>3408</v>
      </c>
      <c r="D2082" s="3" t="s">
        <v>7329</v>
      </c>
      <c r="E2082" t="s">
        <v>3442</v>
      </c>
      <c r="F2082" s="3" t="s">
        <v>3443</v>
      </c>
      <c r="G2082" t="s">
        <v>24</v>
      </c>
      <c r="H2082" s="3" t="s">
        <v>3436</v>
      </c>
      <c r="I2082" t="s">
        <v>43</v>
      </c>
      <c r="J2082" s="3" t="s">
        <v>3437</v>
      </c>
      <c r="K2082" s="4">
        <v>1056</v>
      </c>
      <c r="L2082" s="5">
        <v>48</v>
      </c>
      <c r="M2082" s="6">
        <v>0</v>
      </c>
      <c r="N2082" s="7">
        <v>0</v>
      </c>
      <c r="O2082" t="s">
        <v>3438</v>
      </c>
      <c r="P2082" s="3" t="s">
        <v>138</v>
      </c>
      <c r="Q2082" s="8">
        <v>0.204233</v>
      </c>
    </row>
    <row r="2083" spans="1:17" hidden="1" x14ac:dyDescent="0.55000000000000004">
      <c r="A2083" s="3" t="s">
        <v>3406</v>
      </c>
      <c r="B2083" s="3" t="s">
        <v>3429</v>
      </c>
      <c r="C2083" t="s">
        <v>3408</v>
      </c>
      <c r="D2083" s="3" t="s">
        <v>7329</v>
      </c>
      <c r="E2083" t="s">
        <v>3442</v>
      </c>
      <c r="F2083" s="3" t="s">
        <v>3443</v>
      </c>
      <c r="G2083" t="s">
        <v>24</v>
      </c>
      <c r="H2083" s="3" t="s">
        <v>3439</v>
      </c>
      <c r="I2083" t="s">
        <v>114</v>
      </c>
      <c r="J2083" s="3" t="s">
        <v>3440</v>
      </c>
      <c r="K2083" s="4">
        <v>674</v>
      </c>
      <c r="L2083" s="5">
        <v>0</v>
      </c>
      <c r="M2083" s="6">
        <v>0</v>
      </c>
      <c r="N2083" s="7">
        <v>0</v>
      </c>
      <c r="O2083" t="s">
        <v>23</v>
      </c>
      <c r="P2083" s="3" t="s">
        <v>23</v>
      </c>
      <c r="Q2083" s="8" t="s">
        <v>23</v>
      </c>
    </row>
    <row r="2084" spans="1:17" hidden="1" x14ac:dyDescent="0.55000000000000004">
      <c r="A2084" s="3" t="s">
        <v>3406</v>
      </c>
      <c r="B2084" s="3" t="s">
        <v>3429</v>
      </c>
      <c r="C2084" t="s">
        <v>3408</v>
      </c>
      <c r="D2084" s="3" t="s">
        <v>7329</v>
      </c>
      <c r="E2084" t="s">
        <v>3442</v>
      </c>
      <c r="F2084" s="3" t="s">
        <v>3443</v>
      </c>
      <c r="G2084" t="s">
        <v>24</v>
      </c>
      <c r="H2084" s="3" t="s">
        <v>3441</v>
      </c>
      <c r="I2084" t="s">
        <v>48</v>
      </c>
      <c r="J2084" s="3" t="s">
        <v>3440</v>
      </c>
      <c r="K2084" s="4">
        <v>735</v>
      </c>
      <c r="L2084" s="5">
        <v>0</v>
      </c>
      <c r="M2084" s="6">
        <v>0</v>
      </c>
      <c r="N2084" s="7">
        <v>0</v>
      </c>
      <c r="O2084" t="s">
        <v>23</v>
      </c>
      <c r="P2084" s="3" t="s">
        <v>23</v>
      </c>
      <c r="Q2084" s="8" t="s">
        <v>23</v>
      </c>
    </row>
    <row r="2085" spans="1:17" hidden="1" x14ac:dyDescent="0.55000000000000004">
      <c r="A2085" s="3" t="s">
        <v>3406</v>
      </c>
      <c r="B2085" s="3" t="s">
        <v>3429</v>
      </c>
      <c r="C2085" t="s">
        <v>3408</v>
      </c>
      <c r="D2085" s="3" t="s">
        <v>7329</v>
      </c>
      <c r="E2085" t="s">
        <v>3444</v>
      </c>
      <c r="F2085" s="3" t="s">
        <v>3445</v>
      </c>
      <c r="G2085" t="s">
        <v>19</v>
      </c>
      <c r="H2085" s="3" t="s">
        <v>23</v>
      </c>
      <c r="I2085" t="s">
        <v>67</v>
      </c>
      <c r="J2085" s="3" t="s">
        <v>3432</v>
      </c>
      <c r="K2085" s="4" t="s">
        <v>23</v>
      </c>
      <c r="L2085" s="5" t="s">
        <v>23</v>
      </c>
      <c r="M2085" s="6">
        <v>0</v>
      </c>
      <c r="N2085" s="7">
        <v>0</v>
      </c>
      <c r="O2085" t="s">
        <v>23</v>
      </c>
      <c r="P2085" s="3" t="s">
        <v>23</v>
      </c>
      <c r="Q2085" s="8" t="s">
        <v>23</v>
      </c>
    </row>
    <row r="2086" spans="1:17" hidden="1" x14ac:dyDescent="0.55000000000000004">
      <c r="A2086" s="3" t="s">
        <v>3406</v>
      </c>
      <c r="B2086" s="3" t="s">
        <v>3429</v>
      </c>
      <c r="C2086" t="s">
        <v>3408</v>
      </c>
      <c r="D2086" s="3" t="s">
        <v>7329</v>
      </c>
      <c r="E2086" t="s">
        <v>3444</v>
      </c>
      <c r="F2086" s="3" t="s">
        <v>3445</v>
      </c>
      <c r="G2086" t="s">
        <v>24</v>
      </c>
      <c r="H2086" s="3" t="s">
        <v>3433</v>
      </c>
      <c r="I2086" t="s">
        <v>37</v>
      </c>
      <c r="J2086" s="3" t="s">
        <v>3434</v>
      </c>
      <c r="K2086" s="4">
        <v>954</v>
      </c>
      <c r="L2086" s="5">
        <v>43.38</v>
      </c>
      <c r="M2086" s="6">
        <v>1</v>
      </c>
      <c r="N2086" s="7">
        <v>0</v>
      </c>
      <c r="O2086" t="s">
        <v>3435</v>
      </c>
      <c r="P2086" s="3" t="s">
        <v>40</v>
      </c>
      <c r="Q2086" s="8">
        <v>0.21970899999999999</v>
      </c>
    </row>
    <row r="2087" spans="1:17" hidden="1" x14ac:dyDescent="0.55000000000000004">
      <c r="A2087" s="3" t="s">
        <v>3406</v>
      </c>
      <c r="B2087" s="3" t="s">
        <v>3429</v>
      </c>
      <c r="C2087" t="s">
        <v>3408</v>
      </c>
      <c r="D2087" s="3" t="s">
        <v>7329</v>
      </c>
      <c r="E2087" t="s">
        <v>3444</v>
      </c>
      <c r="F2087" s="3" t="s">
        <v>3445</v>
      </c>
      <c r="G2087" t="s">
        <v>24</v>
      </c>
      <c r="H2087" s="3" t="s">
        <v>3436</v>
      </c>
      <c r="I2087" t="s">
        <v>43</v>
      </c>
      <c r="J2087" s="3" t="s">
        <v>3437</v>
      </c>
      <c r="K2087" s="4">
        <v>1056</v>
      </c>
      <c r="L2087" s="5">
        <v>48</v>
      </c>
      <c r="M2087" s="6">
        <v>0</v>
      </c>
      <c r="N2087" s="7">
        <v>0</v>
      </c>
      <c r="O2087" t="s">
        <v>3438</v>
      </c>
      <c r="P2087" s="3" t="s">
        <v>138</v>
      </c>
      <c r="Q2087" s="8">
        <v>0.204233</v>
      </c>
    </row>
    <row r="2088" spans="1:17" hidden="1" x14ac:dyDescent="0.55000000000000004">
      <c r="A2088" s="3" t="s">
        <v>3406</v>
      </c>
      <c r="B2088" s="3" t="s">
        <v>3429</v>
      </c>
      <c r="C2088" t="s">
        <v>3408</v>
      </c>
      <c r="D2088" s="3" t="s">
        <v>7329</v>
      </c>
      <c r="E2088" t="s">
        <v>3444</v>
      </c>
      <c r="F2088" s="3" t="s">
        <v>3445</v>
      </c>
      <c r="G2088" t="s">
        <v>24</v>
      </c>
      <c r="H2088" s="3" t="s">
        <v>3439</v>
      </c>
      <c r="I2088" t="s">
        <v>114</v>
      </c>
      <c r="J2088" s="3" t="s">
        <v>3440</v>
      </c>
      <c r="K2088" s="4">
        <v>674</v>
      </c>
      <c r="L2088" s="5">
        <v>0</v>
      </c>
      <c r="M2088" s="6">
        <v>0</v>
      </c>
      <c r="N2088" s="7">
        <v>0</v>
      </c>
      <c r="O2088" t="s">
        <v>23</v>
      </c>
      <c r="P2088" s="3" t="s">
        <v>23</v>
      </c>
      <c r="Q2088" s="8" t="s">
        <v>23</v>
      </c>
    </row>
    <row r="2089" spans="1:17" hidden="1" x14ac:dyDescent="0.55000000000000004">
      <c r="A2089" s="3" t="s">
        <v>3406</v>
      </c>
      <c r="B2089" s="3" t="s">
        <v>3429</v>
      </c>
      <c r="C2089" t="s">
        <v>3408</v>
      </c>
      <c r="D2089" s="3" t="s">
        <v>7329</v>
      </c>
      <c r="E2089" t="s">
        <v>3444</v>
      </c>
      <c r="F2089" s="3" t="s">
        <v>3445</v>
      </c>
      <c r="G2089" t="s">
        <v>24</v>
      </c>
      <c r="H2089" s="3" t="s">
        <v>3441</v>
      </c>
      <c r="I2089" t="s">
        <v>48</v>
      </c>
      <c r="J2089" s="3" t="s">
        <v>3440</v>
      </c>
      <c r="K2089" s="4">
        <v>735</v>
      </c>
      <c r="L2089" s="5">
        <v>0</v>
      </c>
      <c r="M2089" s="6">
        <v>0</v>
      </c>
      <c r="N2089" s="7">
        <v>0</v>
      </c>
      <c r="O2089" t="s">
        <v>23</v>
      </c>
      <c r="P2089" s="3" t="s">
        <v>23</v>
      </c>
      <c r="Q2089" s="8" t="s">
        <v>23</v>
      </c>
    </row>
    <row r="2090" spans="1:17" hidden="1" x14ac:dyDescent="0.55000000000000004">
      <c r="A2090" s="3" t="s">
        <v>3406</v>
      </c>
      <c r="B2090" s="3" t="s">
        <v>3429</v>
      </c>
      <c r="C2090" t="s">
        <v>3408</v>
      </c>
      <c r="D2090" s="3" t="s">
        <v>7329</v>
      </c>
      <c r="E2090" t="s">
        <v>3446</v>
      </c>
      <c r="F2090" s="3" t="s">
        <v>3447</v>
      </c>
      <c r="G2090" t="s">
        <v>19</v>
      </c>
      <c r="H2090" s="3" t="s">
        <v>3411</v>
      </c>
      <c r="I2090" t="s">
        <v>81</v>
      </c>
      <c r="J2090" s="3" t="s">
        <v>3412</v>
      </c>
      <c r="K2090" s="4">
        <v>1550</v>
      </c>
      <c r="L2090" s="5">
        <v>336.93</v>
      </c>
      <c r="M2090" s="6">
        <v>1</v>
      </c>
      <c r="N2090" s="7">
        <v>0</v>
      </c>
      <c r="O2090" t="s">
        <v>23</v>
      </c>
      <c r="P2090" s="3" t="s">
        <v>23</v>
      </c>
      <c r="Q2090" s="8" t="s">
        <v>23</v>
      </c>
    </row>
    <row r="2091" spans="1:17" hidden="1" x14ac:dyDescent="0.55000000000000004">
      <c r="A2091" s="3" t="s">
        <v>3406</v>
      </c>
      <c r="B2091" s="3" t="s">
        <v>3429</v>
      </c>
      <c r="C2091" t="s">
        <v>3408</v>
      </c>
      <c r="D2091" s="3" t="s">
        <v>7329</v>
      </c>
      <c r="E2091" t="s">
        <v>3446</v>
      </c>
      <c r="F2091" s="3" t="s">
        <v>3447</v>
      </c>
      <c r="G2091" t="s">
        <v>19</v>
      </c>
      <c r="H2091" s="3" t="s">
        <v>23</v>
      </c>
      <c r="I2091" t="s">
        <v>67</v>
      </c>
      <c r="J2091" s="3" t="s">
        <v>3413</v>
      </c>
      <c r="K2091" s="4" t="s">
        <v>23</v>
      </c>
      <c r="L2091" s="5" t="s">
        <v>23</v>
      </c>
      <c r="M2091" s="6">
        <v>0</v>
      </c>
      <c r="N2091" s="7">
        <v>0</v>
      </c>
      <c r="O2091" t="s">
        <v>23</v>
      </c>
      <c r="P2091" s="3" t="s">
        <v>23</v>
      </c>
      <c r="Q2091" s="8" t="s">
        <v>23</v>
      </c>
    </row>
    <row r="2092" spans="1:17" hidden="1" x14ac:dyDescent="0.55000000000000004">
      <c r="A2092" s="3" t="s">
        <v>3406</v>
      </c>
      <c r="B2092" s="3" t="s">
        <v>3429</v>
      </c>
      <c r="C2092" t="s">
        <v>3408</v>
      </c>
      <c r="D2092" s="3" t="s">
        <v>7329</v>
      </c>
      <c r="E2092" t="s">
        <v>3446</v>
      </c>
      <c r="F2092" s="3" t="s">
        <v>3447</v>
      </c>
      <c r="G2092" t="s">
        <v>24</v>
      </c>
      <c r="H2092" s="3" t="s">
        <v>3433</v>
      </c>
      <c r="I2092" t="s">
        <v>37</v>
      </c>
      <c r="J2092" s="3" t="s">
        <v>3434</v>
      </c>
      <c r="K2092" s="4">
        <v>954</v>
      </c>
      <c r="L2092" s="5">
        <v>43.38</v>
      </c>
      <c r="M2092" s="6">
        <v>1</v>
      </c>
      <c r="N2092" s="7">
        <v>0</v>
      </c>
      <c r="O2092" t="s">
        <v>3435</v>
      </c>
      <c r="P2092" s="3" t="s">
        <v>40</v>
      </c>
      <c r="Q2092" s="8">
        <v>0.21970899999999999</v>
      </c>
    </row>
    <row r="2093" spans="1:17" hidden="1" x14ac:dyDescent="0.55000000000000004">
      <c r="A2093" s="3" t="s">
        <v>3406</v>
      </c>
      <c r="B2093" s="3" t="s">
        <v>3429</v>
      </c>
      <c r="C2093" t="s">
        <v>3408</v>
      </c>
      <c r="D2093" s="3" t="s">
        <v>7329</v>
      </c>
      <c r="E2093" t="s">
        <v>3446</v>
      </c>
      <c r="F2093" s="3" t="s">
        <v>3447</v>
      </c>
      <c r="G2093" t="s">
        <v>24</v>
      </c>
      <c r="H2093" s="3" t="s">
        <v>3436</v>
      </c>
      <c r="I2093" t="s">
        <v>43</v>
      </c>
      <c r="J2093" s="3" t="s">
        <v>3437</v>
      </c>
      <c r="K2093" s="4">
        <v>1056</v>
      </c>
      <c r="L2093" s="5">
        <v>48</v>
      </c>
      <c r="M2093" s="6">
        <v>0</v>
      </c>
      <c r="N2093" s="7">
        <v>0</v>
      </c>
      <c r="O2093" t="s">
        <v>3438</v>
      </c>
      <c r="P2093" s="3" t="s">
        <v>138</v>
      </c>
      <c r="Q2093" s="8">
        <v>0.204233</v>
      </c>
    </row>
    <row r="2094" spans="1:17" hidden="1" x14ac:dyDescent="0.55000000000000004">
      <c r="A2094" s="3" t="s">
        <v>3406</v>
      </c>
      <c r="B2094" s="3" t="s">
        <v>3429</v>
      </c>
      <c r="C2094" t="s">
        <v>3408</v>
      </c>
      <c r="D2094" s="3" t="s">
        <v>7329</v>
      </c>
      <c r="E2094" t="s">
        <v>3446</v>
      </c>
      <c r="F2094" s="3" t="s">
        <v>3447</v>
      </c>
      <c r="G2094" t="s">
        <v>24</v>
      </c>
      <c r="H2094" s="3" t="s">
        <v>3439</v>
      </c>
      <c r="I2094" t="s">
        <v>114</v>
      </c>
      <c r="J2094" s="3" t="s">
        <v>3440</v>
      </c>
      <c r="K2094" s="4">
        <v>674</v>
      </c>
      <c r="L2094" s="5">
        <v>0</v>
      </c>
      <c r="M2094" s="6">
        <v>0</v>
      </c>
      <c r="N2094" s="7">
        <v>0</v>
      </c>
      <c r="O2094" t="s">
        <v>23</v>
      </c>
      <c r="P2094" s="3" t="s">
        <v>23</v>
      </c>
      <c r="Q2094" s="8" t="s">
        <v>23</v>
      </c>
    </row>
    <row r="2095" spans="1:17" hidden="1" x14ac:dyDescent="0.55000000000000004">
      <c r="A2095" s="3" t="s">
        <v>3406</v>
      </c>
      <c r="B2095" s="3" t="s">
        <v>3429</v>
      </c>
      <c r="C2095" t="s">
        <v>3408</v>
      </c>
      <c r="D2095" s="3" t="s">
        <v>7329</v>
      </c>
      <c r="E2095" t="s">
        <v>3446</v>
      </c>
      <c r="F2095" s="3" t="s">
        <v>3447</v>
      </c>
      <c r="G2095" t="s">
        <v>24</v>
      </c>
      <c r="H2095" s="3" t="s">
        <v>3441</v>
      </c>
      <c r="I2095" t="s">
        <v>48</v>
      </c>
      <c r="J2095" s="3" t="s">
        <v>3440</v>
      </c>
      <c r="K2095" s="4">
        <v>735</v>
      </c>
      <c r="L2095" s="5">
        <v>0</v>
      </c>
      <c r="M2095" s="6">
        <v>0</v>
      </c>
      <c r="N2095" s="7">
        <v>0</v>
      </c>
      <c r="O2095" t="s">
        <v>23</v>
      </c>
      <c r="P2095" s="3" t="s">
        <v>23</v>
      </c>
      <c r="Q2095" s="8" t="s">
        <v>23</v>
      </c>
    </row>
    <row r="2096" spans="1:17" hidden="1" x14ac:dyDescent="0.55000000000000004">
      <c r="A2096" s="3" t="s">
        <v>3406</v>
      </c>
      <c r="B2096" s="3" t="s">
        <v>3429</v>
      </c>
      <c r="C2096" t="s">
        <v>3408</v>
      </c>
      <c r="D2096" s="3" t="s">
        <v>7329</v>
      </c>
      <c r="E2096" t="s">
        <v>3448</v>
      </c>
      <c r="F2096" s="3" t="s">
        <v>3449</v>
      </c>
      <c r="G2096" t="s">
        <v>19</v>
      </c>
      <c r="H2096" s="3" t="s">
        <v>3411</v>
      </c>
      <c r="I2096" t="s">
        <v>81</v>
      </c>
      <c r="J2096" s="3" t="s">
        <v>3412</v>
      </c>
      <c r="K2096" s="4">
        <v>1550</v>
      </c>
      <c r="L2096" s="5">
        <v>336.93</v>
      </c>
      <c r="M2096" s="6">
        <v>1</v>
      </c>
      <c r="N2096" s="7">
        <v>0</v>
      </c>
      <c r="O2096" t="s">
        <v>23</v>
      </c>
      <c r="P2096" s="3" t="s">
        <v>23</v>
      </c>
      <c r="Q2096" s="8" t="s">
        <v>23</v>
      </c>
    </row>
    <row r="2097" spans="1:17" hidden="1" x14ac:dyDescent="0.55000000000000004">
      <c r="A2097" s="3" t="s">
        <v>3406</v>
      </c>
      <c r="B2097" s="3" t="s">
        <v>3429</v>
      </c>
      <c r="C2097" t="s">
        <v>3408</v>
      </c>
      <c r="D2097" s="3" t="s">
        <v>7329</v>
      </c>
      <c r="E2097" t="s">
        <v>3448</v>
      </c>
      <c r="F2097" s="3" t="s">
        <v>3449</v>
      </c>
      <c r="G2097" t="s">
        <v>19</v>
      </c>
      <c r="H2097" s="3" t="s">
        <v>23</v>
      </c>
      <c r="I2097" t="s">
        <v>67</v>
      </c>
      <c r="J2097" s="3" t="s">
        <v>3413</v>
      </c>
      <c r="K2097" s="4" t="s">
        <v>23</v>
      </c>
      <c r="L2097" s="5" t="s">
        <v>23</v>
      </c>
      <c r="M2097" s="6">
        <v>0</v>
      </c>
      <c r="N2097" s="7">
        <v>0</v>
      </c>
      <c r="O2097" t="s">
        <v>23</v>
      </c>
      <c r="P2097" s="3" t="s">
        <v>23</v>
      </c>
      <c r="Q2097" s="8" t="s">
        <v>23</v>
      </c>
    </row>
    <row r="2098" spans="1:17" hidden="1" x14ac:dyDescent="0.55000000000000004">
      <c r="A2098" s="3" t="s">
        <v>3406</v>
      </c>
      <c r="B2098" s="3" t="s">
        <v>3429</v>
      </c>
      <c r="C2098" t="s">
        <v>3408</v>
      </c>
      <c r="D2098" s="3" t="s">
        <v>7329</v>
      </c>
      <c r="E2098" t="s">
        <v>3448</v>
      </c>
      <c r="F2098" s="3" t="s">
        <v>3449</v>
      </c>
      <c r="G2098" t="s">
        <v>24</v>
      </c>
      <c r="H2098" s="3" t="s">
        <v>3433</v>
      </c>
      <c r="I2098" t="s">
        <v>37</v>
      </c>
      <c r="J2098" s="3" t="s">
        <v>3434</v>
      </c>
      <c r="K2098" s="4">
        <v>954</v>
      </c>
      <c r="L2098" s="5">
        <v>43.38</v>
      </c>
      <c r="M2098" s="6">
        <v>1</v>
      </c>
      <c r="N2098" s="7">
        <v>0</v>
      </c>
      <c r="O2098" t="s">
        <v>3435</v>
      </c>
      <c r="P2098" s="3" t="s">
        <v>40</v>
      </c>
      <c r="Q2098" s="8">
        <v>0.21970899999999999</v>
      </c>
    </row>
    <row r="2099" spans="1:17" hidden="1" x14ac:dyDescent="0.55000000000000004">
      <c r="A2099" s="3" t="s">
        <v>3406</v>
      </c>
      <c r="B2099" s="3" t="s">
        <v>3429</v>
      </c>
      <c r="C2099" t="s">
        <v>3408</v>
      </c>
      <c r="D2099" s="3" t="s">
        <v>7329</v>
      </c>
      <c r="E2099" t="s">
        <v>3448</v>
      </c>
      <c r="F2099" s="3" t="s">
        <v>3449</v>
      </c>
      <c r="G2099" t="s">
        <v>24</v>
      </c>
      <c r="H2099" s="3" t="s">
        <v>3436</v>
      </c>
      <c r="I2099" t="s">
        <v>43</v>
      </c>
      <c r="J2099" s="3" t="s">
        <v>3437</v>
      </c>
      <c r="K2099" s="4">
        <v>1056</v>
      </c>
      <c r="L2099" s="5">
        <v>48</v>
      </c>
      <c r="M2099" s="6">
        <v>0</v>
      </c>
      <c r="N2099" s="7">
        <v>0</v>
      </c>
      <c r="O2099" t="s">
        <v>3438</v>
      </c>
      <c r="P2099" s="3" t="s">
        <v>138</v>
      </c>
      <c r="Q2099" s="8">
        <v>0.204233</v>
      </c>
    </row>
    <row r="2100" spans="1:17" hidden="1" x14ac:dyDescent="0.55000000000000004">
      <c r="A2100" s="3" t="s">
        <v>3406</v>
      </c>
      <c r="B2100" s="3" t="s">
        <v>3408</v>
      </c>
      <c r="C2100" t="s">
        <v>3408</v>
      </c>
      <c r="D2100" s="3" t="s">
        <v>7329</v>
      </c>
      <c r="E2100" t="s">
        <v>3450</v>
      </c>
      <c r="F2100" s="3" t="s">
        <v>3451</v>
      </c>
      <c r="G2100" t="s">
        <v>19</v>
      </c>
      <c r="H2100" s="3" t="s">
        <v>3411</v>
      </c>
      <c r="I2100" t="s">
        <v>81</v>
      </c>
      <c r="J2100" s="3" t="s">
        <v>3412</v>
      </c>
      <c r="K2100" s="4">
        <v>1550</v>
      </c>
      <c r="L2100" s="5">
        <v>336.93</v>
      </c>
      <c r="M2100" s="6">
        <v>1</v>
      </c>
      <c r="N2100" s="7">
        <v>0</v>
      </c>
      <c r="O2100" t="s">
        <v>23</v>
      </c>
      <c r="P2100" s="3" t="s">
        <v>23</v>
      </c>
      <c r="Q2100" s="8" t="s">
        <v>23</v>
      </c>
    </row>
    <row r="2101" spans="1:17" hidden="1" x14ac:dyDescent="0.55000000000000004">
      <c r="A2101" s="3" t="s">
        <v>3406</v>
      </c>
      <c r="B2101" s="3" t="s">
        <v>3408</v>
      </c>
      <c r="C2101" t="s">
        <v>3408</v>
      </c>
      <c r="D2101" s="3" t="s">
        <v>7329</v>
      </c>
      <c r="E2101" t="s">
        <v>3450</v>
      </c>
      <c r="F2101" s="3" t="s">
        <v>3451</v>
      </c>
      <c r="G2101" t="s">
        <v>19</v>
      </c>
      <c r="H2101" s="3" t="s">
        <v>23</v>
      </c>
      <c r="I2101" t="s">
        <v>67</v>
      </c>
      <c r="J2101" s="3" t="s">
        <v>3413</v>
      </c>
      <c r="K2101" s="4" t="s">
        <v>23</v>
      </c>
      <c r="L2101" s="5" t="s">
        <v>23</v>
      </c>
      <c r="M2101" s="6">
        <v>0</v>
      </c>
      <c r="N2101" s="7">
        <v>0</v>
      </c>
      <c r="O2101" t="s">
        <v>23</v>
      </c>
      <c r="P2101" s="3" t="s">
        <v>23</v>
      </c>
      <c r="Q2101" s="8" t="s">
        <v>23</v>
      </c>
    </row>
    <row r="2102" spans="1:17" hidden="1" x14ac:dyDescent="0.55000000000000004">
      <c r="A2102" s="3" t="s">
        <v>3406</v>
      </c>
      <c r="B2102" s="3" t="s">
        <v>3408</v>
      </c>
      <c r="C2102" t="s">
        <v>3408</v>
      </c>
      <c r="D2102" s="3" t="s">
        <v>7329</v>
      </c>
      <c r="E2102" t="s">
        <v>3450</v>
      </c>
      <c r="F2102" s="3" t="s">
        <v>3451</v>
      </c>
      <c r="G2102" t="s">
        <v>24</v>
      </c>
      <c r="H2102" s="3" t="s">
        <v>3452</v>
      </c>
      <c r="I2102" t="s">
        <v>37</v>
      </c>
      <c r="J2102" s="3" t="s">
        <v>3453</v>
      </c>
      <c r="K2102" s="4">
        <v>958</v>
      </c>
      <c r="L2102" s="5">
        <v>43.53</v>
      </c>
      <c r="M2102" s="6">
        <v>1</v>
      </c>
      <c r="N2102" s="7">
        <v>0</v>
      </c>
      <c r="O2102" t="s">
        <v>3454</v>
      </c>
      <c r="P2102" s="3" t="s">
        <v>40</v>
      </c>
      <c r="Q2102" s="8">
        <v>0.21974299999999999</v>
      </c>
    </row>
    <row r="2103" spans="1:17" hidden="1" x14ac:dyDescent="0.55000000000000004">
      <c r="A2103" s="3" t="s">
        <v>3406</v>
      </c>
      <c r="B2103" s="3" t="s">
        <v>3408</v>
      </c>
      <c r="C2103" t="s">
        <v>3408</v>
      </c>
      <c r="D2103" s="3" t="s">
        <v>7329</v>
      </c>
      <c r="E2103" t="s">
        <v>3450</v>
      </c>
      <c r="F2103" s="3" t="s">
        <v>3451</v>
      </c>
      <c r="G2103" t="s">
        <v>24</v>
      </c>
      <c r="H2103" s="3" t="s">
        <v>3455</v>
      </c>
      <c r="I2103" t="s">
        <v>37</v>
      </c>
      <c r="J2103" s="3" t="s">
        <v>3456</v>
      </c>
      <c r="K2103" s="4">
        <v>744</v>
      </c>
      <c r="L2103" s="5">
        <v>0</v>
      </c>
      <c r="M2103" s="6">
        <v>0</v>
      </c>
      <c r="N2103" s="7">
        <v>0</v>
      </c>
      <c r="O2103" t="s">
        <v>23</v>
      </c>
      <c r="P2103" s="3" t="s">
        <v>23</v>
      </c>
      <c r="Q2103" s="8" t="s">
        <v>23</v>
      </c>
    </row>
    <row r="2104" spans="1:17" hidden="1" x14ac:dyDescent="0.55000000000000004">
      <c r="A2104" s="3" t="s">
        <v>3406</v>
      </c>
      <c r="B2104" s="3" t="s">
        <v>3408</v>
      </c>
      <c r="C2104" t="s">
        <v>3408</v>
      </c>
      <c r="D2104" s="3" t="s">
        <v>7329</v>
      </c>
      <c r="E2104" t="s">
        <v>3450</v>
      </c>
      <c r="F2104" s="3" t="s">
        <v>3451</v>
      </c>
      <c r="G2104" t="s">
        <v>24</v>
      </c>
      <c r="H2104" s="3" t="s">
        <v>3457</v>
      </c>
      <c r="I2104" t="s">
        <v>105</v>
      </c>
      <c r="J2104" s="3" t="s">
        <v>3456</v>
      </c>
      <c r="K2104" s="4">
        <v>674</v>
      </c>
      <c r="L2104" s="5">
        <v>0</v>
      </c>
      <c r="M2104" s="6">
        <v>0</v>
      </c>
      <c r="N2104" s="7">
        <v>0</v>
      </c>
      <c r="O2104" t="s">
        <v>23</v>
      </c>
      <c r="P2104" s="3" t="s">
        <v>23</v>
      </c>
      <c r="Q2104" s="8" t="s">
        <v>23</v>
      </c>
    </row>
    <row r="2105" spans="1:17" hidden="1" x14ac:dyDescent="0.55000000000000004">
      <c r="A2105" s="3" t="s">
        <v>3406</v>
      </c>
      <c r="B2105" s="3" t="s">
        <v>3408</v>
      </c>
      <c r="C2105" t="s">
        <v>3408</v>
      </c>
      <c r="D2105" s="3" t="s">
        <v>7329</v>
      </c>
      <c r="E2105" t="s">
        <v>3450</v>
      </c>
      <c r="F2105" s="3" t="s">
        <v>3451</v>
      </c>
      <c r="G2105" t="s">
        <v>24</v>
      </c>
      <c r="H2105" s="3" t="s">
        <v>3458</v>
      </c>
      <c r="I2105" t="s">
        <v>43</v>
      </c>
      <c r="J2105" s="3" t="s">
        <v>3459</v>
      </c>
      <c r="K2105" s="4">
        <v>1061</v>
      </c>
      <c r="L2105" s="5">
        <v>48.24</v>
      </c>
      <c r="M2105" s="6">
        <v>0</v>
      </c>
      <c r="N2105" s="7">
        <v>0</v>
      </c>
      <c r="O2105" t="s">
        <v>3460</v>
      </c>
      <c r="P2105" s="3" t="s">
        <v>138</v>
      </c>
      <c r="Q2105" s="8">
        <v>0.204233</v>
      </c>
    </row>
    <row r="2106" spans="1:17" hidden="1" x14ac:dyDescent="0.55000000000000004">
      <c r="A2106" s="3" t="s">
        <v>3406</v>
      </c>
      <c r="B2106" s="3" t="s">
        <v>3408</v>
      </c>
      <c r="C2106" t="s">
        <v>3408</v>
      </c>
      <c r="D2106" s="3" t="s">
        <v>7329</v>
      </c>
      <c r="E2106" t="s">
        <v>3461</v>
      </c>
      <c r="F2106" s="3" t="s">
        <v>3462</v>
      </c>
      <c r="G2106" t="s">
        <v>19</v>
      </c>
      <c r="H2106" s="3" t="s">
        <v>3411</v>
      </c>
      <c r="I2106" t="s">
        <v>81</v>
      </c>
      <c r="J2106" s="3" t="s">
        <v>3412</v>
      </c>
      <c r="K2106" s="4">
        <v>1550</v>
      </c>
      <c r="L2106" s="5">
        <v>336.93</v>
      </c>
      <c r="M2106" s="6">
        <v>1</v>
      </c>
      <c r="N2106" s="7">
        <v>0</v>
      </c>
      <c r="O2106" t="s">
        <v>23</v>
      </c>
      <c r="P2106" s="3" t="s">
        <v>23</v>
      </c>
      <c r="Q2106" s="8" t="s">
        <v>23</v>
      </c>
    </row>
    <row r="2107" spans="1:17" hidden="1" x14ac:dyDescent="0.55000000000000004">
      <c r="A2107" s="3" t="s">
        <v>3406</v>
      </c>
      <c r="B2107" s="3" t="s">
        <v>3408</v>
      </c>
      <c r="C2107" t="s">
        <v>3408</v>
      </c>
      <c r="D2107" s="3" t="s">
        <v>7329</v>
      </c>
      <c r="E2107" t="s">
        <v>3461</v>
      </c>
      <c r="F2107" s="3" t="s">
        <v>3462</v>
      </c>
      <c r="G2107" t="s">
        <v>19</v>
      </c>
      <c r="H2107" s="3" t="s">
        <v>23</v>
      </c>
      <c r="I2107" t="s">
        <v>67</v>
      </c>
      <c r="J2107" s="3" t="s">
        <v>3413</v>
      </c>
      <c r="K2107" s="4" t="s">
        <v>23</v>
      </c>
      <c r="L2107" s="5" t="s">
        <v>23</v>
      </c>
      <c r="M2107" s="6">
        <v>0</v>
      </c>
      <c r="N2107" s="7">
        <v>0</v>
      </c>
      <c r="O2107" t="s">
        <v>23</v>
      </c>
      <c r="P2107" s="3" t="s">
        <v>23</v>
      </c>
      <c r="Q2107" s="8" t="s">
        <v>23</v>
      </c>
    </row>
    <row r="2108" spans="1:17" hidden="1" x14ac:dyDescent="0.55000000000000004">
      <c r="A2108" s="3" t="s">
        <v>3406</v>
      </c>
      <c r="B2108" s="3" t="s">
        <v>3408</v>
      </c>
      <c r="C2108" t="s">
        <v>3408</v>
      </c>
      <c r="D2108" s="3" t="s">
        <v>7329</v>
      </c>
      <c r="E2108" t="s">
        <v>3461</v>
      </c>
      <c r="F2108" s="3" t="s">
        <v>3462</v>
      </c>
      <c r="G2108" t="s">
        <v>24</v>
      </c>
      <c r="H2108" s="3" t="s">
        <v>3452</v>
      </c>
      <c r="I2108" t="s">
        <v>37</v>
      </c>
      <c r="J2108" s="3" t="s">
        <v>3453</v>
      </c>
      <c r="K2108" s="4">
        <v>958</v>
      </c>
      <c r="L2108" s="5">
        <v>43.53</v>
      </c>
      <c r="M2108" s="6">
        <v>1</v>
      </c>
      <c r="N2108" s="7">
        <v>0</v>
      </c>
      <c r="O2108" t="s">
        <v>3454</v>
      </c>
      <c r="P2108" s="3" t="s">
        <v>40</v>
      </c>
      <c r="Q2108" s="8">
        <v>0.21974299999999999</v>
      </c>
    </row>
    <row r="2109" spans="1:17" hidden="1" x14ac:dyDescent="0.55000000000000004">
      <c r="A2109" s="3" t="s">
        <v>3406</v>
      </c>
      <c r="B2109" s="3" t="s">
        <v>3408</v>
      </c>
      <c r="C2109" t="s">
        <v>3408</v>
      </c>
      <c r="D2109" s="3" t="s">
        <v>7329</v>
      </c>
      <c r="E2109" t="s">
        <v>3461</v>
      </c>
      <c r="F2109" s="3" t="s">
        <v>3462</v>
      </c>
      <c r="G2109" t="s">
        <v>24</v>
      </c>
      <c r="H2109" s="3" t="s">
        <v>3455</v>
      </c>
      <c r="I2109" t="s">
        <v>37</v>
      </c>
      <c r="J2109" s="3" t="s">
        <v>3456</v>
      </c>
      <c r="K2109" s="4">
        <v>744</v>
      </c>
      <c r="L2109" s="5">
        <v>0</v>
      </c>
      <c r="M2109" s="6">
        <v>0</v>
      </c>
      <c r="N2109" s="7">
        <v>0</v>
      </c>
      <c r="O2109" t="s">
        <v>23</v>
      </c>
      <c r="P2109" s="3" t="s">
        <v>23</v>
      </c>
      <c r="Q2109" s="8" t="s">
        <v>23</v>
      </c>
    </row>
    <row r="2110" spans="1:17" hidden="1" x14ac:dyDescent="0.55000000000000004">
      <c r="A2110" s="3" t="s">
        <v>3406</v>
      </c>
      <c r="B2110" s="3" t="s">
        <v>3408</v>
      </c>
      <c r="C2110" t="s">
        <v>3408</v>
      </c>
      <c r="D2110" s="3" t="s">
        <v>7329</v>
      </c>
      <c r="E2110" t="s">
        <v>3461</v>
      </c>
      <c r="F2110" s="3" t="s">
        <v>3462</v>
      </c>
      <c r="G2110" t="s">
        <v>24</v>
      </c>
      <c r="H2110" s="3" t="s">
        <v>3457</v>
      </c>
      <c r="I2110" t="s">
        <v>105</v>
      </c>
      <c r="J2110" s="3" t="s">
        <v>3456</v>
      </c>
      <c r="K2110" s="4">
        <v>674</v>
      </c>
      <c r="L2110" s="5">
        <v>0</v>
      </c>
      <c r="M2110" s="6">
        <v>0</v>
      </c>
      <c r="N2110" s="7">
        <v>0</v>
      </c>
      <c r="O2110" t="s">
        <v>23</v>
      </c>
      <c r="P2110" s="3" t="s">
        <v>23</v>
      </c>
      <c r="Q2110" s="8" t="s">
        <v>23</v>
      </c>
    </row>
    <row r="2111" spans="1:17" hidden="1" x14ac:dyDescent="0.55000000000000004">
      <c r="A2111" s="3" t="s">
        <v>3406</v>
      </c>
      <c r="B2111" s="3" t="s">
        <v>3408</v>
      </c>
      <c r="C2111" t="s">
        <v>3408</v>
      </c>
      <c r="D2111" s="3" t="s">
        <v>7329</v>
      </c>
      <c r="E2111" t="s">
        <v>3461</v>
      </c>
      <c r="F2111" s="3" t="s">
        <v>3462</v>
      </c>
      <c r="G2111" t="s">
        <v>24</v>
      </c>
      <c r="H2111" s="3" t="s">
        <v>3458</v>
      </c>
      <c r="I2111" t="s">
        <v>43</v>
      </c>
      <c r="J2111" s="3" t="s">
        <v>3459</v>
      </c>
      <c r="K2111" s="4">
        <v>1061</v>
      </c>
      <c r="L2111" s="5">
        <v>48.24</v>
      </c>
      <c r="M2111" s="6">
        <v>0</v>
      </c>
      <c r="N2111" s="7">
        <v>0</v>
      </c>
      <c r="O2111" t="s">
        <v>3460</v>
      </c>
      <c r="P2111" s="3" t="s">
        <v>138</v>
      </c>
      <c r="Q2111" s="8">
        <v>0.204233</v>
      </c>
    </row>
    <row r="2112" spans="1:17" hidden="1" x14ac:dyDescent="0.55000000000000004">
      <c r="A2112" s="3" t="s">
        <v>3406</v>
      </c>
      <c r="B2112" s="3" t="s">
        <v>3408</v>
      </c>
      <c r="C2112" t="s">
        <v>3408</v>
      </c>
      <c r="D2112" s="3" t="s">
        <v>7329</v>
      </c>
      <c r="E2112" t="s">
        <v>3463</v>
      </c>
      <c r="F2112" s="3" t="s">
        <v>3464</v>
      </c>
      <c r="G2112" t="s">
        <v>19</v>
      </c>
      <c r="H2112" s="3" t="s">
        <v>3411</v>
      </c>
      <c r="I2112" t="s">
        <v>81</v>
      </c>
      <c r="J2112" s="3" t="s">
        <v>3412</v>
      </c>
      <c r="K2112" s="4">
        <v>1550</v>
      </c>
      <c r="L2112" s="5">
        <v>336.93</v>
      </c>
      <c r="M2112" s="6">
        <v>1</v>
      </c>
      <c r="N2112" s="7">
        <v>0</v>
      </c>
      <c r="O2112" t="s">
        <v>23</v>
      </c>
      <c r="P2112" s="3" t="s">
        <v>23</v>
      </c>
      <c r="Q2112" s="8" t="s">
        <v>23</v>
      </c>
    </row>
    <row r="2113" spans="1:17" hidden="1" x14ac:dyDescent="0.55000000000000004">
      <c r="A2113" s="3" t="s">
        <v>3406</v>
      </c>
      <c r="B2113" s="3" t="s">
        <v>3408</v>
      </c>
      <c r="C2113" t="s">
        <v>3408</v>
      </c>
      <c r="D2113" s="3" t="s">
        <v>7329</v>
      </c>
      <c r="E2113" t="s">
        <v>3463</v>
      </c>
      <c r="F2113" s="3" t="s">
        <v>3464</v>
      </c>
      <c r="G2113" t="s">
        <v>19</v>
      </c>
      <c r="H2113" s="3" t="s">
        <v>23</v>
      </c>
      <c r="I2113" t="s">
        <v>67</v>
      </c>
      <c r="J2113" s="3" t="s">
        <v>3413</v>
      </c>
      <c r="K2113" s="4" t="s">
        <v>23</v>
      </c>
      <c r="L2113" s="5" t="s">
        <v>23</v>
      </c>
      <c r="M2113" s="6">
        <v>0</v>
      </c>
      <c r="N2113" s="7">
        <v>0</v>
      </c>
      <c r="O2113" t="s">
        <v>23</v>
      </c>
      <c r="P2113" s="3" t="s">
        <v>23</v>
      </c>
      <c r="Q2113" s="8" t="s">
        <v>23</v>
      </c>
    </row>
    <row r="2114" spans="1:17" hidden="1" x14ac:dyDescent="0.55000000000000004">
      <c r="A2114" s="3" t="s">
        <v>3406</v>
      </c>
      <c r="B2114" s="3" t="s">
        <v>3408</v>
      </c>
      <c r="C2114" t="s">
        <v>3408</v>
      </c>
      <c r="D2114" s="3" t="s">
        <v>7329</v>
      </c>
      <c r="E2114" t="s">
        <v>3463</v>
      </c>
      <c r="F2114" s="3" t="s">
        <v>3464</v>
      </c>
      <c r="G2114" t="s">
        <v>24</v>
      </c>
      <c r="H2114" s="3" t="s">
        <v>3452</v>
      </c>
      <c r="I2114" t="s">
        <v>37</v>
      </c>
      <c r="J2114" s="3" t="s">
        <v>3453</v>
      </c>
      <c r="K2114" s="4">
        <v>958</v>
      </c>
      <c r="L2114" s="5">
        <v>43.53</v>
      </c>
      <c r="M2114" s="6">
        <v>1</v>
      </c>
      <c r="N2114" s="7">
        <v>0</v>
      </c>
      <c r="O2114" t="s">
        <v>3454</v>
      </c>
      <c r="P2114" s="3" t="s">
        <v>40</v>
      </c>
      <c r="Q2114" s="8">
        <v>0.21974299999999999</v>
      </c>
    </row>
    <row r="2115" spans="1:17" hidden="1" x14ac:dyDescent="0.55000000000000004">
      <c r="A2115" s="3" t="s">
        <v>3406</v>
      </c>
      <c r="B2115" s="3" t="s">
        <v>3408</v>
      </c>
      <c r="C2115" t="s">
        <v>3408</v>
      </c>
      <c r="D2115" s="3" t="s">
        <v>7329</v>
      </c>
      <c r="E2115" t="s">
        <v>3463</v>
      </c>
      <c r="F2115" s="3" t="s">
        <v>3464</v>
      </c>
      <c r="G2115" t="s">
        <v>24</v>
      </c>
      <c r="H2115" s="3" t="s">
        <v>3455</v>
      </c>
      <c r="I2115" t="s">
        <v>37</v>
      </c>
      <c r="J2115" s="3" t="s">
        <v>3456</v>
      </c>
      <c r="K2115" s="4">
        <v>744</v>
      </c>
      <c r="L2115" s="5">
        <v>0</v>
      </c>
      <c r="M2115" s="6">
        <v>0</v>
      </c>
      <c r="N2115" s="7">
        <v>0</v>
      </c>
      <c r="O2115" t="s">
        <v>23</v>
      </c>
      <c r="P2115" s="3" t="s">
        <v>23</v>
      </c>
      <c r="Q2115" s="8" t="s">
        <v>23</v>
      </c>
    </row>
    <row r="2116" spans="1:17" hidden="1" x14ac:dyDescent="0.55000000000000004">
      <c r="A2116" s="3" t="s">
        <v>3406</v>
      </c>
      <c r="B2116" s="3" t="s">
        <v>3408</v>
      </c>
      <c r="C2116" t="s">
        <v>3408</v>
      </c>
      <c r="D2116" s="3" t="s">
        <v>7329</v>
      </c>
      <c r="E2116" t="s">
        <v>3463</v>
      </c>
      <c r="F2116" s="3" t="s">
        <v>3464</v>
      </c>
      <c r="G2116" t="s">
        <v>24</v>
      </c>
      <c r="H2116" s="3" t="s">
        <v>3457</v>
      </c>
      <c r="I2116" t="s">
        <v>105</v>
      </c>
      <c r="J2116" s="3" t="s">
        <v>3456</v>
      </c>
      <c r="K2116" s="4">
        <v>674</v>
      </c>
      <c r="L2116" s="5">
        <v>0</v>
      </c>
      <c r="M2116" s="6">
        <v>0</v>
      </c>
      <c r="N2116" s="7">
        <v>0</v>
      </c>
      <c r="O2116" t="s">
        <v>23</v>
      </c>
      <c r="P2116" s="3" t="s">
        <v>23</v>
      </c>
      <c r="Q2116" s="8" t="s">
        <v>23</v>
      </c>
    </row>
    <row r="2117" spans="1:17" hidden="1" x14ac:dyDescent="0.55000000000000004">
      <c r="A2117" s="3" t="s">
        <v>3406</v>
      </c>
      <c r="B2117" s="3" t="s">
        <v>3408</v>
      </c>
      <c r="C2117" t="s">
        <v>3408</v>
      </c>
      <c r="D2117" s="3" t="s">
        <v>7329</v>
      </c>
      <c r="E2117" t="s">
        <v>3463</v>
      </c>
      <c r="F2117" s="3" t="s">
        <v>3464</v>
      </c>
      <c r="G2117" t="s">
        <v>24</v>
      </c>
      <c r="H2117" s="3" t="s">
        <v>3458</v>
      </c>
      <c r="I2117" t="s">
        <v>43</v>
      </c>
      <c r="J2117" s="3" t="s">
        <v>3459</v>
      </c>
      <c r="K2117" s="4">
        <v>1061</v>
      </c>
      <c r="L2117" s="5">
        <v>48.24</v>
      </c>
      <c r="M2117" s="6">
        <v>0</v>
      </c>
      <c r="N2117" s="7">
        <v>0</v>
      </c>
      <c r="O2117" t="s">
        <v>3460</v>
      </c>
      <c r="P2117" s="3" t="s">
        <v>138</v>
      </c>
      <c r="Q2117" s="8">
        <v>0.204233</v>
      </c>
    </row>
    <row r="2118" spans="1:17" hidden="1" x14ac:dyDescent="0.55000000000000004">
      <c r="A2118" s="3" t="s">
        <v>3406</v>
      </c>
      <c r="B2118" s="3" t="s">
        <v>3465</v>
      </c>
      <c r="C2118" t="s">
        <v>3465</v>
      </c>
      <c r="D2118" s="3" t="s">
        <v>7329</v>
      </c>
      <c r="E2118" t="s">
        <v>3466</v>
      </c>
      <c r="F2118" s="3" t="s">
        <v>3467</v>
      </c>
      <c r="G2118" t="s">
        <v>19</v>
      </c>
      <c r="H2118" s="3" t="s">
        <v>3468</v>
      </c>
      <c r="I2118" t="s">
        <v>81</v>
      </c>
      <c r="J2118" s="3" t="s">
        <v>3469</v>
      </c>
      <c r="K2118" s="4">
        <v>1476</v>
      </c>
      <c r="L2118" s="5">
        <v>320.89</v>
      </c>
      <c r="M2118" s="6">
        <v>1</v>
      </c>
      <c r="N2118" s="7">
        <v>0</v>
      </c>
      <c r="O2118" t="s">
        <v>23</v>
      </c>
      <c r="P2118" s="3" t="s">
        <v>23</v>
      </c>
      <c r="Q2118" s="8" t="s">
        <v>23</v>
      </c>
    </row>
    <row r="2119" spans="1:17" hidden="1" x14ac:dyDescent="0.55000000000000004">
      <c r="A2119" s="3" t="s">
        <v>3406</v>
      </c>
      <c r="B2119" s="3" t="s">
        <v>3465</v>
      </c>
      <c r="C2119" t="s">
        <v>3465</v>
      </c>
      <c r="D2119" s="3" t="s">
        <v>7329</v>
      </c>
      <c r="E2119" t="s">
        <v>3466</v>
      </c>
      <c r="F2119" s="3" t="s">
        <v>3467</v>
      </c>
      <c r="G2119" t="s">
        <v>19</v>
      </c>
      <c r="H2119" s="3" t="s">
        <v>23</v>
      </c>
      <c r="I2119" t="s">
        <v>67</v>
      </c>
      <c r="J2119" s="3" t="s">
        <v>3470</v>
      </c>
      <c r="K2119" s="4" t="s">
        <v>23</v>
      </c>
      <c r="L2119" s="5" t="s">
        <v>23</v>
      </c>
      <c r="M2119" s="6">
        <v>0</v>
      </c>
      <c r="N2119" s="7">
        <v>0</v>
      </c>
      <c r="O2119" t="s">
        <v>23</v>
      </c>
      <c r="P2119" s="3" t="s">
        <v>23</v>
      </c>
      <c r="Q2119" s="8" t="s">
        <v>23</v>
      </c>
    </row>
    <row r="2120" spans="1:17" hidden="1" x14ac:dyDescent="0.55000000000000004">
      <c r="A2120" s="3" t="s">
        <v>3406</v>
      </c>
      <c r="B2120" s="3" t="s">
        <v>3465</v>
      </c>
      <c r="C2120" t="s">
        <v>3465</v>
      </c>
      <c r="D2120" s="3" t="s">
        <v>7329</v>
      </c>
      <c r="E2120" t="s">
        <v>3466</v>
      </c>
      <c r="F2120" s="3" t="s">
        <v>3467</v>
      </c>
      <c r="G2120" t="s">
        <v>24</v>
      </c>
      <c r="H2120" s="3" t="s">
        <v>3471</v>
      </c>
      <c r="I2120" t="s">
        <v>37</v>
      </c>
      <c r="J2120" s="3" t="s">
        <v>3472</v>
      </c>
      <c r="K2120" s="4">
        <v>905</v>
      </c>
      <c r="L2120" s="5">
        <v>41.12</v>
      </c>
      <c r="M2120" s="6">
        <v>1</v>
      </c>
      <c r="N2120" s="7">
        <v>0</v>
      </c>
      <c r="O2120" t="s">
        <v>3473</v>
      </c>
      <c r="P2120" s="3" t="s">
        <v>40</v>
      </c>
      <c r="Q2120" s="8">
        <v>0.21921399999999999</v>
      </c>
    </row>
    <row r="2121" spans="1:17" hidden="1" x14ac:dyDescent="0.55000000000000004">
      <c r="A2121" s="3" t="s">
        <v>3406</v>
      </c>
      <c r="B2121" s="3" t="s">
        <v>3465</v>
      </c>
      <c r="C2121" t="s">
        <v>3465</v>
      </c>
      <c r="D2121" s="3" t="s">
        <v>7329</v>
      </c>
      <c r="E2121" t="s">
        <v>3466</v>
      </c>
      <c r="F2121" s="3" t="s">
        <v>3467</v>
      </c>
      <c r="G2121" t="s">
        <v>24</v>
      </c>
      <c r="H2121" s="3" t="s">
        <v>3474</v>
      </c>
      <c r="I2121" t="s">
        <v>43</v>
      </c>
      <c r="J2121" s="3" t="s">
        <v>3475</v>
      </c>
      <c r="K2121" s="4">
        <v>990</v>
      </c>
      <c r="L2121" s="5">
        <v>45.01</v>
      </c>
      <c r="M2121" s="6">
        <v>0</v>
      </c>
      <c r="N2121" s="7">
        <v>0</v>
      </c>
      <c r="O2121" t="s">
        <v>3476</v>
      </c>
      <c r="P2121" s="3" t="s">
        <v>138</v>
      </c>
      <c r="Q2121" s="8">
        <v>0.20219999999999999</v>
      </c>
    </row>
    <row r="2122" spans="1:17" hidden="1" x14ac:dyDescent="0.55000000000000004">
      <c r="A2122" s="3" t="s">
        <v>3406</v>
      </c>
      <c r="B2122" s="3" t="s">
        <v>3465</v>
      </c>
      <c r="C2122" t="s">
        <v>3465</v>
      </c>
      <c r="D2122" s="3" t="s">
        <v>7329</v>
      </c>
      <c r="E2122" t="s">
        <v>3477</v>
      </c>
      <c r="F2122" s="3" t="s">
        <v>3478</v>
      </c>
      <c r="G2122" t="s">
        <v>19</v>
      </c>
      <c r="H2122" s="3" t="s">
        <v>3468</v>
      </c>
      <c r="I2122" t="s">
        <v>81</v>
      </c>
      <c r="J2122" s="3" t="s">
        <v>3469</v>
      </c>
      <c r="K2122" s="4">
        <v>1476</v>
      </c>
      <c r="L2122" s="5">
        <v>320.89</v>
      </c>
      <c r="M2122" s="6">
        <v>1</v>
      </c>
      <c r="N2122" s="7">
        <v>0</v>
      </c>
      <c r="O2122" t="s">
        <v>23</v>
      </c>
      <c r="P2122" s="3" t="s">
        <v>23</v>
      </c>
      <c r="Q2122" s="8" t="s">
        <v>23</v>
      </c>
    </row>
    <row r="2123" spans="1:17" hidden="1" x14ac:dyDescent="0.55000000000000004">
      <c r="A2123" s="3" t="s">
        <v>3406</v>
      </c>
      <c r="B2123" s="3" t="s">
        <v>3465</v>
      </c>
      <c r="C2123" t="s">
        <v>3465</v>
      </c>
      <c r="D2123" s="3" t="s">
        <v>7329</v>
      </c>
      <c r="E2123" t="s">
        <v>3477</v>
      </c>
      <c r="F2123" s="3" t="s">
        <v>3478</v>
      </c>
      <c r="G2123" t="s">
        <v>19</v>
      </c>
      <c r="H2123" s="3" t="s">
        <v>23</v>
      </c>
      <c r="I2123" t="s">
        <v>67</v>
      </c>
      <c r="J2123" s="3" t="s">
        <v>3470</v>
      </c>
      <c r="K2123" s="4" t="s">
        <v>23</v>
      </c>
      <c r="L2123" s="5" t="s">
        <v>23</v>
      </c>
      <c r="M2123" s="6">
        <v>0</v>
      </c>
      <c r="N2123" s="7">
        <v>0</v>
      </c>
      <c r="O2123" t="s">
        <v>23</v>
      </c>
      <c r="P2123" s="3" t="s">
        <v>23</v>
      </c>
      <c r="Q2123" s="8" t="s">
        <v>23</v>
      </c>
    </row>
    <row r="2124" spans="1:17" hidden="1" x14ac:dyDescent="0.55000000000000004">
      <c r="A2124" s="3" t="s">
        <v>3406</v>
      </c>
      <c r="B2124" s="3" t="s">
        <v>3465</v>
      </c>
      <c r="C2124" t="s">
        <v>3465</v>
      </c>
      <c r="D2124" s="3" t="s">
        <v>7329</v>
      </c>
      <c r="E2124" t="s">
        <v>3477</v>
      </c>
      <c r="F2124" s="3" t="s">
        <v>3478</v>
      </c>
      <c r="G2124" t="s">
        <v>24</v>
      </c>
      <c r="H2124" s="3" t="s">
        <v>3471</v>
      </c>
      <c r="I2124" t="s">
        <v>37</v>
      </c>
      <c r="J2124" s="3" t="s">
        <v>3472</v>
      </c>
      <c r="K2124" s="4">
        <v>905</v>
      </c>
      <c r="L2124" s="5">
        <v>41.12</v>
      </c>
      <c r="M2124" s="6">
        <v>1</v>
      </c>
      <c r="N2124" s="7">
        <v>0</v>
      </c>
      <c r="O2124" t="s">
        <v>3473</v>
      </c>
      <c r="P2124" s="3" t="s">
        <v>40</v>
      </c>
      <c r="Q2124" s="8">
        <v>0.21921399999999999</v>
      </c>
    </row>
    <row r="2125" spans="1:17" hidden="1" x14ac:dyDescent="0.55000000000000004">
      <c r="A2125" s="3" t="s">
        <v>3406</v>
      </c>
      <c r="B2125" s="3" t="s">
        <v>3465</v>
      </c>
      <c r="C2125" t="s">
        <v>3465</v>
      </c>
      <c r="D2125" s="3" t="s">
        <v>7329</v>
      </c>
      <c r="E2125" t="s">
        <v>3477</v>
      </c>
      <c r="F2125" s="3" t="s">
        <v>3478</v>
      </c>
      <c r="G2125" t="s">
        <v>24</v>
      </c>
      <c r="H2125" s="3" t="s">
        <v>3474</v>
      </c>
      <c r="I2125" t="s">
        <v>43</v>
      </c>
      <c r="J2125" s="3" t="s">
        <v>3475</v>
      </c>
      <c r="K2125" s="4">
        <v>990</v>
      </c>
      <c r="L2125" s="5">
        <v>45.01</v>
      </c>
      <c r="M2125" s="6">
        <v>0</v>
      </c>
      <c r="N2125" s="7">
        <v>0</v>
      </c>
      <c r="O2125" t="s">
        <v>3476</v>
      </c>
      <c r="P2125" s="3" t="s">
        <v>138</v>
      </c>
      <c r="Q2125" s="8">
        <v>0.20219999999999999</v>
      </c>
    </row>
    <row r="2126" spans="1:17" hidden="1" x14ac:dyDescent="0.55000000000000004">
      <c r="A2126" s="3" t="s">
        <v>3406</v>
      </c>
      <c r="B2126" s="3" t="s">
        <v>3465</v>
      </c>
      <c r="C2126" t="s">
        <v>3465</v>
      </c>
      <c r="D2126" s="3" t="s">
        <v>7329</v>
      </c>
      <c r="E2126" t="s">
        <v>3479</v>
      </c>
      <c r="F2126" s="3" t="s">
        <v>3480</v>
      </c>
      <c r="G2126" t="s">
        <v>19</v>
      </c>
      <c r="H2126" s="3" t="s">
        <v>3468</v>
      </c>
      <c r="I2126" t="s">
        <v>81</v>
      </c>
      <c r="J2126" s="3" t="s">
        <v>3469</v>
      </c>
      <c r="K2126" s="4">
        <v>1476</v>
      </c>
      <c r="L2126" s="5">
        <v>320.89</v>
      </c>
      <c r="M2126" s="6">
        <v>1</v>
      </c>
      <c r="N2126" s="7">
        <v>0</v>
      </c>
      <c r="O2126" t="s">
        <v>23</v>
      </c>
      <c r="P2126" s="3" t="s">
        <v>23</v>
      </c>
      <c r="Q2126" s="8" t="s">
        <v>23</v>
      </c>
    </row>
    <row r="2127" spans="1:17" hidden="1" x14ac:dyDescent="0.55000000000000004">
      <c r="A2127" s="3" t="s">
        <v>3406</v>
      </c>
      <c r="B2127" s="3" t="s">
        <v>3465</v>
      </c>
      <c r="C2127" t="s">
        <v>3465</v>
      </c>
      <c r="D2127" s="3" t="s">
        <v>7329</v>
      </c>
      <c r="E2127" t="s">
        <v>3479</v>
      </c>
      <c r="F2127" s="3" t="s">
        <v>3480</v>
      </c>
      <c r="G2127" t="s">
        <v>19</v>
      </c>
      <c r="H2127" s="3" t="s">
        <v>23</v>
      </c>
      <c r="I2127" t="s">
        <v>67</v>
      </c>
      <c r="J2127" s="3" t="s">
        <v>3470</v>
      </c>
      <c r="K2127" s="4" t="s">
        <v>23</v>
      </c>
      <c r="L2127" s="5" t="s">
        <v>23</v>
      </c>
      <c r="M2127" s="6">
        <v>0</v>
      </c>
      <c r="N2127" s="7">
        <v>0</v>
      </c>
      <c r="O2127" t="s">
        <v>23</v>
      </c>
      <c r="P2127" s="3" t="s">
        <v>23</v>
      </c>
      <c r="Q2127" s="8" t="s">
        <v>23</v>
      </c>
    </row>
    <row r="2128" spans="1:17" hidden="1" x14ac:dyDescent="0.55000000000000004">
      <c r="A2128" s="3" t="s">
        <v>3406</v>
      </c>
      <c r="B2128" s="3" t="s">
        <v>3465</v>
      </c>
      <c r="C2128" t="s">
        <v>3465</v>
      </c>
      <c r="D2128" s="3" t="s">
        <v>7329</v>
      </c>
      <c r="E2128" t="s">
        <v>3479</v>
      </c>
      <c r="F2128" s="3" t="s">
        <v>3480</v>
      </c>
      <c r="G2128" t="s">
        <v>24</v>
      </c>
      <c r="H2128" s="3" t="s">
        <v>3471</v>
      </c>
      <c r="I2128" t="s">
        <v>37</v>
      </c>
      <c r="J2128" s="3" t="s">
        <v>3472</v>
      </c>
      <c r="K2128" s="4">
        <v>905</v>
      </c>
      <c r="L2128" s="5">
        <v>41.12</v>
      </c>
      <c r="M2128" s="6">
        <v>1</v>
      </c>
      <c r="N2128" s="7">
        <v>0</v>
      </c>
      <c r="O2128" t="s">
        <v>3473</v>
      </c>
      <c r="P2128" s="3" t="s">
        <v>40</v>
      </c>
      <c r="Q2128" s="8">
        <v>0.21921399999999999</v>
      </c>
    </row>
    <row r="2129" spans="1:17" hidden="1" x14ac:dyDescent="0.55000000000000004">
      <c r="A2129" s="3" t="s">
        <v>3406</v>
      </c>
      <c r="B2129" s="3" t="s">
        <v>3465</v>
      </c>
      <c r="C2129" t="s">
        <v>3465</v>
      </c>
      <c r="D2129" s="3" t="s">
        <v>7329</v>
      </c>
      <c r="E2129" t="s">
        <v>3479</v>
      </c>
      <c r="F2129" s="3" t="s">
        <v>3480</v>
      </c>
      <c r="G2129" t="s">
        <v>24</v>
      </c>
      <c r="H2129" s="3" t="s">
        <v>3474</v>
      </c>
      <c r="I2129" t="s">
        <v>43</v>
      </c>
      <c r="J2129" s="3" t="s">
        <v>3475</v>
      </c>
      <c r="K2129" s="4">
        <v>990</v>
      </c>
      <c r="L2129" s="5">
        <v>45.01</v>
      </c>
      <c r="M2129" s="6">
        <v>0</v>
      </c>
      <c r="N2129" s="7">
        <v>0</v>
      </c>
      <c r="O2129" t="s">
        <v>3476</v>
      </c>
      <c r="P2129" s="3" t="s">
        <v>138</v>
      </c>
      <c r="Q2129" s="8">
        <v>0.20219999999999999</v>
      </c>
    </row>
    <row r="2130" spans="1:17" hidden="1" x14ac:dyDescent="0.55000000000000004">
      <c r="A2130" s="3" t="s">
        <v>3406</v>
      </c>
      <c r="B2130" s="3" t="s">
        <v>3481</v>
      </c>
      <c r="C2130" t="s">
        <v>3481</v>
      </c>
      <c r="D2130" s="3" t="s">
        <v>7329</v>
      </c>
      <c r="E2130" t="s">
        <v>3482</v>
      </c>
      <c r="F2130" s="3" t="s">
        <v>3483</v>
      </c>
      <c r="G2130" t="s">
        <v>19</v>
      </c>
      <c r="H2130" s="3" t="s">
        <v>3484</v>
      </c>
      <c r="I2130" t="s">
        <v>81</v>
      </c>
      <c r="J2130" s="3" t="s">
        <v>3485</v>
      </c>
      <c r="K2130" s="4">
        <v>1498</v>
      </c>
      <c r="L2130" s="5">
        <v>325.64999999999998</v>
      </c>
      <c r="M2130" s="6">
        <v>1</v>
      </c>
      <c r="N2130" s="7">
        <v>1</v>
      </c>
      <c r="O2130" t="s">
        <v>3486</v>
      </c>
      <c r="P2130" s="3" t="s">
        <v>84</v>
      </c>
      <c r="Q2130" s="8">
        <v>6.9766999999999996E-2</v>
      </c>
    </row>
    <row r="2131" spans="1:17" hidden="1" x14ac:dyDescent="0.55000000000000004">
      <c r="A2131" s="3" t="s">
        <v>3406</v>
      </c>
      <c r="B2131" s="3" t="s">
        <v>3481</v>
      </c>
      <c r="C2131" t="s">
        <v>3481</v>
      </c>
      <c r="D2131" s="3" t="s">
        <v>7329</v>
      </c>
      <c r="E2131" t="s">
        <v>3482</v>
      </c>
      <c r="F2131" s="3" t="s">
        <v>3483</v>
      </c>
      <c r="G2131" t="s">
        <v>24</v>
      </c>
      <c r="H2131" s="3" t="s">
        <v>3487</v>
      </c>
      <c r="I2131" t="s">
        <v>37</v>
      </c>
      <c r="J2131" s="3" t="s">
        <v>3488</v>
      </c>
      <c r="K2131" s="4">
        <v>914</v>
      </c>
      <c r="L2131" s="5">
        <v>41.54</v>
      </c>
      <c r="M2131" s="6">
        <v>1</v>
      </c>
      <c r="N2131" s="7">
        <v>1</v>
      </c>
      <c r="O2131" t="s">
        <v>3489</v>
      </c>
      <c r="P2131" s="3" t="s">
        <v>40</v>
      </c>
      <c r="Q2131" s="8">
        <v>0.219304</v>
      </c>
    </row>
    <row r="2132" spans="1:17" hidden="1" x14ac:dyDescent="0.55000000000000004">
      <c r="A2132" s="3" t="s">
        <v>3406</v>
      </c>
      <c r="B2132" s="3" t="s">
        <v>3481</v>
      </c>
      <c r="C2132" t="s">
        <v>3481</v>
      </c>
      <c r="D2132" s="3" t="s">
        <v>7329</v>
      </c>
      <c r="E2132" t="s">
        <v>3482</v>
      </c>
      <c r="F2132" s="3" t="s">
        <v>3483</v>
      </c>
      <c r="G2132" t="s">
        <v>24</v>
      </c>
      <c r="H2132" s="3" t="s">
        <v>3490</v>
      </c>
      <c r="I2132" t="s">
        <v>43</v>
      </c>
      <c r="J2132" s="3" t="s">
        <v>3491</v>
      </c>
      <c r="K2132" s="4">
        <v>1002</v>
      </c>
      <c r="L2132" s="5">
        <v>45.57</v>
      </c>
      <c r="M2132" s="6">
        <v>0</v>
      </c>
      <c r="N2132" s="7">
        <v>1</v>
      </c>
      <c r="O2132" t="s">
        <v>3492</v>
      </c>
      <c r="P2132" s="3" t="s">
        <v>138</v>
      </c>
      <c r="Q2132" s="8">
        <v>0.20219999999999999</v>
      </c>
    </row>
    <row r="2133" spans="1:17" hidden="1" x14ac:dyDescent="0.55000000000000004">
      <c r="A2133" s="3" t="s">
        <v>3406</v>
      </c>
      <c r="B2133" s="3" t="s">
        <v>3493</v>
      </c>
      <c r="C2133" t="s">
        <v>3408</v>
      </c>
      <c r="D2133" s="3" t="s">
        <v>7329</v>
      </c>
      <c r="E2133" t="s">
        <v>3494</v>
      </c>
      <c r="F2133" s="3" t="s">
        <v>3495</v>
      </c>
      <c r="G2133" t="s">
        <v>19</v>
      </c>
      <c r="H2133" s="3" t="s">
        <v>3411</v>
      </c>
      <c r="I2133" t="s">
        <v>81</v>
      </c>
      <c r="J2133" s="3" t="s">
        <v>3412</v>
      </c>
      <c r="K2133" s="4">
        <v>1550</v>
      </c>
      <c r="L2133" s="5">
        <v>336.93</v>
      </c>
      <c r="M2133" s="6">
        <v>1</v>
      </c>
      <c r="N2133" s="7">
        <v>0</v>
      </c>
      <c r="O2133" t="s">
        <v>23</v>
      </c>
      <c r="P2133" s="3" t="s">
        <v>23</v>
      </c>
      <c r="Q2133" s="8" t="s">
        <v>23</v>
      </c>
    </row>
    <row r="2134" spans="1:17" hidden="1" x14ac:dyDescent="0.55000000000000004">
      <c r="A2134" s="3" t="s">
        <v>3406</v>
      </c>
      <c r="B2134" s="3" t="s">
        <v>3493</v>
      </c>
      <c r="C2134" t="s">
        <v>3408</v>
      </c>
      <c r="D2134" s="3" t="s">
        <v>7329</v>
      </c>
      <c r="E2134" t="s">
        <v>3494</v>
      </c>
      <c r="F2134" s="3" t="s">
        <v>3495</v>
      </c>
      <c r="G2134" t="s">
        <v>19</v>
      </c>
      <c r="H2134" s="3" t="s">
        <v>23</v>
      </c>
      <c r="I2134" t="s">
        <v>67</v>
      </c>
      <c r="J2134" s="3" t="s">
        <v>3413</v>
      </c>
      <c r="K2134" s="4" t="s">
        <v>23</v>
      </c>
      <c r="L2134" s="5" t="s">
        <v>23</v>
      </c>
      <c r="M2134" s="6">
        <v>0</v>
      </c>
      <c r="N2134" s="7">
        <v>0</v>
      </c>
      <c r="O2134" t="s">
        <v>23</v>
      </c>
      <c r="P2134" s="3" t="s">
        <v>23</v>
      </c>
      <c r="Q2134" s="8" t="s">
        <v>23</v>
      </c>
    </row>
    <row r="2135" spans="1:17" hidden="1" x14ac:dyDescent="0.55000000000000004">
      <c r="A2135" s="3" t="s">
        <v>3406</v>
      </c>
      <c r="B2135" s="3" t="s">
        <v>3493</v>
      </c>
      <c r="C2135" t="s">
        <v>3408</v>
      </c>
      <c r="D2135" s="3" t="s">
        <v>7329</v>
      </c>
      <c r="E2135" t="s">
        <v>3494</v>
      </c>
      <c r="F2135" s="3" t="s">
        <v>3495</v>
      </c>
      <c r="G2135" t="s">
        <v>24</v>
      </c>
      <c r="H2135" s="3" t="s">
        <v>3496</v>
      </c>
      <c r="I2135" t="s">
        <v>37</v>
      </c>
      <c r="J2135" s="3" t="s">
        <v>3497</v>
      </c>
      <c r="K2135" s="4">
        <v>955</v>
      </c>
      <c r="L2135" s="5">
        <v>43.42</v>
      </c>
      <c r="M2135" s="6">
        <v>1</v>
      </c>
      <c r="N2135" s="7">
        <v>0</v>
      </c>
      <c r="O2135" t="s">
        <v>3498</v>
      </c>
      <c r="P2135" s="3" t="s">
        <v>40</v>
      </c>
      <c r="Q2135" s="8">
        <v>0.219719</v>
      </c>
    </row>
    <row r="2136" spans="1:17" hidden="1" x14ac:dyDescent="0.55000000000000004">
      <c r="A2136" s="3" t="s">
        <v>3406</v>
      </c>
      <c r="B2136" s="3" t="s">
        <v>3493</v>
      </c>
      <c r="C2136" t="s">
        <v>3408</v>
      </c>
      <c r="D2136" s="3" t="s">
        <v>7329</v>
      </c>
      <c r="E2136" t="s">
        <v>3494</v>
      </c>
      <c r="F2136" s="3" t="s">
        <v>3495</v>
      </c>
      <c r="G2136" t="s">
        <v>24</v>
      </c>
      <c r="H2136" s="3" t="s">
        <v>3455</v>
      </c>
      <c r="I2136" t="s">
        <v>37</v>
      </c>
      <c r="J2136" s="3" t="s">
        <v>3456</v>
      </c>
      <c r="K2136" s="4">
        <v>744</v>
      </c>
      <c r="L2136" s="5">
        <v>0</v>
      </c>
      <c r="M2136" s="6">
        <v>0</v>
      </c>
      <c r="N2136" s="7">
        <v>0</v>
      </c>
      <c r="O2136" t="s">
        <v>23</v>
      </c>
      <c r="P2136" s="3" t="s">
        <v>23</v>
      </c>
      <c r="Q2136" s="8" t="s">
        <v>23</v>
      </c>
    </row>
    <row r="2137" spans="1:17" hidden="1" x14ac:dyDescent="0.55000000000000004">
      <c r="A2137" s="3" t="s">
        <v>3406</v>
      </c>
      <c r="B2137" s="3" t="s">
        <v>3493</v>
      </c>
      <c r="C2137" t="s">
        <v>3408</v>
      </c>
      <c r="D2137" s="3" t="s">
        <v>7329</v>
      </c>
      <c r="E2137" t="s">
        <v>3494</v>
      </c>
      <c r="F2137" s="3" t="s">
        <v>3495</v>
      </c>
      <c r="G2137" t="s">
        <v>24</v>
      </c>
      <c r="H2137" s="3" t="s">
        <v>3457</v>
      </c>
      <c r="I2137" t="s">
        <v>105</v>
      </c>
      <c r="J2137" s="3" t="s">
        <v>3456</v>
      </c>
      <c r="K2137" s="4">
        <v>674</v>
      </c>
      <c r="L2137" s="5">
        <v>0</v>
      </c>
      <c r="M2137" s="6">
        <v>0</v>
      </c>
      <c r="N2137" s="7">
        <v>0</v>
      </c>
      <c r="O2137" t="s">
        <v>23</v>
      </c>
      <c r="P2137" s="3" t="s">
        <v>23</v>
      </c>
      <c r="Q2137" s="8" t="s">
        <v>23</v>
      </c>
    </row>
    <row r="2138" spans="1:17" hidden="1" x14ac:dyDescent="0.55000000000000004">
      <c r="A2138" s="3" t="s">
        <v>3406</v>
      </c>
      <c r="B2138" s="3" t="s">
        <v>3493</v>
      </c>
      <c r="C2138" t="s">
        <v>3408</v>
      </c>
      <c r="D2138" s="3" t="s">
        <v>7329</v>
      </c>
      <c r="E2138" t="s">
        <v>3494</v>
      </c>
      <c r="F2138" s="3" t="s">
        <v>3495</v>
      </c>
      <c r="G2138" t="s">
        <v>24</v>
      </c>
      <c r="H2138" s="3" t="s">
        <v>3499</v>
      </c>
      <c r="I2138" t="s">
        <v>43</v>
      </c>
      <c r="J2138" s="3" t="s">
        <v>3500</v>
      </c>
      <c r="K2138" s="4">
        <v>1055</v>
      </c>
      <c r="L2138" s="5">
        <v>47.95</v>
      </c>
      <c r="M2138" s="6">
        <v>0</v>
      </c>
      <c r="N2138" s="7">
        <v>0</v>
      </c>
      <c r="O2138" t="s">
        <v>3501</v>
      </c>
      <c r="P2138" s="3" t="s">
        <v>138</v>
      </c>
      <c r="Q2138" s="8">
        <v>0.204233</v>
      </c>
    </row>
    <row r="2139" spans="1:17" hidden="1" x14ac:dyDescent="0.55000000000000004">
      <c r="A2139" s="3" t="s">
        <v>3406</v>
      </c>
      <c r="B2139" s="3" t="s">
        <v>3502</v>
      </c>
      <c r="C2139" t="s">
        <v>3408</v>
      </c>
      <c r="D2139" s="3" t="s">
        <v>7329</v>
      </c>
      <c r="E2139" t="s">
        <v>3503</v>
      </c>
      <c r="F2139" s="3" t="s">
        <v>3504</v>
      </c>
      <c r="G2139" t="s">
        <v>19</v>
      </c>
      <c r="H2139" s="3" t="s">
        <v>3411</v>
      </c>
      <c r="I2139" t="s">
        <v>81</v>
      </c>
      <c r="J2139" s="3" t="s">
        <v>3412</v>
      </c>
      <c r="K2139" s="4">
        <v>1550</v>
      </c>
      <c r="L2139" s="5">
        <v>336.93</v>
      </c>
      <c r="M2139" s="6">
        <v>1</v>
      </c>
      <c r="N2139" s="7">
        <v>0</v>
      </c>
      <c r="O2139" t="s">
        <v>23</v>
      </c>
      <c r="P2139" s="3" t="s">
        <v>23</v>
      </c>
      <c r="Q2139" s="8" t="s">
        <v>23</v>
      </c>
    </row>
    <row r="2140" spans="1:17" hidden="1" x14ac:dyDescent="0.55000000000000004">
      <c r="A2140" s="3" t="s">
        <v>3406</v>
      </c>
      <c r="B2140" s="3" t="s">
        <v>3502</v>
      </c>
      <c r="C2140" t="s">
        <v>3408</v>
      </c>
      <c r="D2140" s="3" t="s">
        <v>7329</v>
      </c>
      <c r="E2140" t="s">
        <v>3503</v>
      </c>
      <c r="F2140" s="3" t="s">
        <v>3504</v>
      </c>
      <c r="G2140" t="s">
        <v>19</v>
      </c>
      <c r="H2140" s="3" t="s">
        <v>23</v>
      </c>
      <c r="I2140" t="s">
        <v>67</v>
      </c>
      <c r="J2140" s="3" t="s">
        <v>3413</v>
      </c>
      <c r="K2140" s="4" t="s">
        <v>23</v>
      </c>
      <c r="L2140" s="5" t="s">
        <v>23</v>
      </c>
      <c r="M2140" s="6">
        <v>0</v>
      </c>
      <c r="N2140" s="7">
        <v>0</v>
      </c>
      <c r="O2140" t="s">
        <v>23</v>
      </c>
      <c r="P2140" s="3" t="s">
        <v>23</v>
      </c>
      <c r="Q2140" s="8" t="s">
        <v>23</v>
      </c>
    </row>
    <row r="2141" spans="1:17" hidden="1" x14ac:dyDescent="0.55000000000000004">
      <c r="A2141" s="3" t="s">
        <v>3406</v>
      </c>
      <c r="B2141" s="3" t="s">
        <v>3502</v>
      </c>
      <c r="C2141" t="s">
        <v>3408</v>
      </c>
      <c r="D2141" s="3" t="s">
        <v>7329</v>
      </c>
      <c r="E2141" t="s">
        <v>3503</v>
      </c>
      <c r="F2141" s="3" t="s">
        <v>3504</v>
      </c>
      <c r="G2141" t="s">
        <v>24</v>
      </c>
      <c r="H2141" s="3" t="s">
        <v>3505</v>
      </c>
      <c r="I2141" t="s">
        <v>37</v>
      </c>
      <c r="J2141" s="3" t="s">
        <v>3506</v>
      </c>
      <c r="K2141" s="4">
        <v>955</v>
      </c>
      <c r="L2141" s="5">
        <v>43.42</v>
      </c>
      <c r="M2141" s="6">
        <v>1</v>
      </c>
      <c r="N2141" s="7">
        <v>0</v>
      </c>
      <c r="O2141" t="s">
        <v>3507</v>
      </c>
      <c r="P2141" s="3" t="s">
        <v>40</v>
      </c>
      <c r="Q2141" s="8">
        <v>0.21972</v>
      </c>
    </row>
    <row r="2142" spans="1:17" hidden="1" x14ac:dyDescent="0.55000000000000004">
      <c r="A2142" s="3" t="s">
        <v>3406</v>
      </c>
      <c r="B2142" s="3" t="s">
        <v>3502</v>
      </c>
      <c r="C2142" t="s">
        <v>3408</v>
      </c>
      <c r="D2142" s="3" t="s">
        <v>7329</v>
      </c>
      <c r="E2142" t="s">
        <v>3503</v>
      </c>
      <c r="F2142" s="3" t="s">
        <v>3504</v>
      </c>
      <c r="G2142" t="s">
        <v>24</v>
      </c>
      <c r="H2142" s="3" t="s">
        <v>3455</v>
      </c>
      <c r="I2142" t="s">
        <v>37</v>
      </c>
      <c r="J2142" s="3" t="s">
        <v>3456</v>
      </c>
      <c r="K2142" s="4">
        <v>744</v>
      </c>
      <c r="L2142" s="5">
        <v>0</v>
      </c>
      <c r="M2142" s="6">
        <v>0</v>
      </c>
      <c r="N2142" s="7">
        <v>0</v>
      </c>
      <c r="O2142" t="s">
        <v>23</v>
      </c>
      <c r="P2142" s="3" t="s">
        <v>23</v>
      </c>
      <c r="Q2142" s="8" t="s">
        <v>23</v>
      </c>
    </row>
    <row r="2143" spans="1:17" hidden="1" x14ac:dyDescent="0.55000000000000004">
      <c r="A2143" s="3" t="s">
        <v>3406</v>
      </c>
      <c r="B2143" s="3" t="s">
        <v>3502</v>
      </c>
      <c r="C2143" t="s">
        <v>3408</v>
      </c>
      <c r="D2143" s="3" t="s">
        <v>7329</v>
      </c>
      <c r="E2143" t="s">
        <v>3503</v>
      </c>
      <c r="F2143" s="3" t="s">
        <v>3504</v>
      </c>
      <c r="G2143" t="s">
        <v>24</v>
      </c>
      <c r="H2143" s="3" t="s">
        <v>3457</v>
      </c>
      <c r="I2143" t="s">
        <v>105</v>
      </c>
      <c r="J2143" s="3" t="s">
        <v>3456</v>
      </c>
      <c r="K2143" s="4">
        <v>674</v>
      </c>
      <c r="L2143" s="5">
        <v>0</v>
      </c>
      <c r="M2143" s="6">
        <v>0</v>
      </c>
      <c r="N2143" s="7">
        <v>0</v>
      </c>
      <c r="O2143" t="s">
        <v>23</v>
      </c>
      <c r="P2143" s="3" t="s">
        <v>23</v>
      </c>
      <c r="Q2143" s="8" t="s">
        <v>23</v>
      </c>
    </row>
    <row r="2144" spans="1:17" hidden="1" x14ac:dyDescent="0.55000000000000004">
      <c r="A2144" s="3" t="s">
        <v>3406</v>
      </c>
      <c r="B2144" s="3" t="s">
        <v>3502</v>
      </c>
      <c r="C2144" t="s">
        <v>3408</v>
      </c>
      <c r="D2144" s="3" t="s">
        <v>7329</v>
      </c>
      <c r="E2144" t="s">
        <v>3503</v>
      </c>
      <c r="F2144" s="3" t="s">
        <v>3504</v>
      </c>
      <c r="G2144" t="s">
        <v>24</v>
      </c>
      <c r="H2144" s="3" t="s">
        <v>3508</v>
      </c>
      <c r="I2144" t="s">
        <v>43</v>
      </c>
      <c r="J2144" s="3" t="s">
        <v>3509</v>
      </c>
      <c r="K2144" s="4">
        <v>1056</v>
      </c>
      <c r="L2144" s="5">
        <v>48</v>
      </c>
      <c r="M2144" s="6">
        <v>0</v>
      </c>
      <c r="N2144" s="7">
        <v>0</v>
      </c>
      <c r="O2144" t="s">
        <v>3510</v>
      </c>
      <c r="P2144" s="3" t="s">
        <v>138</v>
      </c>
      <c r="Q2144" s="8">
        <v>0.204233</v>
      </c>
    </row>
    <row r="2145" spans="1:17" hidden="1" x14ac:dyDescent="0.55000000000000004">
      <c r="A2145" s="3" t="s">
        <v>3406</v>
      </c>
      <c r="B2145" s="3" t="s">
        <v>3493</v>
      </c>
      <c r="C2145" t="s">
        <v>3408</v>
      </c>
      <c r="D2145" s="3" t="s">
        <v>7329</v>
      </c>
      <c r="E2145" t="s">
        <v>3512</v>
      </c>
      <c r="F2145" s="3" t="s">
        <v>3513</v>
      </c>
      <c r="G2145" t="s">
        <v>19</v>
      </c>
      <c r="H2145" s="3" t="s">
        <v>3411</v>
      </c>
      <c r="I2145" t="s">
        <v>81</v>
      </c>
      <c r="J2145" s="3" t="s">
        <v>3412</v>
      </c>
      <c r="K2145" s="4">
        <v>1550</v>
      </c>
      <c r="L2145" s="5">
        <v>336.93</v>
      </c>
      <c r="M2145" s="6">
        <v>1</v>
      </c>
      <c r="N2145" s="7">
        <v>0</v>
      </c>
      <c r="O2145" t="s">
        <v>23</v>
      </c>
      <c r="P2145" s="3" t="s">
        <v>23</v>
      </c>
      <c r="Q2145" s="8" t="s">
        <v>23</v>
      </c>
    </row>
    <row r="2146" spans="1:17" hidden="1" x14ac:dyDescent="0.55000000000000004">
      <c r="A2146" s="3" t="s">
        <v>3406</v>
      </c>
      <c r="B2146" s="3" t="s">
        <v>3493</v>
      </c>
      <c r="C2146" t="s">
        <v>3408</v>
      </c>
      <c r="D2146" s="3" t="s">
        <v>7329</v>
      </c>
      <c r="E2146" t="s">
        <v>3512</v>
      </c>
      <c r="F2146" s="3" t="s">
        <v>3513</v>
      </c>
      <c r="G2146" t="s">
        <v>19</v>
      </c>
      <c r="H2146" s="3" t="s">
        <v>23</v>
      </c>
      <c r="I2146" t="s">
        <v>67</v>
      </c>
      <c r="J2146" s="3" t="s">
        <v>3413</v>
      </c>
      <c r="K2146" s="4" t="s">
        <v>23</v>
      </c>
      <c r="L2146" s="5" t="s">
        <v>23</v>
      </c>
      <c r="M2146" s="6">
        <v>0</v>
      </c>
      <c r="N2146" s="7">
        <v>0</v>
      </c>
      <c r="O2146" t="s">
        <v>23</v>
      </c>
      <c r="P2146" s="3" t="s">
        <v>23</v>
      </c>
      <c r="Q2146" s="8" t="s">
        <v>23</v>
      </c>
    </row>
    <row r="2147" spans="1:17" hidden="1" x14ac:dyDescent="0.55000000000000004">
      <c r="A2147" s="3" t="s">
        <v>3406</v>
      </c>
      <c r="B2147" s="3" t="s">
        <v>3493</v>
      </c>
      <c r="C2147" t="s">
        <v>3408</v>
      </c>
      <c r="D2147" s="3" t="s">
        <v>7329</v>
      </c>
      <c r="E2147" t="s">
        <v>3512</v>
      </c>
      <c r="F2147" s="3" t="s">
        <v>3513</v>
      </c>
      <c r="G2147" t="s">
        <v>24</v>
      </c>
      <c r="H2147" s="3" t="s">
        <v>3455</v>
      </c>
      <c r="I2147" t="s">
        <v>37</v>
      </c>
      <c r="J2147" s="3" t="s">
        <v>3456</v>
      </c>
      <c r="K2147" s="4">
        <v>744</v>
      </c>
      <c r="L2147" s="5">
        <v>0</v>
      </c>
      <c r="M2147" s="6">
        <v>0</v>
      </c>
      <c r="N2147" s="7">
        <v>0</v>
      </c>
      <c r="O2147" t="s">
        <v>23</v>
      </c>
      <c r="P2147" s="3" t="s">
        <v>23</v>
      </c>
      <c r="Q2147" s="8" t="s">
        <v>23</v>
      </c>
    </row>
    <row r="2148" spans="1:17" hidden="1" x14ac:dyDescent="0.55000000000000004">
      <c r="A2148" s="3" t="s">
        <v>3406</v>
      </c>
      <c r="B2148" s="3" t="s">
        <v>3493</v>
      </c>
      <c r="C2148" t="s">
        <v>3408</v>
      </c>
      <c r="D2148" s="3" t="s">
        <v>7329</v>
      </c>
      <c r="E2148" t="s">
        <v>3512</v>
      </c>
      <c r="F2148" s="3" t="s">
        <v>3513</v>
      </c>
      <c r="G2148" t="s">
        <v>24</v>
      </c>
      <c r="H2148" s="3" t="s">
        <v>3457</v>
      </c>
      <c r="I2148" t="s">
        <v>105</v>
      </c>
      <c r="J2148" s="3" t="s">
        <v>3456</v>
      </c>
      <c r="K2148" s="4">
        <v>674</v>
      </c>
      <c r="L2148" s="5">
        <v>0</v>
      </c>
      <c r="M2148" s="6">
        <v>0</v>
      </c>
      <c r="N2148" s="7">
        <v>0</v>
      </c>
      <c r="O2148" t="s">
        <v>23</v>
      </c>
      <c r="P2148" s="3" t="s">
        <v>23</v>
      </c>
      <c r="Q2148" s="8" t="s">
        <v>23</v>
      </c>
    </row>
    <row r="2149" spans="1:17" hidden="1" x14ac:dyDescent="0.55000000000000004">
      <c r="A2149" s="3" t="s">
        <v>3406</v>
      </c>
      <c r="B2149" s="3" t="s">
        <v>3493</v>
      </c>
      <c r="C2149" t="s">
        <v>3408</v>
      </c>
      <c r="D2149" s="3" t="s">
        <v>7329</v>
      </c>
      <c r="E2149" t="s">
        <v>3512</v>
      </c>
      <c r="F2149" s="3" t="s">
        <v>3513</v>
      </c>
      <c r="G2149" t="s">
        <v>24</v>
      </c>
      <c r="H2149" s="3" t="s">
        <v>3514</v>
      </c>
      <c r="I2149" t="s">
        <v>37</v>
      </c>
      <c r="J2149" s="3" t="s">
        <v>3515</v>
      </c>
      <c r="K2149" s="4">
        <v>955</v>
      </c>
      <c r="L2149" s="5">
        <v>43.41</v>
      </c>
      <c r="M2149" s="6">
        <v>1</v>
      </c>
      <c r="N2149" s="7">
        <v>0</v>
      </c>
      <c r="O2149" t="s">
        <v>3516</v>
      </c>
      <c r="P2149" s="3" t="s">
        <v>40</v>
      </c>
      <c r="Q2149" s="8">
        <v>0.219717</v>
      </c>
    </row>
    <row r="2150" spans="1:17" hidden="1" x14ac:dyDescent="0.55000000000000004">
      <c r="A2150" s="3" t="s">
        <v>3406</v>
      </c>
      <c r="B2150" s="3" t="s">
        <v>3511</v>
      </c>
      <c r="C2150" t="s">
        <v>3408</v>
      </c>
      <c r="D2150" s="3" t="s">
        <v>7329</v>
      </c>
      <c r="E2150" t="s">
        <v>3517</v>
      </c>
      <c r="F2150" s="3" t="s">
        <v>3518</v>
      </c>
      <c r="G2150" t="s">
        <v>19</v>
      </c>
      <c r="H2150" s="3" t="s">
        <v>3411</v>
      </c>
      <c r="I2150" t="s">
        <v>81</v>
      </c>
      <c r="J2150" s="3" t="s">
        <v>3412</v>
      </c>
      <c r="K2150" s="4">
        <v>1550</v>
      </c>
      <c r="L2150" s="5">
        <v>336.93</v>
      </c>
      <c r="M2150" s="6">
        <v>1</v>
      </c>
      <c r="N2150" s="7">
        <v>0</v>
      </c>
      <c r="O2150" t="s">
        <v>23</v>
      </c>
      <c r="P2150" s="3" t="s">
        <v>23</v>
      </c>
      <c r="Q2150" s="8" t="s">
        <v>23</v>
      </c>
    </row>
    <row r="2151" spans="1:17" hidden="1" x14ac:dyDescent="0.55000000000000004">
      <c r="A2151" s="3" t="s">
        <v>3406</v>
      </c>
      <c r="B2151" s="3" t="s">
        <v>3511</v>
      </c>
      <c r="C2151" t="s">
        <v>3408</v>
      </c>
      <c r="D2151" s="3" t="s">
        <v>7329</v>
      </c>
      <c r="E2151" t="s">
        <v>3517</v>
      </c>
      <c r="F2151" s="3" t="s">
        <v>3518</v>
      </c>
      <c r="G2151" t="s">
        <v>19</v>
      </c>
      <c r="H2151" s="3" t="s">
        <v>23</v>
      </c>
      <c r="I2151" t="s">
        <v>67</v>
      </c>
      <c r="J2151" s="3" t="s">
        <v>3413</v>
      </c>
      <c r="K2151" s="4" t="s">
        <v>23</v>
      </c>
      <c r="L2151" s="5" t="s">
        <v>23</v>
      </c>
      <c r="M2151" s="6">
        <v>0</v>
      </c>
      <c r="N2151" s="7">
        <v>0</v>
      </c>
      <c r="O2151" t="s">
        <v>23</v>
      </c>
      <c r="P2151" s="3" t="s">
        <v>23</v>
      </c>
      <c r="Q2151" s="8" t="s">
        <v>23</v>
      </c>
    </row>
    <row r="2152" spans="1:17" hidden="1" x14ac:dyDescent="0.55000000000000004">
      <c r="A2152" s="3" t="s">
        <v>3406</v>
      </c>
      <c r="B2152" s="3" t="s">
        <v>3511</v>
      </c>
      <c r="C2152" t="s">
        <v>3408</v>
      </c>
      <c r="D2152" s="3" t="s">
        <v>7329</v>
      </c>
      <c r="E2152" t="s">
        <v>3517</v>
      </c>
      <c r="F2152" s="3" t="s">
        <v>3518</v>
      </c>
      <c r="G2152" t="s">
        <v>24</v>
      </c>
      <c r="H2152" s="3" t="s">
        <v>3455</v>
      </c>
      <c r="I2152" t="s">
        <v>37</v>
      </c>
      <c r="J2152" s="3" t="s">
        <v>3456</v>
      </c>
      <c r="K2152" s="4">
        <v>744</v>
      </c>
      <c r="L2152" s="5">
        <v>0</v>
      </c>
      <c r="M2152" s="6">
        <v>0</v>
      </c>
      <c r="N2152" s="7">
        <v>0</v>
      </c>
      <c r="O2152" t="s">
        <v>23</v>
      </c>
      <c r="P2152" s="3" t="s">
        <v>23</v>
      </c>
      <c r="Q2152" s="8" t="s">
        <v>23</v>
      </c>
    </row>
    <row r="2153" spans="1:17" hidden="1" x14ac:dyDescent="0.55000000000000004">
      <c r="A2153" s="3" t="s">
        <v>3406</v>
      </c>
      <c r="B2153" s="3" t="s">
        <v>3511</v>
      </c>
      <c r="C2153" t="s">
        <v>3408</v>
      </c>
      <c r="D2153" s="3" t="s">
        <v>7329</v>
      </c>
      <c r="E2153" t="s">
        <v>3517</v>
      </c>
      <c r="F2153" s="3" t="s">
        <v>3518</v>
      </c>
      <c r="G2153" t="s">
        <v>24</v>
      </c>
      <c r="H2153" s="3" t="s">
        <v>3457</v>
      </c>
      <c r="I2153" t="s">
        <v>105</v>
      </c>
      <c r="J2153" s="3" t="s">
        <v>3456</v>
      </c>
      <c r="K2153" s="4">
        <v>674</v>
      </c>
      <c r="L2153" s="5">
        <v>0</v>
      </c>
      <c r="M2153" s="6">
        <v>0</v>
      </c>
      <c r="N2153" s="7">
        <v>0</v>
      </c>
      <c r="O2153" t="s">
        <v>23</v>
      </c>
      <c r="P2153" s="3" t="s">
        <v>23</v>
      </c>
      <c r="Q2153" s="8" t="s">
        <v>23</v>
      </c>
    </row>
    <row r="2154" spans="1:17" hidden="1" x14ac:dyDescent="0.55000000000000004">
      <c r="A2154" s="3" t="s">
        <v>3406</v>
      </c>
      <c r="B2154" s="3" t="s">
        <v>3511</v>
      </c>
      <c r="C2154" t="s">
        <v>3408</v>
      </c>
      <c r="D2154" s="3" t="s">
        <v>7329</v>
      </c>
      <c r="E2154" t="s">
        <v>3517</v>
      </c>
      <c r="F2154" s="3" t="s">
        <v>3518</v>
      </c>
      <c r="G2154" t="s">
        <v>24</v>
      </c>
      <c r="H2154" s="3" t="s">
        <v>3514</v>
      </c>
      <c r="I2154" t="s">
        <v>37</v>
      </c>
      <c r="J2154" s="3" t="s">
        <v>3515</v>
      </c>
      <c r="K2154" s="4">
        <v>955</v>
      </c>
      <c r="L2154" s="5">
        <v>43.41</v>
      </c>
      <c r="M2154" s="6">
        <v>1</v>
      </c>
      <c r="N2154" s="7">
        <v>0</v>
      </c>
      <c r="O2154" t="s">
        <v>3516</v>
      </c>
      <c r="P2154" s="3" t="s">
        <v>40</v>
      </c>
      <c r="Q2154" s="8">
        <v>0.219717</v>
      </c>
    </row>
    <row r="2155" spans="1:17" hidden="1" x14ac:dyDescent="0.55000000000000004">
      <c r="A2155" s="3" t="s">
        <v>3406</v>
      </c>
      <c r="B2155" s="3" t="s">
        <v>3519</v>
      </c>
      <c r="C2155" t="s">
        <v>3465</v>
      </c>
      <c r="D2155" s="3" t="s">
        <v>7329</v>
      </c>
      <c r="E2155" t="s">
        <v>3520</v>
      </c>
      <c r="F2155" s="3" t="s">
        <v>3521</v>
      </c>
      <c r="G2155" t="s">
        <v>19</v>
      </c>
      <c r="H2155" s="3" t="s">
        <v>3522</v>
      </c>
      <c r="I2155" t="s">
        <v>81</v>
      </c>
      <c r="J2155" s="3" t="s">
        <v>3523</v>
      </c>
      <c r="K2155" s="4">
        <v>1473</v>
      </c>
      <c r="L2155" s="5">
        <v>320.14999999999998</v>
      </c>
      <c r="M2155" s="6">
        <v>1</v>
      </c>
      <c r="N2155" s="7">
        <v>1</v>
      </c>
      <c r="O2155" t="s">
        <v>3524</v>
      </c>
      <c r="P2155" s="3" t="s">
        <v>84</v>
      </c>
      <c r="Q2155" s="8">
        <v>6.9766999999999996E-2</v>
      </c>
    </row>
    <row r="2156" spans="1:17" hidden="1" x14ac:dyDescent="0.55000000000000004">
      <c r="A2156" s="3" t="s">
        <v>3406</v>
      </c>
      <c r="B2156" s="3" t="s">
        <v>3519</v>
      </c>
      <c r="C2156" t="s">
        <v>3465</v>
      </c>
      <c r="D2156" s="3" t="s">
        <v>7329</v>
      </c>
      <c r="E2156" t="s">
        <v>3520</v>
      </c>
      <c r="F2156" s="3" t="s">
        <v>3521</v>
      </c>
      <c r="G2156" t="s">
        <v>24</v>
      </c>
      <c r="H2156" s="3" t="s">
        <v>3525</v>
      </c>
      <c r="I2156" t="s">
        <v>48</v>
      </c>
      <c r="J2156" s="3" t="s">
        <v>3526</v>
      </c>
      <c r="K2156" s="4">
        <v>903</v>
      </c>
      <c r="L2156" s="5">
        <v>41.05</v>
      </c>
      <c r="M2156" s="6">
        <v>0</v>
      </c>
      <c r="N2156" s="7">
        <v>1</v>
      </c>
      <c r="O2156" t="s">
        <v>3527</v>
      </c>
      <c r="P2156" s="3" t="s">
        <v>23</v>
      </c>
      <c r="Q2156" s="8" t="s">
        <v>23</v>
      </c>
    </row>
    <row r="2157" spans="1:17" hidden="1" x14ac:dyDescent="0.55000000000000004">
      <c r="A2157" s="3" t="s">
        <v>3406</v>
      </c>
      <c r="B2157" s="3" t="s">
        <v>3519</v>
      </c>
      <c r="C2157" t="s">
        <v>3465</v>
      </c>
      <c r="D2157" s="3" t="s">
        <v>7329</v>
      </c>
      <c r="E2157" t="s">
        <v>3520</v>
      </c>
      <c r="F2157" s="3" t="s">
        <v>3521</v>
      </c>
      <c r="G2157" t="s">
        <v>24</v>
      </c>
      <c r="H2157" s="3" t="s">
        <v>3528</v>
      </c>
      <c r="I2157" t="s">
        <v>43</v>
      </c>
      <c r="J2157" s="3" t="s">
        <v>3526</v>
      </c>
      <c r="K2157" s="4">
        <v>1005</v>
      </c>
      <c r="L2157" s="5">
        <v>45.68</v>
      </c>
      <c r="M2157" s="6">
        <v>1</v>
      </c>
      <c r="N2157" s="7">
        <v>1</v>
      </c>
      <c r="O2157" t="s">
        <v>3529</v>
      </c>
      <c r="P2157" s="3" t="s">
        <v>46</v>
      </c>
      <c r="Q2157" s="8">
        <v>0.183867</v>
      </c>
    </row>
    <row r="2158" spans="1:17" hidden="1" x14ac:dyDescent="0.55000000000000004">
      <c r="A2158" s="3" t="s">
        <v>3406</v>
      </c>
      <c r="B2158" s="3" t="s">
        <v>3530</v>
      </c>
      <c r="C2158" t="s">
        <v>3465</v>
      </c>
      <c r="D2158" s="3" t="s">
        <v>7329</v>
      </c>
      <c r="E2158" t="s">
        <v>3532</v>
      </c>
      <c r="F2158" s="3" t="s">
        <v>3533</v>
      </c>
      <c r="G2158" t="s">
        <v>19</v>
      </c>
      <c r="H2158" s="3" t="s">
        <v>23</v>
      </c>
      <c r="I2158" t="s">
        <v>67</v>
      </c>
      <c r="J2158" s="3" t="s">
        <v>3534</v>
      </c>
      <c r="K2158" s="4" t="s">
        <v>23</v>
      </c>
      <c r="L2158" s="5" t="s">
        <v>23</v>
      </c>
      <c r="M2158" s="6">
        <v>0</v>
      </c>
      <c r="N2158" s="7">
        <v>0</v>
      </c>
      <c r="O2158" t="s">
        <v>23</v>
      </c>
      <c r="P2158" s="3" t="s">
        <v>23</v>
      </c>
      <c r="Q2158" s="8" t="s">
        <v>23</v>
      </c>
    </row>
    <row r="2159" spans="1:17" hidden="1" x14ac:dyDescent="0.55000000000000004">
      <c r="A2159" s="3" t="s">
        <v>3406</v>
      </c>
      <c r="B2159" s="3" t="s">
        <v>3530</v>
      </c>
      <c r="C2159" t="s">
        <v>3465</v>
      </c>
      <c r="D2159" s="3" t="s">
        <v>7329</v>
      </c>
      <c r="E2159" t="s">
        <v>3532</v>
      </c>
      <c r="F2159" s="3" t="s">
        <v>3533</v>
      </c>
      <c r="G2159" t="s">
        <v>19</v>
      </c>
      <c r="H2159" s="3" t="s">
        <v>3535</v>
      </c>
      <c r="I2159" t="s">
        <v>81</v>
      </c>
      <c r="J2159" s="3" t="s">
        <v>3536</v>
      </c>
      <c r="K2159" s="4">
        <v>1478</v>
      </c>
      <c r="L2159" s="5">
        <v>321.24</v>
      </c>
      <c r="M2159" s="6">
        <v>1</v>
      </c>
      <c r="N2159" s="7">
        <v>0</v>
      </c>
      <c r="O2159" t="s">
        <v>23</v>
      </c>
      <c r="P2159" s="3" t="s">
        <v>23</v>
      </c>
      <c r="Q2159" s="8" t="s">
        <v>23</v>
      </c>
    </row>
    <row r="2160" spans="1:17" hidden="1" x14ac:dyDescent="0.55000000000000004">
      <c r="A2160" s="3" t="s">
        <v>3406</v>
      </c>
      <c r="B2160" s="3" t="s">
        <v>3530</v>
      </c>
      <c r="C2160" t="s">
        <v>3465</v>
      </c>
      <c r="D2160" s="3" t="s">
        <v>7329</v>
      </c>
      <c r="E2160" t="s">
        <v>3532</v>
      </c>
      <c r="F2160" s="3" t="s">
        <v>3533</v>
      </c>
      <c r="G2160" t="s">
        <v>24</v>
      </c>
      <c r="H2160" s="3" t="s">
        <v>3537</v>
      </c>
      <c r="I2160" t="s">
        <v>105</v>
      </c>
      <c r="J2160" s="3" t="s">
        <v>3538</v>
      </c>
      <c r="K2160" s="4">
        <v>625</v>
      </c>
      <c r="L2160" s="5">
        <v>0</v>
      </c>
      <c r="M2160" s="6">
        <v>0</v>
      </c>
      <c r="N2160" s="7">
        <v>0</v>
      </c>
      <c r="O2160" t="s">
        <v>23</v>
      </c>
      <c r="P2160" s="3" t="s">
        <v>23</v>
      </c>
      <c r="Q2160" s="8" t="s">
        <v>23</v>
      </c>
    </row>
    <row r="2161" spans="1:17" hidden="1" x14ac:dyDescent="0.55000000000000004">
      <c r="A2161" s="3" t="s">
        <v>3406</v>
      </c>
      <c r="B2161" s="3" t="s">
        <v>3530</v>
      </c>
      <c r="C2161" t="s">
        <v>3465</v>
      </c>
      <c r="D2161" s="3" t="s">
        <v>7329</v>
      </c>
      <c r="E2161" t="s">
        <v>3532</v>
      </c>
      <c r="F2161" s="3" t="s">
        <v>3533</v>
      </c>
      <c r="G2161" t="s">
        <v>24</v>
      </c>
      <c r="H2161" s="3" t="s">
        <v>3539</v>
      </c>
      <c r="I2161" t="s">
        <v>37</v>
      </c>
      <c r="J2161" s="3" t="s">
        <v>3538</v>
      </c>
      <c r="K2161" s="4">
        <v>707</v>
      </c>
      <c r="L2161" s="5">
        <v>0</v>
      </c>
      <c r="M2161" s="6">
        <v>0</v>
      </c>
      <c r="N2161" s="7">
        <v>0</v>
      </c>
      <c r="O2161" t="s">
        <v>23</v>
      </c>
      <c r="P2161" s="3" t="s">
        <v>23</v>
      </c>
      <c r="Q2161" s="8" t="s">
        <v>23</v>
      </c>
    </row>
    <row r="2162" spans="1:17" hidden="1" x14ac:dyDescent="0.55000000000000004">
      <c r="A2162" s="3" t="s">
        <v>3406</v>
      </c>
      <c r="B2162" s="3" t="s">
        <v>3530</v>
      </c>
      <c r="C2162" t="s">
        <v>3465</v>
      </c>
      <c r="D2162" s="3" t="s">
        <v>7329</v>
      </c>
      <c r="E2162" t="s">
        <v>3532</v>
      </c>
      <c r="F2162" s="3" t="s">
        <v>3533</v>
      </c>
      <c r="G2162" t="s">
        <v>24</v>
      </c>
      <c r="H2162" s="3" t="s">
        <v>3540</v>
      </c>
      <c r="I2162" t="s">
        <v>37</v>
      </c>
      <c r="J2162" s="3" t="s">
        <v>3541</v>
      </c>
      <c r="K2162" s="4">
        <v>911</v>
      </c>
      <c r="L2162" s="5">
        <v>41.42</v>
      </c>
      <c r="M2162" s="6">
        <v>1</v>
      </c>
      <c r="N2162" s="7">
        <v>0</v>
      </c>
      <c r="O2162" t="s">
        <v>3542</v>
      </c>
      <c r="P2162" s="3" t="s">
        <v>40</v>
      </c>
      <c r="Q2162" s="8">
        <v>0.219278</v>
      </c>
    </row>
    <row r="2163" spans="1:17" hidden="1" x14ac:dyDescent="0.55000000000000004">
      <c r="A2163" s="9" t="s">
        <v>3406</v>
      </c>
      <c r="B2163" s="3" t="s">
        <v>3530</v>
      </c>
      <c r="C2163" t="s">
        <v>3465</v>
      </c>
      <c r="D2163" s="3" t="s">
        <v>7329</v>
      </c>
      <c r="E2163" t="s">
        <v>3532</v>
      </c>
      <c r="F2163" s="3" t="s">
        <v>3533</v>
      </c>
      <c r="G2163" t="s">
        <v>24</v>
      </c>
      <c r="H2163" s="3" t="s">
        <v>3543</v>
      </c>
      <c r="I2163" t="s">
        <v>43</v>
      </c>
      <c r="J2163" s="3" t="s">
        <v>3544</v>
      </c>
      <c r="K2163" s="4">
        <v>998</v>
      </c>
      <c r="L2163" s="5">
        <v>45.35</v>
      </c>
      <c r="M2163" s="6">
        <v>0</v>
      </c>
      <c r="N2163" s="7">
        <v>0</v>
      </c>
      <c r="O2163" t="s">
        <v>3545</v>
      </c>
      <c r="P2163" s="3" t="s">
        <v>138</v>
      </c>
      <c r="Q2163" s="8">
        <v>0.20219999999999999</v>
      </c>
    </row>
    <row r="2164" spans="1:17" hidden="1" x14ac:dyDescent="0.55000000000000004">
      <c r="A2164" s="3" t="s">
        <v>3546</v>
      </c>
      <c r="B2164" s="3" t="s">
        <v>3547</v>
      </c>
      <c r="C2164" t="s">
        <v>3547</v>
      </c>
      <c r="D2164" s="3" t="s">
        <v>7314</v>
      </c>
      <c r="E2164" t="s">
        <v>3548</v>
      </c>
      <c r="F2164" s="3" t="s">
        <v>3549</v>
      </c>
      <c r="G2164" t="s">
        <v>19</v>
      </c>
      <c r="H2164" s="3" t="s">
        <v>3550</v>
      </c>
      <c r="I2164" t="s">
        <v>3551</v>
      </c>
      <c r="J2164" s="3" t="s">
        <v>3552</v>
      </c>
      <c r="K2164" s="4">
        <v>998</v>
      </c>
      <c r="L2164" s="5">
        <v>217.02</v>
      </c>
      <c r="M2164" s="6">
        <v>1</v>
      </c>
      <c r="N2164" s="7">
        <v>1</v>
      </c>
      <c r="O2164" t="s">
        <v>3553</v>
      </c>
      <c r="P2164" s="3" t="s">
        <v>64</v>
      </c>
      <c r="Q2164" s="8">
        <v>0.188198</v>
      </c>
    </row>
    <row r="2165" spans="1:17" hidden="1" x14ac:dyDescent="0.55000000000000004">
      <c r="A2165" s="3" t="s">
        <v>3546</v>
      </c>
      <c r="B2165" s="3" t="s">
        <v>3547</v>
      </c>
      <c r="C2165" t="s">
        <v>3547</v>
      </c>
      <c r="D2165" s="3" t="s">
        <v>7314</v>
      </c>
      <c r="E2165" t="s">
        <v>3548</v>
      </c>
      <c r="F2165" s="3" t="s">
        <v>3549</v>
      </c>
      <c r="G2165" t="s">
        <v>19</v>
      </c>
      <c r="H2165" s="3" t="s">
        <v>3554</v>
      </c>
      <c r="I2165" t="s">
        <v>66</v>
      </c>
      <c r="J2165" s="3" t="s">
        <v>3555</v>
      </c>
      <c r="K2165" s="4">
        <v>1082</v>
      </c>
      <c r="L2165" s="5">
        <v>235.24</v>
      </c>
      <c r="M2165" s="6">
        <v>0</v>
      </c>
      <c r="N2165" s="7">
        <v>1</v>
      </c>
      <c r="O2165" t="s">
        <v>3556</v>
      </c>
      <c r="P2165" s="3" t="s">
        <v>64</v>
      </c>
      <c r="Q2165" s="8">
        <v>0.175729</v>
      </c>
    </row>
    <row r="2166" spans="1:17" hidden="1" x14ac:dyDescent="0.55000000000000004">
      <c r="A2166" s="3" t="s">
        <v>3546</v>
      </c>
      <c r="B2166" s="3" t="s">
        <v>3547</v>
      </c>
      <c r="C2166" t="s">
        <v>3547</v>
      </c>
      <c r="D2166" s="3" t="s">
        <v>7314</v>
      </c>
      <c r="E2166" t="s">
        <v>3548</v>
      </c>
      <c r="F2166" s="3" t="s">
        <v>3549</v>
      </c>
      <c r="G2166" t="s">
        <v>24</v>
      </c>
      <c r="H2166" s="3" t="s">
        <v>3557</v>
      </c>
      <c r="I2166" t="s">
        <v>52</v>
      </c>
      <c r="J2166" s="3" t="s">
        <v>3558</v>
      </c>
      <c r="K2166" s="4">
        <v>987</v>
      </c>
      <c r="L2166" s="5">
        <v>44.85</v>
      </c>
      <c r="M2166" s="6">
        <v>1</v>
      </c>
      <c r="N2166" s="7">
        <v>1</v>
      </c>
      <c r="O2166" t="s">
        <v>3559</v>
      </c>
      <c r="P2166" s="3" t="s">
        <v>55</v>
      </c>
      <c r="Q2166" s="8">
        <v>0.25729600000000002</v>
      </c>
    </row>
    <row r="2167" spans="1:17" hidden="1" x14ac:dyDescent="0.55000000000000004">
      <c r="A2167" s="3" t="s">
        <v>3546</v>
      </c>
      <c r="B2167" s="3" t="s">
        <v>3547</v>
      </c>
      <c r="C2167" t="s">
        <v>3547</v>
      </c>
      <c r="D2167" s="3" t="s">
        <v>7314</v>
      </c>
      <c r="E2167" t="s">
        <v>3560</v>
      </c>
      <c r="F2167" s="3" t="s">
        <v>3561</v>
      </c>
      <c r="G2167" t="s">
        <v>24</v>
      </c>
      <c r="H2167" s="3" t="s">
        <v>3557</v>
      </c>
      <c r="I2167" t="s">
        <v>52</v>
      </c>
      <c r="J2167" s="3" t="s">
        <v>3558</v>
      </c>
      <c r="K2167" s="4">
        <v>987</v>
      </c>
      <c r="L2167" s="5">
        <v>44.85</v>
      </c>
      <c r="M2167" s="6">
        <v>1</v>
      </c>
      <c r="N2167" s="7">
        <v>0</v>
      </c>
      <c r="O2167" t="s">
        <v>3559</v>
      </c>
      <c r="P2167" s="3" t="s">
        <v>55</v>
      </c>
      <c r="Q2167" s="8">
        <v>0.25729600000000002</v>
      </c>
    </row>
    <row r="2168" spans="1:17" hidden="1" x14ac:dyDescent="0.55000000000000004">
      <c r="A2168" s="3" t="s">
        <v>3546</v>
      </c>
      <c r="B2168" s="3" t="s">
        <v>3547</v>
      </c>
      <c r="C2168" t="s">
        <v>3547</v>
      </c>
      <c r="D2168" s="3" t="s">
        <v>7314</v>
      </c>
      <c r="E2168" t="s">
        <v>3562</v>
      </c>
      <c r="F2168" s="3" t="s">
        <v>3563</v>
      </c>
      <c r="G2168" t="s">
        <v>24</v>
      </c>
      <c r="H2168" s="3" t="s">
        <v>3557</v>
      </c>
      <c r="I2168" t="s">
        <v>52</v>
      </c>
      <c r="J2168" s="3" t="s">
        <v>3558</v>
      </c>
      <c r="K2168" s="4">
        <v>987</v>
      </c>
      <c r="L2168" s="5">
        <v>44.85</v>
      </c>
      <c r="M2168" s="6">
        <v>1</v>
      </c>
      <c r="N2168" s="7">
        <v>0</v>
      </c>
      <c r="O2168" t="s">
        <v>3559</v>
      </c>
      <c r="P2168" s="3" t="s">
        <v>55</v>
      </c>
      <c r="Q2168" s="8">
        <v>0.25729600000000002</v>
      </c>
    </row>
    <row r="2169" spans="1:17" hidden="1" x14ac:dyDescent="0.55000000000000004">
      <c r="A2169" s="3" t="s">
        <v>3546</v>
      </c>
      <c r="B2169" s="3" t="s">
        <v>3547</v>
      </c>
      <c r="C2169" t="s">
        <v>3547</v>
      </c>
      <c r="D2169" s="3" t="s">
        <v>7314</v>
      </c>
      <c r="E2169" t="s">
        <v>3564</v>
      </c>
      <c r="F2169" s="3" t="s">
        <v>3565</v>
      </c>
      <c r="G2169" t="s">
        <v>19</v>
      </c>
      <c r="H2169" s="3" t="s">
        <v>3550</v>
      </c>
      <c r="I2169" t="s">
        <v>3551</v>
      </c>
      <c r="J2169" s="3" t="s">
        <v>3552</v>
      </c>
      <c r="K2169" s="4">
        <v>998</v>
      </c>
      <c r="L2169" s="5">
        <v>217.02</v>
      </c>
      <c r="M2169" s="6">
        <v>1</v>
      </c>
      <c r="N2169" s="7">
        <v>0</v>
      </c>
      <c r="O2169" t="s">
        <v>3553</v>
      </c>
      <c r="P2169" s="3" t="s">
        <v>64</v>
      </c>
      <c r="Q2169" s="8">
        <v>0.188198</v>
      </c>
    </row>
    <row r="2170" spans="1:17" hidden="1" x14ac:dyDescent="0.55000000000000004">
      <c r="A2170" s="3" t="s">
        <v>3546</v>
      </c>
      <c r="B2170" s="3" t="s">
        <v>3547</v>
      </c>
      <c r="C2170" t="s">
        <v>3547</v>
      </c>
      <c r="D2170" s="3" t="s">
        <v>7314</v>
      </c>
      <c r="E2170" t="s">
        <v>3564</v>
      </c>
      <c r="F2170" s="3" t="s">
        <v>3565</v>
      </c>
      <c r="G2170" t="s">
        <v>19</v>
      </c>
      <c r="H2170" s="3" t="s">
        <v>3554</v>
      </c>
      <c r="I2170" t="s">
        <v>66</v>
      </c>
      <c r="J2170" s="3" t="s">
        <v>3555</v>
      </c>
      <c r="K2170" s="4">
        <v>1082</v>
      </c>
      <c r="L2170" s="5">
        <v>235.24</v>
      </c>
      <c r="M2170" s="6">
        <v>0</v>
      </c>
      <c r="N2170" s="7">
        <v>0</v>
      </c>
      <c r="O2170" t="s">
        <v>3556</v>
      </c>
      <c r="P2170" s="3" t="s">
        <v>64</v>
      </c>
      <c r="Q2170" s="8">
        <v>0.175729</v>
      </c>
    </row>
    <row r="2171" spans="1:17" hidden="1" x14ac:dyDescent="0.55000000000000004">
      <c r="A2171" s="3" t="s">
        <v>3546</v>
      </c>
      <c r="B2171" s="3" t="s">
        <v>3547</v>
      </c>
      <c r="C2171" t="s">
        <v>3547</v>
      </c>
      <c r="D2171" s="3" t="s">
        <v>7314</v>
      </c>
      <c r="E2171" t="s">
        <v>3564</v>
      </c>
      <c r="F2171" s="3" t="s">
        <v>3565</v>
      </c>
      <c r="G2171" t="s">
        <v>24</v>
      </c>
      <c r="H2171" s="3" t="s">
        <v>3557</v>
      </c>
      <c r="I2171" t="s">
        <v>52</v>
      </c>
      <c r="J2171" s="3" t="s">
        <v>3558</v>
      </c>
      <c r="K2171" s="4">
        <v>987</v>
      </c>
      <c r="L2171" s="5">
        <v>44.85</v>
      </c>
      <c r="M2171" s="6">
        <v>1</v>
      </c>
      <c r="N2171" s="7">
        <v>0</v>
      </c>
      <c r="O2171" t="s">
        <v>3559</v>
      </c>
      <c r="P2171" s="3" t="s">
        <v>55</v>
      </c>
      <c r="Q2171" s="8">
        <v>0.25729600000000002</v>
      </c>
    </row>
    <row r="2172" spans="1:17" hidden="1" x14ac:dyDescent="0.55000000000000004">
      <c r="A2172" s="3" t="s">
        <v>3546</v>
      </c>
      <c r="B2172" s="3" t="s">
        <v>3566</v>
      </c>
      <c r="C2172" t="s">
        <v>3566</v>
      </c>
      <c r="D2172" s="3" t="s">
        <v>7314</v>
      </c>
      <c r="E2172" t="s">
        <v>3567</v>
      </c>
      <c r="F2172" s="3" t="s">
        <v>3568</v>
      </c>
      <c r="G2172" t="s">
        <v>24</v>
      </c>
      <c r="H2172" s="3" t="s">
        <v>3569</v>
      </c>
      <c r="I2172" t="s">
        <v>52</v>
      </c>
      <c r="J2172" s="3" t="s">
        <v>3570</v>
      </c>
      <c r="K2172" s="4">
        <v>1018</v>
      </c>
      <c r="L2172" s="5">
        <v>46.26</v>
      </c>
      <c r="M2172" s="6">
        <v>1</v>
      </c>
      <c r="N2172" s="7">
        <v>0</v>
      </c>
      <c r="O2172" t="s">
        <v>3571</v>
      </c>
      <c r="P2172" s="3" t="s">
        <v>55</v>
      </c>
      <c r="Q2172" s="8">
        <v>0.25765199999999999</v>
      </c>
    </row>
    <row r="2173" spans="1:17" hidden="1" x14ac:dyDescent="0.55000000000000004">
      <c r="A2173" s="3" t="s">
        <v>3546</v>
      </c>
      <c r="B2173" s="3" t="s">
        <v>3572</v>
      </c>
      <c r="C2173" t="s">
        <v>3572</v>
      </c>
      <c r="D2173" s="3" t="s">
        <v>7314</v>
      </c>
      <c r="E2173" t="s">
        <v>3573</v>
      </c>
      <c r="F2173" s="3" t="s">
        <v>3574</v>
      </c>
      <c r="G2173" t="s">
        <v>24</v>
      </c>
      <c r="H2173" s="3" t="s">
        <v>3575</v>
      </c>
      <c r="I2173" t="s">
        <v>52</v>
      </c>
      <c r="J2173" s="3" t="s">
        <v>3576</v>
      </c>
      <c r="K2173" s="4">
        <v>983</v>
      </c>
      <c r="L2173" s="5">
        <v>44.69</v>
      </c>
      <c r="M2173" s="6">
        <v>1</v>
      </c>
      <c r="N2173" s="7">
        <v>0</v>
      </c>
      <c r="O2173" t="s">
        <v>3577</v>
      </c>
      <c r="P2173" s="3" t="s">
        <v>55</v>
      </c>
      <c r="Q2173" s="8">
        <v>0.25725700000000001</v>
      </c>
    </row>
    <row r="2174" spans="1:17" hidden="1" x14ac:dyDescent="0.55000000000000004">
      <c r="A2174" s="3" t="s">
        <v>3546</v>
      </c>
      <c r="B2174" s="3" t="s">
        <v>274</v>
      </c>
      <c r="C2174" t="s">
        <v>274</v>
      </c>
      <c r="D2174" s="3" t="s">
        <v>7314</v>
      </c>
      <c r="E2174" t="s">
        <v>3578</v>
      </c>
      <c r="F2174" s="3" t="s">
        <v>3579</v>
      </c>
      <c r="G2174" t="s">
        <v>24</v>
      </c>
      <c r="H2174" s="3" t="s">
        <v>277</v>
      </c>
      <c r="I2174" t="s">
        <v>52</v>
      </c>
      <c r="J2174" s="3" t="s">
        <v>278</v>
      </c>
      <c r="K2174" s="4">
        <v>1071</v>
      </c>
      <c r="L2174" s="5">
        <v>48.66</v>
      </c>
      <c r="M2174" s="6">
        <v>1</v>
      </c>
      <c r="N2174" s="7">
        <v>0</v>
      </c>
      <c r="O2174" t="s">
        <v>279</v>
      </c>
      <c r="P2174" s="3" t="s">
        <v>55</v>
      </c>
      <c r="Q2174" s="8">
        <v>0.25825500000000001</v>
      </c>
    </row>
    <row r="2175" spans="1:17" hidden="1" x14ac:dyDescent="0.55000000000000004">
      <c r="A2175" s="3" t="s">
        <v>3546</v>
      </c>
      <c r="B2175" s="3" t="s">
        <v>3580</v>
      </c>
      <c r="C2175" t="s">
        <v>3580</v>
      </c>
      <c r="D2175" s="3" t="s">
        <v>7314</v>
      </c>
      <c r="E2175" t="s">
        <v>3581</v>
      </c>
      <c r="F2175" s="3" t="s">
        <v>3582</v>
      </c>
      <c r="G2175" t="s">
        <v>24</v>
      </c>
      <c r="H2175" s="3" t="s">
        <v>3583</v>
      </c>
      <c r="I2175" t="s">
        <v>52</v>
      </c>
      <c r="J2175" s="3" t="s">
        <v>3584</v>
      </c>
      <c r="K2175" s="4">
        <v>956</v>
      </c>
      <c r="L2175" s="5">
        <v>43.47</v>
      </c>
      <c r="M2175" s="6">
        <v>1</v>
      </c>
      <c r="N2175" s="7">
        <v>0</v>
      </c>
      <c r="O2175" t="s">
        <v>3585</v>
      </c>
      <c r="P2175" s="3" t="s">
        <v>55</v>
      </c>
      <c r="Q2175" s="8">
        <v>0.21973100000000001</v>
      </c>
    </row>
    <row r="2176" spans="1:17" hidden="1" x14ac:dyDescent="0.55000000000000004">
      <c r="A2176" s="3" t="s">
        <v>3546</v>
      </c>
      <c r="B2176" s="3" t="s">
        <v>3586</v>
      </c>
      <c r="C2176" t="s">
        <v>3586</v>
      </c>
      <c r="D2176" s="3" t="s">
        <v>7314</v>
      </c>
      <c r="E2176" t="s">
        <v>3587</v>
      </c>
      <c r="F2176" s="3" t="s">
        <v>3588</v>
      </c>
      <c r="G2176" t="s">
        <v>19</v>
      </c>
      <c r="H2176" s="3" t="s">
        <v>3589</v>
      </c>
      <c r="I2176" t="s">
        <v>284</v>
      </c>
      <c r="J2176" s="3" t="s">
        <v>3590</v>
      </c>
      <c r="K2176" s="4">
        <v>163</v>
      </c>
      <c r="L2176" s="5">
        <v>35.369999999999997</v>
      </c>
      <c r="M2176" s="6">
        <v>1</v>
      </c>
      <c r="N2176" s="7">
        <v>0</v>
      </c>
      <c r="O2176" t="s">
        <v>3591</v>
      </c>
      <c r="P2176" s="3" t="s">
        <v>287</v>
      </c>
      <c r="Q2176" s="8">
        <v>1.9300000000000001E-2</v>
      </c>
    </row>
    <row r="2177" spans="1:17" hidden="1" x14ac:dyDescent="0.55000000000000004">
      <c r="A2177" s="9" t="s">
        <v>3546</v>
      </c>
      <c r="B2177" s="3" t="s">
        <v>3586</v>
      </c>
      <c r="C2177" t="s">
        <v>3586</v>
      </c>
      <c r="D2177" s="3" t="s">
        <v>7314</v>
      </c>
      <c r="E2177" t="s">
        <v>3587</v>
      </c>
      <c r="F2177" s="3" t="s">
        <v>3588</v>
      </c>
      <c r="G2177" t="s">
        <v>24</v>
      </c>
      <c r="H2177" s="3" t="s">
        <v>3592</v>
      </c>
      <c r="I2177" t="s">
        <v>26</v>
      </c>
      <c r="J2177" s="3" t="s">
        <v>3593</v>
      </c>
      <c r="K2177" s="4">
        <v>960</v>
      </c>
      <c r="L2177" s="5">
        <v>43.65</v>
      </c>
      <c r="M2177" s="6">
        <v>1</v>
      </c>
      <c r="N2177" s="7">
        <v>0</v>
      </c>
      <c r="O2177" t="s">
        <v>3594</v>
      </c>
      <c r="P2177" s="3" t="s">
        <v>76</v>
      </c>
      <c r="Q2177" s="8">
        <v>0.2555</v>
      </c>
    </row>
    <row r="2178" spans="1:17" hidden="1" x14ac:dyDescent="0.55000000000000004">
      <c r="A2178" s="3" t="s">
        <v>3595</v>
      </c>
      <c r="B2178" s="3" t="s">
        <v>3596</v>
      </c>
      <c r="C2178" t="s">
        <v>3596</v>
      </c>
      <c r="D2178" s="3" t="s">
        <v>7319</v>
      </c>
      <c r="E2178" t="s">
        <v>3597</v>
      </c>
      <c r="F2178" s="3" t="s">
        <v>3598</v>
      </c>
      <c r="G2178" t="s">
        <v>19</v>
      </c>
      <c r="H2178" s="3" t="s">
        <v>3599</v>
      </c>
      <c r="I2178" t="s">
        <v>374</v>
      </c>
      <c r="J2178" s="3" t="s">
        <v>3600</v>
      </c>
      <c r="K2178" s="4">
        <v>241</v>
      </c>
      <c r="L2178" s="5">
        <v>52.39</v>
      </c>
      <c r="M2178" s="6">
        <v>1</v>
      </c>
      <c r="N2178" s="7">
        <v>1</v>
      </c>
      <c r="O2178" t="s">
        <v>3601</v>
      </c>
      <c r="P2178" s="3" t="s">
        <v>3602</v>
      </c>
      <c r="Q2178" s="8">
        <v>4.8250000000000001E-2</v>
      </c>
    </row>
    <row r="2179" spans="1:17" hidden="1" x14ac:dyDescent="0.55000000000000004">
      <c r="A2179" s="3" t="s">
        <v>3595</v>
      </c>
      <c r="B2179" s="3" t="s">
        <v>3596</v>
      </c>
      <c r="C2179" t="s">
        <v>3596</v>
      </c>
      <c r="D2179" s="3" t="s">
        <v>7319</v>
      </c>
      <c r="E2179" t="s">
        <v>3597</v>
      </c>
      <c r="F2179" s="3" t="s">
        <v>3598</v>
      </c>
      <c r="G2179" t="s">
        <v>24</v>
      </c>
      <c r="H2179" s="3" t="s">
        <v>3603</v>
      </c>
      <c r="I2179" t="s">
        <v>26</v>
      </c>
      <c r="J2179" s="3" t="s">
        <v>3604</v>
      </c>
      <c r="K2179" s="4">
        <v>1469</v>
      </c>
      <c r="L2179" s="5">
        <v>66.77</v>
      </c>
      <c r="M2179" s="6">
        <v>1</v>
      </c>
      <c r="N2179" s="7">
        <v>1</v>
      </c>
      <c r="O2179" t="s">
        <v>3605</v>
      </c>
      <c r="P2179" s="3" t="s">
        <v>76</v>
      </c>
      <c r="Q2179" s="8">
        <v>0.29366700000000001</v>
      </c>
    </row>
    <row r="2180" spans="1:17" hidden="1" x14ac:dyDescent="0.55000000000000004">
      <c r="A2180" s="3" t="s">
        <v>3595</v>
      </c>
      <c r="B2180" s="3" t="s">
        <v>3596</v>
      </c>
      <c r="C2180" t="s">
        <v>3596</v>
      </c>
      <c r="D2180" s="3" t="s">
        <v>7319</v>
      </c>
      <c r="E2180" t="s">
        <v>3597</v>
      </c>
      <c r="F2180" s="3" t="s">
        <v>3598</v>
      </c>
      <c r="G2180" t="s">
        <v>24</v>
      </c>
      <c r="H2180" s="3" t="s">
        <v>3606</v>
      </c>
      <c r="I2180" t="s">
        <v>218</v>
      </c>
      <c r="J2180" s="3" t="s">
        <v>3604</v>
      </c>
      <c r="K2180" s="4">
        <v>2028</v>
      </c>
      <c r="L2180" s="5">
        <v>92.17</v>
      </c>
      <c r="M2180" s="6">
        <v>0</v>
      </c>
      <c r="N2180" s="7">
        <v>1</v>
      </c>
      <c r="O2180" t="s">
        <v>3607</v>
      </c>
      <c r="P2180" s="3" t="s">
        <v>23</v>
      </c>
      <c r="Q2180" s="8" t="s">
        <v>23</v>
      </c>
    </row>
    <row r="2181" spans="1:17" hidden="1" x14ac:dyDescent="0.55000000000000004">
      <c r="A2181" s="3" t="s">
        <v>3595</v>
      </c>
      <c r="B2181" s="3" t="s">
        <v>3596</v>
      </c>
      <c r="C2181" t="s">
        <v>3596</v>
      </c>
      <c r="D2181" s="3" t="s">
        <v>7319</v>
      </c>
      <c r="E2181" t="s">
        <v>3608</v>
      </c>
      <c r="F2181" s="3" t="s">
        <v>3609</v>
      </c>
      <c r="G2181" t="s">
        <v>19</v>
      </c>
      <c r="H2181" s="3" t="s">
        <v>3599</v>
      </c>
      <c r="I2181" t="s">
        <v>374</v>
      </c>
      <c r="J2181" s="3" t="s">
        <v>3600</v>
      </c>
      <c r="K2181" s="4">
        <v>241</v>
      </c>
      <c r="L2181" s="5">
        <v>52.39</v>
      </c>
      <c r="M2181" s="6">
        <v>1</v>
      </c>
      <c r="N2181" s="7">
        <v>0</v>
      </c>
      <c r="O2181" t="s">
        <v>3601</v>
      </c>
      <c r="P2181" s="3" t="s">
        <v>3602</v>
      </c>
      <c r="Q2181" s="8">
        <v>4.8250000000000001E-2</v>
      </c>
    </row>
    <row r="2182" spans="1:17" hidden="1" x14ac:dyDescent="0.55000000000000004">
      <c r="A2182" s="3" t="s">
        <v>3595</v>
      </c>
      <c r="B2182" s="3" t="s">
        <v>3596</v>
      </c>
      <c r="C2182" t="s">
        <v>3596</v>
      </c>
      <c r="D2182" s="3" t="s">
        <v>7319</v>
      </c>
      <c r="E2182" t="s">
        <v>3608</v>
      </c>
      <c r="F2182" s="3" t="s">
        <v>3609</v>
      </c>
      <c r="G2182" t="s">
        <v>24</v>
      </c>
      <c r="H2182" s="3" t="s">
        <v>3603</v>
      </c>
      <c r="I2182" t="s">
        <v>26</v>
      </c>
      <c r="J2182" s="3" t="s">
        <v>3604</v>
      </c>
      <c r="K2182" s="4">
        <v>1469</v>
      </c>
      <c r="L2182" s="5">
        <v>66.77</v>
      </c>
      <c r="M2182" s="6">
        <v>1</v>
      </c>
      <c r="N2182" s="7">
        <v>0</v>
      </c>
      <c r="O2182" t="s">
        <v>3605</v>
      </c>
      <c r="P2182" s="3" t="s">
        <v>76</v>
      </c>
      <c r="Q2182" s="8">
        <v>0.29366700000000001</v>
      </c>
    </row>
    <row r="2183" spans="1:17" hidden="1" x14ac:dyDescent="0.55000000000000004">
      <c r="A2183" s="3" t="s">
        <v>3595</v>
      </c>
      <c r="B2183" s="3" t="s">
        <v>3596</v>
      </c>
      <c r="C2183" t="s">
        <v>3596</v>
      </c>
      <c r="D2183" s="3" t="s">
        <v>7319</v>
      </c>
      <c r="E2183" t="s">
        <v>3608</v>
      </c>
      <c r="F2183" s="3" t="s">
        <v>3609</v>
      </c>
      <c r="G2183" t="s">
        <v>24</v>
      </c>
      <c r="H2183" s="3" t="s">
        <v>3606</v>
      </c>
      <c r="I2183" t="s">
        <v>218</v>
      </c>
      <c r="J2183" s="3" t="s">
        <v>3604</v>
      </c>
      <c r="K2183" s="4">
        <v>2028</v>
      </c>
      <c r="L2183" s="5">
        <v>92.17</v>
      </c>
      <c r="M2183" s="6">
        <v>0</v>
      </c>
      <c r="N2183" s="7">
        <v>0</v>
      </c>
      <c r="O2183" t="s">
        <v>3607</v>
      </c>
      <c r="P2183" s="3" t="s">
        <v>23</v>
      </c>
      <c r="Q2183" s="8" t="s">
        <v>23</v>
      </c>
    </row>
    <row r="2184" spans="1:17" hidden="1" x14ac:dyDescent="0.55000000000000004">
      <c r="A2184" s="3" t="s">
        <v>3595</v>
      </c>
      <c r="B2184" s="3" t="s">
        <v>3596</v>
      </c>
      <c r="C2184" t="s">
        <v>3596</v>
      </c>
      <c r="D2184" s="3" t="s">
        <v>7319</v>
      </c>
      <c r="E2184" t="s">
        <v>3610</v>
      </c>
      <c r="F2184" s="3" t="s">
        <v>3611</v>
      </c>
      <c r="G2184" t="s">
        <v>19</v>
      </c>
      <c r="H2184" s="3" t="s">
        <v>3599</v>
      </c>
      <c r="I2184" t="s">
        <v>374</v>
      </c>
      <c r="J2184" s="3" t="s">
        <v>3600</v>
      </c>
      <c r="K2184" s="4">
        <v>241</v>
      </c>
      <c r="L2184" s="5">
        <v>52.39</v>
      </c>
      <c r="M2184" s="6">
        <v>1</v>
      </c>
      <c r="N2184" s="7">
        <v>0</v>
      </c>
      <c r="O2184" t="s">
        <v>3601</v>
      </c>
      <c r="P2184" s="3" t="s">
        <v>3602</v>
      </c>
      <c r="Q2184" s="8">
        <v>4.8250000000000001E-2</v>
      </c>
    </row>
    <row r="2185" spans="1:17" hidden="1" x14ac:dyDescent="0.55000000000000004">
      <c r="A2185" s="3" t="s">
        <v>3595</v>
      </c>
      <c r="B2185" s="3" t="s">
        <v>3596</v>
      </c>
      <c r="C2185" t="s">
        <v>3596</v>
      </c>
      <c r="D2185" s="3" t="s">
        <v>7319</v>
      </c>
      <c r="E2185" t="s">
        <v>3610</v>
      </c>
      <c r="F2185" s="3" t="s">
        <v>3611</v>
      </c>
      <c r="G2185" t="s">
        <v>24</v>
      </c>
      <c r="H2185" s="3" t="s">
        <v>3603</v>
      </c>
      <c r="I2185" t="s">
        <v>26</v>
      </c>
      <c r="J2185" s="3" t="s">
        <v>3604</v>
      </c>
      <c r="K2185" s="4">
        <v>1469</v>
      </c>
      <c r="L2185" s="5">
        <v>66.77</v>
      </c>
      <c r="M2185" s="6">
        <v>1</v>
      </c>
      <c r="N2185" s="7">
        <v>0</v>
      </c>
      <c r="O2185" t="s">
        <v>3605</v>
      </c>
      <c r="P2185" s="3" t="s">
        <v>76</v>
      </c>
      <c r="Q2185" s="8">
        <v>0.29366700000000001</v>
      </c>
    </row>
    <row r="2186" spans="1:17" hidden="1" x14ac:dyDescent="0.55000000000000004">
      <c r="A2186" s="3" t="s">
        <v>3595</v>
      </c>
      <c r="B2186" s="3" t="s">
        <v>3596</v>
      </c>
      <c r="C2186" t="s">
        <v>3596</v>
      </c>
      <c r="D2186" s="3" t="s">
        <v>7319</v>
      </c>
      <c r="E2186" t="s">
        <v>3610</v>
      </c>
      <c r="F2186" s="3" t="s">
        <v>3611</v>
      </c>
      <c r="G2186" t="s">
        <v>24</v>
      </c>
      <c r="H2186" s="3" t="s">
        <v>3606</v>
      </c>
      <c r="I2186" t="s">
        <v>218</v>
      </c>
      <c r="J2186" s="3" t="s">
        <v>3604</v>
      </c>
      <c r="K2186" s="4">
        <v>2028</v>
      </c>
      <c r="L2186" s="5">
        <v>92.17</v>
      </c>
      <c r="M2186" s="6">
        <v>0</v>
      </c>
      <c r="N2186" s="7">
        <v>0</v>
      </c>
      <c r="O2186" t="s">
        <v>3607</v>
      </c>
      <c r="P2186" s="3" t="s">
        <v>23</v>
      </c>
      <c r="Q2186" s="8" t="s">
        <v>23</v>
      </c>
    </row>
    <row r="2187" spans="1:17" hidden="1" x14ac:dyDescent="0.55000000000000004">
      <c r="A2187" s="3" t="s">
        <v>3595</v>
      </c>
      <c r="B2187" s="3" t="s">
        <v>3596</v>
      </c>
      <c r="C2187" t="s">
        <v>3596</v>
      </c>
      <c r="D2187" s="3" t="s">
        <v>7319</v>
      </c>
      <c r="E2187" t="s">
        <v>3612</v>
      </c>
      <c r="F2187" s="3" t="s">
        <v>3613</v>
      </c>
      <c r="G2187" t="s">
        <v>19</v>
      </c>
      <c r="H2187" s="3" t="s">
        <v>3614</v>
      </c>
      <c r="I2187" t="s">
        <v>3615</v>
      </c>
      <c r="J2187" s="3" t="s">
        <v>3616</v>
      </c>
      <c r="K2187" s="4">
        <v>404</v>
      </c>
      <c r="L2187" s="5">
        <v>87.76</v>
      </c>
      <c r="M2187" s="6">
        <v>0</v>
      </c>
      <c r="N2187" s="7">
        <v>0</v>
      </c>
      <c r="O2187" t="s">
        <v>3617</v>
      </c>
      <c r="P2187" s="3" t="s">
        <v>3618</v>
      </c>
      <c r="Q2187" s="8">
        <v>0.16320000000000001</v>
      </c>
    </row>
    <row r="2188" spans="1:17" hidden="1" x14ac:dyDescent="0.55000000000000004">
      <c r="A2188" s="3" t="s">
        <v>3595</v>
      </c>
      <c r="B2188" s="3" t="s">
        <v>3596</v>
      </c>
      <c r="C2188" t="s">
        <v>3596</v>
      </c>
      <c r="D2188" s="3" t="s">
        <v>7319</v>
      </c>
      <c r="E2188" t="s">
        <v>3612</v>
      </c>
      <c r="F2188" s="3" t="s">
        <v>3613</v>
      </c>
      <c r="G2188" t="s">
        <v>19</v>
      </c>
      <c r="H2188" s="3" t="s">
        <v>3619</v>
      </c>
      <c r="I2188" t="s">
        <v>3620</v>
      </c>
      <c r="J2188" s="3" t="s">
        <v>3616</v>
      </c>
      <c r="K2188" s="4">
        <v>408</v>
      </c>
      <c r="L2188" s="5">
        <v>88.63</v>
      </c>
      <c r="M2188" s="6">
        <v>0</v>
      </c>
      <c r="N2188" s="7">
        <v>0</v>
      </c>
      <c r="O2188" t="s">
        <v>3617</v>
      </c>
      <c r="P2188" s="3" t="s">
        <v>3618</v>
      </c>
      <c r="Q2188" s="8">
        <v>0.16320000000000001</v>
      </c>
    </row>
    <row r="2189" spans="1:17" hidden="1" x14ac:dyDescent="0.55000000000000004">
      <c r="A2189" s="3" t="s">
        <v>3595</v>
      </c>
      <c r="B2189" s="3" t="s">
        <v>3596</v>
      </c>
      <c r="C2189" t="s">
        <v>3596</v>
      </c>
      <c r="D2189" s="3" t="s">
        <v>7319</v>
      </c>
      <c r="E2189" t="s">
        <v>3612</v>
      </c>
      <c r="F2189" s="3" t="s">
        <v>3613</v>
      </c>
      <c r="G2189" t="s">
        <v>19</v>
      </c>
      <c r="H2189" s="3" t="s">
        <v>3619</v>
      </c>
      <c r="I2189" t="s">
        <v>3620</v>
      </c>
      <c r="J2189" s="3" t="s">
        <v>3616</v>
      </c>
      <c r="K2189" s="4">
        <v>408</v>
      </c>
      <c r="L2189" s="5">
        <v>88.63</v>
      </c>
      <c r="M2189" s="6">
        <v>0</v>
      </c>
      <c r="N2189" s="7">
        <v>0</v>
      </c>
      <c r="O2189" t="s">
        <v>3621</v>
      </c>
      <c r="P2189" s="3" t="s">
        <v>3622</v>
      </c>
      <c r="Q2189" s="8">
        <v>9.6430000000000005E-3</v>
      </c>
    </row>
    <row r="2190" spans="1:17" hidden="1" x14ac:dyDescent="0.55000000000000004">
      <c r="A2190" s="3" t="s">
        <v>3595</v>
      </c>
      <c r="B2190" s="3" t="s">
        <v>3596</v>
      </c>
      <c r="C2190" t="s">
        <v>3596</v>
      </c>
      <c r="D2190" s="3" t="s">
        <v>7319</v>
      </c>
      <c r="E2190" t="s">
        <v>3612</v>
      </c>
      <c r="F2190" s="3" t="s">
        <v>3613</v>
      </c>
      <c r="G2190" t="s">
        <v>19</v>
      </c>
      <c r="H2190" s="3" t="s">
        <v>3623</v>
      </c>
      <c r="I2190" t="s">
        <v>3624</v>
      </c>
      <c r="J2190" s="3" t="s">
        <v>3616</v>
      </c>
      <c r="K2190" s="4">
        <v>404</v>
      </c>
      <c r="L2190" s="5">
        <v>87.89</v>
      </c>
      <c r="M2190" s="6">
        <v>0</v>
      </c>
      <c r="N2190" s="7">
        <v>0</v>
      </c>
      <c r="O2190" t="s">
        <v>3617</v>
      </c>
      <c r="P2190" s="3" t="s">
        <v>3618</v>
      </c>
      <c r="Q2190" s="8">
        <v>0.16320000000000001</v>
      </c>
    </row>
    <row r="2191" spans="1:17" hidden="1" x14ac:dyDescent="0.55000000000000004">
      <c r="A2191" s="3" t="s">
        <v>3595</v>
      </c>
      <c r="B2191" s="3" t="s">
        <v>3596</v>
      </c>
      <c r="C2191" t="s">
        <v>3596</v>
      </c>
      <c r="D2191" s="3" t="s">
        <v>7319</v>
      </c>
      <c r="E2191" t="s">
        <v>3612</v>
      </c>
      <c r="F2191" s="3" t="s">
        <v>3613</v>
      </c>
      <c r="G2191" t="s">
        <v>19</v>
      </c>
      <c r="H2191" s="3" t="s">
        <v>3623</v>
      </c>
      <c r="I2191" t="s">
        <v>3624</v>
      </c>
      <c r="J2191" s="3" t="s">
        <v>3616</v>
      </c>
      <c r="K2191" s="4">
        <v>404</v>
      </c>
      <c r="L2191" s="5">
        <v>87.89</v>
      </c>
      <c r="M2191" s="6">
        <v>0</v>
      </c>
      <c r="N2191" s="7">
        <v>0</v>
      </c>
      <c r="O2191" t="s">
        <v>3625</v>
      </c>
      <c r="P2191" s="3" t="s">
        <v>3622</v>
      </c>
      <c r="Q2191" s="8">
        <v>9.6430000000000005E-3</v>
      </c>
    </row>
    <row r="2192" spans="1:17" hidden="1" x14ac:dyDescent="0.55000000000000004">
      <c r="A2192" s="3" t="s">
        <v>3595</v>
      </c>
      <c r="B2192" s="3" t="s">
        <v>3596</v>
      </c>
      <c r="C2192" t="s">
        <v>3596</v>
      </c>
      <c r="D2192" s="3" t="s">
        <v>7319</v>
      </c>
      <c r="E2192" t="s">
        <v>3612</v>
      </c>
      <c r="F2192" s="3" t="s">
        <v>3613</v>
      </c>
      <c r="G2192" t="s">
        <v>19</v>
      </c>
      <c r="H2192" s="3" t="s">
        <v>3626</v>
      </c>
      <c r="I2192" t="s">
        <v>3627</v>
      </c>
      <c r="J2192" s="3" t="s">
        <v>3616</v>
      </c>
      <c r="K2192" s="4">
        <v>696</v>
      </c>
      <c r="L2192" s="5">
        <v>151.41</v>
      </c>
      <c r="M2192" s="6">
        <v>0</v>
      </c>
      <c r="N2192" s="7">
        <v>0</v>
      </c>
      <c r="O2192" t="s">
        <v>3617</v>
      </c>
      <c r="P2192" s="3" t="s">
        <v>3618</v>
      </c>
      <c r="Q2192" s="8">
        <v>0.16320000000000001</v>
      </c>
    </row>
    <row r="2193" spans="1:17" hidden="1" x14ac:dyDescent="0.55000000000000004">
      <c r="A2193" s="3" t="s">
        <v>3595</v>
      </c>
      <c r="B2193" s="3" t="s">
        <v>3596</v>
      </c>
      <c r="C2193" t="s">
        <v>3596</v>
      </c>
      <c r="D2193" s="3" t="s">
        <v>7319</v>
      </c>
      <c r="E2193" t="s">
        <v>3612</v>
      </c>
      <c r="F2193" s="3" t="s">
        <v>3613</v>
      </c>
      <c r="G2193" t="s">
        <v>19</v>
      </c>
      <c r="H2193" s="3" t="s">
        <v>3626</v>
      </c>
      <c r="I2193" t="s">
        <v>3627</v>
      </c>
      <c r="J2193" s="3" t="s">
        <v>3616</v>
      </c>
      <c r="K2193" s="4">
        <v>696</v>
      </c>
      <c r="L2193" s="5">
        <v>151.41</v>
      </c>
      <c r="M2193" s="6">
        <v>0</v>
      </c>
      <c r="N2193" s="7">
        <v>0</v>
      </c>
      <c r="O2193" t="s">
        <v>3628</v>
      </c>
      <c r="P2193" s="3" t="s">
        <v>3629</v>
      </c>
      <c r="Q2193" s="8">
        <v>4.1879999999999999E-3</v>
      </c>
    </row>
    <row r="2194" spans="1:17" hidden="1" x14ac:dyDescent="0.55000000000000004">
      <c r="A2194" s="3" t="s">
        <v>3595</v>
      </c>
      <c r="B2194" s="3" t="s">
        <v>3596</v>
      </c>
      <c r="C2194" t="s">
        <v>3596</v>
      </c>
      <c r="D2194" s="3" t="s">
        <v>7319</v>
      </c>
      <c r="E2194" t="s">
        <v>3612</v>
      </c>
      <c r="F2194" s="3" t="s">
        <v>3613</v>
      </c>
      <c r="G2194" t="s">
        <v>19</v>
      </c>
      <c r="H2194" s="3" t="s">
        <v>3626</v>
      </c>
      <c r="I2194" t="s">
        <v>3627</v>
      </c>
      <c r="J2194" s="3" t="s">
        <v>3616</v>
      </c>
      <c r="K2194" s="4">
        <v>696</v>
      </c>
      <c r="L2194" s="5">
        <v>151.41</v>
      </c>
      <c r="M2194" s="6">
        <v>0</v>
      </c>
      <c r="N2194" s="7">
        <v>0</v>
      </c>
      <c r="O2194" t="s">
        <v>3630</v>
      </c>
      <c r="P2194" s="3" t="s">
        <v>3631</v>
      </c>
      <c r="Q2194" s="8">
        <v>6.8030999999999994E-2</v>
      </c>
    </row>
    <row r="2195" spans="1:17" hidden="1" x14ac:dyDescent="0.55000000000000004">
      <c r="A2195" s="3" t="s">
        <v>3595</v>
      </c>
      <c r="B2195" s="3" t="s">
        <v>3596</v>
      </c>
      <c r="C2195" t="s">
        <v>3596</v>
      </c>
      <c r="D2195" s="3" t="s">
        <v>7319</v>
      </c>
      <c r="E2195" t="s">
        <v>3612</v>
      </c>
      <c r="F2195" s="3" t="s">
        <v>3613</v>
      </c>
      <c r="G2195" t="s">
        <v>24</v>
      </c>
      <c r="H2195" s="3" t="s">
        <v>3603</v>
      </c>
      <c r="I2195" t="s">
        <v>26</v>
      </c>
      <c r="J2195" s="3" t="s">
        <v>3604</v>
      </c>
      <c r="K2195" s="4">
        <v>1469</v>
      </c>
      <c r="L2195" s="5">
        <v>66.77</v>
      </c>
      <c r="M2195" s="6">
        <v>1</v>
      </c>
      <c r="N2195" s="7">
        <v>0</v>
      </c>
      <c r="O2195" t="s">
        <v>3605</v>
      </c>
      <c r="P2195" s="3" t="s">
        <v>76</v>
      </c>
      <c r="Q2195" s="8">
        <v>0.29366700000000001</v>
      </c>
    </row>
    <row r="2196" spans="1:17" hidden="1" x14ac:dyDescent="0.55000000000000004">
      <c r="A2196" s="3" t="s">
        <v>3595</v>
      </c>
      <c r="B2196" s="3" t="s">
        <v>3596</v>
      </c>
      <c r="C2196" t="s">
        <v>3596</v>
      </c>
      <c r="D2196" s="3" t="s">
        <v>7319</v>
      </c>
      <c r="E2196" t="s">
        <v>3612</v>
      </c>
      <c r="F2196" s="3" t="s">
        <v>3613</v>
      </c>
      <c r="G2196" t="s">
        <v>24</v>
      </c>
      <c r="H2196" s="3" t="s">
        <v>3606</v>
      </c>
      <c r="I2196" t="s">
        <v>218</v>
      </c>
      <c r="J2196" s="3" t="s">
        <v>3604</v>
      </c>
      <c r="K2196" s="4">
        <v>2028</v>
      </c>
      <c r="L2196" s="5">
        <v>92.17</v>
      </c>
      <c r="M2196" s="6">
        <v>0</v>
      </c>
      <c r="N2196" s="7">
        <v>0</v>
      </c>
      <c r="O2196" t="s">
        <v>3607</v>
      </c>
      <c r="P2196" s="3" t="s">
        <v>23</v>
      </c>
      <c r="Q2196" s="8" t="s">
        <v>23</v>
      </c>
    </row>
    <row r="2197" spans="1:17" hidden="1" x14ac:dyDescent="0.55000000000000004">
      <c r="A2197" s="3" t="s">
        <v>3595</v>
      </c>
      <c r="B2197" s="3" t="s">
        <v>3632</v>
      </c>
      <c r="C2197" t="s">
        <v>7367</v>
      </c>
      <c r="D2197" s="3" t="s">
        <v>7319</v>
      </c>
      <c r="E2197" t="s">
        <v>3634</v>
      </c>
      <c r="F2197" s="3" t="s">
        <v>3635</v>
      </c>
      <c r="G2197" t="s">
        <v>24</v>
      </c>
      <c r="H2197" s="3" t="s">
        <v>3636</v>
      </c>
      <c r="I2197" t="s">
        <v>52</v>
      </c>
      <c r="J2197" s="3" t="s">
        <v>3637</v>
      </c>
      <c r="K2197" s="4">
        <v>1481</v>
      </c>
      <c r="L2197" s="5">
        <v>67.31</v>
      </c>
      <c r="M2197" s="6">
        <v>0</v>
      </c>
      <c r="N2197" s="7">
        <v>0</v>
      </c>
      <c r="O2197" t="s">
        <v>3638</v>
      </c>
      <c r="P2197" s="3" t="s">
        <v>55</v>
      </c>
      <c r="Q2197" s="8">
        <v>0.29277900000000001</v>
      </c>
    </row>
    <row r="2198" spans="1:17" hidden="1" x14ac:dyDescent="0.55000000000000004">
      <c r="A2198" s="3" t="s">
        <v>3595</v>
      </c>
      <c r="B2198" s="3" t="s">
        <v>3632</v>
      </c>
      <c r="C2198" t="s">
        <v>7367</v>
      </c>
      <c r="D2198" s="3" t="s">
        <v>7319</v>
      </c>
      <c r="E2198" t="s">
        <v>3634</v>
      </c>
      <c r="F2198" s="3" t="s">
        <v>3635</v>
      </c>
      <c r="G2198" t="s">
        <v>24</v>
      </c>
      <c r="H2198" s="3" t="s">
        <v>3639</v>
      </c>
      <c r="I2198" t="s">
        <v>26</v>
      </c>
      <c r="J2198" s="3" t="s">
        <v>3640</v>
      </c>
      <c r="K2198" s="4">
        <v>1102</v>
      </c>
      <c r="L2198" s="5">
        <v>50.07</v>
      </c>
      <c r="M2198" s="6">
        <v>0</v>
      </c>
      <c r="N2198" s="7">
        <v>0</v>
      </c>
      <c r="O2198" t="s">
        <v>3641</v>
      </c>
      <c r="P2198" s="3" t="s">
        <v>76</v>
      </c>
      <c r="Q2198" s="8">
        <v>0.29366700000000001</v>
      </c>
    </row>
    <row r="2199" spans="1:17" hidden="1" x14ac:dyDescent="0.55000000000000004">
      <c r="A2199" s="3" t="s">
        <v>3595</v>
      </c>
      <c r="B2199" s="3" t="s">
        <v>3633</v>
      </c>
      <c r="C2199" t="s">
        <v>7367</v>
      </c>
      <c r="D2199" s="3" t="s">
        <v>7319</v>
      </c>
      <c r="E2199" t="s">
        <v>3642</v>
      </c>
      <c r="F2199" s="3" t="s">
        <v>3643</v>
      </c>
      <c r="G2199" t="s">
        <v>24</v>
      </c>
      <c r="H2199" s="3" t="s">
        <v>3644</v>
      </c>
      <c r="I2199" t="s">
        <v>26</v>
      </c>
      <c r="J2199" s="3" t="s">
        <v>3645</v>
      </c>
      <c r="K2199" s="4">
        <v>1519</v>
      </c>
      <c r="L2199" s="5">
        <v>69.05</v>
      </c>
      <c r="M2199" s="6">
        <v>1</v>
      </c>
      <c r="N2199" s="7">
        <v>0</v>
      </c>
      <c r="O2199" t="s">
        <v>3646</v>
      </c>
      <c r="P2199" s="3" t="s">
        <v>76</v>
      </c>
      <c r="Q2199" s="8">
        <v>0.29366700000000001</v>
      </c>
    </row>
    <row r="2200" spans="1:17" hidden="1" x14ac:dyDescent="0.55000000000000004">
      <c r="A2200" s="3" t="s">
        <v>3595</v>
      </c>
      <c r="B2200" s="3" t="s">
        <v>3633</v>
      </c>
      <c r="C2200" t="s">
        <v>7367</v>
      </c>
      <c r="D2200" s="3" t="s">
        <v>7319</v>
      </c>
      <c r="E2200" t="s">
        <v>3642</v>
      </c>
      <c r="F2200" s="3" t="s">
        <v>3643</v>
      </c>
      <c r="G2200" t="s">
        <v>24</v>
      </c>
      <c r="H2200" s="3" t="s">
        <v>3647</v>
      </c>
      <c r="I2200" t="s">
        <v>218</v>
      </c>
      <c r="J2200" s="3" t="s">
        <v>3645</v>
      </c>
      <c r="K2200" s="4">
        <v>2248</v>
      </c>
      <c r="L2200" s="5">
        <v>102.18</v>
      </c>
      <c r="M2200" s="6">
        <v>0</v>
      </c>
      <c r="N2200" s="7">
        <v>0</v>
      </c>
      <c r="O2200" t="s">
        <v>3648</v>
      </c>
      <c r="P2200" s="3" t="s">
        <v>23</v>
      </c>
      <c r="Q2200" s="8" t="s">
        <v>23</v>
      </c>
    </row>
    <row r="2201" spans="1:17" hidden="1" x14ac:dyDescent="0.55000000000000004">
      <c r="A2201" s="3" t="s">
        <v>3595</v>
      </c>
      <c r="B2201" s="3" t="s">
        <v>7368</v>
      </c>
      <c r="C2201" t="s">
        <v>7367</v>
      </c>
      <c r="D2201" s="3" t="s">
        <v>7319</v>
      </c>
      <c r="E2201" t="s">
        <v>3649</v>
      </c>
      <c r="F2201" s="3" t="s">
        <v>3650</v>
      </c>
      <c r="G2201" t="s">
        <v>19</v>
      </c>
      <c r="H2201" s="3" t="s">
        <v>3651</v>
      </c>
      <c r="I2201" t="s">
        <v>400</v>
      </c>
      <c r="J2201" s="3" t="s">
        <v>3652</v>
      </c>
      <c r="K2201" s="4">
        <v>216</v>
      </c>
      <c r="L2201" s="5">
        <v>47</v>
      </c>
      <c r="M2201" s="6">
        <v>0</v>
      </c>
      <c r="N2201" s="7">
        <v>1</v>
      </c>
      <c r="O2201" t="s">
        <v>3653</v>
      </c>
      <c r="P2201" s="3" t="s">
        <v>3654</v>
      </c>
      <c r="Q2201" s="8">
        <v>5.6195000000000002E-2</v>
      </c>
    </row>
    <row r="2202" spans="1:17" hidden="1" x14ac:dyDescent="0.55000000000000004">
      <c r="A2202" s="3" t="s">
        <v>3595</v>
      </c>
      <c r="B2202" s="3" t="s">
        <v>7368</v>
      </c>
      <c r="C2202" t="s">
        <v>7367</v>
      </c>
      <c r="D2202" s="3" t="s">
        <v>7319</v>
      </c>
      <c r="E2202" t="s">
        <v>3649</v>
      </c>
      <c r="F2202" s="3" t="s">
        <v>3650</v>
      </c>
      <c r="G2202" t="s">
        <v>19</v>
      </c>
      <c r="H2202" s="3" t="s">
        <v>3655</v>
      </c>
      <c r="I2202" t="s">
        <v>432</v>
      </c>
      <c r="J2202" s="3" t="s">
        <v>3652</v>
      </c>
      <c r="K2202" s="4">
        <v>197</v>
      </c>
      <c r="L2202" s="5">
        <v>42.89</v>
      </c>
      <c r="M2202" s="6">
        <v>1</v>
      </c>
      <c r="N2202" s="7">
        <v>1</v>
      </c>
      <c r="O2202" t="s">
        <v>3656</v>
      </c>
      <c r="P2202" s="3" t="s">
        <v>3654</v>
      </c>
      <c r="Q2202" s="8">
        <v>5.6195000000000002E-2</v>
      </c>
    </row>
    <row r="2203" spans="1:17" hidden="1" x14ac:dyDescent="0.55000000000000004">
      <c r="A2203" s="3" t="s">
        <v>3595</v>
      </c>
      <c r="B2203" s="3" t="s">
        <v>7368</v>
      </c>
      <c r="C2203" t="s">
        <v>7367</v>
      </c>
      <c r="D2203" s="3" t="s">
        <v>7319</v>
      </c>
      <c r="E2203" t="s">
        <v>3649</v>
      </c>
      <c r="F2203" s="3" t="s">
        <v>3650</v>
      </c>
      <c r="G2203" t="s">
        <v>24</v>
      </c>
      <c r="H2203" s="3" t="s">
        <v>3644</v>
      </c>
      <c r="I2203" t="s">
        <v>26</v>
      </c>
      <c r="J2203" s="3" t="s">
        <v>3645</v>
      </c>
      <c r="K2203" s="4">
        <v>1519</v>
      </c>
      <c r="L2203" s="5">
        <v>69.05</v>
      </c>
      <c r="M2203" s="6">
        <v>1</v>
      </c>
      <c r="N2203" s="7">
        <v>1</v>
      </c>
      <c r="O2203" t="s">
        <v>3646</v>
      </c>
      <c r="P2203" s="3" t="s">
        <v>76</v>
      </c>
      <c r="Q2203" s="8">
        <v>0.29366700000000001</v>
      </c>
    </row>
    <row r="2204" spans="1:17" hidden="1" x14ac:dyDescent="0.55000000000000004">
      <c r="A2204" s="3" t="s">
        <v>3595</v>
      </c>
      <c r="B2204" s="3" t="s">
        <v>7368</v>
      </c>
      <c r="C2204" t="s">
        <v>7367</v>
      </c>
      <c r="D2204" s="3" t="s">
        <v>7319</v>
      </c>
      <c r="E2204" t="s">
        <v>3649</v>
      </c>
      <c r="F2204" s="3" t="s">
        <v>3650</v>
      </c>
      <c r="G2204" t="s">
        <v>24</v>
      </c>
      <c r="H2204" s="3" t="s">
        <v>3647</v>
      </c>
      <c r="I2204" t="s">
        <v>218</v>
      </c>
      <c r="J2204" s="3" t="s">
        <v>3645</v>
      </c>
      <c r="K2204" s="4">
        <v>2248</v>
      </c>
      <c r="L2204" s="5">
        <v>102.18</v>
      </c>
      <c r="M2204" s="6">
        <v>0</v>
      </c>
      <c r="N2204" s="7">
        <v>1</v>
      </c>
      <c r="O2204" t="s">
        <v>3648</v>
      </c>
      <c r="P2204" s="3" t="s">
        <v>23</v>
      </c>
      <c r="Q2204" s="8" t="s">
        <v>23</v>
      </c>
    </row>
    <row r="2205" spans="1:17" hidden="1" x14ac:dyDescent="0.55000000000000004">
      <c r="A2205" s="3" t="s">
        <v>3595</v>
      </c>
      <c r="B2205" s="3" t="s">
        <v>3633</v>
      </c>
      <c r="C2205" t="s">
        <v>7367</v>
      </c>
      <c r="D2205" s="3" t="s">
        <v>7319</v>
      </c>
      <c r="E2205" t="s">
        <v>3657</v>
      </c>
      <c r="F2205" s="3" t="s">
        <v>3658</v>
      </c>
      <c r="G2205" t="s">
        <v>24</v>
      </c>
      <c r="H2205" s="3" t="s">
        <v>3644</v>
      </c>
      <c r="I2205" t="s">
        <v>26</v>
      </c>
      <c r="J2205" s="3" t="s">
        <v>3645</v>
      </c>
      <c r="K2205" s="4">
        <v>1519</v>
      </c>
      <c r="L2205" s="5">
        <v>69.05</v>
      </c>
      <c r="M2205" s="6">
        <v>1</v>
      </c>
      <c r="N2205" s="7">
        <v>0</v>
      </c>
      <c r="O2205" t="s">
        <v>3646</v>
      </c>
      <c r="P2205" s="3" t="s">
        <v>76</v>
      </c>
      <c r="Q2205" s="8">
        <v>0.29366700000000001</v>
      </c>
    </row>
    <row r="2206" spans="1:17" hidden="1" x14ac:dyDescent="0.55000000000000004">
      <c r="A2206" s="9" t="s">
        <v>3595</v>
      </c>
      <c r="B2206" s="3" t="s">
        <v>3633</v>
      </c>
      <c r="C2206" t="s">
        <v>7367</v>
      </c>
      <c r="D2206" s="3" t="s">
        <v>7319</v>
      </c>
      <c r="E2206" t="s">
        <v>3657</v>
      </c>
      <c r="F2206" s="3" t="s">
        <v>3658</v>
      </c>
      <c r="G2206" t="s">
        <v>24</v>
      </c>
      <c r="H2206" s="3" t="s">
        <v>3647</v>
      </c>
      <c r="I2206" t="s">
        <v>218</v>
      </c>
      <c r="J2206" s="3" t="s">
        <v>3645</v>
      </c>
      <c r="K2206" s="4">
        <v>2248</v>
      </c>
      <c r="L2206" s="5">
        <v>102.18</v>
      </c>
      <c r="M2206" s="6">
        <v>0</v>
      </c>
      <c r="N2206" s="7">
        <v>0</v>
      </c>
      <c r="O2206" t="s">
        <v>3648</v>
      </c>
      <c r="P2206" s="3" t="s">
        <v>23</v>
      </c>
      <c r="Q2206" s="8" t="s">
        <v>23</v>
      </c>
    </row>
    <row r="2207" spans="1:17" hidden="1" x14ac:dyDescent="0.55000000000000004">
      <c r="A2207" s="3" t="s">
        <v>3659</v>
      </c>
      <c r="B2207" s="3" t="s">
        <v>3660</v>
      </c>
      <c r="C2207" t="s">
        <v>3660</v>
      </c>
      <c r="D2207" s="3" t="s">
        <v>7329</v>
      </c>
      <c r="E2207" t="s">
        <v>3661</v>
      </c>
      <c r="F2207" s="3" t="s">
        <v>3662</v>
      </c>
      <c r="G2207" t="s">
        <v>24</v>
      </c>
      <c r="H2207" s="3" t="s">
        <v>3663</v>
      </c>
      <c r="I2207" t="s">
        <v>37</v>
      </c>
      <c r="J2207" s="3" t="s">
        <v>3664</v>
      </c>
      <c r="K2207" s="4">
        <v>969</v>
      </c>
      <c r="L2207" s="5">
        <v>44.04</v>
      </c>
      <c r="M2207" s="6">
        <v>1</v>
      </c>
      <c r="N2207" s="7">
        <v>0</v>
      </c>
      <c r="O2207" t="s">
        <v>3665</v>
      </c>
      <c r="P2207" s="3" t="s">
        <v>40</v>
      </c>
      <c r="Q2207" s="8">
        <v>0.18256900000000001</v>
      </c>
    </row>
    <row r="2208" spans="1:17" hidden="1" x14ac:dyDescent="0.55000000000000004">
      <c r="A2208" s="3" t="s">
        <v>3659</v>
      </c>
      <c r="B2208" s="3" t="s">
        <v>3660</v>
      </c>
      <c r="C2208" t="s">
        <v>3660</v>
      </c>
      <c r="D2208" s="3" t="s">
        <v>7329</v>
      </c>
      <c r="E2208" t="s">
        <v>3661</v>
      </c>
      <c r="F2208" s="3" t="s">
        <v>3662</v>
      </c>
      <c r="G2208" t="s">
        <v>24</v>
      </c>
      <c r="H2208" s="3" t="s">
        <v>3666</v>
      </c>
      <c r="I2208" t="s">
        <v>37</v>
      </c>
      <c r="J2208" s="3" t="s">
        <v>3664</v>
      </c>
      <c r="K2208" s="4">
        <v>755</v>
      </c>
      <c r="L2208" s="5">
        <v>0</v>
      </c>
      <c r="M2208" s="6">
        <v>0</v>
      </c>
      <c r="N2208" s="7">
        <v>0</v>
      </c>
      <c r="O2208" t="s">
        <v>23</v>
      </c>
      <c r="P2208" s="3" t="s">
        <v>23</v>
      </c>
      <c r="Q2208" s="8" t="s">
        <v>23</v>
      </c>
    </row>
    <row r="2209" spans="1:17" hidden="1" x14ac:dyDescent="0.55000000000000004">
      <c r="A2209" s="3" t="s">
        <v>3659</v>
      </c>
      <c r="B2209" s="3" t="s">
        <v>3660</v>
      </c>
      <c r="C2209" t="s">
        <v>3660</v>
      </c>
      <c r="D2209" s="3" t="s">
        <v>7329</v>
      </c>
      <c r="E2209" t="s">
        <v>3661</v>
      </c>
      <c r="F2209" s="3" t="s">
        <v>3662</v>
      </c>
      <c r="G2209" t="s">
        <v>24</v>
      </c>
      <c r="H2209" s="3" t="s">
        <v>3667</v>
      </c>
      <c r="I2209" t="s">
        <v>105</v>
      </c>
      <c r="J2209" s="3" t="s">
        <v>3664</v>
      </c>
      <c r="K2209" s="4">
        <v>718</v>
      </c>
      <c r="L2209" s="5">
        <v>0</v>
      </c>
      <c r="M2209" s="6">
        <v>0</v>
      </c>
      <c r="N2209" s="7">
        <v>0</v>
      </c>
      <c r="O2209" t="s">
        <v>23</v>
      </c>
      <c r="P2209" s="3" t="s">
        <v>23</v>
      </c>
      <c r="Q2209" s="8" t="s">
        <v>23</v>
      </c>
    </row>
    <row r="2210" spans="1:17" hidden="1" x14ac:dyDescent="0.55000000000000004">
      <c r="A2210" s="3" t="s">
        <v>3659</v>
      </c>
      <c r="B2210" s="3" t="s">
        <v>3660</v>
      </c>
      <c r="C2210" t="s">
        <v>3660</v>
      </c>
      <c r="D2210" s="3" t="s">
        <v>7329</v>
      </c>
      <c r="E2210" t="s">
        <v>3668</v>
      </c>
      <c r="F2210" s="3" t="s">
        <v>3669</v>
      </c>
      <c r="G2210" t="s">
        <v>24</v>
      </c>
      <c r="H2210" s="3" t="s">
        <v>3663</v>
      </c>
      <c r="I2210" t="s">
        <v>37</v>
      </c>
      <c r="J2210" s="3" t="s">
        <v>3664</v>
      </c>
      <c r="K2210" s="4">
        <v>969</v>
      </c>
      <c r="L2210" s="5">
        <v>44.04</v>
      </c>
      <c r="M2210" s="6">
        <v>1</v>
      </c>
      <c r="N2210" s="7">
        <v>0</v>
      </c>
      <c r="O2210" t="s">
        <v>3665</v>
      </c>
      <c r="P2210" s="3" t="s">
        <v>40</v>
      </c>
      <c r="Q2210" s="8">
        <v>0.18256900000000001</v>
      </c>
    </row>
    <row r="2211" spans="1:17" hidden="1" x14ac:dyDescent="0.55000000000000004">
      <c r="A2211" s="3" t="s">
        <v>3659</v>
      </c>
      <c r="B2211" s="3" t="s">
        <v>3660</v>
      </c>
      <c r="C2211" t="s">
        <v>3660</v>
      </c>
      <c r="D2211" s="3" t="s">
        <v>7329</v>
      </c>
      <c r="E2211" t="s">
        <v>3668</v>
      </c>
      <c r="F2211" s="3" t="s">
        <v>3669</v>
      </c>
      <c r="G2211" t="s">
        <v>24</v>
      </c>
      <c r="H2211" s="3" t="s">
        <v>3666</v>
      </c>
      <c r="I2211" t="s">
        <v>37</v>
      </c>
      <c r="J2211" s="3" t="s">
        <v>3664</v>
      </c>
      <c r="K2211" s="4">
        <v>755</v>
      </c>
      <c r="L2211" s="5">
        <v>0</v>
      </c>
      <c r="M2211" s="6">
        <v>0</v>
      </c>
      <c r="N2211" s="7">
        <v>0</v>
      </c>
      <c r="O2211" t="s">
        <v>23</v>
      </c>
      <c r="P2211" s="3" t="s">
        <v>23</v>
      </c>
      <c r="Q2211" s="8" t="s">
        <v>23</v>
      </c>
    </row>
    <row r="2212" spans="1:17" hidden="1" x14ac:dyDescent="0.55000000000000004">
      <c r="A2212" s="3" t="s">
        <v>3659</v>
      </c>
      <c r="B2212" s="3" t="s">
        <v>3660</v>
      </c>
      <c r="C2212" t="s">
        <v>3660</v>
      </c>
      <c r="D2212" s="3" t="s">
        <v>7329</v>
      </c>
      <c r="E2212" t="s">
        <v>3668</v>
      </c>
      <c r="F2212" s="3" t="s">
        <v>3669</v>
      </c>
      <c r="G2212" t="s">
        <v>24</v>
      </c>
      <c r="H2212" s="3" t="s">
        <v>3667</v>
      </c>
      <c r="I2212" t="s">
        <v>105</v>
      </c>
      <c r="J2212" s="3" t="s">
        <v>3664</v>
      </c>
      <c r="K2212" s="4">
        <v>718</v>
      </c>
      <c r="L2212" s="5">
        <v>0</v>
      </c>
      <c r="M2212" s="6">
        <v>0</v>
      </c>
      <c r="N2212" s="7">
        <v>0</v>
      </c>
      <c r="O2212" t="s">
        <v>23</v>
      </c>
      <c r="P2212" s="3" t="s">
        <v>23</v>
      </c>
      <c r="Q2212" s="8" t="s">
        <v>23</v>
      </c>
    </row>
    <row r="2213" spans="1:17" hidden="1" x14ac:dyDescent="0.55000000000000004">
      <c r="A2213" s="3" t="s">
        <v>3659</v>
      </c>
      <c r="B2213" s="3" t="s">
        <v>3660</v>
      </c>
      <c r="C2213" t="s">
        <v>3660</v>
      </c>
      <c r="D2213" s="3" t="s">
        <v>7329</v>
      </c>
      <c r="E2213" t="s">
        <v>3670</v>
      </c>
      <c r="F2213" s="3" t="s">
        <v>3671</v>
      </c>
      <c r="G2213" t="s">
        <v>24</v>
      </c>
      <c r="H2213" s="3" t="s">
        <v>3663</v>
      </c>
      <c r="I2213" t="s">
        <v>37</v>
      </c>
      <c r="J2213" s="3" t="s">
        <v>3664</v>
      </c>
      <c r="K2213" s="4">
        <v>969</v>
      </c>
      <c r="L2213" s="5">
        <v>44.04</v>
      </c>
      <c r="M2213" s="6">
        <v>1</v>
      </c>
      <c r="N2213" s="7">
        <v>0</v>
      </c>
      <c r="O2213" t="s">
        <v>3665</v>
      </c>
      <c r="P2213" s="3" t="s">
        <v>40</v>
      </c>
      <c r="Q2213" s="8">
        <v>0.18256900000000001</v>
      </c>
    </row>
    <row r="2214" spans="1:17" hidden="1" x14ac:dyDescent="0.55000000000000004">
      <c r="A2214" s="3" t="s">
        <v>3659</v>
      </c>
      <c r="B2214" s="3" t="s">
        <v>3660</v>
      </c>
      <c r="C2214" t="s">
        <v>3660</v>
      </c>
      <c r="D2214" s="3" t="s">
        <v>7329</v>
      </c>
      <c r="E2214" t="s">
        <v>3670</v>
      </c>
      <c r="F2214" s="3" t="s">
        <v>3671</v>
      </c>
      <c r="G2214" t="s">
        <v>24</v>
      </c>
      <c r="H2214" s="3" t="s">
        <v>3666</v>
      </c>
      <c r="I2214" t="s">
        <v>37</v>
      </c>
      <c r="J2214" s="3" t="s">
        <v>3664</v>
      </c>
      <c r="K2214" s="4">
        <v>755</v>
      </c>
      <c r="L2214" s="5">
        <v>0</v>
      </c>
      <c r="M2214" s="6">
        <v>0</v>
      </c>
      <c r="N2214" s="7">
        <v>0</v>
      </c>
      <c r="O2214" t="s">
        <v>23</v>
      </c>
      <c r="P2214" s="3" t="s">
        <v>23</v>
      </c>
      <c r="Q2214" s="8" t="s">
        <v>23</v>
      </c>
    </row>
    <row r="2215" spans="1:17" hidden="1" x14ac:dyDescent="0.55000000000000004">
      <c r="A2215" s="3" t="s">
        <v>3659</v>
      </c>
      <c r="B2215" s="3" t="s">
        <v>3660</v>
      </c>
      <c r="C2215" t="s">
        <v>3660</v>
      </c>
      <c r="D2215" s="3" t="s">
        <v>7329</v>
      </c>
      <c r="E2215" t="s">
        <v>3670</v>
      </c>
      <c r="F2215" s="3" t="s">
        <v>3671</v>
      </c>
      <c r="G2215" t="s">
        <v>24</v>
      </c>
      <c r="H2215" s="3" t="s">
        <v>3667</v>
      </c>
      <c r="I2215" t="s">
        <v>105</v>
      </c>
      <c r="J2215" s="3" t="s">
        <v>3664</v>
      </c>
      <c r="K2215" s="4">
        <v>718</v>
      </c>
      <c r="L2215" s="5">
        <v>0</v>
      </c>
      <c r="M2215" s="6">
        <v>0</v>
      </c>
      <c r="N2215" s="7">
        <v>0</v>
      </c>
      <c r="O2215" t="s">
        <v>23</v>
      </c>
      <c r="P2215" s="3" t="s">
        <v>23</v>
      </c>
      <c r="Q2215" s="8" t="s">
        <v>23</v>
      </c>
    </row>
    <row r="2216" spans="1:17" hidden="1" x14ac:dyDescent="0.55000000000000004">
      <c r="A2216" s="3" t="s">
        <v>3659</v>
      </c>
      <c r="B2216" s="3" t="s">
        <v>7371</v>
      </c>
      <c r="C2216" t="s">
        <v>3660</v>
      </c>
      <c r="D2216" s="3" t="s">
        <v>7329</v>
      </c>
      <c r="E2216" t="s">
        <v>3672</v>
      </c>
      <c r="F2216" s="3" t="s">
        <v>3673</v>
      </c>
      <c r="G2216" t="s">
        <v>24</v>
      </c>
      <c r="H2216" s="3" t="s">
        <v>3663</v>
      </c>
      <c r="I2216" t="s">
        <v>37</v>
      </c>
      <c r="J2216" s="3" t="s">
        <v>3664</v>
      </c>
      <c r="K2216" s="4">
        <v>969</v>
      </c>
      <c r="L2216" s="5">
        <v>44.04</v>
      </c>
      <c r="M2216" s="6">
        <v>1</v>
      </c>
      <c r="N2216" s="7">
        <v>0</v>
      </c>
      <c r="O2216" t="s">
        <v>3665</v>
      </c>
      <c r="P2216" s="3" t="s">
        <v>40</v>
      </c>
      <c r="Q2216" s="8">
        <v>0.18256900000000001</v>
      </c>
    </row>
    <row r="2217" spans="1:17" hidden="1" x14ac:dyDescent="0.55000000000000004">
      <c r="A2217" s="3" t="s">
        <v>3659</v>
      </c>
      <c r="B2217" s="3" t="s">
        <v>7371</v>
      </c>
      <c r="C2217" t="s">
        <v>3660</v>
      </c>
      <c r="D2217" s="3" t="s">
        <v>7329</v>
      </c>
      <c r="E2217" t="s">
        <v>3672</v>
      </c>
      <c r="F2217" s="3" t="s">
        <v>3673</v>
      </c>
      <c r="G2217" t="s">
        <v>24</v>
      </c>
      <c r="H2217" s="3" t="s">
        <v>3666</v>
      </c>
      <c r="I2217" t="s">
        <v>37</v>
      </c>
      <c r="J2217" s="3" t="s">
        <v>3664</v>
      </c>
      <c r="K2217" s="4">
        <v>755</v>
      </c>
      <c r="L2217" s="5">
        <v>0</v>
      </c>
      <c r="M2217" s="6">
        <v>0</v>
      </c>
      <c r="N2217" s="7">
        <v>0</v>
      </c>
      <c r="O2217" t="s">
        <v>23</v>
      </c>
      <c r="P2217" s="3" t="s">
        <v>23</v>
      </c>
      <c r="Q2217" s="8" t="s">
        <v>23</v>
      </c>
    </row>
    <row r="2218" spans="1:17" hidden="1" x14ac:dyDescent="0.55000000000000004">
      <c r="A2218" s="3" t="s">
        <v>3659</v>
      </c>
      <c r="B2218" s="3" t="s">
        <v>7371</v>
      </c>
      <c r="C2218" t="s">
        <v>3660</v>
      </c>
      <c r="D2218" s="3" t="s">
        <v>7329</v>
      </c>
      <c r="E2218" t="s">
        <v>3672</v>
      </c>
      <c r="F2218" s="3" t="s">
        <v>3673</v>
      </c>
      <c r="G2218" t="s">
        <v>24</v>
      </c>
      <c r="H2218" s="3" t="s">
        <v>3667</v>
      </c>
      <c r="I2218" t="s">
        <v>105</v>
      </c>
      <c r="J2218" s="3" t="s">
        <v>3664</v>
      </c>
      <c r="K2218" s="4">
        <v>718</v>
      </c>
      <c r="L2218" s="5">
        <v>0</v>
      </c>
      <c r="M2218" s="6">
        <v>0</v>
      </c>
      <c r="N2218" s="7">
        <v>0</v>
      </c>
      <c r="O2218" t="s">
        <v>23</v>
      </c>
      <c r="P2218" s="3" t="s">
        <v>23</v>
      </c>
      <c r="Q2218" s="8" t="s">
        <v>23</v>
      </c>
    </row>
    <row r="2219" spans="1:17" hidden="1" x14ac:dyDescent="0.55000000000000004">
      <c r="A2219" s="3" t="s">
        <v>3659</v>
      </c>
      <c r="B2219" s="3" t="s">
        <v>3660</v>
      </c>
      <c r="C2219" t="s">
        <v>3660</v>
      </c>
      <c r="D2219" s="3" t="s">
        <v>7329</v>
      </c>
      <c r="E2219" t="s">
        <v>3674</v>
      </c>
      <c r="F2219" s="3" t="s">
        <v>3675</v>
      </c>
      <c r="G2219" t="s">
        <v>24</v>
      </c>
      <c r="H2219" s="3" t="s">
        <v>3663</v>
      </c>
      <c r="I2219" t="s">
        <v>37</v>
      </c>
      <c r="J2219" s="3" t="s">
        <v>3664</v>
      </c>
      <c r="K2219" s="4">
        <v>969</v>
      </c>
      <c r="L2219" s="5">
        <v>44.04</v>
      </c>
      <c r="M2219" s="6">
        <v>0</v>
      </c>
      <c r="N2219" s="7">
        <v>0</v>
      </c>
      <c r="O2219" t="s">
        <v>3665</v>
      </c>
      <c r="P2219" s="3" t="s">
        <v>40</v>
      </c>
      <c r="Q2219" s="8">
        <v>0.18256900000000001</v>
      </c>
    </row>
    <row r="2220" spans="1:17" hidden="1" x14ac:dyDescent="0.55000000000000004">
      <c r="A2220" s="3" t="s">
        <v>3659</v>
      </c>
      <c r="B2220" s="3" t="s">
        <v>3660</v>
      </c>
      <c r="C2220" t="s">
        <v>3660</v>
      </c>
      <c r="D2220" s="3" t="s">
        <v>7329</v>
      </c>
      <c r="E2220" t="s">
        <v>3674</v>
      </c>
      <c r="F2220" s="3" t="s">
        <v>3675</v>
      </c>
      <c r="G2220" t="s">
        <v>24</v>
      </c>
      <c r="H2220" s="3" t="s">
        <v>3666</v>
      </c>
      <c r="I2220" t="s">
        <v>37</v>
      </c>
      <c r="J2220" s="3" t="s">
        <v>3664</v>
      </c>
      <c r="K2220" s="4">
        <v>755</v>
      </c>
      <c r="L2220" s="5">
        <v>0</v>
      </c>
      <c r="M2220" s="6">
        <v>0</v>
      </c>
      <c r="N2220" s="7">
        <v>0</v>
      </c>
      <c r="O2220" t="s">
        <v>23</v>
      </c>
      <c r="P2220" s="3" t="s">
        <v>23</v>
      </c>
      <c r="Q2220" s="8" t="s">
        <v>23</v>
      </c>
    </row>
    <row r="2221" spans="1:17" hidden="1" x14ac:dyDescent="0.55000000000000004">
      <c r="A2221" s="3" t="s">
        <v>3659</v>
      </c>
      <c r="B2221" s="3" t="s">
        <v>3660</v>
      </c>
      <c r="C2221" t="s">
        <v>3660</v>
      </c>
      <c r="D2221" s="3" t="s">
        <v>7329</v>
      </c>
      <c r="E2221" t="s">
        <v>3674</v>
      </c>
      <c r="F2221" s="3" t="s">
        <v>3675</v>
      </c>
      <c r="G2221" t="s">
        <v>24</v>
      </c>
      <c r="H2221" s="3" t="s">
        <v>3667</v>
      </c>
      <c r="I2221" t="s">
        <v>105</v>
      </c>
      <c r="J2221" s="3" t="s">
        <v>3664</v>
      </c>
      <c r="K2221" s="4">
        <v>718</v>
      </c>
      <c r="L2221" s="5">
        <v>0</v>
      </c>
      <c r="M2221" s="6">
        <v>0</v>
      </c>
      <c r="N2221" s="7">
        <v>0</v>
      </c>
      <c r="O2221" t="s">
        <v>23</v>
      </c>
      <c r="P2221" s="3" t="s">
        <v>23</v>
      </c>
      <c r="Q2221" s="8" t="s">
        <v>23</v>
      </c>
    </row>
    <row r="2222" spans="1:17" hidden="1" x14ac:dyDescent="0.55000000000000004">
      <c r="A2222" s="3" t="s">
        <v>3659</v>
      </c>
      <c r="B2222" s="3" t="s">
        <v>7371</v>
      </c>
      <c r="C2222" t="s">
        <v>3660</v>
      </c>
      <c r="D2222" s="3" t="s">
        <v>7329</v>
      </c>
      <c r="E2222" t="s">
        <v>3676</v>
      </c>
      <c r="F2222" s="3" t="s">
        <v>3677</v>
      </c>
      <c r="G2222" t="s">
        <v>24</v>
      </c>
      <c r="H2222" s="3" t="s">
        <v>3663</v>
      </c>
      <c r="I2222" t="s">
        <v>37</v>
      </c>
      <c r="J2222" s="3" t="s">
        <v>3664</v>
      </c>
      <c r="K2222" s="4">
        <v>969</v>
      </c>
      <c r="L2222" s="5">
        <v>44.04</v>
      </c>
      <c r="M2222" s="6">
        <v>1</v>
      </c>
      <c r="N2222" s="7">
        <v>0</v>
      </c>
      <c r="O2222" t="s">
        <v>3665</v>
      </c>
      <c r="P2222" s="3" t="s">
        <v>40</v>
      </c>
      <c r="Q2222" s="8">
        <v>0.18256900000000001</v>
      </c>
    </row>
    <row r="2223" spans="1:17" hidden="1" x14ac:dyDescent="0.55000000000000004">
      <c r="A2223" s="3" t="s">
        <v>3659</v>
      </c>
      <c r="B2223" s="3" t="s">
        <v>7371</v>
      </c>
      <c r="C2223" t="s">
        <v>3660</v>
      </c>
      <c r="D2223" s="3" t="s">
        <v>7329</v>
      </c>
      <c r="E2223" t="s">
        <v>3676</v>
      </c>
      <c r="F2223" s="3" t="s">
        <v>3677</v>
      </c>
      <c r="G2223" t="s">
        <v>24</v>
      </c>
      <c r="H2223" s="3" t="s">
        <v>3666</v>
      </c>
      <c r="I2223" t="s">
        <v>37</v>
      </c>
      <c r="J2223" s="3" t="s">
        <v>3664</v>
      </c>
      <c r="K2223" s="4">
        <v>755</v>
      </c>
      <c r="L2223" s="5">
        <v>0</v>
      </c>
      <c r="M2223" s="6">
        <v>0</v>
      </c>
      <c r="N2223" s="7">
        <v>0</v>
      </c>
      <c r="O2223" t="s">
        <v>23</v>
      </c>
      <c r="P2223" s="3" t="s">
        <v>23</v>
      </c>
      <c r="Q2223" s="8" t="s">
        <v>23</v>
      </c>
    </row>
    <row r="2224" spans="1:17" hidden="1" x14ac:dyDescent="0.55000000000000004">
      <c r="A2224" s="3" t="s">
        <v>3659</v>
      </c>
      <c r="B2224" s="3" t="s">
        <v>7371</v>
      </c>
      <c r="C2224" t="s">
        <v>3660</v>
      </c>
      <c r="D2224" s="3" t="s">
        <v>7329</v>
      </c>
      <c r="E2224" t="s">
        <v>3676</v>
      </c>
      <c r="F2224" s="3" t="s">
        <v>3677</v>
      </c>
      <c r="G2224" t="s">
        <v>24</v>
      </c>
      <c r="H2224" s="3" t="s">
        <v>3667</v>
      </c>
      <c r="I2224" t="s">
        <v>105</v>
      </c>
      <c r="J2224" s="3" t="s">
        <v>3664</v>
      </c>
      <c r="K2224" s="4">
        <v>718</v>
      </c>
      <c r="L2224" s="5">
        <v>0</v>
      </c>
      <c r="M2224" s="6">
        <v>0</v>
      </c>
      <c r="N2224" s="7">
        <v>0</v>
      </c>
      <c r="O2224" t="s">
        <v>23</v>
      </c>
      <c r="P2224" s="3" t="s">
        <v>23</v>
      </c>
      <c r="Q2224" s="8" t="s">
        <v>23</v>
      </c>
    </row>
    <row r="2225" spans="1:17" hidden="1" x14ac:dyDescent="0.55000000000000004">
      <c r="A2225" s="3" t="s">
        <v>3659</v>
      </c>
      <c r="B2225" s="3" t="s">
        <v>7371</v>
      </c>
      <c r="C2225" t="s">
        <v>3660</v>
      </c>
      <c r="D2225" s="3" t="s">
        <v>7329</v>
      </c>
      <c r="E2225" t="s">
        <v>3678</v>
      </c>
      <c r="F2225" s="3" t="s">
        <v>3679</v>
      </c>
      <c r="G2225" t="s">
        <v>24</v>
      </c>
      <c r="H2225" s="3" t="s">
        <v>3663</v>
      </c>
      <c r="I2225" t="s">
        <v>37</v>
      </c>
      <c r="J2225" s="3" t="s">
        <v>3664</v>
      </c>
      <c r="K2225" s="4">
        <v>969</v>
      </c>
      <c r="L2225" s="5">
        <v>44.04</v>
      </c>
      <c r="M2225" s="6">
        <v>1</v>
      </c>
      <c r="N2225" s="7">
        <v>0</v>
      </c>
      <c r="O2225" t="s">
        <v>3665</v>
      </c>
      <c r="P2225" s="3" t="s">
        <v>40</v>
      </c>
      <c r="Q2225" s="8">
        <v>0.18256900000000001</v>
      </c>
    </row>
    <row r="2226" spans="1:17" hidden="1" x14ac:dyDescent="0.55000000000000004">
      <c r="A2226" s="3" t="s">
        <v>3659</v>
      </c>
      <c r="B2226" s="3" t="s">
        <v>7371</v>
      </c>
      <c r="C2226" t="s">
        <v>3660</v>
      </c>
      <c r="D2226" s="3" t="s">
        <v>7329</v>
      </c>
      <c r="E2226" t="s">
        <v>3678</v>
      </c>
      <c r="F2226" s="3" t="s">
        <v>3679</v>
      </c>
      <c r="G2226" t="s">
        <v>24</v>
      </c>
      <c r="H2226" s="3" t="s">
        <v>3666</v>
      </c>
      <c r="I2226" t="s">
        <v>37</v>
      </c>
      <c r="J2226" s="3" t="s">
        <v>3664</v>
      </c>
      <c r="K2226" s="4">
        <v>755</v>
      </c>
      <c r="L2226" s="5">
        <v>0</v>
      </c>
      <c r="M2226" s="6">
        <v>0</v>
      </c>
      <c r="N2226" s="7">
        <v>0</v>
      </c>
      <c r="O2226" t="s">
        <v>23</v>
      </c>
      <c r="P2226" s="3" t="s">
        <v>23</v>
      </c>
      <c r="Q2226" s="8" t="s">
        <v>23</v>
      </c>
    </row>
    <row r="2227" spans="1:17" hidden="1" x14ac:dyDescent="0.55000000000000004">
      <c r="A2227" s="3" t="s">
        <v>3659</v>
      </c>
      <c r="B2227" s="3" t="s">
        <v>7371</v>
      </c>
      <c r="C2227" t="s">
        <v>3660</v>
      </c>
      <c r="D2227" s="3" t="s">
        <v>7329</v>
      </c>
      <c r="E2227" t="s">
        <v>3678</v>
      </c>
      <c r="F2227" s="3" t="s">
        <v>3679</v>
      </c>
      <c r="G2227" t="s">
        <v>24</v>
      </c>
      <c r="H2227" s="3" t="s">
        <v>3667</v>
      </c>
      <c r="I2227" t="s">
        <v>105</v>
      </c>
      <c r="J2227" s="3" t="s">
        <v>3664</v>
      </c>
      <c r="K2227" s="4">
        <v>718</v>
      </c>
      <c r="L2227" s="5">
        <v>0</v>
      </c>
      <c r="M2227" s="6">
        <v>0</v>
      </c>
      <c r="N2227" s="7">
        <v>0</v>
      </c>
      <c r="O2227" t="s">
        <v>23</v>
      </c>
      <c r="P2227" s="3" t="s">
        <v>23</v>
      </c>
      <c r="Q2227" s="8" t="s">
        <v>23</v>
      </c>
    </row>
    <row r="2228" spans="1:17" hidden="1" x14ac:dyDescent="0.55000000000000004">
      <c r="A2228" s="3" t="s">
        <v>3659</v>
      </c>
      <c r="B2228" s="3" t="s">
        <v>3680</v>
      </c>
      <c r="C2228" t="s">
        <v>3680</v>
      </c>
      <c r="D2228" s="3" t="s">
        <v>7329</v>
      </c>
      <c r="E2228" t="s">
        <v>3681</v>
      </c>
      <c r="F2228" s="3" t="s">
        <v>3682</v>
      </c>
      <c r="G2228" t="s">
        <v>24</v>
      </c>
      <c r="H2228" s="3" t="s">
        <v>3683</v>
      </c>
      <c r="I2228" t="s">
        <v>43</v>
      </c>
      <c r="J2228" s="3" t="s">
        <v>3684</v>
      </c>
      <c r="K2228" s="4">
        <v>653</v>
      </c>
      <c r="L2228" s="5">
        <v>29.69</v>
      </c>
      <c r="M2228" s="6">
        <v>1</v>
      </c>
      <c r="N2228" s="7">
        <v>0</v>
      </c>
      <c r="O2228" t="s">
        <v>3685</v>
      </c>
      <c r="P2228" s="3" t="s">
        <v>138</v>
      </c>
      <c r="Q2228" s="8">
        <v>0.21909100000000001</v>
      </c>
    </row>
    <row r="2229" spans="1:17" x14ac:dyDescent="0.55000000000000004">
      <c r="A2229" s="3" t="s">
        <v>3659</v>
      </c>
      <c r="B2229" s="3" t="s">
        <v>3686</v>
      </c>
      <c r="C2229" t="s">
        <v>3687</v>
      </c>
      <c r="D2229" s="3" t="s">
        <v>7329</v>
      </c>
      <c r="E2229" t="s">
        <v>3688</v>
      </c>
      <c r="F2229" s="3" t="s">
        <v>3689</v>
      </c>
      <c r="G2229" t="s">
        <v>19</v>
      </c>
      <c r="H2229" s="3" t="s">
        <v>3690</v>
      </c>
      <c r="I2229" t="s">
        <v>3691</v>
      </c>
      <c r="J2229" s="3" t="s">
        <v>3692</v>
      </c>
      <c r="K2229" s="4">
        <v>287</v>
      </c>
      <c r="L2229" s="5">
        <v>62.43</v>
      </c>
      <c r="M2229" s="6">
        <v>1</v>
      </c>
      <c r="N2229" s="7">
        <v>1</v>
      </c>
      <c r="O2229" t="s">
        <v>3693</v>
      </c>
      <c r="P2229" s="3" t="s">
        <v>3694</v>
      </c>
      <c r="Q2229" s="8">
        <v>7.0786000000000002E-2</v>
      </c>
    </row>
    <row r="2230" spans="1:17" hidden="1" x14ac:dyDescent="0.55000000000000004">
      <c r="A2230" s="3" t="s">
        <v>3659</v>
      </c>
      <c r="B2230" s="3" t="s">
        <v>3686</v>
      </c>
      <c r="C2230" t="s">
        <v>3687</v>
      </c>
      <c r="D2230" s="3" t="s">
        <v>7329</v>
      </c>
      <c r="E2230" t="s">
        <v>3688</v>
      </c>
      <c r="F2230" s="3" t="s">
        <v>3689</v>
      </c>
      <c r="G2230" t="s">
        <v>24</v>
      </c>
      <c r="H2230" s="3" t="s">
        <v>3695</v>
      </c>
      <c r="I2230" t="s">
        <v>37</v>
      </c>
      <c r="J2230" s="3" t="s">
        <v>3696</v>
      </c>
      <c r="K2230" s="4">
        <v>811</v>
      </c>
      <c r="L2230" s="5">
        <v>36.880000000000003</v>
      </c>
      <c r="M2230" s="6">
        <v>1</v>
      </c>
      <c r="N2230" s="7">
        <v>1</v>
      </c>
      <c r="O2230" t="s">
        <v>3697</v>
      </c>
      <c r="P2230" s="3" t="s">
        <v>40</v>
      </c>
      <c r="Q2230" s="8">
        <v>0.218281</v>
      </c>
    </row>
    <row r="2231" spans="1:17" hidden="1" x14ac:dyDescent="0.55000000000000004">
      <c r="A2231" s="3" t="s">
        <v>3659</v>
      </c>
      <c r="B2231" s="3" t="s">
        <v>3686</v>
      </c>
      <c r="C2231" t="s">
        <v>3687</v>
      </c>
      <c r="D2231" s="3" t="s">
        <v>7329</v>
      </c>
      <c r="E2231" t="s">
        <v>3688</v>
      </c>
      <c r="F2231" s="3" t="s">
        <v>3689</v>
      </c>
      <c r="G2231" t="s">
        <v>24</v>
      </c>
      <c r="H2231" s="3" t="s">
        <v>3698</v>
      </c>
      <c r="I2231" t="s">
        <v>37</v>
      </c>
      <c r="J2231" s="3" t="s">
        <v>3699</v>
      </c>
      <c r="K2231" s="4">
        <v>810</v>
      </c>
      <c r="L2231" s="5">
        <v>36.799999999999997</v>
      </c>
      <c r="M2231" s="6">
        <v>0</v>
      </c>
      <c r="N2231" s="7">
        <v>1</v>
      </c>
      <c r="O2231" t="s">
        <v>3700</v>
      </c>
      <c r="P2231" s="3" t="s">
        <v>40</v>
      </c>
      <c r="Q2231" s="8">
        <v>0.21826200000000001</v>
      </c>
    </row>
    <row r="2232" spans="1:17" hidden="1" x14ac:dyDescent="0.55000000000000004">
      <c r="A2232" s="3" t="s">
        <v>3659</v>
      </c>
      <c r="B2232" s="3" t="s">
        <v>3686</v>
      </c>
      <c r="C2232" t="s">
        <v>3687</v>
      </c>
      <c r="D2232" s="3" t="s">
        <v>7329</v>
      </c>
      <c r="E2232" t="s">
        <v>3688</v>
      </c>
      <c r="F2232" s="3" t="s">
        <v>3689</v>
      </c>
      <c r="G2232" t="s">
        <v>24</v>
      </c>
      <c r="H2232" s="3" t="s">
        <v>3701</v>
      </c>
      <c r="I2232" t="s">
        <v>37</v>
      </c>
      <c r="J2232" s="3" t="s">
        <v>3699</v>
      </c>
      <c r="K2232" s="4">
        <v>636</v>
      </c>
      <c r="L2232" s="5">
        <v>0</v>
      </c>
      <c r="M2232" s="6">
        <v>0</v>
      </c>
      <c r="N2232" s="7">
        <v>1</v>
      </c>
      <c r="O2232" t="s">
        <v>23</v>
      </c>
      <c r="P2232" s="3" t="s">
        <v>23</v>
      </c>
      <c r="Q2232" s="8" t="s">
        <v>23</v>
      </c>
    </row>
    <row r="2233" spans="1:17" hidden="1" x14ac:dyDescent="0.55000000000000004">
      <c r="A2233" s="3" t="s">
        <v>3659</v>
      </c>
      <c r="B2233" s="3" t="s">
        <v>3686</v>
      </c>
      <c r="C2233" t="s">
        <v>3687</v>
      </c>
      <c r="D2233" s="3" t="s">
        <v>7329</v>
      </c>
      <c r="E2233" t="s">
        <v>3688</v>
      </c>
      <c r="F2233" s="3" t="s">
        <v>3689</v>
      </c>
      <c r="G2233" t="s">
        <v>24</v>
      </c>
      <c r="H2233" s="3" t="s">
        <v>3702</v>
      </c>
      <c r="I2233" t="s">
        <v>105</v>
      </c>
      <c r="J2233" s="3" t="s">
        <v>3699</v>
      </c>
      <c r="K2233" s="4">
        <v>611</v>
      </c>
      <c r="L2233" s="5">
        <v>0</v>
      </c>
      <c r="M2233" s="6">
        <v>0</v>
      </c>
      <c r="N2233" s="7">
        <v>1</v>
      </c>
      <c r="O2233" t="s">
        <v>23</v>
      </c>
      <c r="P2233" s="3" t="s">
        <v>23</v>
      </c>
      <c r="Q2233" s="8" t="s">
        <v>23</v>
      </c>
    </row>
    <row r="2234" spans="1:17" x14ac:dyDescent="0.55000000000000004">
      <c r="A2234" s="3" t="s">
        <v>3659</v>
      </c>
      <c r="B2234" s="3" t="s">
        <v>3703</v>
      </c>
      <c r="C2234" t="s">
        <v>3703</v>
      </c>
      <c r="D2234" s="3" t="s">
        <v>7329</v>
      </c>
      <c r="E2234" t="s">
        <v>3704</v>
      </c>
      <c r="F2234" s="3" t="s">
        <v>3705</v>
      </c>
      <c r="G2234" t="s">
        <v>19</v>
      </c>
      <c r="H2234" s="3" t="s">
        <v>3706</v>
      </c>
      <c r="I2234" t="s">
        <v>3691</v>
      </c>
      <c r="J2234" s="3" t="s">
        <v>3707</v>
      </c>
      <c r="K2234" s="4">
        <v>373</v>
      </c>
      <c r="L2234" s="5">
        <v>81.150000000000006</v>
      </c>
      <c r="M2234" s="6">
        <v>1</v>
      </c>
      <c r="N2234" s="7">
        <v>1</v>
      </c>
      <c r="O2234" t="s">
        <v>3708</v>
      </c>
      <c r="P2234" s="3" t="s">
        <v>3694</v>
      </c>
      <c r="Q2234" s="8">
        <v>7.0248000000000005E-2</v>
      </c>
    </row>
    <row r="2235" spans="1:17" hidden="1" x14ac:dyDescent="0.55000000000000004">
      <c r="A2235" s="3" t="s">
        <v>3659</v>
      </c>
      <c r="B2235" s="3" t="s">
        <v>3703</v>
      </c>
      <c r="C2235" t="s">
        <v>3703</v>
      </c>
      <c r="D2235" s="3" t="s">
        <v>7329</v>
      </c>
      <c r="E2235" t="s">
        <v>3704</v>
      </c>
      <c r="F2235" s="3" t="s">
        <v>3705</v>
      </c>
      <c r="G2235" t="s">
        <v>19</v>
      </c>
      <c r="H2235" s="3" t="s">
        <v>3709</v>
      </c>
      <c r="I2235" t="s">
        <v>3470</v>
      </c>
      <c r="J2235" s="3" t="s">
        <v>3707</v>
      </c>
      <c r="K2235" s="4">
        <v>389</v>
      </c>
      <c r="L2235" s="5">
        <v>84.57</v>
      </c>
      <c r="M2235" s="6">
        <v>0</v>
      </c>
      <c r="N2235" s="7">
        <v>1</v>
      </c>
      <c r="O2235" t="s">
        <v>3710</v>
      </c>
      <c r="P2235" s="3" t="s">
        <v>3711</v>
      </c>
      <c r="Q2235" s="8">
        <v>7.3456999999999995E-2</v>
      </c>
    </row>
    <row r="2236" spans="1:17" hidden="1" x14ac:dyDescent="0.55000000000000004">
      <c r="A2236" s="3" t="s">
        <v>3659</v>
      </c>
      <c r="B2236" s="3" t="s">
        <v>3703</v>
      </c>
      <c r="C2236" t="s">
        <v>3703</v>
      </c>
      <c r="D2236" s="3" t="s">
        <v>7329</v>
      </c>
      <c r="E2236" t="s">
        <v>3704</v>
      </c>
      <c r="F2236" s="3" t="s">
        <v>3705</v>
      </c>
      <c r="G2236" t="s">
        <v>24</v>
      </c>
      <c r="H2236" s="3" t="s">
        <v>3712</v>
      </c>
      <c r="I2236" t="s">
        <v>37</v>
      </c>
      <c r="J2236" s="3" t="s">
        <v>3713</v>
      </c>
      <c r="K2236" s="4">
        <v>626</v>
      </c>
      <c r="L2236" s="5">
        <v>28.47</v>
      </c>
      <c r="M2236" s="6">
        <v>1</v>
      </c>
      <c r="N2236" s="7">
        <v>1</v>
      </c>
      <c r="O2236" t="s">
        <v>3714</v>
      </c>
      <c r="P2236" s="3" t="s">
        <v>40</v>
      </c>
      <c r="Q2236" s="8">
        <v>0.18429200000000001</v>
      </c>
    </row>
    <row r="2237" spans="1:17" hidden="1" x14ac:dyDescent="0.55000000000000004">
      <c r="A2237" s="3" t="s">
        <v>3659</v>
      </c>
      <c r="B2237" s="3" t="s">
        <v>3703</v>
      </c>
      <c r="C2237" t="s">
        <v>3703</v>
      </c>
      <c r="D2237" s="3" t="s">
        <v>7329</v>
      </c>
      <c r="E2237" t="s">
        <v>3704</v>
      </c>
      <c r="F2237" s="3" t="s">
        <v>3705</v>
      </c>
      <c r="G2237" t="s">
        <v>24</v>
      </c>
      <c r="H2237" s="3" t="s">
        <v>3715</v>
      </c>
      <c r="I2237" t="s">
        <v>48</v>
      </c>
      <c r="J2237" s="3" t="s">
        <v>3716</v>
      </c>
      <c r="K2237" s="4">
        <v>629</v>
      </c>
      <c r="L2237" s="5">
        <v>28.58</v>
      </c>
      <c r="M2237" s="6">
        <v>0</v>
      </c>
      <c r="N2237" s="7">
        <v>1</v>
      </c>
      <c r="O2237" t="s">
        <v>3717</v>
      </c>
      <c r="P2237" s="3" t="s">
        <v>23</v>
      </c>
      <c r="Q2237" s="8" t="s">
        <v>23</v>
      </c>
    </row>
    <row r="2238" spans="1:17" hidden="1" x14ac:dyDescent="0.55000000000000004">
      <c r="A2238" s="3" t="s">
        <v>3659</v>
      </c>
      <c r="B2238" s="3" t="s">
        <v>3718</v>
      </c>
      <c r="C2238" t="s">
        <v>3719</v>
      </c>
      <c r="D2238" s="3" t="s">
        <v>7329</v>
      </c>
      <c r="E2238" t="s">
        <v>3720</v>
      </c>
      <c r="F2238" s="3" t="s">
        <v>3721</v>
      </c>
      <c r="G2238" t="s">
        <v>19</v>
      </c>
      <c r="H2238" s="3" t="s">
        <v>3722</v>
      </c>
      <c r="I2238" t="s">
        <v>3723</v>
      </c>
      <c r="J2238" s="3" t="s">
        <v>3724</v>
      </c>
      <c r="K2238" s="4">
        <v>30</v>
      </c>
      <c r="L2238" s="5">
        <v>6.57</v>
      </c>
      <c r="M2238" s="6">
        <v>1</v>
      </c>
      <c r="N2238" s="7">
        <v>1</v>
      </c>
      <c r="O2238" t="s">
        <v>3725</v>
      </c>
      <c r="P2238" s="3" t="s">
        <v>3726</v>
      </c>
      <c r="Q2238" s="8">
        <v>2.7498000000000002E-2</v>
      </c>
    </row>
    <row r="2239" spans="1:17" hidden="1" x14ac:dyDescent="0.55000000000000004">
      <c r="A2239" s="3" t="s">
        <v>3659</v>
      </c>
      <c r="B2239" s="3" t="s">
        <v>3718</v>
      </c>
      <c r="C2239" t="s">
        <v>3719</v>
      </c>
      <c r="D2239" s="3" t="s">
        <v>7329</v>
      </c>
      <c r="E2239" t="s">
        <v>3720</v>
      </c>
      <c r="F2239" s="3" t="s">
        <v>3721</v>
      </c>
      <c r="G2239" t="s">
        <v>24</v>
      </c>
      <c r="H2239" s="3" t="s">
        <v>3727</v>
      </c>
      <c r="I2239" t="s">
        <v>37</v>
      </c>
      <c r="J2239" s="3" t="s">
        <v>3728</v>
      </c>
      <c r="K2239" s="4">
        <v>989</v>
      </c>
      <c r="L2239" s="5">
        <v>44.96</v>
      </c>
      <c r="M2239" s="6">
        <v>1</v>
      </c>
      <c r="N2239" s="7">
        <v>1</v>
      </c>
      <c r="O2239" t="s">
        <v>3729</v>
      </c>
      <c r="P2239" s="3" t="s">
        <v>40</v>
      </c>
      <c r="Q2239" s="8">
        <v>0.257324</v>
      </c>
    </row>
    <row r="2240" spans="1:17" hidden="1" x14ac:dyDescent="0.55000000000000004">
      <c r="A2240" s="3" t="s">
        <v>3659</v>
      </c>
      <c r="B2240" s="3" t="s">
        <v>3730</v>
      </c>
      <c r="C2240" t="s">
        <v>3719</v>
      </c>
      <c r="D2240" s="3" t="s">
        <v>7329</v>
      </c>
      <c r="E2240" t="s">
        <v>3731</v>
      </c>
      <c r="F2240" s="3" t="s">
        <v>3732</v>
      </c>
      <c r="G2240" t="s">
        <v>19</v>
      </c>
      <c r="H2240" s="3" t="s">
        <v>3722</v>
      </c>
      <c r="I2240" t="s">
        <v>3723</v>
      </c>
      <c r="J2240" s="3" t="s">
        <v>3724</v>
      </c>
      <c r="K2240" s="4">
        <v>30</v>
      </c>
      <c r="L2240" s="5">
        <v>6.57</v>
      </c>
      <c r="M2240" s="6">
        <v>1</v>
      </c>
      <c r="N2240" s="7">
        <v>0</v>
      </c>
      <c r="O2240" t="s">
        <v>3725</v>
      </c>
      <c r="P2240" s="3" t="s">
        <v>3726</v>
      </c>
      <c r="Q2240" s="8">
        <v>2.7498000000000002E-2</v>
      </c>
    </row>
    <row r="2241" spans="1:17" hidden="1" x14ac:dyDescent="0.55000000000000004">
      <c r="A2241" s="3" t="s">
        <v>3659</v>
      </c>
      <c r="B2241" s="3" t="s">
        <v>3730</v>
      </c>
      <c r="C2241" t="s">
        <v>3719</v>
      </c>
      <c r="D2241" s="3" t="s">
        <v>7329</v>
      </c>
      <c r="E2241" t="s">
        <v>3731</v>
      </c>
      <c r="F2241" s="3" t="s">
        <v>3732</v>
      </c>
      <c r="G2241" t="s">
        <v>24</v>
      </c>
      <c r="H2241" s="3" t="s">
        <v>3727</v>
      </c>
      <c r="I2241" t="s">
        <v>37</v>
      </c>
      <c r="J2241" s="3" t="s">
        <v>3728</v>
      </c>
      <c r="K2241" s="4">
        <v>989</v>
      </c>
      <c r="L2241" s="5">
        <v>44.96</v>
      </c>
      <c r="M2241" s="6">
        <v>1</v>
      </c>
      <c r="N2241" s="7">
        <v>0</v>
      </c>
      <c r="O2241" t="s">
        <v>3729</v>
      </c>
      <c r="P2241" s="3" t="s">
        <v>40</v>
      </c>
      <c r="Q2241" s="8">
        <v>0.257324</v>
      </c>
    </row>
    <row r="2242" spans="1:17" hidden="1" x14ac:dyDescent="0.55000000000000004">
      <c r="A2242" s="3" t="s">
        <v>3659</v>
      </c>
      <c r="B2242" s="3" t="s">
        <v>3730</v>
      </c>
      <c r="C2242" t="s">
        <v>3719</v>
      </c>
      <c r="D2242" s="3" t="s">
        <v>7329</v>
      </c>
      <c r="E2242" t="s">
        <v>3733</v>
      </c>
      <c r="F2242" s="3" t="s">
        <v>3734</v>
      </c>
      <c r="G2242" t="s">
        <v>19</v>
      </c>
      <c r="H2242" s="3" t="s">
        <v>3722</v>
      </c>
      <c r="I2242" t="s">
        <v>3723</v>
      </c>
      <c r="J2242" s="3" t="s">
        <v>3724</v>
      </c>
      <c r="K2242" s="4">
        <v>30</v>
      </c>
      <c r="L2242" s="5">
        <v>6.57</v>
      </c>
      <c r="M2242" s="6">
        <v>1</v>
      </c>
      <c r="N2242" s="7">
        <v>0</v>
      </c>
      <c r="O2242" t="s">
        <v>3725</v>
      </c>
      <c r="P2242" s="3" t="s">
        <v>3726</v>
      </c>
      <c r="Q2242" s="8">
        <v>2.7498000000000002E-2</v>
      </c>
    </row>
    <row r="2243" spans="1:17" hidden="1" x14ac:dyDescent="0.55000000000000004">
      <c r="A2243" s="3" t="s">
        <v>3659</v>
      </c>
      <c r="B2243" s="3" t="s">
        <v>3730</v>
      </c>
      <c r="C2243" t="s">
        <v>3719</v>
      </c>
      <c r="D2243" s="3" t="s">
        <v>7329</v>
      </c>
      <c r="E2243" t="s">
        <v>3733</v>
      </c>
      <c r="F2243" s="3" t="s">
        <v>3734</v>
      </c>
      <c r="G2243" t="s">
        <v>24</v>
      </c>
      <c r="H2243" s="3" t="s">
        <v>3727</v>
      </c>
      <c r="I2243" t="s">
        <v>37</v>
      </c>
      <c r="J2243" s="3" t="s">
        <v>3728</v>
      </c>
      <c r="K2243" s="4">
        <v>989</v>
      </c>
      <c r="L2243" s="5">
        <v>44.96</v>
      </c>
      <c r="M2243" s="6">
        <v>1</v>
      </c>
      <c r="N2243" s="7">
        <v>0</v>
      </c>
      <c r="O2243" t="s">
        <v>3729</v>
      </c>
      <c r="P2243" s="3" t="s">
        <v>40</v>
      </c>
      <c r="Q2243" s="8">
        <v>0.257324</v>
      </c>
    </row>
    <row r="2244" spans="1:17" hidden="1" x14ac:dyDescent="0.55000000000000004">
      <c r="A2244" s="3" t="s">
        <v>3659</v>
      </c>
      <c r="B2244" s="3" t="s">
        <v>3735</v>
      </c>
      <c r="C2244" t="s">
        <v>7369</v>
      </c>
      <c r="D2244" s="3" t="s">
        <v>7329</v>
      </c>
      <c r="E2244" t="s">
        <v>3736</v>
      </c>
      <c r="F2244" s="3" t="s">
        <v>3737</v>
      </c>
      <c r="G2244" t="s">
        <v>19</v>
      </c>
      <c r="H2244" s="3" t="s">
        <v>3738</v>
      </c>
      <c r="I2244" t="s">
        <v>3723</v>
      </c>
      <c r="J2244" s="3" t="s">
        <v>3739</v>
      </c>
      <c r="K2244" s="4">
        <v>28</v>
      </c>
      <c r="L2244" s="5">
        <v>6.04</v>
      </c>
      <c r="M2244" s="6">
        <v>1</v>
      </c>
      <c r="N2244" s="7">
        <v>1</v>
      </c>
      <c r="O2244" t="s">
        <v>3740</v>
      </c>
      <c r="P2244" s="3" t="s">
        <v>3726</v>
      </c>
      <c r="Q2244" s="8">
        <v>2.6838000000000001E-2</v>
      </c>
    </row>
    <row r="2245" spans="1:17" hidden="1" x14ac:dyDescent="0.55000000000000004">
      <c r="A2245" s="3" t="s">
        <v>3659</v>
      </c>
      <c r="B2245" s="3" t="s">
        <v>3735</v>
      </c>
      <c r="C2245" t="s">
        <v>7369</v>
      </c>
      <c r="D2245" s="3" t="s">
        <v>7329</v>
      </c>
      <c r="E2245" t="s">
        <v>3736</v>
      </c>
      <c r="F2245" s="3" t="s">
        <v>3737</v>
      </c>
      <c r="G2245" t="s">
        <v>24</v>
      </c>
      <c r="H2245" s="3" t="s">
        <v>3741</v>
      </c>
      <c r="I2245" t="s">
        <v>43</v>
      </c>
      <c r="J2245" s="3" t="s">
        <v>3742</v>
      </c>
      <c r="K2245" s="4">
        <v>1087</v>
      </c>
      <c r="L2245" s="5">
        <v>49.4</v>
      </c>
      <c r="M2245" s="6">
        <v>1</v>
      </c>
      <c r="N2245" s="7">
        <v>1</v>
      </c>
      <c r="O2245" t="s">
        <v>3743</v>
      </c>
      <c r="P2245" s="3" t="s">
        <v>46</v>
      </c>
      <c r="Q2245" s="8">
        <v>0.18590000000000001</v>
      </c>
    </row>
    <row r="2246" spans="1:17" hidden="1" x14ac:dyDescent="0.55000000000000004">
      <c r="A2246" s="3" t="s">
        <v>3659</v>
      </c>
      <c r="B2246" s="3" t="s">
        <v>3735</v>
      </c>
      <c r="C2246" t="s">
        <v>7369</v>
      </c>
      <c r="D2246" s="3" t="s">
        <v>7329</v>
      </c>
      <c r="E2246" t="s">
        <v>3736</v>
      </c>
      <c r="F2246" s="3" t="s">
        <v>3737</v>
      </c>
      <c r="G2246" t="s">
        <v>24</v>
      </c>
      <c r="H2246" s="3" t="s">
        <v>3744</v>
      </c>
      <c r="I2246" t="s">
        <v>48</v>
      </c>
      <c r="J2246" s="3" t="s">
        <v>3742</v>
      </c>
      <c r="K2246" s="4">
        <v>968</v>
      </c>
      <c r="L2246" s="5">
        <v>44.02</v>
      </c>
      <c r="M2246" s="6">
        <v>0</v>
      </c>
      <c r="N2246" s="7">
        <v>1</v>
      </c>
      <c r="O2246" t="s">
        <v>3745</v>
      </c>
      <c r="P2246" s="3" t="s">
        <v>23</v>
      </c>
      <c r="Q2246" s="8" t="s">
        <v>23</v>
      </c>
    </row>
    <row r="2247" spans="1:17" hidden="1" x14ac:dyDescent="0.55000000000000004">
      <c r="A2247" s="3" t="s">
        <v>3659</v>
      </c>
      <c r="B2247" s="3" t="s">
        <v>7370</v>
      </c>
      <c r="C2247" t="s">
        <v>3719</v>
      </c>
      <c r="D2247" s="3" t="s">
        <v>7329</v>
      </c>
      <c r="E2247" t="s">
        <v>3746</v>
      </c>
      <c r="F2247" s="3" t="s">
        <v>3747</v>
      </c>
      <c r="G2247" t="s">
        <v>24</v>
      </c>
      <c r="H2247" s="3" t="s">
        <v>3748</v>
      </c>
      <c r="I2247" t="s">
        <v>37</v>
      </c>
      <c r="J2247" s="3" t="s">
        <v>3749</v>
      </c>
      <c r="K2247" s="4">
        <v>1019</v>
      </c>
      <c r="L2247" s="5">
        <v>46.3</v>
      </c>
      <c r="M2247" s="6">
        <v>1</v>
      </c>
      <c r="N2247" s="7">
        <v>0</v>
      </c>
      <c r="O2247" t="s">
        <v>3750</v>
      </c>
      <c r="P2247" s="3" t="s">
        <v>40</v>
      </c>
      <c r="Q2247" s="8">
        <v>0.257662</v>
      </c>
    </row>
    <row r="2248" spans="1:17" hidden="1" x14ac:dyDescent="0.55000000000000004">
      <c r="A2248" s="3" t="s">
        <v>3659</v>
      </c>
      <c r="B2248" s="3" t="s">
        <v>3752</v>
      </c>
      <c r="C2248" t="s">
        <v>3752</v>
      </c>
      <c r="D2248" s="3" t="s">
        <v>7329</v>
      </c>
      <c r="E2248" t="s">
        <v>3753</v>
      </c>
      <c r="F2248" s="3" t="s">
        <v>3754</v>
      </c>
      <c r="G2248" t="s">
        <v>24</v>
      </c>
      <c r="H2248" s="3" t="s">
        <v>3755</v>
      </c>
      <c r="I2248" t="s">
        <v>37</v>
      </c>
      <c r="J2248" s="3" t="s">
        <v>3756</v>
      </c>
      <c r="K2248" s="4">
        <v>957</v>
      </c>
      <c r="L2248" s="5">
        <v>43.51</v>
      </c>
      <c r="M2248" s="6">
        <v>1</v>
      </c>
      <c r="N2248" s="7">
        <v>0</v>
      </c>
      <c r="O2248" t="s">
        <v>3757</v>
      </c>
      <c r="P2248" s="3" t="s">
        <v>40</v>
      </c>
      <c r="Q2248" s="8">
        <v>0.21973799999999999</v>
      </c>
    </row>
    <row r="2249" spans="1:17" hidden="1" x14ac:dyDescent="0.55000000000000004">
      <c r="A2249" s="3" t="s">
        <v>3659</v>
      </c>
      <c r="B2249" s="3" t="s">
        <v>3752</v>
      </c>
      <c r="C2249" t="s">
        <v>3752</v>
      </c>
      <c r="D2249" s="3" t="s">
        <v>7329</v>
      </c>
      <c r="E2249" t="s">
        <v>3758</v>
      </c>
      <c r="F2249" s="3" t="s">
        <v>3759</v>
      </c>
      <c r="G2249" t="s">
        <v>24</v>
      </c>
      <c r="H2249" s="3" t="s">
        <v>3755</v>
      </c>
      <c r="I2249" t="s">
        <v>37</v>
      </c>
      <c r="J2249" s="3" t="s">
        <v>3756</v>
      </c>
      <c r="K2249" s="4">
        <v>957</v>
      </c>
      <c r="L2249" s="5">
        <v>43.51</v>
      </c>
      <c r="M2249" s="6">
        <v>1</v>
      </c>
      <c r="N2249" s="7">
        <v>0</v>
      </c>
      <c r="O2249" t="s">
        <v>3757</v>
      </c>
      <c r="P2249" s="3" t="s">
        <v>40</v>
      </c>
      <c r="Q2249" s="8">
        <v>0.21973799999999999</v>
      </c>
    </row>
    <row r="2250" spans="1:17" hidden="1" x14ac:dyDescent="0.55000000000000004">
      <c r="A2250" s="3" t="s">
        <v>3659</v>
      </c>
      <c r="B2250" s="3" t="s">
        <v>3752</v>
      </c>
      <c r="C2250" t="s">
        <v>3752</v>
      </c>
      <c r="D2250" s="3" t="s">
        <v>7329</v>
      </c>
      <c r="E2250" t="s">
        <v>3760</v>
      </c>
      <c r="F2250" s="3" t="s">
        <v>3761</v>
      </c>
      <c r="G2250" t="s">
        <v>24</v>
      </c>
      <c r="H2250" s="3" t="s">
        <v>3755</v>
      </c>
      <c r="I2250" t="s">
        <v>37</v>
      </c>
      <c r="J2250" s="3" t="s">
        <v>3756</v>
      </c>
      <c r="K2250" s="4">
        <v>957</v>
      </c>
      <c r="L2250" s="5">
        <v>43.51</v>
      </c>
      <c r="M2250" s="6">
        <v>1</v>
      </c>
      <c r="N2250" s="7">
        <v>0</v>
      </c>
      <c r="O2250" t="s">
        <v>3757</v>
      </c>
      <c r="P2250" s="3" t="s">
        <v>40</v>
      </c>
      <c r="Q2250" s="8">
        <v>0.21973799999999999</v>
      </c>
    </row>
    <row r="2251" spans="1:17" hidden="1" x14ac:dyDescent="0.55000000000000004">
      <c r="A2251" s="3" t="s">
        <v>3659</v>
      </c>
      <c r="B2251" s="3" t="s">
        <v>3751</v>
      </c>
      <c r="C2251" t="s">
        <v>3752</v>
      </c>
      <c r="D2251" s="3" t="s">
        <v>7329</v>
      </c>
      <c r="E2251" t="s">
        <v>3762</v>
      </c>
      <c r="F2251" s="3" t="s">
        <v>3763</v>
      </c>
      <c r="G2251" t="s">
        <v>24</v>
      </c>
      <c r="H2251" s="3" t="s">
        <v>3755</v>
      </c>
      <c r="I2251" t="s">
        <v>37</v>
      </c>
      <c r="J2251" s="3" t="s">
        <v>3756</v>
      </c>
      <c r="K2251" s="4">
        <v>957</v>
      </c>
      <c r="L2251" s="5">
        <v>43.51</v>
      </c>
      <c r="M2251" s="6">
        <v>1</v>
      </c>
      <c r="N2251" s="7">
        <v>0</v>
      </c>
      <c r="O2251" t="s">
        <v>3757</v>
      </c>
      <c r="P2251" s="3" t="s">
        <v>40</v>
      </c>
      <c r="Q2251" s="8">
        <v>0.21973799999999999</v>
      </c>
    </row>
    <row r="2252" spans="1:17" hidden="1" x14ac:dyDescent="0.55000000000000004">
      <c r="A2252" s="3" t="s">
        <v>3659</v>
      </c>
      <c r="B2252" s="3" t="s">
        <v>7372</v>
      </c>
      <c r="C2252" t="s">
        <v>3752</v>
      </c>
      <c r="D2252" s="3" t="s">
        <v>7329</v>
      </c>
      <c r="E2252" t="s">
        <v>3764</v>
      </c>
      <c r="F2252" s="3" t="s">
        <v>3765</v>
      </c>
      <c r="G2252" t="s">
        <v>24</v>
      </c>
      <c r="H2252" s="3" t="s">
        <v>3766</v>
      </c>
      <c r="I2252" t="s">
        <v>37</v>
      </c>
      <c r="J2252" s="3" t="s">
        <v>3767</v>
      </c>
      <c r="K2252" s="4">
        <v>957</v>
      </c>
      <c r="L2252" s="5">
        <v>43.51</v>
      </c>
      <c r="M2252" s="6">
        <v>1</v>
      </c>
      <c r="N2252" s="7">
        <v>0</v>
      </c>
      <c r="O2252" t="s">
        <v>3768</v>
      </c>
      <c r="P2252" s="3" t="s">
        <v>40</v>
      </c>
      <c r="Q2252" s="8">
        <v>0.21973899999999999</v>
      </c>
    </row>
    <row r="2253" spans="1:17" x14ac:dyDescent="0.55000000000000004">
      <c r="A2253" s="3" t="s">
        <v>3659</v>
      </c>
      <c r="B2253" s="3" t="s">
        <v>3769</v>
      </c>
      <c r="C2253" t="s">
        <v>3769</v>
      </c>
      <c r="D2253" s="3" t="s">
        <v>7329</v>
      </c>
      <c r="E2253" t="s">
        <v>3770</v>
      </c>
      <c r="F2253" s="3" t="s">
        <v>3771</v>
      </c>
      <c r="G2253" t="s">
        <v>19</v>
      </c>
      <c r="H2253" s="3" t="s">
        <v>3772</v>
      </c>
      <c r="I2253" t="s">
        <v>3691</v>
      </c>
      <c r="J2253" s="3" t="s">
        <v>3773</v>
      </c>
      <c r="K2253" s="4">
        <v>326</v>
      </c>
      <c r="L2253" s="5">
        <v>70.8</v>
      </c>
      <c r="M2253" s="6">
        <v>1</v>
      </c>
      <c r="N2253" s="7">
        <v>0</v>
      </c>
      <c r="O2253" t="s">
        <v>3774</v>
      </c>
      <c r="P2253" s="3" t="s">
        <v>3694</v>
      </c>
      <c r="Q2253" s="8">
        <v>6.3057000000000002E-2</v>
      </c>
    </row>
    <row r="2254" spans="1:17" hidden="1" x14ac:dyDescent="0.55000000000000004">
      <c r="A2254" s="3" t="s">
        <v>3659</v>
      </c>
      <c r="B2254" s="3" t="s">
        <v>3769</v>
      </c>
      <c r="C2254" t="s">
        <v>3769</v>
      </c>
      <c r="D2254" s="3" t="s">
        <v>7329</v>
      </c>
      <c r="E2254" t="s">
        <v>3770</v>
      </c>
      <c r="F2254" s="3" t="s">
        <v>3771</v>
      </c>
      <c r="G2254" t="s">
        <v>19</v>
      </c>
      <c r="H2254" s="3" t="s">
        <v>3775</v>
      </c>
      <c r="I2254" t="s">
        <v>3470</v>
      </c>
      <c r="J2254" s="3" t="s">
        <v>3773</v>
      </c>
      <c r="K2254" s="4">
        <v>341</v>
      </c>
      <c r="L2254" s="5">
        <v>74.22</v>
      </c>
      <c r="M2254" s="6">
        <v>0</v>
      </c>
      <c r="N2254" s="7">
        <v>0</v>
      </c>
      <c r="O2254" t="s">
        <v>3776</v>
      </c>
      <c r="P2254" s="3" t="s">
        <v>3711</v>
      </c>
      <c r="Q2254" s="8">
        <v>6.5540000000000001E-2</v>
      </c>
    </row>
    <row r="2255" spans="1:17" hidden="1" x14ac:dyDescent="0.55000000000000004">
      <c r="A2255" s="3" t="s">
        <v>3659</v>
      </c>
      <c r="B2255" s="3" t="s">
        <v>3769</v>
      </c>
      <c r="C2255" t="s">
        <v>3769</v>
      </c>
      <c r="D2255" s="3" t="s">
        <v>7329</v>
      </c>
      <c r="E2255" t="s">
        <v>3770</v>
      </c>
      <c r="F2255" s="3" t="s">
        <v>3771</v>
      </c>
      <c r="G2255" t="s">
        <v>24</v>
      </c>
      <c r="H2255" s="3" t="s">
        <v>3777</v>
      </c>
      <c r="I2255" t="s">
        <v>37</v>
      </c>
      <c r="J2255" s="3" t="s">
        <v>3778</v>
      </c>
      <c r="K2255" s="4">
        <v>713</v>
      </c>
      <c r="L2255" s="5">
        <v>32.409999999999997</v>
      </c>
      <c r="M2255" s="6">
        <v>1</v>
      </c>
      <c r="N2255" s="7">
        <v>0</v>
      </c>
      <c r="O2255" t="s">
        <v>3779</v>
      </c>
      <c r="P2255" s="3" t="s">
        <v>40</v>
      </c>
      <c r="Q2255" s="8">
        <v>0.21729699999999999</v>
      </c>
    </row>
    <row r="2256" spans="1:17" x14ac:dyDescent="0.55000000000000004">
      <c r="A2256" s="3" t="s">
        <v>3659</v>
      </c>
      <c r="B2256" s="3" t="s">
        <v>3769</v>
      </c>
      <c r="C2256" t="s">
        <v>3769</v>
      </c>
      <c r="D2256" s="3" t="s">
        <v>7329</v>
      </c>
      <c r="E2256" t="s">
        <v>3780</v>
      </c>
      <c r="F2256" s="3" t="s">
        <v>3781</v>
      </c>
      <c r="G2256" t="s">
        <v>19</v>
      </c>
      <c r="H2256" s="3" t="s">
        <v>3782</v>
      </c>
      <c r="I2256" t="s">
        <v>3691</v>
      </c>
      <c r="J2256" s="3" t="s">
        <v>3783</v>
      </c>
      <c r="K2256" s="4">
        <v>329</v>
      </c>
      <c r="L2256" s="5">
        <v>71.41</v>
      </c>
      <c r="M2256" s="6">
        <v>1</v>
      </c>
      <c r="N2256" s="7">
        <v>1</v>
      </c>
      <c r="O2256" t="s">
        <v>3774</v>
      </c>
      <c r="P2256" s="3" t="s">
        <v>3694</v>
      </c>
      <c r="Q2256" s="8">
        <v>6.3057000000000002E-2</v>
      </c>
    </row>
    <row r="2257" spans="1:17" hidden="1" x14ac:dyDescent="0.55000000000000004">
      <c r="A2257" s="3" t="s">
        <v>3659</v>
      </c>
      <c r="B2257" s="3" t="s">
        <v>3769</v>
      </c>
      <c r="C2257" t="s">
        <v>3769</v>
      </c>
      <c r="D2257" s="3" t="s">
        <v>7329</v>
      </c>
      <c r="E2257" t="s">
        <v>3780</v>
      </c>
      <c r="F2257" s="3" t="s">
        <v>3781</v>
      </c>
      <c r="G2257" t="s">
        <v>19</v>
      </c>
      <c r="H2257" s="3" t="s">
        <v>3784</v>
      </c>
      <c r="I2257" t="s">
        <v>3470</v>
      </c>
      <c r="J2257" s="3" t="s">
        <v>3783</v>
      </c>
      <c r="K2257" s="4">
        <v>344</v>
      </c>
      <c r="L2257" s="5">
        <v>74.83</v>
      </c>
      <c r="M2257" s="6">
        <v>0</v>
      </c>
      <c r="N2257" s="7">
        <v>1</v>
      </c>
      <c r="O2257" t="s">
        <v>3776</v>
      </c>
      <c r="P2257" s="3" t="s">
        <v>3711</v>
      </c>
      <c r="Q2257" s="8">
        <v>6.5540000000000001E-2</v>
      </c>
    </row>
    <row r="2258" spans="1:17" hidden="1" x14ac:dyDescent="0.55000000000000004">
      <c r="A2258" s="3" t="s">
        <v>3659</v>
      </c>
      <c r="B2258" s="3" t="s">
        <v>3769</v>
      </c>
      <c r="C2258" t="s">
        <v>3769</v>
      </c>
      <c r="D2258" s="3" t="s">
        <v>7329</v>
      </c>
      <c r="E2258" t="s">
        <v>3780</v>
      </c>
      <c r="F2258" s="3" t="s">
        <v>3781</v>
      </c>
      <c r="G2258" t="s">
        <v>24</v>
      </c>
      <c r="H2258" s="3" t="s">
        <v>3777</v>
      </c>
      <c r="I2258" t="s">
        <v>37</v>
      </c>
      <c r="J2258" s="3" t="s">
        <v>3778</v>
      </c>
      <c r="K2258" s="4">
        <v>713</v>
      </c>
      <c r="L2258" s="5">
        <v>32.409999999999997</v>
      </c>
      <c r="M2258" s="6">
        <v>1</v>
      </c>
      <c r="N2258" s="7">
        <v>1</v>
      </c>
      <c r="O2258" t="s">
        <v>3779</v>
      </c>
      <c r="P2258" s="3" t="s">
        <v>40</v>
      </c>
      <c r="Q2258" s="8">
        <v>0.21729699999999999</v>
      </c>
    </row>
    <row r="2259" spans="1:17" hidden="1" x14ac:dyDescent="0.55000000000000004">
      <c r="A2259" s="3" t="s">
        <v>3659</v>
      </c>
      <c r="B2259" s="3" t="s">
        <v>3769</v>
      </c>
      <c r="C2259" t="s">
        <v>3769</v>
      </c>
      <c r="D2259" s="3" t="s">
        <v>7329</v>
      </c>
      <c r="E2259" t="s">
        <v>3785</v>
      </c>
      <c r="F2259" s="3" t="s">
        <v>3786</v>
      </c>
      <c r="G2259" t="s">
        <v>24</v>
      </c>
      <c r="H2259" s="3" t="s">
        <v>3777</v>
      </c>
      <c r="I2259" t="s">
        <v>37</v>
      </c>
      <c r="J2259" s="3" t="s">
        <v>3778</v>
      </c>
      <c r="K2259" s="4">
        <v>713</v>
      </c>
      <c r="L2259" s="5">
        <v>32.409999999999997</v>
      </c>
      <c r="M2259" s="6">
        <v>1</v>
      </c>
      <c r="N2259" s="7">
        <v>0</v>
      </c>
      <c r="O2259" t="s">
        <v>3779</v>
      </c>
      <c r="P2259" s="3" t="s">
        <v>40</v>
      </c>
      <c r="Q2259" s="8">
        <v>0.21729699999999999</v>
      </c>
    </row>
    <row r="2260" spans="1:17" x14ac:dyDescent="0.55000000000000004">
      <c r="A2260" s="3" t="s">
        <v>3659</v>
      </c>
      <c r="B2260" s="3" t="s">
        <v>3769</v>
      </c>
      <c r="C2260" t="s">
        <v>3769</v>
      </c>
      <c r="D2260" s="3" t="s">
        <v>7329</v>
      </c>
      <c r="E2260" t="s">
        <v>3787</v>
      </c>
      <c r="F2260" s="3" t="s">
        <v>3788</v>
      </c>
      <c r="G2260" t="s">
        <v>19</v>
      </c>
      <c r="H2260" s="3" t="s">
        <v>3772</v>
      </c>
      <c r="I2260" t="s">
        <v>3691</v>
      </c>
      <c r="J2260" s="3" t="s">
        <v>3773</v>
      </c>
      <c r="K2260" s="4">
        <v>326</v>
      </c>
      <c r="L2260" s="5">
        <v>70.8</v>
      </c>
      <c r="M2260" s="6">
        <v>1</v>
      </c>
      <c r="N2260" s="7">
        <v>0</v>
      </c>
      <c r="O2260" t="s">
        <v>3774</v>
      </c>
      <c r="P2260" s="3" t="s">
        <v>3694</v>
      </c>
      <c r="Q2260" s="8">
        <v>6.3057000000000002E-2</v>
      </c>
    </row>
    <row r="2261" spans="1:17" hidden="1" x14ac:dyDescent="0.55000000000000004">
      <c r="A2261" s="3" t="s">
        <v>3659</v>
      </c>
      <c r="B2261" s="3" t="s">
        <v>3769</v>
      </c>
      <c r="C2261" t="s">
        <v>3769</v>
      </c>
      <c r="D2261" s="3" t="s">
        <v>7329</v>
      </c>
      <c r="E2261" t="s">
        <v>3787</v>
      </c>
      <c r="F2261" s="3" t="s">
        <v>3788</v>
      </c>
      <c r="G2261" t="s">
        <v>19</v>
      </c>
      <c r="H2261" s="3" t="s">
        <v>3775</v>
      </c>
      <c r="I2261" t="s">
        <v>3470</v>
      </c>
      <c r="J2261" s="3" t="s">
        <v>3773</v>
      </c>
      <c r="K2261" s="4">
        <v>341</v>
      </c>
      <c r="L2261" s="5">
        <v>74.22</v>
      </c>
      <c r="M2261" s="6">
        <v>0</v>
      </c>
      <c r="N2261" s="7">
        <v>0</v>
      </c>
      <c r="O2261" t="s">
        <v>3776</v>
      </c>
      <c r="P2261" s="3" t="s">
        <v>3711</v>
      </c>
      <c r="Q2261" s="8">
        <v>6.5540000000000001E-2</v>
      </c>
    </row>
    <row r="2262" spans="1:17" hidden="1" x14ac:dyDescent="0.55000000000000004">
      <c r="A2262" s="3" t="s">
        <v>3659</v>
      </c>
      <c r="B2262" s="3" t="s">
        <v>3769</v>
      </c>
      <c r="C2262" t="s">
        <v>3769</v>
      </c>
      <c r="D2262" s="3" t="s">
        <v>7329</v>
      </c>
      <c r="E2262" t="s">
        <v>3787</v>
      </c>
      <c r="F2262" s="3" t="s">
        <v>3788</v>
      </c>
      <c r="G2262" t="s">
        <v>24</v>
      </c>
      <c r="H2262" s="3" t="s">
        <v>3777</v>
      </c>
      <c r="I2262" t="s">
        <v>37</v>
      </c>
      <c r="J2262" s="3" t="s">
        <v>3778</v>
      </c>
      <c r="K2262" s="4">
        <v>713</v>
      </c>
      <c r="L2262" s="5">
        <v>32.409999999999997</v>
      </c>
      <c r="M2262" s="6">
        <v>1</v>
      </c>
      <c r="N2262" s="7">
        <v>0</v>
      </c>
      <c r="O2262" t="s">
        <v>3779</v>
      </c>
      <c r="P2262" s="3" t="s">
        <v>40</v>
      </c>
      <c r="Q2262" s="8">
        <v>0.21729699999999999</v>
      </c>
    </row>
    <row r="2263" spans="1:17" hidden="1" x14ac:dyDescent="0.55000000000000004">
      <c r="A2263" s="3" t="s">
        <v>3659</v>
      </c>
      <c r="B2263" s="3" t="s">
        <v>3769</v>
      </c>
      <c r="C2263" t="s">
        <v>3769</v>
      </c>
      <c r="D2263" s="3" t="s">
        <v>7329</v>
      </c>
      <c r="E2263" t="s">
        <v>3789</v>
      </c>
      <c r="F2263" s="3" t="s">
        <v>3790</v>
      </c>
      <c r="G2263" t="s">
        <v>24</v>
      </c>
      <c r="H2263" s="3" t="s">
        <v>3777</v>
      </c>
      <c r="I2263" t="s">
        <v>37</v>
      </c>
      <c r="J2263" s="3" t="s">
        <v>3778</v>
      </c>
      <c r="K2263" s="4">
        <v>713</v>
      </c>
      <c r="L2263" s="5">
        <v>32.409999999999997</v>
      </c>
      <c r="M2263" s="6">
        <v>1</v>
      </c>
      <c r="N2263" s="7">
        <v>0</v>
      </c>
      <c r="O2263" t="s">
        <v>3779</v>
      </c>
      <c r="P2263" s="3" t="s">
        <v>40</v>
      </c>
      <c r="Q2263" s="8">
        <v>0.21729699999999999</v>
      </c>
    </row>
    <row r="2264" spans="1:17" x14ac:dyDescent="0.55000000000000004">
      <c r="A2264" s="3" t="s">
        <v>3659</v>
      </c>
      <c r="B2264" s="3" t="s">
        <v>3769</v>
      </c>
      <c r="C2264" t="s">
        <v>3769</v>
      </c>
      <c r="D2264" s="3" t="s">
        <v>7329</v>
      </c>
      <c r="E2264" t="s">
        <v>3791</v>
      </c>
      <c r="F2264" s="3" t="s">
        <v>3792</v>
      </c>
      <c r="G2264" t="s">
        <v>19</v>
      </c>
      <c r="H2264" s="3" t="s">
        <v>3782</v>
      </c>
      <c r="I2264" t="s">
        <v>3691</v>
      </c>
      <c r="J2264" s="3" t="s">
        <v>3783</v>
      </c>
      <c r="K2264" s="4">
        <v>329</v>
      </c>
      <c r="L2264" s="5">
        <v>71.41</v>
      </c>
      <c r="M2264" s="6">
        <v>1</v>
      </c>
      <c r="N2264" s="7">
        <v>0</v>
      </c>
      <c r="O2264" t="s">
        <v>3774</v>
      </c>
      <c r="P2264" s="3" t="s">
        <v>3694</v>
      </c>
      <c r="Q2264" s="8">
        <v>6.3057000000000002E-2</v>
      </c>
    </row>
    <row r="2265" spans="1:17" hidden="1" x14ac:dyDescent="0.55000000000000004">
      <c r="A2265" s="3" t="s">
        <v>3659</v>
      </c>
      <c r="B2265" s="3" t="s">
        <v>3769</v>
      </c>
      <c r="C2265" t="s">
        <v>3769</v>
      </c>
      <c r="D2265" s="3" t="s">
        <v>7329</v>
      </c>
      <c r="E2265" t="s">
        <v>3791</v>
      </c>
      <c r="F2265" s="3" t="s">
        <v>3792</v>
      </c>
      <c r="G2265" t="s">
        <v>19</v>
      </c>
      <c r="H2265" s="3" t="s">
        <v>3784</v>
      </c>
      <c r="I2265" t="s">
        <v>3470</v>
      </c>
      <c r="J2265" s="3" t="s">
        <v>3783</v>
      </c>
      <c r="K2265" s="4">
        <v>344</v>
      </c>
      <c r="L2265" s="5">
        <v>74.83</v>
      </c>
      <c r="M2265" s="6">
        <v>0</v>
      </c>
      <c r="N2265" s="7">
        <v>0</v>
      </c>
      <c r="O2265" t="s">
        <v>3776</v>
      </c>
      <c r="P2265" s="3" t="s">
        <v>3711</v>
      </c>
      <c r="Q2265" s="8">
        <v>6.5540000000000001E-2</v>
      </c>
    </row>
    <row r="2266" spans="1:17" hidden="1" x14ac:dyDescent="0.55000000000000004">
      <c r="A2266" s="3" t="s">
        <v>3659</v>
      </c>
      <c r="B2266" s="3" t="s">
        <v>3769</v>
      </c>
      <c r="C2266" t="s">
        <v>3769</v>
      </c>
      <c r="D2266" s="3" t="s">
        <v>7329</v>
      </c>
      <c r="E2266" t="s">
        <v>3791</v>
      </c>
      <c r="F2266" s="3" t="s">
        <v>3792</v>
      </c>
      <c r="G2266" t="s">
        <v>24</v>
      </c>
      <c r="H2266" s="3" t="s">
        <v>3777</v>
      </c>
      <c r="I2266" t="s">
        <v>37</v>
      </c>
      <c r="J2266" s="3" t="s">
        <v>3778</v>
      </c>
      <c r="K2266" s="4">
        <v>713</v>
      </c>
      <c r="L2266" s="5">
        <v>32.409999999999997</v>
      </c>
      <c r="M2266" s="6">
        <v>1</v>
      </c>
      <c r="N2266" s="7">
        <v>0</v>
      </c>
      <c r="O2266" t="s">
        <v>3779</v>
      </c>
      <c r="P2266" s="3" t="s">
        <v>40</v>
      </c>
      <c r="Q2266" s="8">
        <v>0.21729699999999999</v>
      </c>
    </row>
    <row r="2267" spans="1:17" hidden="1" x14ac:dyDescent="0.55000000000000004">
      <c r="A2267" s="3" t="s">
        <v>3659</v>
      </c>
      <c r="B2267" s="3" t="s">
        <v>3793</v>
      </c>
      <c r="C2267" t="s">
        <v>3703</v>
      </c>
      <c r="D2267" s="3" t="s">
        <v>7329</v>
      </c>
      <c r="E2267" t="s">
        <v>3794</v>
      </c>
      <c r="F2267" s="3" t="s">
        <v>3795</v>
      </c>
      <c r="G2267" t="s">
        <v>24</v>
      </c>
      <c r="H2267" s="3" t="s">
        <v>3796</v>
      </c>
      <c r="I2267" t="s">
        <v>37</v>
      </c>
      <c r="J2267" s="3" t="s">
        <v>3797</v>
      </c>
      <c r="K2267" s="4">
        <v>628</v>
      </c>
      <c r="L2267" s="5">
        <v>28.53</v>
      </c>
      <c r="M2267" s="6">
        <v>1</v>
      </c>
      <c r="N2267" s="7">
        <v>0</v>
      </c>
      <c r="O2267" t="s">
        <v>3798</v>
      </c>
      <c r="P2267" s="3" t="s">
        <v>40</v>
      </c>
      <c r="Q2267" s="8">
        <v>0.184305</v>
      </c>
    </row>
    <row r="2268" spans="1:17" hidden="1" x14ac:dyDescent="0.55000000000000004">
      <c r="A2268" s="3" t="s">
        <v>3659</v>
      </c>
      <c r="B2268" s="3" t="s">
        <v>3793</v>
      </c>
      <c r="C2268" t="s">
        <v>3703</v>
      </c>
      <c r="D2268" s="3" t="s">
        <v>7329</v>
      </c>
      <c r="E2268" t="s">
        <v>3799</v>
      </c>
      <c r="F2268" s="3" t="s">
        <v>3800</v>
      </c>
      <c r="G2268" t="s">
        <v>24</v>
      </c>
      <c r="H2268" s="3" t="s">
        <v>3796</v>
      </c>
      <c r="I2268" t="s">
        <v>37</v>
      </c>
      <c r="J2268" s="3" t="s">
        <v>3797</v>
      </c>
      <c r="K2268" s="4">
        <v>628</v>
      </c>
      <c r="L2268" s="5">
        <v>28.53</v>
      </c>
      <c r="M2268" s="6">
        <v>1</v>
      </c>
      <c r="N2268" s="7">
        <v>0</v>
      </c>
      <c r="O2268" t="s">
        <v>3798</v>
      </c>
      <c r="P2268" s="3" t="s">
        <v>40</v>
      </c>
      <c r="Q2268" s="8">
        <v>0.184305</v>
      </c>
    </row>
    <row r="2269" spans="1:17" hidden="1" x14ac:dyDescent="0.55000000000000004">
      <c r="A2269" s="3" t="s">
        <v>3659</v>
      </c>
      <c r="B2269" s="3" t="s">
        <v>3793</v>
      </c>
      <c r="C2269" t="s">
        <v>3703</v>
      </c>
      <c r="D2269" s="3" t="s">
        <v>7329</v>
      </c>
      <c r="E2269" t="s">
        <v>3801</v>
      </c>
      <c r="F2269" s="3" t="s">
        <v>3802</v>
      </c>
      <c r="G2269" t="s">
        <v>24</v>
      </c>
      <c r="H2269" s="3" t="s">
        <v>3796</v>
      </c>
      <c r="I2269" t="s">
        <v>37</v>
      </c>
      <c r="J2269" s="3" t="s">
        <v>3797</v>
      </c>
      <c r="K2269" s="4">
        <v>628</v>
      </c>
      <c r="L2269" s="5">
        <v>28.53</v>
      </c>
      <c r="M2269" s="6">
        <v>1</v>
      </c>
      <c r="N2269" s="7">
        <v>0</v>
      </c>
      <c r="O2269" t="s">
        <v>3798</v>
      </c>
      <c r="P2269" s="3" t="s">
        <v>40</v>
      </c>
      <c r="Q2269" s="8">
        <v>0.184305</v>
      </c>
    </row>
    <row r="2270" spans="1:17" x14ac:dyDescent="0.55000000000000004">
      <c r="A2270" s="3" t="s">
        <v>3659</v>
      </c>
      <c r="B2270" s="3" t="s">
        <v>7373</v>
      </c>
      <c r="C2270" t="s">
        <v>3803</v>
      </c>
      <c r="D2270" s="3" t="s">
        <v>7329</v>
      </c>
      <c r="E2270" t="s">
        <v>3804</v>
      </c>
      <c r="F2270" s="3" t="s">
        <v>3805</v>
      </c>
      <c r="G2270" t="s">
        <v>19</v>
      </c>
      <c r="H2270" s="3" t="s">
        <v>3806</v>
      </c>
      <c r="I2270" t="s">
        <v>3691</v>
      </c>
      <c r="J2270" s="3" t="s">
        <v>3807</v>
      </c>
      <c r="K2270" s="4">
        <v>330</v>
      </c>
      <c r="L2270" s="5">
        <v>71.739999999999995</v>
      </c>
      <c r="M2270" s="6">
        <v>1</v>
      </c>
      <c r="N2270" s="7">
        <v>1</v>
      </c>
      <c r="O2270" t="s">
        <v>3808</v>
      </c>
      <c r="P2270" s="3" t="s">
        <v>3694</v>
      </c>
      <c r="Q2270" s="8">
        <v>7.3686000000000001E-2</v>
      </c>
    </row>
    <row r="2271" spans="1:17" hidden="1" x14ac:dyDescent="0.55000000000000004">
      <c r="A2271" s="3" t="s">
        <v>3659</v>
      </c>
      <c r="B2271" s="3" t="s">
        <v>7373</v>
      </c>
      <c r="C2271" t="s">
        <v>3803</v>
      </c>
      <c r="D2271" s="3" t="s">
        <v>7329</v>
      </c>
      <c r="E2271" t="s">
        <v>3804</v>
      </c>
      <c r="F2271" s="3" t="s">
        <v>3805</v>
      </c>
      <c r="G2271" t="s">
        <v>24</v>
      </c>
      <c r="H2271" s="3" t="s">
        <v>3809</v>
      </c>
      <c r="I2271" t="s">
        <v>37</v>
      </c>
      <c r="J2271" s="3" t="s">
        <v>3810</v>
      </c>
      <c r="K2271" s="4">
        <v>871</v>
      </c>
      <c r="L2271" s="5">
        <v>39.590000000000003</v>
      </c>
      <c r="M2271" s="6">
        <v>1</v>
      </c>
      <c r="N2271" s="7">
        <v>1</v>
      </c>
      <c r="O2271" t="s">
        <v>3811</v>
      </c>
      <c r="P2271" s="3" t="s">
        <v>40</v>
      </c>
      <c r="Q2271" s="8">
        <v>0.21887699999999999</v>
      </c>
    </row>
    <row r="2272" spans="1:17" x14ac:dyDescent="0.55000000000000004">
      <c r="A2272" s="3" t="s">
        <v>3659</v>
      </c>
      <c r="B2272" s="3" t="s">
        <v>3803</v>
      </c>
      <c r="C2272" t="s">
        <v>3803</v>
      </c>
      <c r="D2272" s="3" t="s">
        <v>7329</v>
      </c>
      <c r="E2272" t="s">
        <v>3812</v>
      </c>
      <c r="F2272" s="3" t="s">
        <v>3813</v>
      </c>
      <c r="G2272" t="s">
        <v>19</v>
      </c>
      <c r="H2272" s="3" t="s">
        <v>3814</v>
      </c>
      <c r="I2272" t="s">
        <v>3691</v>
      </c>
      <c r="J2272" s="3" t="s">
        <v>3815</v>
      </c>
      <c r="K2272" s="4">
        <v>333</v>
      </c>
      <c r="L2272" s="5">
        <v>72.33</v>
      </c>
      <c r="M2272" s="6">
        <v>1</v>
      </c>
      <c r="N2272" s="7">
        <v>0</v>
      </c>
      <c r="O2272" t="s">
        <v>3816</v>
      </c>
      <c r="P2272" s="3" t="s">
        <v>3694</v>
      </c>
      <c r="Q2272" s="8">
        <v>7.3686000000000001E-2</v>
      </c>
    </row>
    <row r="2273" spans="1:17" hidden="1" x14ac:dyDescent="0.55000000000000004">
      <c r="A2273" s="3" t="s">
        <v>3659</v>
      </c>
      <c r="B2273" s="3" t="s">
        <v>3803</v>
      </c>
      <c r="C2273" t="s">
        <v>3803</v>
      </c>
      <c r="D2273" s="3" t="s">
        <v>7329</v>
      </c>
      <c r="E2273" t="s">
        <v>3812</v>
      </c>
      <c r="F2273" s="3" t="s">
        <v>3813</v>
      </c>
      <c r="G2273" t="s">
        <v>24</v>
      </c>
      <c r="H2273" s="3" t="s">
        <v>3809</v>
      </c>
      <c r="I2273" t="s">
        <v>37</v>
      </c>
      <c r="J2273" s="3" t="s">
        <v>3810</v>
      </c>
      <c r="K2273" s="4">
        <v>871</v>
      </c>
      <c r="L2273" s="5">
        <v>39.590000000000003</v>
      </c>
      <c r="M2273" s="6">
        <v>1</v>
      </c>
      <c r="N2273" s="7">
        <v>0</v>
      </c>
      <c r="O2273" t="s">
        <v>3811</v>
      </c>
      <c r="P2273" s="3" t="s">
        <v>40</v>
      </c>
      <c r="Q2273" s="8">
        <v>0.21887699999999999</v>
      </c>
    </row>
    <row r="2274" spans="1:17" x14ac:dyDescent="0.55000000000000004">
      <c r="A2274" s="3" t="s">
        <v>3659</v>
      </c>
      <c r="B2274" s="3" t="s">
        <v>7373</v>
      </c>
      <c r="C2274" t="s">
        <v>3803</v>
      </c>
      <c r="D2274" s="3" t="s">
        <v>7329</v>
      </c>
      <c r="E2274" t="s">
        <v>3817</v>
      </c>
      <c r="F2274" s="3" t="s">
        <v>3818</v>
      </c>
      <c r="G2274" t="s">
        <v>19</v>
      </c>
      <c r="H2274" s="3" t="s">
        <v>3806</v>
      </c>
      <c r="I2274" t="s">
        <v>3691</v>
      </c>
      <c r="J2274" s="3" t="s">
        <v>3807</v>
      </c>
      <c r="K2274" s="4">
        <v>330</v>
      </c>
      <c r="L2274" s="5">
        <v>71.739999999999995</v>
      </c>
      <c r="M2274" s="6">
        <v>1</v>
      </c>
      <c r="N2274" s="7">
        <v>0</v>
      </c>
      <c r="O2274" t="s">
        <v>3808</v>
      </c>
      <c r="P2274" s="3" t="s">
        <v>3694</v>
      </c>
      <c r="Q2274" s="8">
        <v>7.3686000000000001E-2</v>
      </c>
    </row>
    <row r="2275" spans="1:17" hidden="1" x14ac:dyDescent="0.55000000000000004">
      <c r="A2275" s="3" t="s">
        <v>3659</v>
      </c>
      <c r="B2275" s="3" t="s">
        <v>7373</v>
      </c>
      <c r="C2275" t="s">
        <v>3803</v>
      </c>
      <c r="D2275" s="3" t="s">
        <v>7329</v>
      </c>
      <c r="E2275" t="s">
        <v>3817</v>
      </c>
      <c r="F2275" s="3" t="s">
        <v>3818</v>
      </c>
      <c r="G2275" t="s">
        <v>24</v>
      </c>
      <c r="H2275" s="3" t="s">
        <v>3809</v>
      </c>
      <c r="I2275" t="s">
        <v>37</v>
      </c>
      <c r="J2275" s="3" t="s">
        <v>3810</v>
      </c>
      <c r="K2275" s="4">
        <v>871</v>
      </c>
      <c r="L2275" s="5">
        <v>39.590000000000003</v>
      </c>
      <c r="M2275" s="6">
        <v>1</v>
      </c>
      <c r="N2275" s="7">
        <v>0</v>
      </c>
      <c r="O2275" t="s">
        <v>3811</v>
      </c>
      <c r="P2275" s="3" t="s">
        <v>40</v>
      </c>
      <c r="Q2275" s="8">
        <v>0.21887699999999999</v>
      </c>
    </row>
    <row r="2276" spans="1:17" x14ac:dyDescent="0.55000000000000004">
      <c r="A2276" s="3" t="s">
        <v>3659</v>
      </c>
      <c r="B2276" s="3" t="s">
        <v>3819</v>
      </c>
      <c r="C2276" t="s">
        <v>7374</v>
      </c>
      <c r="D2276" s="3" t="s">
        <v>7329</v>
      </c>
      <c r="E2276" t="s">
        <v>3820</v>
      </c>
      <c r="F2276" s="3" t="s">
        <v>3821</v>
      </c>
      <c r="G2276" t="s">
        <v>19</v>
      </c>
      <c r="H2276" s="3" t="s">
        <v>3822</v>
      </c>
      <c r="I2276" t="s">
        <v>3691</v>
      </c>
      <c r="J2276" s="3" t="s">
        <v>3823</v>
      </c>
      <c r="K2276" s="4">
        <v>190</v>
      </c>
      <c r="L2276" s="5">
        <v>41.2</v>
      </c>
      <c r="M2276" s="6">
        <v>1</v>
      </c>
      <c r="N2276" s="7">
        <v>1</v>
      </c>
      <c r="O2276" t="s">
        <v>3824</v>
      </c>
      <c r="P2276" s="3" t="s">
        <v>3694</v>
      </c>
      <c r="Q2276" s="8">
        <v>6.3551999999999997E-2</v>
      </c>
    </row>
    <row r="2277" spans="1:17" hidden="1" x14ac:dyDescent="0.55000000000000004">
      <c r="A2277" s="3" t="s">
        <v>3659</v>
      </c>
      <c r="B2277" s="3" t="s">
        <v>3819</v>
      </c>
      <c r="C2277" t="s">
        <v>7374</v>
      </c>
      <c r="D2277" s="3" t="s">
        <v>7329</v>
      </c>
      <c r="E2277" t="s">
        <v>3820</v>
      </c>
      <c r="F2277" s="3" t="s">
        <v>3821</v>
      </c>
      <c r="G2277" t="s">
        <v>19</v>
      </c>
      <c r="H2277" s="3" t="s">
        <v>3825</v>
      </c>
      <c r="I2277" t="s">
        <v>3470</v>
      </c>
      <c r="J2277" s="3" t="s">
        <v>3823</v>
      </c>
      <c r="K2277" s="4">
        <v>205</v>
      </c>
      <c r="L2277" s="5">
        <v>44.61</v>
      </c>
      <c r="M2277" s="6">
        <v>0</v>
      </c>
      <c r="N2277" s="7">
        <v>1</v>
      </c>
      <c r="O2277" t="s">
        <v>3826</v>
      </c>
      <c r="P2277" s="3" t="s">
        <v>3711</v>
      </c>
      <c r="Q2277" s="8">
        <v>6.3533000000000006E-2</v>
      </c>
    </row>
    <row r="2278" spans="1:17" hidden="1" x14ac:dyDescent="0.55000000000000004">
      <c r="A2278" s="3" t="s">
        <v>3659</v>
      </c>
      <c r="B2278" s="3" t="s">
        <v>3819</v>
      </c>
      <c r="C2278" t="s">
        <v>7374</v>
      </c>
      <c r="D2278" s="3" t="s">
        <v>7329</v>
      </c>
      <c r="E2278" t="s">
        <v>3820</v>
      </c>
      <c r="F2278" s="3" t="s">
        <v>3821</v>
      </c>
      <c r="G2278" t="s">
        <v>24</v>
      </c>
      <c r="H2278" s="3" t="s">
        <v>3827</v>
      </c>
      <c r="I2278" t="s">
        <v>43</v>
      </c>
      <c r="J2278" s="3" t="s">
        <v>3828</v>
      </c>
      <c r="K2278" s="4">
        <v>698</v>
      </c>
      <c r="L2278" s="5">
        <v>31.72</v>
      </c>
      <c r="M2278" s="6">
        <v>1</v>
      </c>
      <c r="N2278" s="7">
        <v>1</v>
      </c>
      <c r="O2278" t="s">
        <v>3829</v>
      </c>
      <c r="P2278" s="3" t="s">
        <v>138</v>
      </c>
      <c r="Q2278" s="8">
        <v>0.21968099999999999</v>
      </c>
    </row>
    <row r="2279" spans="1:17" x14ac:dyDescent="0.55000000000000004">
      <c r="A2279" s="3" t="s">
        <v>3659</v>
      </c>
      <c r="B2279" s="3" t="s">
        <v>3687</v>
      </c>
      <c r="C2279" t="s">
        <v>3687</v>
      </c>
      <c r="D2279" s="3" t="s">
        <v>7329</v>
      </c>
      <c r="E2279" t="s">
        <v>3830</v>
      </c>
      <c r="F2279" s="3" t="s">
        <v>3831</v>
      </c>
      <c r="G2279" t="s">
        <v>19</v>
      </c>
      <c r="H2279" s="3" t="s">
        <v>3832</v>
      </c>
      <c r="I2279" t="s">
        <v>3691</v>
      </c>
      <c r="J2279" s="3" t="s">
        <v>3833</v>
      </c>
      <c r="K2279" s="4">
        <v>274</v>
      </c>
      <c r="L2279" s="5">
        <v>59.52</v>
      </c>
      <c r="M2279" s="6">
        <v>1</v>
      </c>
      <c r="N2279" s="7">
        <v>1</v>
      </c>
      <c r="O2279" t="s">
        <v>3834</v>
      </c>
      <c r="P2279" s="3" t="s">
        <v>3694</v>
      </c>
      <c r="Q2279" s="8">
        <v>6.8918999999999994E-2</v>
      </c>
    </row>
    <row r="2280" spans="1:17" hidden="1" x14ac:dyDescent="0.55000000000000004">
      <c r="A2280" s="3" t="s">
        <v>3659</v>
      </c>
      <c r="B2280" s="3" t="s">
        <v>3687</v>
      </c>
      <c r="C2280" t="s">
        <v>3687</v>
      </c>
      <c r="D2280" s="3" t="s">
        <v>7329</v>
      </c>
      <c r="E2280" t="s">
        <v>3830</v>
      </c>
      <c r="F2280" s="3" t="s">
        <v>3831</v>
      </c>
      <c r="G2280" t="s">
        <v>19</v>
      </c>
      <c r="H2280" s="3" t="s">
        <v>3835</v>
      </c>
      <c r="I2280" t="s">
        <v>3470</v>
      </c>
      <c r="J2280" s="3" t="s">
        <v>3833</v>
      </c>
      <c r="K2280" s="4">
        <v>290</v>
      </c>
      <c r="L2280" s="5">
        <v>62.93</v>
      </c>
      <c r="M2280" s="6">
        <v>0</v>
      </c>
      <c r="N2280" s="7">
        <v>1</v>
      </c>
      <c r="O2280" t="s">
        <v>3836</v>
      </c>
      <c r="P2280" s="3" t="s">
        <v>3711</v>
      </c>
      <c r="Q2280" s="8">
        <v>7.1654999999999996E-2</v>
      </c>
    </row>
    <row r="2281" spans="1:17" hidden="1" x14ac:dyDescent="0.55000000000000004">
      <c r="A2281" s="3" t="s">
        <v>3659</v>
      </c>
      <c r="B2281" s="3" t="s">
        <v>3687</v>
      </c>
      <c r="C2281" t="s">
        <v>3687</v>
      </c>
      <c r="D2281" s="3" t="s">
        <v>7329</v>
      </c>
      <c r="E2281" t="s">
        <v>3830</v>
      </c>
      <c r="F2281" s="3" t="s">
        <v>3831</v>
      </c>
      <c r="G2281" t="s">
        <v>24</v>
      </c>
      <c r="H2281" s="3" t="s">
        <v>3698</v>
      </c>
      <c r="I2281" t="s">
        <v>37</v>
      </c>
      <c r="J2281" s="3" t="s">
        <v>3699</v>
      </c>
      <c r="K2281" s="4">
        <v>810</v>
      </c>
      <c r="L2281" s="5">
        <v>36.799999999999997</v>
      </c>
      <c r="M2281" s="6">
        <v>0</v>
      </c>
      <c r="N2281" s="7">
        <v>1</v>
      </c>
      <c r="O2281" t="s">
        <v>3700</v>
      </c>
      <c r="P2281" s="3" t="s">
        <v>40</v>
      </c>
      <c r="Q2281" s="8">
        <v>0.21826200000000001</v>
      </c>
    </row>
    <row r="2282" spans="1:17" hidden="1" x14ac:dyDescent="0.55000000000000004">
      <c r="A2282" s="3" t="s">
        <v>3659</v>
      </c>
      <c r="B2282" s="3" t="s">
        <v>3687</v>
      </c>
      <c r="C2282" t="s">
        <v>3687</v>
      </c>
      <c r="D2282" s="3" t="s">
        <v>7329</v>
      </c>
      <c r="E2282" t="s">
        <v>3830</v>
      </c>
      <c r="F2282" s="3" t="s">
        <v>3831</v>
      </c>
      <c r="G2282" t="s">
        <v>24</v>
      </c>
      <c r="H2282" s="3" t="s">
        <v>3701</v>
      </c>
      <c r="I2282" t="s">
        <v>37</v>
      </c>
      <c r="J2282" s="3" t="s">
        <v>3699</v>
      </c>
      <c r="K2282" s="4">
        <v>636</v>
      </c>
      <c r="L2282" s="5">
        <v>0</v>
      </c>
      <c r="M2282" s="6">
        <v>0</v>
      </c>
      <c r="N2282" s="7">
        <v>1</v>
      </c>
      <c r="O2282" t="s">
        <v>23</v>
      </c>
      <c r="P2282" s="3" t="s">
        <v>23</v>
      </c>
      <c r="Q2282" s="8" t="s">
        <v>23</v>
      </c>
    </row>
    <row r="2283" spans="1:17" hidden="1" x14ac:dyDescent="0.55000000000000004">
      <c r="A2283" s="3" t="s">
        <v>3659</v>
      </c>
      <c r="B2283" s="3" t="s">
        <v>3687</v>
      </c>
      <c r="C2283" t="s">
        <v>3687</v>
      </c>
      <c r="D2283" s="3" t="s">
        <v>7329</v>
      </c>
      <c r="E2283" t="s">
        <v>3830</v>
      </c>
      <c r="F2283" s="3" t="s">
        <v>3831</v>
      </c>
      <c r="G2283" t="s">
        <v>24</v>
      </c>
      <c r="H2283" s="3" t="s">
        <v>3702</v>
      </c>
      <c r="I2283" t="s">
        <v>105</v>
      </c>
      <c r="J2283" s="3" t="s">
        <v>3699</v>
      </c>
      <c r="K2283" s="4">
        <v>611</v>
      </c>
      <c r="L2283" s="5">
        <v>0</v>
      </c>
      <c r="M2283" s="6">
        <v>0</v>
      </c>
      <c r="N2283" s="7">
        <v>1</v>
      </c>
      <c r="O2283" t="s">
        <v>23</v>
      </c>
      <c r="P2283" s="3" t="s">
        <v>23</v>
      </c>
      <c r="Q2283" s="8" t="s">
        <v>23</v>
      </c>
    </row>
    <row r="2284" spans="1:17" hidden="1" x14ac:dyDescent="0.55000000000000004">
      <c r="A2284" s="9" t="s">
        <v>3659</v>
      </c>
      <c r="B2284" s="3" t="s">
        <v>3687</v>
      </c>
      <c r="C2284" t="s">
        <v>3687</v>
      </c>
      <c r="D2284" s="3" t="s">
        <v>7329</v>
      </c>
      <c r="E2284" t="s">
        <v>3830</v>
      </c>
      <c r="F2284" s="3" t="s">
        <v>3831</v>
      </c>
      <c r="G2284" t="s">
        <v>24</v>
      </c>
      <c r="H2284" s="3" t="s">
        <v>3837</v>
      </c>
      <c r="I2284" t="s">
        <v>37</v>
      </c>
      <c r="J2284" s="3" t="s">
        <v>3838</v>
      </c>
      <c r="K2284" s="4">
        <v>798</v>
      </c>
      <c r="L2284" s="5">
        <v>36.26</v>
      </c>
      <c r="M2284" s="6">
        <v>1</v>
      </c>
      <c r="N2284" s="7">
        <v>1</v>
      </c>
      <c r="O2284" t="s">
        <v>3839</v>
      </c>
      <c r="P2284" s="3" t="s">
        <v>40</v>
      </c>
      <c r="Q2284" s="8">
        <v>0.218144</v>
      </c>
    </row>
    <row r="2285" spans="1:17" hidden="1" x14ac:dyDescent="0.55000000000000004">
      <c r="A2285" s="3" t="s">
        <v>3840</v>
      </c>
      <c r="B2285" s="3" t="s">
        <v>3841</v>
      </c>
      <c r="C2285" t="s">
        <v>7375</v>
      </c>
      <c r="D2285" s="3" t="s">
        <v>7312</v>
      </c>
      <c r="E2285" t="s">
        <v>3842</v>
      </c>
      <c r="F2285" s="3" t="s">
        <v>3843</v>
      </c>
      <c r="G2285" t="s">
        <v>19</v>
      </c>
      <c r="H2285" s="3" t="s">
        <v>3844</v>
      </c>
      <c r="I2285" t="s">
        <v>3845</v>
      </c>
      <c r="J2285" s="3" t="s">
        <v>3846</v>
      </c>
      <c r="K2285" s="4">
        <v>166</v>
      </c>
      <c r="L2285" s="5">
        <v>36</v>
      </c>
      <c r="M2285" s="6">
        <v>1</v>
      </c>
      <c r="N2285" s="7">
        <v>1</v>
      </c>
      <c r="O2285" t="s">
        <v>3847</v>
      </c>
      <c r="P2285" s="3" t="s">
        <v>3848</v>
      </c>
      <c r="Q2285" s="8">
        <v>4.4992999999999998E-2</v>
      </c>
    </row>
    <row r="2286" spans="1:17" hidden="1" x14ac:dyDescent="0.55000000000000004">
      <c r="A2286" s="3" t="s">
        <v>3840</v>
      </c>
      <c r="B2286" s="3" t="s">
        <v>3841</v>
      </c>
      <c r="C2286" t="s">
        <v>7375</v>
      </c>
      <c r="D2286" s="3" t="s">
        <v>7312</v>
      </c>
      <c r="E2286" t="s">
        <v>3842</v>
      </c>
      <c r="F2286" s="3" t="s">
        <v>3843</v>
      </c>
      <c r="G2286" t="s">
        <v>24</v>
      </c>
      <c r="H2286" s="3" t="s">
        <v>3849</v>
      </c>
      <c r="I2286" t="s">
        <v>37</v>
      </c>
      <c r="J2286" s="3" t="s">
        <v>3850</v>
      </c>
      <c r="K2286" s="4">
        <v>454</v>
      </c>
      <c r="L2286" s="5">
        <v>20.62</v>
      </c>
      <c r="M2286" s="6">
        <v>1</v>
      </c>
      <c r="N2286" s="7">
        <v>1</v>
      </c>
      <c r="O2286" t="s">
        <v>3851</v>
      </c>
      <c r="P2286" s="3" t="s">
        <v>40</v>
      </c>
      <c r="Q2286" s="8">
        <v>0.18256900000000001</v>
      </c>
    </row>
    <row r="2287" spans="1:17" hidden="1" x14ac:dyDescent="0.55000000000000004">
      <c r="A2287" s="3" t="s">
        <v>3840</v>
      </c>
      <c r="B2287" s="3" t="s">
        <v>3841</v>
      </c>
      <c r="C2287" t="s">
        <v>7375</v>
      </c>
      <c r="D2287" s="3" t="s">
        <v>7312</v>
      </c>
      <c r="E2287" t="s">
        <v>3842</v>
      </c>
      <c r="F2287" s="3" t="s">
        <v>3843</v>
      </c>
      <c r="G2287" t="s">
        <v>24</v>
      </c>
      <c r="H2287" s="3" t="s">
        <v>3852</v>
      </c>
      <c r="I2287" t="s">
        <v>43</v>
      </c>
      <c r="J2287" s="3" t="s">
        <v>3853</v>
      </c>
      <c r="K2287" s="4">
        <v>558</v>
      </c>
      <c r="L2287" s="5">
        <v>25.37</v>
      </c>
      <c r="M2287" s="6">
        <v>0</v>
      </c>
      <c r="N2287" s="7">
        <v>1</v>
      </c>
      <c r="O2287" t="s">
        <v>3854</v>
      </c>
      <c r="P2287" s="3" t="s">
        <v>138</v>
      </c>
      <c r="Q2287" s="8">
        <v>0.161967</v>
      </c>
    </row>
    <row r="2288" spans="1:17" hidden="1" x14ac:dyDescent="0.55000000000000004">
      <c r="A2288" s="3" t="s">
        <v>3840</v>
      </c>
      <c r="B2288" s="3" t="s">
        <v>3841</v>
      </c>
      <c r="C2288" t="s">
        <v>7375</v>
      </c>
      <c r="D2288" s="3" t="s">
        <v>7312</v>
      </c>
      <c r="E2288" t="s">
        <v>3855</v>
      </c>
      <c r="F2288" s="3" t="s">
        <v>3856</v>
      </c>
      <c r="G2288" t="s">
        <v>24</v>
      </c>
      <c r="H2288" s="3" t="s">
        <v>3849</v>
      </c>
      <c r="I2288" t="s">
        <v>37</v>
      </c>
      <c r="J2288" s="3" t="s">
        <v>3850</v>
      </c>
      <c r="K2288" s="4">
        <v>454</v>
      </c>
      <c r="L2288" s="5">
        <v>20.62</v>
      </c>
      <c r="M2288" s="6">
        <v>1</v>
      </c>
      <c r="N2288" s="7">
        <v>0</v>
      </c>
      <c r="O2288" t="s">
        <v>3851</v>
      </c>
      <c r="P2288" s="3" t="s">
        <v>40</v>
      </c>
      <c r="Q2288" s="8">
        <v>0.18256900000000001</v>
      </c>
    </row>
    <row r="2289" spans="1:17" hidden="1" x14ac:dyDescent="0.55000000000000004">
      <c r="A2289" s="3" t="s">
        <v>3840</v>
      </c>
      <c r="B2289" s="3" t="s">
        <v>3841</v>
      </c>
      <c r="C2289" t="s">
        <v>7375</v>
      </c>
      <c r="D2289" s="3" t="s">
        <v>7312</v>
      </c>
      <c r="E2289" t="s">
        <v>3855</v>
      </c>
      <c r="F2289" s="3" t="s">
        <v>3856</v>
      </c>
      <c r="G2289" t="s">
        <v>24</v>
      </c>
      <c r="H2289" s="3" t="s">
        <v>3852</v>
      </c>
      <c r="I2289" t="s">
        <v>43</v>
      </c>
      <c r="J2289" s="3" t="s">
        <v>3853</v>
      </c>
      <c r="K2289" s="4">
        <v>558</v>
      </c>
      <c r="L2289" s="5">
        <v>25.37</v>
      </c>
      <c r="M2289" s="6">
        <v>0</v>
      </c>
      <c r="N2289" s="7">
        <v>0</v>
      </c>
      <c r="O2289" t="s">
        <v>3854</v>
      </c>
      <c r="P2289" s="3" t="s">
        <v>138</v>
      </c>
      <c r="Q2289" s="8">
        <v>0.161967</v>
      </c>
    </row>
    <row r="2290" spans="1:17" hidden="1" x14ac:dyDescent="0.55000000000000004">
      <c r="A2290" s="3" t="s">
        <v>3840</v>
      </c>
      <c r="B2290" s="3" t="s">
        <v>3857</v>
      </c>
      <c r="C2290" t="s">
        <v>3858</v>
      </c>
      <c r="D2290" s="3" t="s">
        <v>7312</v>
      </c>
      <c r="E2290" t="s">
        <v>3859</v>
      </c>
      <c r="F2290" s="3" t="s">
        <v>3860</v>
      </c>
      <c r="G2290" t="s">
        <v>19</v>
      </c>
      <c r="H2290" s="3" t="s">
        <v>3861</v>
      </c>
      <c r="I2290" t="s">
        <v>3862</v>
      </c>
      <c r="J2290" s="3" t="s">
        <v>3863</v>
      </c>
      <c r="K2290" s="4">
        <v>160</v>
      </c>
      <c r="L2290" s="5">
        <v>34.67</v>
      </c>
      <c r="M2290" s="6">
        <v>1</v>
      </c>
      <c r="N2290" s="7">
        <v>1</v>
      </c>
      <c r="O2290" t="s">
        <v>3864</v>
      </c>
      <c r="P2290" s="3" t="s">
        <v>3865</v>
      </c>
      <c r="Q2290" s="8">
        <v>3.4076000000000002E-2</v>
      </c>
    </row>
    <row r="2291" spans="1:17" hidden="1" x14ac:dyDescent="0.55000000000000004">
      <c r="A2291" s="3" t="s">
        <v>3840</v>
      </c>
      <c r="B2291" s="3" t="s">
        <v>3857</v>
      </c>
      <c r="C2291" t="s">
        <v>3858</v>
      </c>
      <c r="D2291" s="3" t="s">
        <v>7312</v>
      </c>
      <c r="E2291" t="s">
        <v>3859</v>
      </c>
      <c r="F2291" s="3" t="s">
        <v>3860</v>
      </c>
      <c r="G2291" t="s">
        <v>24</v>
      </c>
      <c r="H2291" s="3" t="s">
        <v>3866</v>
      </c>
      <c r="I2291" t="s">
        <v>43</v>
      </c>
      <c r="J2291" s="3" t="s">
        <v>3867</v>
      </c>
      <c r="K2291" s="4">
        <v>583</v>
      </c>
      <c r="L2291" s="5">
        <v>26.49</v>
      </c>
      <c r="M2291" s="6">
        <v>1</v>
      </c>
      <c r="N2291" s="7">
        <v>1</v>
      </c>
      <c r="O2291" t="s">
        <v>3868</v>
      </c>
      <c r="P2291" s="3" t="s">
        <v>46</v>
      </c>
      <c r="Q2291" s="8">
        <v>0.14363300000000001</v>
      </c>
    </row>
    <row r="2292" spans="1:17" hidden="1" x14ac:dyDescent="0.55000000000000004">
      <c r="A2292" s="3" t="s">
        <v>3840</v>
      </c>
      <c r="B2292" s="3" t="s">
        <v>3857</v>
      </c>
      <c r="C2292" t="s">
        <v>3858</v>
      </c>
      <c r="D2292" s="3" t="s">
        <v>7312</v>
      </c>
      <c r="E2292" t="s">
        <v>3859</v>
      </c>
      <c r="F2292" s="3" t="s">
        <v>3860</v>
      </c>
      <c r="G2292" t="s">
        <v>24</v>
      </c>
      <c r="H2292" s="3" t="s">
        <v>3869</v>
      </c>
      <c r="I2292" t="s">
        <v>48</v>
      </c>
      <c r="J2292" s="3" t="s">
        <v>3867</v>
      </c>
      <c r="K2292" s="4">
        <v>457</v>
      </c>
      <c r="L2292" s="5">
        <v>20.77</v>
      </c>
      <c r="M2292" s="6">
        <v>0</v>
      </c>
      <c r="N2292" s="7">
        <v>1</v>
      </c>
      <c r="O2292" t="s">
        <v>3870</v>
      </c>
      <c r="P2292" s="3" t="s">
        <v>23</v>
      </c>
      <c r="Q2292" s="8" t="s">
        <v>23</v>
      </c>
    </row>
    <row r="2293" spans="1:17" hidden="1" x14ac:dyDescent="0.55000000000000004">
      <c r="A2293" s="3" t="s">
        <v>3840</v>
      </c>
      <c r="B2293" s="3" t="s">
        <v>3871</v>
      </c>
      <c r="C2293" t="s">
        <v>3858</v>
      </c>
      <c r="D2293" s="3" t="s">
        <v>7312</v>
      </c>
      <c r="E2293" t="s">
        <v>3872</v>
      </c>
      <c r="F2293" s="3" t="s">
        <v>3873</v>
      </c>
      <c r="G2293" t="s">
        <v>19</v>
      </c>
      <c r="H2293" s="3" t="s">
        <v>3874</v>
      </c>
      <c r="I2293" t="s">
        <v>3862</v>
      </c>
      <c r="J2293" s="3" t="s">
        <v>3875</v>
      </c>
      <c r="K2293" s="4">
        <v>144</v>
      </c>
      <c r="L2293" s="5">
        <v>31.35</v>
      </c>
      <c r="M2293" s="6">
        <v>1</v>
      </c>
      <c r="N2293" s="7">
        <v>1</v>
      </c>
      <c r="O2293" t="s">
        <v>3876</v>
      </c>
      <c r="P2293" s="3" t="s">
        <v>3865</v>
      </c>
      <c r="Q2293" s="8">
        <v>3.2967000000000003E-2</v>
      </c>
    </row>
    <row r="2294" spans="1:17" hidden="1" x14ac:dyDescent="0.55000000000000004">
      <c r="A2294" s="3" t="s">
        <v>3840</v>
      </c>
      <c r="B2294" s="3" t="s">
        <v>3871</v>
      </c>
      <c r="C2294" t="s">
        <v>3858</v>
      </c>
      <c r="D2294" s="3" t="s">
        <v>7312</v>
      </c>
      <c r="E2294" t="s">
        <v>3872</v>
      </c>
      <c r="F2294" s="3" t="s">
        <v>3873</v>
      </c>
      <c r="G2294" t="s">
        <v>24</v>
      </c>
      <c r="H2294" s="3" t="s">
        <v>3877</v>
      </c>
      <c r="I2294" t="s">
        <v>43</v>
      </c>
      <c r="J2294" s="3" t="s">
        <v>3878</v>
      </c>
      <c r="K2294" s="4">
        <v>564</v>
      </c>
      <c r="L2294" s="5">
        <v>25.63</v>
      </c>
      <c r="M2294" s="6">
        <v>1</v>
      </c>
      <c r="N2294" s="7">
        <v>1</v>
      </c>
      <c r="O2294" t="s">
        <v>3879</v>
      </c>
      <c r="P2294" s="3" t="s">
        <v>46</v>
      </c>
      <c r="Q2294" s="8">
        <v>0.14363300000000001</v>
      </c>
    </row>
    <row r="2295" spans="1:17" hidden="1" x14ac:dyDescent="0.55000000000000004">
      <c r="A2295" s="3" t="s">
        <v>3840</v>
      </c>
      <c r="B2295" s="3" t="s">
        <v>3871</v>
      </c>
      <c r="C2295" t="s">
        <v>3858</v>
      </c>
      <c r="D2295" s="3" t="s">
        <v>7312</v>
      </c>
      <c r="E2295" t="s">
        <v>3872</v>
      </c>
      <c r="F2295" s="3" t="s">
        <v>3873</v>
      </c>
      <c r="G2295" t="s">
        <v>24</v>
      </c>
      <c r="H2295" s="3" t="s">
        <v>3880</v>
      </c>
      <c r="I2295" t="s">
        <v>48</v>
      </c>
      <c r="J2295" s="3" t="s">
        <v>3878</v>
      </c>
      <c r="K2295" s="4">
        <v>438</v>
      </c>
      <c r="L2295" s="5">
        <v>19.899999999999999</v>
      </c>
      <c r="M2295" s="6">
        <v>0</v>
      </c>
      <c r="N2295" s="7">
        <v>1</v>
      </c>
      <c r="O2295" t="s">
        <v>3881</v>
      </c>
      <c r="P2295" s="3" t="s">
        <v>23</v>
      </c>
      <c r="Q2295" s="8" t="s">
        <v>23</v>
      </c>
    </row>
    <row r="2296" spans="1:17" hidden="1" x14ac:dyDescent="0.55000000000000004">
      <c r="A2296" s="3" t="s">
        <v>3840</v>
      </c>
      <c r="B2296" s="3" t="s">
        <v>3882</v>
      </c>
      <c r="C2296" t="s">
        <v>7375</v>
      </c>
      <c r="D2296" s="3" t="s">
        <v>7312</v>
      </c>
      <c r="E2296" t="s">
        <v>3883</v>
      </c>
      <c r="F2296" s="3" t="s">
        <v>3884</v>
      </c>
      <c r="G2296" t="s">
        <v>24</v>
      </c>
      <c r="H2296" s="3" t="s">
        <v>3885</v>
      </c>
      <c r="I2296" t="s">
        <v>43</v>
      </c>
      <c r="J2296" s="3" t="s">
        <v>3886</v>
      </c>
      <c r="K2296" s="4">
        <v>564</v>
      </c>
      <c r="L2296" s="5">
        <v>25.62</v>
      </c>
      <c r="M2296" s="6">
        <v>1</v>
      </c>
      <c r="N2296" s="7">
        <v>0</v>
      </c>
      <c r="O2296" t="s">
        <v>3887</v>
      </c>
      <c r="P2296" s="3" t="s">
        <v>138</v>
      </c>
      <c r="Q2296" s="8">
        <v>0.15390000000000001</v>
      </c>
    </row>
    <row r="2297" spans="1:17" hidden="1" x14ac:dyDescent="0.55000000000000004">
      <c r="A2297" s="3" t="s">
        <v>3840</v>
      </c>
      <c r="B2297" s="3" t="s">
        <v>3841</v>
      </c>
      <c r="C2297" t="s">
        <v>7375</v>
      </c>
      <c r="D2297" s="3" t="s">
        <v>7312</v>
      </c>
      <c r="E2297" t="s">
        <v>3888</v>
      </c>
      <c r="F2297" s="3" t="s">
        <v>3889</v>
      </c>
      <c r="G2297" t="s">
        <v>24</v>
      </c>
      <c r="H2297" s="3" t="s">
        <v>3885</v>
      </c>
      <c r="I2297" t="s">
        <v>43</v>
      </c>
      <c r="J2297" s="3" t="s">
        <v>3886</v>
      </c>
      <c r="K2297" s="4">
        <v>564</v>
      </c>
      <c r="L2297" s="5">
        <v>25.62</v>
      </c>
      <c r="M2297" s="6">
        <v>1</v>
      </c>
      <c r="N2297" s="7">
        <v>0</v>
      </c>
      <c r="O2297" t="s">
        <v>3887</v>
      </c>
      <c r="P2297" s="3" t="s">
        <v>138</v>
      </c>
      <c r="Q2297" s="8">
        <v>0.15390000000000001</v>
      </c>
    </row>
    <row r="2298" spans="1:17" hidden="1" x14ac:dyDescent="0.55000000000000004">
      <c r="A2298" s="3" t="s">
        <v>3840</v>
      </c>
      <c r="B2298" s="3" t="s">
        <v>3890</v>
      </c>
      <c r="C2298" t="s">
        <v>3890</v>
      </c>
      <c r="D2298" s="3" t="s">
        <v>7312</v>
      </c>
      <c r="E2298" t="s">
        <v>3891</v>
      </c>
      <c r="F2298" s="3" t="s">
        <v>3892</v>
      </c>
      <c r="G2298" t="s">
        <v>24</v>
      </c>
      <c r="H2298" s="3" t="s">
        <v>3893</v>
      </c>
      <c r="I2298" t="s">
        <v>37</v>
      </c>
      <c r="J2298" s="3" t="s">
        <v>3894</v>
      </c>
      <c r="K2298" s="4">
        <v>362</v>
      </c>
      <c r="L2298" s="5">
        <v>16.47</v>
      </c>
      <c r="M2298" s="6">
        <v>0</v>
      </c>
      <c r="N2298" s="7">
        <v>0</v>
      </c>
      <c r="O2298" t="s">
        <v>3895</v>
      </c>
      <c r="P2298" s="3" t="s">
        <v>40</v>
      </c>
      <c r="Q2298" s="8">
        <v>0.18165899999999999</v>
      </c>
    </row>
    <row r="2299" spans="1:17" hidden="1" x14ac:dyDescent="0.55000000000000004">
      <c r="A2299" s="3" t="s">
        <v>3840</v>
      </c>
      <c r="B2299" s="3" t="s">
        <v>3890</v>
      </c>
      <c r="C2299" t="s">
        <v>3890</v>
      </c>
      <c r="D2299" s="3" t="s">
        <v>7312</v>
      </c>
      <c r="E2299" t="s">
        <v>3891</v>
      </c>
      <c r="F2299" s="3" t="s">
        <v>3892</v>
      </c>
      <c r="G2299" t="s">
        <v>24</v>
      </c>
      <c r="H2299" s="3" t="s">
        <v>2156</v>
      </c>
      <c r="I2299" t="s">
        <v>162</v>
      </c>
      <c r="J2299" s="3" t="s">
        <v>2157</v>
      </c>
      <c r="K2299" s="4">
        <v>291</v>
      </c>
      <c r="L2299" s="5">
        <v>13.23</v>
      </c>
      <c r="M2299" s="6">
        <v>0</v>
      </c>
      <c r="N2299" s="7">
        <v>0</v>
      </c>
      <c r="O2299" t="s">
        <v>2158</v>
      </c>
      <c r="P2299" s="3" t="s">
        <v>46</v>
      </c>
      <c r="Q2299" s="8">
        <v>0.15646699999999999</v>
      </c>
    </row>
    <row r="2300" spans="1:17" hidden="1" x14ac:dyDescent="0.55000000000000004">
      <c r="A2300" s="3" t="s">
        <v>3840</v>
      </c>
      <c r="B2300" s="3" t="s">
        <v>3890</v>
      </c>
      <c r="C2300" t="s">
        <v>3890</v>
      </c>
      <c r="D2300" s="3" t="s">
        <v>7312</v>
      </c>
      <c r="E2300" t="s">
        <v>3896</v>
      </c>
      <c r="F2300" s="3" t="s">
        <v>3897</v>
      </c>
      <c r="G2300" t="s">
        <v>19</v>
      </c>
      <c r="H2300" s="3" t="s">
        <v>3898</v>
      </c>
      <c r="I2300" t="s">
        <v>3899</v>
      </c>
      <c r="J2300" s="3" t="s">
        <v>3900</v>
      </c>
      <c r="K2300" s="4">
        <v>48</v>
      </c>
      <c r="L2300" s="5">
        <v>10.48</v>
      </c>
      <c r="M2300" s="6">
        <v>0</v>
      </c>
      <c r="N2300" s="7">
        <v>1</v>
      </c>
      <c r="O2300" t="s">
        <v>23</v>
      </c>
      <c r="P2300" s="3" t="s">
        <v>23</v>
      </c>
      <c r="Q2300" s="8" t="s">
        <v>23</v>
      </c>
    </row>
    <row r="2301" spans="1:17" hidden="1" x14ac:dyDescent="0.55000000000000004">
      <c r="A2301" s="3" t="s">
        <v>3840</v>
      </c>
      <c r="B2301" s="3" t="s">
        <v>3890</v>
      </c>
      <c r="C2301" t="s">
        <v>3890</v>
      </c>
      <c r="D2301" s="3" t="s">
        <v>7312</v>
      </c>
      <c r="E2301" t="s">
        <v>3896</v>
      </c>
      <c r="F2301" s="3" t="s">
        <v>3897</v>
      </c>
      <c r="G2301" t="s">
        <v>19</v>
      </c>
      <c r="H2301" s="3" t="s">
        <v>3901</v>
      </c>
      <c r="I2301" t="s">
        <v>3902</v>
      </c>
      <c r="J2301" s="3" t="s">
        <v>3900</v>
      </c>
      <c r="K2301" s="4">
        <v>115</v>
      </c>
      <c r="L2301" s="5">
        <v>25.07</v>
      </c>
      <c r="M2301" s="6">
        <v>1</v>
      </c>
      <c r="N2301" s="7">
        <v>1</v>
      </c>
      <c r="O2301" t="s">
        <v>3903</v>
      </c>
      <c r="P2301" s="3" t="s">
        <v>3904</v>
      </c>
      <c r="Q2301" s="8">
        <v>6.7390000000000005E-2</v>
      </c>
    </row>
    <row r="2302" spans="1:17" hidden="1" x14ac:dyDescent="0.55000000000000004">
      <c r="A2302" s="3" t="s">
        <v>3840</v>
      </c>
      <c r="B2302" s="3" t="s">
        <v>3890</v>
      </c>
      <c r="C2302" t="s">
        <v>3890</v>
      </c>
      <c r="D2302" s="3" t="s">
        <v>7312</v>
      </c>
      <c r="E2302" t="s">
        <v>3896</v>
      </c>
      <c r="F2302" s="3" t="s">
        <v>3897</v>
      </c>
      <c r="G2302" t="s">
        <v>19</v>
      </c>
      <c r="H2302" s="3" t="s">
        <v>3901</v>
      </c>
      <c r="I2302" t="s">
        <v>3902</v>
      </c>
      <c r="J2302" s="3" t="s">
        <v>3900</v>
      </c>
      <c r="K2302" s="4">
        <v>115</v>
      </c>
      <c r="L2302" s="5">
        <v>25.07</v>
      </c>
      <c r="M2302" s="6">
        <v>1</v>
      </c>
      <c r="N2302" s="7">
        <v>1</v>
      </c>
      <c r="O2302" t="s">
        <v>3905</v>
      </c>
      <c r="P2302" s="3" t="s">
        <v>3906</v>
      </c>
      <c r="Q2302" s="8">
        <v>2.3644999999999999E-2</v>
      </c>
    </row>
    <row r="2303" spans="1:17" hidden="1" x14ac:dyDescent="0.55000000000000004">
      <c r="A2303" s="3" t="s">
        <v>3840</v>
      </c>
      <c r="B2303" s="3" t="s">
        <v>3890</v>
      </c>
      <c r="C2303" t="s">
        <v>3890</v>
      </c>
      <c r="D2303" s="3" t="s">
        <v>7312</v>
      </c>
      <c r="E2303" t="s">
        <v>3896</v>
      </c>
      <c r="F2303" s="3" t="s">
        <v>3897</v>
      </c>
      <c r="G2303" t="s">
        <v>24</v>
      </c>
      <c r="H2303" s="3" t="s">
        <v>3893</v>
      </c>
      <c r="I2303" t="s">
        <v>37</v>
      </c>
      <c r="J2303" s="3" t="s">
        <v>3894</v>
      </c>
      <c r="K2303" s="4">
        <v>362</v>
      </c>
      <c r="L2303" s="5">
        <v>16.47</v>
      </c>
      <c r="M2303" s="6">
        <v>0</v>
      </c>
      <c r="N2303" s="7">
        <v>1</v>
      </c>
      <c r="O2303" t="s">
        <v>3895</v>
      </c>
      <c r="P2303" s="3" t="s">
        <v>40</v>
      </c>
      <c r="Q2303" s="8">
        <v>0.18165899999999999</v>
      </c>
    </row>
    <row r="2304" spans="1:17" hidden="1" x14ac:dyDescent="0.55000000000000004">
      <c r="A2304" s="3" t="s">
        <v>3840</v>
      </c>
      <c r="B2304" s="3" t="s">
        <v>3890</v>
      </c>
      <c r="C2304" t="s">
        <v>3890</v>
      </c>
      <c r="D2304" s="3" t="s">
        <v>7312</v>
      </c>
      <c r="E2304" t="s">
        <v>3896</v>
      </c>
      <c r="F2304" s="3" t="s">
        <v>3897</v>
      </c>
      <c r="G2304" t="s">
        <v>24</v>
      </c>
      <c r="H2304" s="3" t="s">
        <v>2156</v>
      </c>
      <c r="I2304" t="s">
        <v>162</v>
      </c>
      <c r="J2304" s="3" t="s">
        <v>2157</v>
      </c>
      <c r="K2304" s="4">
        <v>291</v>
      </c>
      <c r="L2304" s="5">
        <v>13.23</v>
      </c>
      <c r="M2304" s="6">
        <v>0</v>
      </c>
      <c r="N2304" s="7">
        <v>1</v>
      </c>
      <c r="O2304" t="s">
        <v>2158</v>
      </c>
      <c r="P2304" s="3" t="s">
        <v>46</v>
      </c>
      <c r="Q2304" s="8">
        <v>0.15646699999999999</v>
      </c>
    </row>
    <row r="2305" spans="1:17" hidden="1" x14ac:dyDescent="0.55000000000000004">
      <c r="A2305" s="3" t="s">
        <v>3840</v>
      </c>
      <c r="B2305" s="3" t="s">
        <v>3890</v>
      </c>
      <c r="C2305" t="s">
        <v>3890</v>
      </c>
      <c r="D2305" s="3" t="s">
        <v>7312</v>
      </c>
      <c r="E2305" t="s">
        <v>3907</v>
      </c>
      <c r="F2305" s="3" t="s">
        <v>3908</v>
      </c>
      <c r="G2305" t="s">
        <v>24</v>
      </c>
      <c r="H2305" s="3" t="s">
        <v>3893</v>
      </c>
      <c r="I2305" t="s">
        <v>37</v>
      </c>
      <c r="J2305" s="3" t="s">
        <v>3894</v>
      </c>
      <c r="K2305" s="4">
        <v>362</v>
      </c>
      <c r="L2305" s="5">
        <v>16.47</v>
      </c>
      <c r="M2305" s="6">
        <v>0</v>
      </c>
      <c r="N2305" s="7">
        <v>0</v>
      </c>
      <c r="O2305" t="s">
        <v>3895</v>
      </c>
      <c r="P2305" s="3" t="s">
        <v>40</v>
      </c>
      <c r="Q2305" s="8">
        <v>0.18165899999999999</v>
      </c>
    </row>
    <row r="2306" spans="1:17" hidden="1" x14ac:dyDescent="0.55000000000000004">
      <c r="A2306" s="3" t="s">
        <v>3840</v>
      </c>
      <c r="B2306" s="3" t="s">
        <v>3890</v>
      </c>
      <c r="C2306" t="s">
        <v>3890</v>
      </c>
      <c r="D2306" s="3" t="s">
        <v>7312</v>
      </c>
      <c r="E2306" t="s">
        <v>3907</v>
      </c>
      <c r="F2306" s="3" t="s">
        <v>3908</v>
      </c>
      <c r="G2306" t="s">
        <v>24</v>
      </c>
      <c r="H2306" s="3" t="s">
        <v>2156</v>
      </c>
      <c r="I2306" t="s">
        <v>162</v>
      </c>
      <c r="J2306" s="3" t="s">
        <v>2157</v>
      </c>
      <c r="K2306" s="4">
        <v>291</v>
      </c>
      <c r="L2306" s="5">
        <v>13.23</v>
      </c>
      <c r="M2306" s="6">
        <v>0</v>
      </c>
      <c r="N2306" s="7">
        <v>0</v>
      </c>
      <c r="O2306" t="s">
        <v>2158</v>
      </c>
      <c r="P2306" s="3" t="s">
        <v>46</v>
      </c>
      <c r="Q2306" s="8">
        <v>0.15646699999999999</v>
      </c>
    </row>
    <row r="2307" spans="1:17" hidden="1" x14ac:dyDescent="0.55000000000000004">
      <c r="A2307" s="3" t="s">
        <v>3840</v>
      </c>
      <c r="B2307" s="3" t="s">
        <v>3858</v>
      </c>
      <c r="C2307" t="s">
        <v>3858</v>
      </c>
      <c r="D2307" s="3" t="s">
        <v>7312</v>
      </c>
      <c r="E2307" t="s">
        <v>3909</v>
      </c>
      <c r="F2307" s="3" t="s">
        <v>3910</v>
      </c>
      <c r="G2307" t="s">
        <v>19</v>
      </c>
      <c r="H2307" s="3" t="s">
        <v>3911</v>
      </c>
      <c r="I2307" t="s">
        <v>3862</v>
      </c>
      <c r="J2307" s="3" t="s">
        <v>3912</v>
      </c>
      <c r="K2307" s="4">
        <v>196</v>
      </c>
      <c r="L2307" s="5">
        <v>42.57</v>
      </c>
      <c r="M2307" s="6">
        <v>1</v>
      </c>
      <c r="N2307" s="7">
        <v>1</v>
      </c>
      <c r="O2307" t="s">
        <v>3913</v>
      </c>
      <c r="P2307" s="3" t="s">
        <v>3865</v>
      </c>
      <c r="Q2307" s="8">
        <v>3.3319000000000001E-2</v>
      </c>
    </row>
    <row r="2308" spans="1:17" hidden="1" x14ac:dyDescent="0.55000000000000004">
      <c r="A2308" s="3" t="s">
        <v>3840</v>
      </c>
      <c r="B2308" s="3" t="s">
        <v>3858</v>
      </c>
      <c r="C2308" t="s">
        <v>3858</v>
      </c>
      <c r="D2308" s="3" t="s">
        <v>7312</v>
      </c>
      <c r="E2308" t="s">
        <v>3909</v>
      </c>
      <c r="F2308" s="3" t="s">
        <v>3910</v>
      </c>
      <c r="G2308" t="s">
        <v>24</v>
      </c>
      <c r="H2308" s="3" t="s">
        <v>3914</v>
      </c>
      <c r="I2308" t="s">
        <v>37</v>
      </c>
      <c r="J2308" s="3" t="s">
        <v>3915</v>
      </c>
      <c r="K2308" s="4">
        <v>435</v>
      </c>
      <c r="L2308" s="5">
        <v>19.79</v>
      </c>
      <c r="M2308" s="6">
        <v>1</v>
      </c>
      <c r="N2308" s="7">
        <v>1</v>
      </c>
      <c r="O2308" t="s">
        <v>3916</v>
      </c>
      <c r="P2308" s="3" t="s">
        <v>40</v>
      </c>
      <c r="Q2308" s="8">
        <v>0.18238699999999999</v>
      </c>
    </row>
    <row r="2309" spans="1:17" hidden="1" x14ac:dyDescent="0.55000000000000004">
      <c r="A2309" s="3" t="s">
        <v>3840</v>
      </c>
      <c r="B2309" s="3" t="s">
        <v>3858</v>
      </c>
      <c r="C2309" t="s">
        <v>3858</v>
      </c>
      <c r="D2309" s="3" t="s">
        <v>7312</v>
      </c>
      <c r="E2309" t="s">
        <v>3917</v>
      </c>
      <c r="F2309" s="3" t="s">
        <v>3918</v>
      </c>
      <c r="G2309" t="s">
        <v>24</v>
      </c>
      <c r="H2309" s="3" t="s">
        <v>3914</v>
      </c>
      <c r="I2309" t="s">
        <v>37</v>
      </c>
      <c r="J2309" s="3" t="s">
        <v>3915</v>
      </c>
      <c r="K2309" s="4">
        <v>435</v>
      </c>
      <c r="L2309" s="5">
        <v>19.79</v>
      </c>
      <c r="M2309" s="6">
        <v>1</v>
      </c>
      <c r="N2309" s="7">
        <v>0</v>
      </c>
      <c r="O2309" t="s">
        <v>3916</v>
      </c>
      <c r="P2309" s="3" t="s">
        <v>40</v>
      </c>
      <c r="Q2309" s="8">
        <v>0.18238699999999999</v>
      </c>
    </row>
    <row r="2310" spans="1:17" hidden="1" x14ac:dyDescent="0.55000000000000004">
      <c r="A2310" s="3" t="s">
        <v>3840</v>
      </c>
      <c r="B2310" s="3" t="s">
        <v>3858</v>
      </c>
      <c r="C2310" t="s">
        <v>3858</v>
      </c>
      <c r="D2310" s="3" t="s">
        <v>7312</v>
      </c>
      <c r="E2310" t="s">
        <v>3919</v>
      </c>
      <c r="F2310" s="3" t="s">
        <v>3920</v>
      </c>
      <c r="G2310" t="s">
        <v>24</v>
      </c>
      <c r="H2310" s="3" t="s">
        <v>3914</v>
      </c>
      <c r="I2310" t="s">
        <v>37</v>
      </c>
      <c r="J2310" s="3" t="s">
        <v>3915</v>
      </c>
      <c r="K2310" s="4">
        <v>435</v>
      </c>
      <c r="L2310" s="5">
        <v>19.79</v>
      </c>
      <c r="M2310" s="6">
        <v>1</v>
      </c>
      <c r="N2310" s="7">
        <v>0</v>
      </c>
      <c r="O2310" t="s">
        <v>3916</v>
      </c>
      <c r="P2310" s="3" t="s">
        <v>40</v>
      </c>
      <c r="Q2310" s="8">
        <v>0.18238699999999999</v>
      </c>
    </row>
    <row r="2311" spans="1:17" hidden="1" x14ac:dyDescent="0.55000000000000004">
      <c r="A2311" s="3" t="s">
        <v>3840</v>
      </c>
      <c r="B2311" s="3" t="s">
        <v>3921</v>
      </c>
      <c r="C2311" t="s">
        <v>3921</v>
      </c>
      <c r="D2311" s="3" t="s">
        <v>7312</v>
      </c>
      <c r="E2311" t="s">
        <v>3922</v>
      </c>
      <c r="F2311" s="3" t="s">
        <v>3923</v>
      </c>
      <c r="G2311" t="s">
        <v>19</v>
      </c>
      <c r="H2311" s="3" t="s">
        <v>3924</v>
      </c>
      <c r="I2311" t="s">
        <v>3862</v>
      </c>
      <c r="J2311" s="3" t="s">
        <v>3925</v>
      </c>
      <c r="K2311" s="4">
        <v>159</v>
      </c>
      <c r="L2311" s="5">
        <v>34.590000000000003</v>
      </c>
      <c r="M2311" s="6">
        <v>1</v>
      </c>
      <c r="N2311" s="7">
        <v>0</v>
      </c>
      <c r="O2311" t="s">
        <v>3926</v>
      </c>
      <c r="P2311" s="3" t="s">
        <v>1770</v>
      </c>
      <c r="Q2311" s="8">
        <v>3.6831000000000003E-2</v>
      </c>
    </row>
    <row r="2312" spans="1:17" hidden="1" x14ac:dyDescent="0.55000000000000004">
      <c r="A2312" s="3" t="s">
        <v>3840</v>
      </c>
      <c r="B2312" s="3" t="s">
        <v>3921</v>
      </c>
      <c r="C2312" t="s">
        <v>3921</v>
      </c>
      <c r="D2312" s="3" t="s">
        <v>7312</v>
      </c>
      <c r="E2312" t="s">
        <v>3922</v>
      </c>
      <c r="F2312" s="3" t="s">
        <v>3923</v>
      </c>
      <c r="G2312" t="s">
        <v>19</v>
      </c>
      <c r="H2312" s="3" t="s">
        <v>3927</v>
      </c>
      <c r="I2312" t="s">
        <v>3928</v>
      </c>
      <c r="J2312" s="3" t="s">
        <v>3929</v>
      </c>
      <c r="K2312" s="4">
        <v>131</v>
      </c>
      <c r="L2312" s="5">
        <v>28.52</v>
      </c>
      <c r="M2312" s="6">
        <v>0</v>
      </c>
      <c r="N2312" s="7">
        <v>0</v>
      </c>
      <c r="O2312" t="s">
        <v>3930</v>
      </c>
      <c r="P2312" s="3" t="s">
        <v>3931</v>
      </c>
      <c r="Q2312" s="8">
        <v>2.4150000000000001E-2</v>
      </c>
    </row>
    <row r="2313" spans="1:17" hidden="1" x14ac:dyDescent="0.55000000000000004">
      <c r="A2313" s="3" t="s">
        <v>3840</v>
      </c>
      <c r="B2313" s="3" t="s">
        <v>3921</v>
      </c>
      <c r="C2313" t="s">
        <v>3921</v>
      </c>
      <c r="D2313" s="3" t="s">
        <v>7312</v>
      </c>
      <c r="E2313" t="s">
        <v>3922</v>
      </c>
      <c r="F2313" s="3" t="s">
        <v>3923</v>
      </c>
      <c r="G2313" t="s">
        <v>19</v>
      </c>
      <c r="H2313" s="3" t="s">
        <v>3927</v>
      </c>
      <c r="I2313" t="s">
        <v>3928</v>
      </c>
      <c r="J2313" s="3" t="s">
        <v>3929</v>
      </c>
      <c r="K2313" s="4">
        <v>131</v>
      </c>
      <c r="L2313" s="5">
        <v>28.52</v>
      </c>
      <c r="M2313" s="6">
        <v>0</v>
      </c>
      <c r="N2313" s="7">
        <v>0</v>
      </c>
      <c r="O2313" t="s">
        <v>3932</v>
      </c>
      <c r="P2313" s="3" t="s">
        <v>3931</v>
      </c>
      <c r="Q2313" s="8">
        <v>4.1999999999999997E-3</v>
      </c>
    </row>
    <row r="2314" spans="1:17" hidden="1" x14ac:dyDescent="0.55000000000000004">
      <c r="A2314" s="3" t="s">
        <v>3840</v>
      </c>
      <c r="B2314" s="3" t="s">
        <v>3921</v>
      </c>
      <c r="C2314" t="s">
        <v>3921</v>
      </c>
      <c r="D2314" s="3" t="s">
        <v>7312</v>
      </c>
      <c r="E2314" t="s">
        <v>3922</v>
      </c>
      <c r="F2314" s="3" t="s">
        <v>3923</v>
      </c>
      <c r="G2314" t="s">
        <v>19</v>
      </c>
      <c r="H2314" s="3" t="s">
        <v>3927</v>
      </c>
      <c r="I2314" t="s">
        <v>3928</v>
      </c>
      <c r="J2314" s="3" t="s">
        <v>3929</v>
      </c>
      <c r="K2314" s="4">
        <v>131</v>
      </c>
      <c r="L2314" s="5">
        <v>28.52</v>
      </c>
      <c r="M2314" s="6">
        <v>0</v>
      </c>
      <c r="N2314" s="7">
        <v>0</v>
      </c>
      <c r="O2314" t="s">
        <v>3933</v>
      </c>
      <c r="P2314" s="3" t="s">
        <v>3931</v>
      </c>
      <c r="Q2314" s="8">
        <v>4.2519000000000001E-2</v>
      </c>
    </row>
    <row r="2315" spans="1:17" hidden="1" x14ac:dyDescent="0.55000000000000004">
      <c r="A2315" s="3" t="s">
        <v>3840</v>
      </c>
      <c r="B2315" s="3" t="s">
        <v>3921</v>
      </c>
      <c r="C2315" t="s">
        <v>3921</v>
      </c>
      <c r="D2315" s="3" t="s">
        <v>7312</v>
      </c>
      <c r="E2315" t="s">
        <v>3922</v>
      </c>
      <c r="F2315" s="3" t="s">
        <v>3923</v>
      </c>
      <c r="G2315" t="s">
        <v>24</v>
      </c>
      <c r="H2315" s="3" t="s">
        <v>3934</v>
      </c>
      <c r="I2315" t="s">
        <v>43</v>
      </c>
      <c r="J2315" s="3" t="s">
        <v>3935</v>
      </c>
      <c r="K2315" s="4">
        <v>450</v>
      </c>
      <c r="L2315" s="5">
        <v>20.45</v>
      </c>
      <c r="M2315" s="6">
        <v>0</v>
      </c>
      <c r="N2315" s="7">
        <v>0</v>
      </c>
      <c r="O2315" t="s">
        <v>3936</v>
      </c>
      <c r="P2315" s="3" t="s">
        <v>46</v>
      </c>
      <c r="Q2315" s="8">
        <v>0.1328</v>
      </c>
    </row>
    <row r="2316" spans="1:17" hidden="1" x14ac:dyDescent="0.55000000000000004">
      <c r="A2316" s="3" t="s">
        <v>3840</v>
      </c>
      <c r="B2316" s="3" t="s">
        <v>3921</v>
      </c>
      <c r="C2316" t="s">
        <v>3921</v>
      </c>
      <c r="D2316" s="3" t="s">
        <v>7312</v>
      </c>
      <c r="E2316" t="s">
        <v>3922</v>
      </c>
      <c r="F2316" s="3" t="s">
        <v>3923</v>
      </c>
      <c r="G2316" t="s">
        <v>24</v>
      </c>
      <c r="H2316" s="3" t="s">
        <v>3937</v>
      </c>
      <c r="I2316" t="s">
        <v>48</v>
      </c>
      <c r="J2316" s="3" t="s">
        <v>3935</v>
      </c>
      <c r="K2316" s="4">
        <v>377</v>
      </c>
      <c r="L2316" s="5">
        <v>17.13</v>
      </c>
      <c r="M2316" s="6">
        <v>0</v>
      </c>
      <c r="N2316" s="7">
        <v>0</v>
      </c>
      <c r="O2316" t="s">
        <v>3938</v>
      </c>
      <c r="P2316" s="3" t="s">
        <v>23</v>
      </c>
      <c r="Q2316" s="8" t="s">
        <v>23</v>
      </c>
    </row>
    <row r="2317" spans="1:17" hidden="1" x14ac:dyDescent="0.55000000000000004">
      <c r="A2317" s="3" t="s">
        <v>3840</v>
      </c>
      <c r="B2317" s="3" t="s">
        <v>3921</v>
      </c>
      <c r="C2317" t="s">
        <v>3921</v>
      </c>
      <c r="D2317" s="3" t="s">
        <v>7312</v>
      </c>
      <c r="E2317" t="s">
        <v>3939</v>
      </c>
      <c r="F2317" s="3" t="s">
        <v>3940</v>
      </c>
      <c r="G2317" t="s">
        <v>19</v>
      </c>
      <c r="H2317" s="3" t="s">
        <v>3941</v>
      </c>
      <c r="I2317" t="s">
        <v>3862</v>
      </c>
      <c r="J2317" s="3" t="s">
        <v>3942</v>
      </c>
      <c r="K2317" s="4">
        <v>160</v>
      </c>
      <c r="L2317" s="5">
        <v>34.67</v>
      </c>
      <c r="M2317" s="6">
        <v>1</v>
      </c>
      <c r="N2317" s="7">
        <v>1</v>
      </c>
      <c r="O2317" t="s">
        <v>3943</v>
      </c>
      <c r="P2317" s="3" t="s">
        <v>1770</v>
      </c>
      <c r="Q2317" s="8">
        <v>3.6831000000000003E-2</v>
      </c>
    </row>
    <row r="2318" spans="1:17" hidden="1" x14ac:dyDescent="0.55000000000000004">
      <c r="A2318" s="3" t="s">
        <v>3840</v>
      </c>
      <c r="B2318" s="3" t="s">
        <v>3921</v>
      </c>
      <c r="C2318" t="s">
        <v>3921</v>
      </c>
      <c r="D2318" s="3" t="s">
        <v>7312</v>
      </c>
      <c r="E2318" t="s">
        <v>3939</v>
      </c>
      <c r="F2318" s="3" t="s">
        <v>3940</v>
      </c>
      <c r="G2318" t="s">
        <v>24</v>
      </c>
      <c r="H2318" s="3" t="s">
        <v>3934</v>
      </c>
      <c r="I2318" t="s">
        <v>43</v>
      </c>
      <c r="J2318" s="3" t="s">
        <v>3935</v>
      </c>
      <c r="K2318" s="4">
        <v>450</v>
      </c>
      <c r="L2318" s="5">
        <v>20.45</v>
      </c>
      <c r="M2318" s="6">
        <v>0</v>
      </c>
      <c r="N2318" s="7">
        <v>1</v>
      </c>
      <c r="O2318" t="s">
        <v>3936</v>
      </c>
      <c r="P2318" s="3" t="s">
        <v>46</v>
      </c>
      <c r="Q2318" s="8">
        <v>0.1328</v>
      </c>
    </row>
    <row r="2319" spans="1:17" hidden="1" x14ac:dyDescent="0.55000000000000004">
      <c r="A2319" s="3" t="s">
        <v>3840</v>
      </c>
      <c r="B2319" s="3" t="s">
        <v>3921</v>
      </c>
      <c r="C2319" t="s">
        <v>3921</v>
      </c>
      <c r="D2319" s="3" t="s">
        <v>7312</v>
      </c>
      <c r="E2319" t="s">
        <v>3939</v>
      </c>
      <c r="F2319" s="3" t="s">
        <v>3940</v>
      </c>
      <c r="G2319" t="s">
        <v>24</v>
      </c>
      <c r="H2319" s="3" t="s">
        <v>3937</v>
      </c>
      <c r="I2319" t="s">
        <v>48</v>
      </c>
      <c r="J2319" s="3" t="s">
        <v>3935</v>
      </c>
      <c r="K2319" s="4">
        <v>377</v>
      </c>
      <c r="L2319" s="5">
        <v>17.13</v>
      </c>
      <c r="M2319" s="6">
        <v>0</v>
      </c>
      <c r="N2319" s="7">
        <v>1</v>
      </c>
      <c r="O2319" t="s">
        <v>3938</v>
      </c>
      <c r="P2319" s="3" t="s">
        <v>23</v>
      </c>
      <c r="Q2319" s="8" t="s">
        <v>23</v>
      </c>
    </row>
    <row r="2320" spans="1:17" hidden="1" x14ac:dyDescent="0.55000000000000004">
      <c r="A2320" s="3" t="s">
        <v>3840</v>
      </c>
      <c r="B2320" s="3" t="s">
        <v>3921</v>
      </c>
      <c r="C2320" t="s">
        <v>3921</v>
      </c>
      <c r="D2320" s="3" t="s">
        <v>7312</v>
      </c>
      <c r="E2320" t="s">
        <v>3944</v>
      </c>
      <c r="F2320" s="3" t="s">
        <v>3945</v>
      </c>
      <c r="G2320" t="s">
        <v>19</v>
      </c>
      <c r="H2320" s="3" t="s">
        <v>3924</v>
      </c>
      <c r="I2320" t="s">
        <v>3862</v>
      </c>
      <c r="J2320" s="3" t="s">
        <v>3925</v>
      </c>
      <c r="K2320" s="4">
        <v>159</v>
      </c>
      <c r="L2320" s="5">
        <v>34.590000000000003</v>
      </c>
      <c r="M2320" s="6">
        <v>1</v>
      </c>
      <c r="N2320" s="7">
        <v>0</v>
      </c>
      <c r="O2320" t="s">
        <v>3926</v>
      </c>
      <c r="P2320" s="3" t="s">
        <v>1770</v>
      </c>
      <c r="Q2320" s="8">
        <v>3.6831000000000003E-2</v>
      </c>
    </row>
    <row r="2321" spans="1:17" hidden="1" x14ac:dyDescent="0.55000000000000004">
      <c r="A2321" s="3" t="s">
        <v>3840</v>
      </c>
      <c r="B2321" s="3" t="s">
        <v>3921</v>
      </c>
      <c r="C2321" t="s">
        <v>3921</v>
      </c>
      <c r="D2321" s="3" t="s">
        <v>7312</v>
      </c>
      <c r="E2321" t="s">
        <v>3944</v>
      </c>
      <c r="F2321" s="3" t="s">
        <v>3945</v>
      </c>
      <c r="G2321" t="s">
        <v>19</v>
      </c>
      <c r="H2321" s="3" t="s">
        <v>3946</v>
      </c>
      <c r="I2321" t="s">
        <v>3902</v>
      </c>
      <c r="J2321" s="3" t="s">
        <v>3947</v>
      </c>
      <c r="K2321" s="4">
        <v>78</v>
      </c>
      <c r="L2321" s="5">
        <v>17.02</v>
      </c>
      <c r="M2321" s="6">
        <v>0</v>
      </c>
      <c r="N2321" s="7">
        <v>0</v>
      </c>
      <c r="O2321" t="s">
        <v>3948</v>
      </c>
      <c r="P2321" s="3" t="s">
        <v>3906</v>
      </c>
      <c r="Q2321" s="8">
        <v>2.1648000000000001E-2</v>
      </c>
    </row>
    <row r="2322" spans="1:17" hidden="1" x14ac:dyDescent="0.55000000000000004">
      <c r="A2322" s="3" t="s">
        <v>3840</v>
      </c>
      <c r="B2322" s="3" t="s">
        <v>3921</v>
      </c>
      <c r="C2322" t="s">
        <v>3921</v>
      </c>
      <c r="D2322" s="3" t="s">
        <v>7312</v>
      </c>
      <c r="E2322" t="s">
        <v>3944</v>
      </c>
      <c r="F2322" s="3" t="s">
        <v>3945</v>
      </c>
      <c r="G2322" t="s">
        <v>24</v>
      </c>
      <c r="H2322" s="3" t="s">
        <v>3934</v>
      </c>
      <c r="I2322" t="s">
        <v>43</v>
      </c>
      <c r="J2322" s="3" t="s">
        <v>3935</v>
      </c>
      <c r="K2322" s="4">
        <v>450</v>
      </c>
      <c r="L2322" s="5">
        <v>20.45</v>
      </c>
      <c r="M2322" s="6">
        <v>0</v>
      </c>
      <c r="N2322" s="7">
        <v>0</v>
      </c>
      <c r="O2322" t="s">
        <v>3936</v>
      </c>
      <c r="P2322" s="3" t="s">
        <v>46</v>
      </c>
      <c r="Q2322" s="8">
        <v>0.1328</v>
      </c>
    </row>
    <row r="2323" spans="1:17" hidden="1" x14ac:dyDescent="0.55000000000000004">
      <c r="A2323" s="3" t="s">
        <v>3840</v>
      </c>
      <c r="B2323" s="3" t="s">
        <v>3921</v>
      </c>
      <c r="C2323" t="s">
        <v>3921</v>
      </c>
      <c r="D2323" s="3" t="s">
        <v>7312</v>
      </c>
      <c r="E2323" t="s">
        <v>3944</v>
      </c>
      <c r="F2323" s="3" t="s">
        <v>3945</v>
      </c>
      <c r="G2323" t="s">
        <v>24</v>
      </c>
      <c r="H2323" s="3" t="s">
        <v>3937</v>
      </c>
      <c r="I2323" t="s">
        <v>48</v>
      </c>
      <c r="J2323" s="3" t="s">
        <v>3935</v>
      </c>
      <c r="K2323" s="4">
        <v>377</v>
      </c>
      <c r="L2323" s="5">
        <v>17.13</v>
      </c>
      <c r="M2323" s="6">
        <v>0</v>
      </c>
      <c r="N2323" s="7">
        <v>0</v>
      </c>
      <c r="O2323" t="s">
        <v>3938</v>
      </c>
      <c r="P2323" s="3" t="s">
        <v>23</v>
      </c>
      <c r="Q2323" s="8" t="s">
        <v>23</v>
      </c>
    </row>
    <row r="2324" spans="1:17" hidden="1" x14ac:dyDescent="0.55000000000000004">
      <c r="A2324" s="3" t="s">
        <v>3840</v>
      </c>
      <c r="B2324" s="3" t="s">
        <v>3921</v>
      </c>
      <c r="C2324" t="s">
        <v>3921</v>
      </c>
      <c r="D2324" s="3" t="s">
        <v>7312</v>
      </c>
      <c r="E2324" t="s">
        <v>3949</v>
      </c>
      <c r="F2324" s="3" t="s">
        <v>3950</v>
      </c>
      <c r="G2324" t="s">
        <v>19</v>
      </c>
      <c r="H2324" s="3" t="s">
        <v>3924</v>
      </c>
      <c r="I2324" t="s">
        <v>3862</v>
      </c>
      <c r="J2324" s="3" t="s">
        <v>3925</v>
      </c>
      <c r="K2324" s="4">
        <v>159</v>
      </c>
      <c r="L2324" s="5">
        <v>34.590000000000003</v>
      </c>
      <c r="M2324" s="6">
        <v>1</v>
      </c>
      <c r="N2324" s="7">
        <v>0</v>
      </c>
      <c r="O2324" t="s">
        <v>3926</v>
      </c>
      <c r="P2324" s="3" t="s">
        <v>1770</v>
      </c>
      <c r="Q2324" s="8">
        <v>3.6831000000000003E-2</v>
      </c>
    </row>
    <row r="2325" spans="1:17" hidden="1" x14ac:dyDescent="0.55000000000000004">
      <c r="A2325" s="3" t="s">
        <v>3840</v>
      </c>
      <c r="B2325" s="3" t="s">
        <v>3921</v>
      </c>
      <c r="C2325" t="s">
        <v>3921</v>
      </c>
      <c r="D2325" s="3" t="s">
        <v>7312</v>
      </c>
      <c r="E2325" t="s">
        <v>3949</v>
      </c>
      <c r="F2325" s="3" t="s">
        <v>3950</v>
      </c>
      <c r="G2325" t="s">
        <v>19</v>
      </c>
      <c r="H2325" s="3" t="s">
        <v>3927</v>
      </c>
      <c r="I2325" t="s">
        <v>3928</v>
      </c>
      <c r="J2325" s="3" t="s">
        <v>3929</v>
      </c>
      <c r="K2325" s="4">
        <v>131</v>
      </c>
      <c r="L2325" s="5">
        <v>28.52</v>
      </c>
      <c r="M2325" s="6">
        <v>0</v>
      </c>
      <c r="N2325" s="7">
        <v>0</v>
      </c>
      <c r="O2325" t="s">
        <v>3930</v>
      </c>
      <c r="P2325" s="3" t="s">
        <v>3931</v>
      </c>
      <c r="Q2325" s="8">
        <v>2.4150000000000001E-2</v>
      </c>
    </row>
    <row r="2326" spans="1:17" hidden="1" x14ac:dyDescent="0.55000000000000004">
      <c r="A2326" s="3" t="s">
        <v>3840</v>
      </c>
      <c r="B2326" s="3" t="s">
        <v>3921</v>
      </c>
      <c r="C2326" t="s">
        <v>3921</v>
      </c>
      <c r="D2326" s="3" t="s">
        <v>7312</v>
      </c>
      <c r="E2326" t="s">
        <v>3949</v>
      </c>
      <c r="F2326" s="3" t="s">
        <v>3950</v>
      </c>
      <c r="G2326" t="s">
        <v>19</v>
      </c>
      <c r="H2326" s="3" t="s">
        <v>3927</v>
      </c>
      <c r="I2326" t="s">
        <v>3928</v>
      </c>
      <c r="J2326" s="3" t="s">
        <v>3929</v>
      </c>
      <c r="K2326" s="4">
        <v>131</v>
      </c>
      <c r="L2326" s="5">
        <v>28.52</v>
      </c>
      <c r="M2326" s="6">
        <v>0</v>
      </c>
      <c r="N2326" s="7">
        <v>0</v>
      </c>
      <c r="O2326" t="s">
        <v>3932</v>
      </c>
      <c r="P2326" s="3" t="s">
        <v>3931</v>
      </c>
      <c r="Q2326" s="8">
        <v>4.1999999999999997E-3</v>
      </c>
    </row>
    <row r="2327" spans="1:17" hidden="1" x14ac:dyDescent="0.55000000000000004">
      <c r="A2327" s="3" t="s">
        <v>3840</v>
      </c>
      <c r="B2327" s="3" t="s">
        <v>3921</v>
      </c>
      <c r="C2327" t="s">
        <v>3921</v>
      </c>
      <c r="D2327" s="3" t="s">
        <v>7312</v>
      </c>
      <c r="E2327" t="s">
        <v>3949</v>
      </c>
      <c r="F2327" s="3" t="s">
        <v>3950</v>
      </c>
      <c r="G2327" t="s">
        <v>19</v>
      </c>
      <c r="H2327" s="3" t="s">
        <v>3927</v>
      </c>
      <c r="I2327" t="s">
        <v>3928</v>
      </c>
      <c r="J2327" s="3" t="s">
        <v>3929</v>
      </c>
      <c r="K2327" s="4">
        <v>131</v>
      </c>
      <c r="L2327" s="5">
        <v>28.52</v>
      </c>
      <c r="M2327" s="6">
        <v>0</v>
      </c>
      <c r="N2327" s="7">
        <v>0</v>
      </c>
      <c r="O2327" t="s">
        <v>3933</v>
      </c>
      <c r="P2327" s="3" t="s">
        <v>3931</v>
      </c>
      <c r="Q2327" s="8">
        <v>4.2519000000000001E-2</v>
      </c>
    </row>
    <row r="2328" spans="1:17" hidden="1" x14ac:dyDescent="0.55000000000000004">
      <c r="A2328" s="3" t="s">
        <v>3840</v>
      </c>
      <c r="B2328" s="3" t="s">
        <v>3921</v>
      </c>
      <c r="C2328" t="s">
        <v>3921</v>
      </c>
      <c r="D2328" s="3" t="s">
        <v>7312</v>
      </c>
      <c r="E2328" t="s">
        <v>3949</v>
      </c>
      <c r="F2328" s="3" t="s">
        <v>3950</v>
      </c>
      <c r="G2328" t="s">
        <v>24</v>
      </c>
      <c r="H2328" s="3" t="s">
        <v>3934</v>
      </c>
      <c r="I2328" t="s">
        <v>43</v>
      </c>
      <c r="J2328" s="3" t="s">
        <v>3935</v>
      </c>
      <c r="K2328" s="4">
        <v>450</v>
      </c>
      <c r="L2328" s="5">
        <v>20.45</v>
      </c>
      <c r="M2328" s="6">
        <v>0</v>
      </c>
      <c r="N2328" s="7">
        <v>0</v>
      </c>
      <c r="O2328" t="s">
        <v>3936</v>
      </c>
      <c r="P2328" s="3" t="s">
        <v>46</v>
      </c>
      <c r="Q2328" s="8">
        <v>0.1328</v>
      </c>
    </row>
    <row r="2329" spans="1:17" hidden="1" x14ac:dyDescent="0.55000000000000004">
      <c r="A2329" s="3" t="s">
        <v>3840</v>
      </c>
      <c r="B2329" s="3" t="s">
        <v>3921</v>
      </c>
      <c r="C2329" t="s">
        <v>3921</v>
      </c>
      <c r="D2329" s="3" t="s">
        <v>7312</v>
      </c>
      <c r="E2329" t="s">
        <v>3949</v>
      </c>
      <c r="F2329" s="3" t="s">
        <v>3950</v>
      </c>
      <c r="G2329" t="s">
        <v>24</v>
      </c>
      <c r="H2329" s="3" t="s">
        <v>3937</v>
      </c>
      <c r="I2329" t="s">
        <v>48</v>
      </c>
      <c r="J2329" s="3" t="s">
        <v>3935</v>
      </c>
      <c r="K2329" s="4">
        <v>377</v>
      </c>
      <c r="L2329" s="5">
        <v>17.13</v>
      </c>
      <c r="M2329" s="6">
        <v>0</v>
      </c>
      <c r="N2329" s="7">
        <v>0</v>
      </c>
      <c r="O2329" t="s">
        <v>3938</v>
      </c>
      <c r="P2329" s="3" t="s">
        <v>23</v>
      </c>
      <c r="Q2329" s="8" t="s">
        <v>23</v>
      </c>
    </row>
    <row r="2330" spans="1:17" hidden="1" x14ac:dyDescent="0.55000000000000004">
      <c r="A2330" s="3" t="s">
        <v>3840</v>
      </c>
      <c r="B2330" s="3" t="s">
        <v>3921</v>
      </c>
      <c r="C2330" t="s">
        <v>3921</v>
      </c>
      <c r="D2330" s="3" t="s">
        <v>7312</v>
      </c>
      <c r="E2330" t="s">
        <v>3951</v>
      </c>
      <c r="F2330" s="3" t="s">
        <v>3952</v>
      </c>
      <c r="G2330" t="s">
        <v>19</v>
      </c>
      <c r="H2330" s="3" t="s">
        <v>3924</v>
      </c>
      <c r="I2330" t="s">
        <v>3862</v>
      </c>
      <c r="J2330" s="3" t="s">
        <v>3925</v>
      </c>
      <c r="K2330" s="4">
        <v>159</v>
      </c>
      <c r="L2330" s="5">
        <v>34.590000000000003</v>
      </c>
      <c r="M2330" s="6">
        <v>1</v>
      </c>
      <c r="N2330" s="7">
        <v>0</v>
      </c>
      <c r="O2330" t="s">
        <v>3926</v>
      </c>
      <c r="P2330" s="3" t="s">
        <v>1770</v>
      </c>
      <c r="Q2330" s="8">
        <v>3.6831000000000003E-2</v>
      </c>
    </row>
    <row r="2331" spans="1:17" hidden="1" x14ac:dyDescent="0.55000000000000004">
      <c r="A2331" s="3" t="s">
        <v>3840</v>
      </c>
      <c r="B2331" s="3" t="s">
        <v>3921</v>
      </c>
      <c r="C2331" t="s">
        <v>3921</v>
      </c>
      <c r="D2331" s="3" t="s">
        <v>7312</v>
      </c>
      <c r="E2331" t="s">
        <v>3951</v>
      </c>
      <c r="F2331" s="3" t="s">
        <v>3952</v>
      </c>
      <c r="G2331" t="s">
        <v>24</v>
      </c>
      <c r="H2331" s="3" t="s">
        <v>3934</v>
      </c>
      <c r="I2331" t="s">
        <v>43</v>
      </c>
      <c r="J2331" s="3" t="s">
        <v>3935</v>
      </c>
      <c r="K2331" s="4">
        <v>450</v>
      </c>
      <c r="L2331" s="5">
        <v>20.45</v>
      </c>
      <c r="M2331" s="6">
        <v>0</v>
      </c>
      <c r="N2331" s="7">
        <v>0</v>
      </c>
      <c r="O2331" t="s">
        <v>3936</v>
      </c>
      <c r="P2331" s="3" t="s">
        <v>46</v>
      </c>
      <c r="Q2331" s="8">
        <v>0.1328</v>
      </c>
    </row>
    <row r="2332" spans="1:17" hidden="1" x14ac:dyDescent="0.55000000000000004">
      <c r="A2332" s="3" t="s">
        <v>3840</v>
      </c>
      <c r="B2332" s="3" t="s">
        <v>3921</v>
      </c>
      <c r="C2332" t="s">
        <v>3921</v>
      </c>
      <c r="D2332" s="3" t="s">
        <v>7312</v>
      </c>
      <c r="E2332" t="s">
        <v>3951</v>
      </c>
      <c r="F2332" s="3" t="s">
        <v>3952</v>
      </c>
      <c r="G2332" t="s">
        <v>24</v>
      </c>
      <c r="H2332" s="3" t="s">
        <v>3937</v>
      </c>
      <c r="I2332" t="s">
        <v>48</v>
      </c>
      <c r="J2332" s="3" t="s">
        <v>3935</v>
      </c>
      <c r="K2332" s="4">
        <v>377</v>
      </c>
      <c r="L2332" s="5">
        <v>17.13</v>
      </c>
      <c r="M2332" s="6">
        <v>0</v>
      </c>
      <c r="N2332" s="7">
        <v>0</v>
      </c>
      <c r="O2332" t="s">
        <v>3938</v>
      </c>
      <c r="P2332" s="3" t="s">
        <v>23</v>
      </c>
      <c r="Q2332" s="8" t="s">
        <v>23</v>
      </c>
    </row>
    <row r="2333" spans="1:17" hidden="1" x14ac:dyDescent="0.55000000000000004">
      <c r="A2333" s="3" t="s">
        <v>3840</v>
      </c>
      <c r="B2333" s="3" t="s">
        <v>3921</v>
      </c>
      <c r="C2333" t="s">
        <v>3921</v>
      </c>
      <c r="D2333" s="3" t="s">
        <v>7312</v>
      </c>
      <c r="E2333" t="s">
        <v>3953</v>
      </c>
      <c r="F2333" s="3" t="s">
        <v>3954</v>
      </c>
      <c r="G2333" t="s">
        <v>19</v>
      </c>
      <c r="H2333" s="3" t="s">
        <v>3941</v>
      </c>
      <c r="I2333" t="s">
        <v>3862</v>
      </c>
      <c r="J2333" s="3" t="s">
        <v>3942</v>
      </c>
      <c r="K2333" s="4">
        <v>160</v>
      </c>
      <c r="L2333" s="5">
        <v>34.67</v>
      </c>
      <c r="M2333" s="6">
        <v>1</v>
      </c>
      <c r="N2333" s="7">
        <v>0</v>
      </c>
      <c r="O2333" t="s">
        <v>3943</v>
      </c>
      <c r="P2333" s="3" t="s">
        <v>1770</v>
      </c>
      <c r="Q2333" s="8">
        <v>3.6831000000000003E-2</v>
      </c>
    </row>
    <row r="2334" spans="1:17" hidden="1" x14ac:dyDescent="0.55000000000000004">
      <c r="A2334" s="3" t="s">
        <v>3840</v>
      </c>
      <c r="B2334" s="3" t="s">
        <v>3921</v>
      </c>
      <c r="C2334" t="s">
        <v>3921</v>
      </c>
      <c r="D2334" s="3" t="s">
        <v>7312</v>
      </c>
      <c r="E2334" t="s">
        <v>3953</v>
      </c>
      <c r="F2334" s="3" t="s">
        <v>3954</v>
      </c>
      <c r="G2334" t="s">
        <v>19</v>
      </c>
      <c r="H2334" s="3" t="s">
        <v>3955</v>
      </c>
      <c r="I2334" t="s">
        <v>3902</v>
      </c>
      <c r="J2334" s="3" t="s">
        <v>3956</v>
      </c>
      <c r="K2334" s="4">
        <v>79</v>
      </c>
      <c r="L2334" s="5">
        <v>17.260000000000002</v>
      </c>
      <c r="M2334" s="6">
        <v>0</v>
      </c>
      <c r="N2334" s="7">
        <v>0</v>
      </c>
      <c r="O2334" t="s">
        <v>3957</v>
      </c>
      <c r="P2334" s="3" t="s">
        <v>3906</v>
      </c>
      <c r="Q2334" s="8">
        <v>2.1648000000000001E-2</v>
      </c>
    </row>
    <row r="2335" spans="1:17" hidden="1" x14ac:dyDescent="0.55000000000000004">
      <c r="A2335" s="3" t="s">
        <v>3840</v>
      </c>
      <c r="B2335" s="3" t="s">
        <v>3921</v>
      </c>
      <c r="C2335" t="s">
        <v>3921</v>
      </c>
      <c r="D2335" s="3" t="s">
        <v>7312</v>
      </c>
      <c r="E2335" t="s">
        <v>3953</v>
      </c>
      <c r="F2335" s="3" t="s">
        <v>3954</v>
      </c>
      <c r="G2335" t="s">
        <v>24</v>
      </c>
      <c r="H2335" s="3" t="s">
        <v>3934</v>
      </c>
      <c r="I2335" t="s">
        <v>43</v>
      </c>
      <c r="J2335" s="3" t="s">
        <v>3935</v>
      </c>
      <c r="K2335" s="4">
        <v>450</v>
      </c>
      <c r="L2335" s="5">
        <v>20.45</v>
      </c>
      <c r="M2335" s="6">
        <v>0</v>
      </c>
      <c r="N2335" s="7">
        <v>0</v>
      </c>
      <c r="O2335" t="s">
        <v>3936</v>
      </c>
      <c r="P2335" s="3" t="s">
        <v>46</v>
      </c>
      <c r="Q2335" s="8">
        <v>0.1328</v>
      </c>
    </row>
    <row r="2336" spans="1:17" hidden="1" x14ac:dyDescent="0.55000000000000004">
      <c r="A2336" s="3" t="s">
        <v>3840</v>
      </c>
      <c r="B2336" s="3" t="s">
        <v>3921</v>
      </c>
      <c r="C2336" t="s">
        <v>3921</v>
      </c>
      <c r="D2336" s="3" t="s">
        <v>7312</v>
      </c>
      <c r="E2336" t="s">
        <v>3953</v>
      </c>
      <c r="F2336" s="3" t="s">
        <v>3954</v>
      </c>
      <c r="G2336" t="s">
        <v>24</v>
      </c>
      <c r="H2336" s="3" t="s">
        <v>3937</v>
      </c>
      <c r="I2336" t="s">
        <v>48</v>
      </c>
      <c r="J2336" s="3" t="s">
        <v>3935</v>
      </c>
      <c r="K2336" s="4">
        <v>377</v>
      </c>
      <c r="L2336" s="5">
        <v>17.13</v>
      </c>
      <c r="M2336" s="6">
        <v>0</v>
      </c>
      <c r="N2336" s="7">
        <v>0</v>
      </c>
      <c r="O2336" t="s">
        <v>3938</v>
      </c>
      <c r="P2336" s="3" t="s">
        <v>23</v>
      </c>
      <c r="Q2336" s="8" t="s">
        <v>23</v>
      </c>
    </row>
    <row r="2337" spans="1:17" hidden="1" x14ac:dyDescent="0.55000000000000004">
      <c r="A2337" s="3" t="s">
        <v>3840</v>
      </c>
      <c r="B2337" s="3" t="s">
        <v>3858</v>
      </c>
      <c r="C2337" t="s">
        <v>3858</v>
      </c>
      <c r="D2337" s="3" t="s">
        <v>7312</v>
      </c>
      <c r="E2337" t="s">
        <v>3958</v>
      </c>
      <c r="F2337" s="3" t="s">
        <v>3959</v>
      </c>
      <c r="G2337" t="s">
        <v>19</v>
      </c>
      <c r="H2337" s="3" t="s">
        <v>3960</v>
      </c>
      <c r="I2337" t="s">
        <v>3862</v>
      </c>
      <c r="J2337" s="3" t="s">
        <v>3961</v>
      </c>
      <c r="K2337" s="4">
        <v>106</v>
      </c>
      <c r="L2337" s="5">
        <v>22.93</v>
      </c>
      <c r="M2337" s="6">
        <v>1</v>
      </c>
      <c r="N2337" s="7">
        <v>1</v>
      </c>
      <c r="O2337" t="s">
        <v>3962</v>
      </c>
      <c r="P2337" s="3" t="s">
        <v>3963</v>
      </c>
      <c r="Q2337" s="8">
        <v>5.4725999999999997E-2</v>
      </c>
    </row>
    <row r="2338" spans="1:17" hidden="1" x14ac:dyDescent="0.55000000000000004">
      <c r="A2338" s="3" t="s">
        <v>3840</v>
      </c>
      <c r="B2338" s="3" t="s">
        <v>3858</v>
      </c>
      <c r="C2338" t="s">
        <v>3858</v>
      </c>
      <c r="D2338" s="3" t="s">
        <v>7312</v>
      </c>
      <c r="E2338" t="s">
        <v>3958</v>
      </c>
      <c r="F2338" s="3" t="s">
        <v>3959</v>
      </c>
      <c r="G2338" t="s">
        <v>24</v>
      </c>
      <c r="H2338" s="3" t="s">
        <v>3964</v>
      </c>
      <c r="I2338" t="s">
        <v>43</v>
      </c>
      <c r="J2338" s="3" t="s">
        <v>3965</v>
      </c>
      <c r="K2338" s="4">
        <v>564</v>
      </c>
      <c r="L2338" s="5">
        <v>25.66</v>
      </c>
      <c r="M2338" s="6">
        <v>1</v>
      </c>
      <c r="N2338" s="7">
        <v>1</v>
      </c>
      <c r="O2338" t="s">
        <v>3966</v>
      </c>
      <c r="P2338" s="3" t="s">
        <v>46</v>
      </c>
      <c r="Q2338" s="8">
        <v>0.14363300000000001</v>
      </c>
    </row>
    <row r="2339" spans="1:17" hidden="1" x14ac:dyDescent="0.55000000000000004">
      <c r="A2339" s="3" t="s">
        <v>3840</v>
      </c>
      <c r="B2339" s="3" t="s">
        <v>3858</v>
      </c>
      <c r="C2339" t="s">
        <v>3858</v>
      </c>
      <c r="D2339" s="3" t="s">
        <v>7312</v>
      </c>
      <c r="E2339" t="s">
        <v>3958</v>
      </c>
      <c r="F2339" s="3" t="s">
        <v>3959</v>
      </c>
      <c r="G2339" t="s">
        <v>24</v>
      </c>
      <c r="H2339" s="3" t="s">
        <v>3967</v>
      </c>
      <c r="I2339" t="s">
        <v>48</v>
      </c>
      <c r="J2339" s="3" t="s">
        <v>3965</v>
      </c>
      <c r="K2339" s="4">
        <v>434</v>
      </c>
      <c r="L2339" s="5">
        <v>19.72</v>
      </c>
      <c r="M2339" s="6">
        <v>0</v>
      </c>
      <c r="N2339" s="7">
        <v>1</v>
      </c>
      <c r="O2339" t="s">
        <v>3968</v>
      </c>
      <c r="P2339" s="3" t="s">
        <v>23</v>
      </c>
      <c r="Q2339" s="8" t="s">
        <v>23</v>
      </c>
    </row>
    <row r="2340" spans="1:17" hidden="1" x14ac:dyDescent="0.55000000000000004">
      <c r="A2340" s="3" t="s">
        <v>3840</v>
      </c>
      <c r="B2340" s="3" t="s">
        <v>3969</v>
      </c>
      <c r="C2340" t="s">
        <v>3969</v>
      </c>
      <c r="D2340" s="3" t="s">
        <v>7312</v>
      </c>
      <c r="E2340" t="s">
        <v>3970</v>
      </c>
      <c r="F2340" s="3" t="s">
        <v>3971</v>
      </c>
      <c r="G2340" t="s">
        <v>19</v>
      </c>
      <c r="H2340" s="3" t="s">
        <v>3972</v>
      </c>
      <c r="I2340" t="s">
        <v>3928</v>
      </c>
      <c r="J2340" s="3" t="s">
        <v>3973</v>
      </c>
      <c r="K2340" s="4">
        <v>199</v>
      </c>
      <c r="L2340" s="5">
        <v>43.35</v>
      </c>
      <c r="M2340" s="6">
        <v>1</v>
      </c>
      <c r="N2340" s="7">
        <v>0</v>
      </c>
      <c r="O2340" t="s">
        <v>3930</v>
      </c>
      <c r="P2340" s="3" t="s">
        <v>3931</v>
      </c>
      <c r="Q2340" s="8">
        <v>2.4150000000000001E-2</v>
      </c>
    </row>
    <row r="2341" spans="1:17" hidden="1" x14ac:dyDescent="0.55000000000000004">
      <c r="A2341" s="3" t="s">
        <v>3840</v>
      </c>
      <c r="B2341" s="3" t="s">
        <v>3969</v>
      </c>
      <c r="C2341" t="s">
        <v>3969</v>
      </c>
      <c r="D2341" s="3" t="s">
        <v>7312</v>
      </c>
      <c r="E2341" t="s">
        <v>3970</v>
      </c>
      <c r="F2341" s="3" t="s">
        <v>3971</v>
      </c>
      <c r="G2341" t="s">
        <v>19</v>
      </c>
      <c r="H2341" s="3" t="s">
        <v>3972</v>
      </c>
      <c r="I2341" t="s">
        <v>3928</v>
      </c>
      <c r="J2341" s="3" t="s">
        <v>3973</v>
      </c>
      <c r="K2341" s="4">
        <v>199</v>
      </c>
      <c r="L2341" s="5">
        <v>43.35</v>
      </c>
      <c r="M2341" s="6">
        <v>1</v>
      </c>
      <c r="N2341" s="7">
        <v>0</v>
      </c>
      <c r="O2341" t="s">
        <v>3974</v>
      </c>
      <c r="P2341" s="3" t="s">
        <v>3931</v>
      </c>
      <c r="Q2341" s="8">
        <v>3.9640000000000002E-2</v>
      </c>
    </row>
    <row r="2342" spans="1:17" hidden="1" x14ac:dyDescent="0.55000000000000004">
      <c r="A2342" s="3" t="s">
        <v>3840</v>
      </c>
      <c r="B2342" s="3" t="s">
        <v>3969</v>
      </c>
      <c r="C2342" t="s">
        <v>3969</v>
      </c>
      <c r="D2342" s="3" t="s">
        <v>7312</v>
      </c>
      <c r="E2342" t="s">
        <v>3970</v>
      </c>
      <c r="F2342" s="3" t="s">
        <v>3971</v>
      </c>
      <c r="G2342" t="s">
        <v>19</v>
      </c>
      <c r="H2342" s="3" t="s">
        <v>3972</v>
      </c>
      <c r="I2342" t="s">
        <v>3928</v>
      </c>
      <c r="J2342" s="3" t="s">
        <v>3973</v>
      </c>
      <c r="K2342" s="4">
        <v>199</v>
      </c>
      <c r="L2342" s="5">
        <v>43.35</v>
      </c>
      <c r="M2342" s="6">
        <v>1</v>
      </c>
      <c r="N2342" s="7">
        <v>0</v>
      </c>
      <c r="O2342" t="s">
        <v>3932</v>
      </c>
      <c r="P2342" s="3" t="s">
        <v>3931</v>
      </c>
      <c r="Q2342" s="8">
        <v>4.1999999999999997E-3</v>
      </c>
    </row>
    <row r="2343" spans="1:17" hidden="1" x14ac:dyDescent="0.55000000000000004">
      <c r="A2343" s="3" t="s">
        <v>3840</v>
      </c>
      <c r="B2343" s="3" t="s">
        <v>3969</v>
      </c>
      <c r="C2343" t="s">
        <v>3969</v>
      </c>
      <c r="D2343" s="3" t="s">
        <v>7312</v>
      </c>
      <c r="E2343" t="s">
        <v>3970</v>
      </c>
      <c r="F2343" s="3" t="s">
        <v>3971</v>
      </c>
      <c r="G2343" t="s">
        <v>19</v>
      </c>
      <c r="H2343" s="3" t="s">
        <v>3972</v>
      </c>
      <c r="I2343" t="s">
        <v>3928</v>
      </c>
      <c r="J2343" s="3" t="s">
        <v>3973</v>
      </c>
      <c r="K2343" s="4">
        <v>199</v>
      </c>
      <c r="L2343" s="5">
        <v>43.35</v>
      </c>
      <c r="M2343" s="6">
        <v>1</v>
      </c>
      <c r="N2343" s="7">
        <v>0</v>
      </c>
      <c r="O2343" t="s">
        <v>3933</v>
      </c>
      <c r="P2343" s="3" t="s">
        <v>3931</v>
      </c>
      <c r="Q2343" s="8">
        <v>4.2519000000000001E-2</v>
      </c>
    </row>
    <row r="2344" spans="1:17" hidden="1" x14ac:dyDescent="0.55000000000000004">
      <c r="A2344" s="3" t="s">
        <v>3840</v>
      </c>
      <c r="B2344" s="3" t="s">
        <v>3969</v>
      </c>
      <c r="C2344" t="s">
        <v>3969</v>
      </c>
      <c r="D2344" s="3" t="s">
        <v>7312</v>
      </c>
      <c r="E2344" t="s">
        <v>3970</v>
      </c>
      <c r="F2344" s="3" t="s">
        <v>3971</v>
      </c>
      <c r="G2344" t="s">
        <v>19</v>
      </c>
      <c r="H2344" s="3" t="s">
        <v>23</v>
      </c>
      <c r="I2344" t="s">
        <v>67</v>
      </c>
      <c r="J2344" s="3" t="s">
        <v>3899</v>
      </c>
      <c r="K2344" s="4" t="s">
        <v>23</v>
      </c>
      <c r="L2344" s="5" t="s">
        <v>23</v>
      </c>
      <c r="M2344" s="6">
        <v>0</v>
      </c>
      <c r="N2344" s="7">
        <v>0</v>
      </c>
      <c r="O2344" t="s">
        <v>23</v>
      </c>
      <c r="P2344" s="3" t="s">
        <v>23</v>
      </c>
      <c r="Q2344" s="8" t="s">
        <v>23</v>
      </c>
    </row>
    <row r="2345" spans="1:17" hidden="1" x14ac:dyDescent="0.55000000000000004">
      <c r="A2345" s="3" t="s">
        <v>3840</v>
      </c>
      <c r="B2345" s="3" t="s">
        <v>3969</v>
      </c>
      <c r="C2345" t="s">
        <v>3969</v>
      </c>
      <c r="D2345" s="3" t="s">
        <v>7312</v>
      </c>
      <c r="E2345" t="s">
        <v>3970</v>
      </c>
      <c r="F2345" s="3" t="s">
        <v>3971</v>
      </c>
      <c r="G2345" t="s">
        <v>24</v>
      </c>
      <c r="H2345" s="3" t="s">
        <v>3975</v>
      </c>
      <c r="I2345" t="s">
        <v>37</v>
      </c>
      <c r="J2345" s="3" t="s">
        <v>3976</v>
      </c>
      <c r="K2345" s="4">
        <v>335</v>
      </c>
      <c r="L2345" s="5">
        <v>15.25</v>
      </c>
      <c r="M2345" s="6">
        <v>0</v>
      </c>
      <c r="N2345" s="7">
        <v>0</v>
      </c>
      <c r="O2345" t="s">
        <v>3977</v>
      </c>
      <c r="P2345" s="3" t="s">
        <v>40</v>
      </c>
      <c r="Q2345" s="8">
        <v>0.18139</v>
      </c>
    </row>
    <row r="2346" spans="1:17" hidden="1" x14ac:dyDescent="0.55000000000000004">
      <c r="A2346" s="3" t="s">
        <v>3840</v>
      </c>
      <c r="B2346" s="3" t="s">
        <v>3969</v>
      </c>
      <c r="C2346" t="s">
        <v>3969</v>
      </c>
      <c r="D2346" s="3" t="s">
        <v>7312</v>
      </c>
      <c r="E2346" t="s">
        <v>3978</v>
      </c>
      <c r="F2346" s="3" t="s">
        <v>3979</v>
      </c>
      <c r="G2346" t="s">
        <v>19</v>
      </c>
      <c r="H2346" s="3" t="s">
        <v>3972</v>
      </c>
      <c r="I2346" t="s">
        <v>3928</v>
      </c>
      <c r="J2346" s="3" t="s">
        <v>3973</v>
      </c>
      <c r="K2346" s="4">
        <v>199</v>
      </c>
      <c r="L2346" s="5">
        <v>43.35</v>
      </c>
      <c r="M2346" s="6">
        <v>1</v>
      </c>
      <c r="N2346" s="7">
        <v>1</v>
      </c>
      <c r="O2346" t="s">
        <v>3930</v>
      </c>
      <c r="P2346" s="3" t="s">
        <v>3931</v>
      </c>
      <c r="Q2346" s="8">
        <v>2.4150000000000001E-2</v>
      </c>
    </row>
    <row r="2347" spans="1:17" hidden="1" x14ac:dyDescent="0.55000000000000004">
      <c r="A2347" s="3" t="s">
        <v>3840</v>
      </c>
      <c r="B2347" s="3" t="s">
        <v>3969</v>
      </c>
      <c r="C2347" t="s">
        <v>3969</v>
      </c>
      <c r="D2347" s="3" t="s">
        <v>7312</v>
      </c>
      <c r="E2347" t="s">
        <v>3978</v>
      </c>
      <c r="F2347" s="3" t="s">
        <v>3979</v>
      </c>
      <c r="G2347" t="s">
        <v>19</v>
      </c>
      <c r="H2347" s="3" t="s">
        <v>3972</v>
      </c>
      <c r="I2347" t="s">
        <v>3928</v>
      </c>
      <c r="J2347" s="3" t="s">
        <v>3973</v>
      </c>
      <c r="K2347" s="4">
        <v>199</v>
      </c>
      <c r="L2347" s="5">
        <v>43.35</v>
      </c>
      <c r="M2347" s="6">
        <v>1</v>
      </c>
      <c r="N2347" s="7">
        <v>1</v>
      </c>
      <c r="O2347" t="s">
        <v>3974</v>
      </c>
      <c r="P2347" s="3" t="s">
        <v>3931</v>
      </c>
      <c r="Q2347" s="8">
        <v>3.9640000000000002E-2</v>
      </c>
    </row>
    <row r="2348" spans="1:17" hidden="1" x14ac:dyDescent="0.55000000000000004">
      <c r="A2348" s="3" t="s">
        <v>3840</v>
      </c>
      <c r="B2348" s="3" t="s">
        <v>3969</v>
      </c>
      <c r="C2348" t="s">
        <v>3969</v>
      </c>
      <c r="D2348" s="3" t="s">
        <v>7312</v>
      </c>
      <c r="E2348" t="s">
        <v>3978</v>
      </c>
      <c r="F2348" s="3" t="s">
        <v>3979</v>
      </c>
      <c r="G2348" t="s">
        <v>19</v>
      </c>
      <c r="H2348" s="3" t="s">
        <v>3972</v>
      </c>
      <c r="I2348" t="s">
        <v>3928</v>
      </c>
      <c r="J2348" s="3" t="s">
        <v>3973</v>
      </c>
      <c r="K2348" s="4">
        <v>199</v>
      </c>
      <c r="L2348" s="5">
        <v>43.35</v>
      </c>
      <c r="M2348" s="6">
        <v>1</v>
      </c>
      <c r="N2348" s="7">
        <v>1</v>
      </c>
      <c r="O2348" t="s">
        <v>3932</v>
      </c>
      <c r="P2348" s="3" t="s">
        <v>3931</v>
      </c>
      <c r="Q2348" s="8">
        <v>4.1999999999999997E-3</v>
      </c>
    </row>
    <row r="2349" spans="1:17" hidden="1" x14ac:dyDescent="0.55000000000000004">
      <c r="A2349" s="3" t="s">
        <v>3840</v>
      </c>
      <c r="B2349" s="3" t="s">
        <v>3969</v>
      </c>
      <c r="C2349" t="s">
        <v>3969</v>
      </c>
      <c r="D2349" s="3" t="s">
        <v>7312</v>
      </c>
      <c r="E2349" t="s">
        <v>3978</v>
      </c>
      <c r="F2349" s="3" t="s">
        <v>3979</v>
      </c>
      <c r="G2349" t="s">
        <v>19</v>
      </c>
      <c r="H2349" s="3" t="s">
        <v>3972</v>
      </c>
      <c r="I2349" t="s">
        <v>3928</v>
      </c>
      <c r="J2349" s="3" t="s">
        <v>3973</v>
      </c>
      <c r="K2349" s="4">
        <v>199</v>
      </c>
      <c r="L2349" s="5">
        <v>43.35</v>
      </c>
      <c r="M2349" s="6">
        <v>1</v>
      </c>
      <c r="N2349" s="7">
        <v>1</v>
      </c>
      <c r="O2349" t="s">
        <v>3933</v>
      </c>
      <c r="P2349" s="3" t="s">
        <v>3931</v>
      </c>
      <c r="Q2349" s="8">
        <v>4.2519000000000001E-2</v>
      </c>
    </row>
    <row r="2350" spans="1:17" hidden="1" x14ac:dyDescent="0.55000000000000004">
      <c r="A2350" s="3" t="s">
        <v>3840</v>
      </c>
      <c r="B2350" s="3" t="s">
        <v>3969</v>
      </c>
      <c r="C2350" t="s">
        <v>3969</v>
      </c>
      <c r="D2350" s="3" t="s">
        <v>7312</v>
      </c>
      <c r="E2350" t="s">
        <v>3978</v>
      </c>
      <c r="F2350" s="3" t="s">
        <v>3979</v>
      </c>
      <c r="G2350" t="s">
        <v>19</v>
      </c>
      <c r="H2350" s="3" t="s">
        <v>23</v>
      </c>
      <c r="I2350" t="s">
        <v>67</v>
      </c>
      <c r="J2350" s="3" t="s">
        <v>3899</v>
      </c>
      <c r="K2350" s="4" t="s">
        <v>23</v>
      </c>
      <c r="L2350" s="5" t="s">
        <v>23</v>
      </c>
      <c r="M2350" s="6">
        <v>0</v>
      </c>
      <c r="N2350" s="7">
        <v>1</v>
      </c>
      <c r="O2350" t="s">
        <v>23</v>
      </c>
      <c r="P2350" s="3" t="s">
        <v>23</v>
      </c>
      <c r="Q2350" s="8" t="s">
        <v>23</v>
      </c>
    </row>
    <row r="2351" spans="1:17" hidden="1" x14ac:dyDescent="0.55000000000000004">
      <c r="A2351" s="3" t="s">
        <v>3840</v>
      </c>
      <c r="B2351" s="3" t="s">
        <v>3969</v>
      </c>
      <c r="C2351" t="s">
        <v>3969</v>
      </c>
      <c r="D2351" s="3" t="s">
        <v>7312</v>
      </c>
      <c r="E2351" t="s">
        <v>3978</v>
      </c>
      <c r="F2351" s="3" t="s">
        <v>3979</v>
      </c>
      <c r="G2351" t="s">
        <v>24</v>
      </c>
      <c r="H2351" s="3" t="s">
        <v>3975</v>
      </c>
      <c r="I2351" t="s">
        <v>37</v>
      </c>
      <c r="J2351" s="3" t="s">
        <v>3976</v>
      </c>
      <c r="K2351" s="4">
        <v>335</v>
      </c>
      <c r="L2351" s="5">
        <v>15.25</v>
      </c>
      <c r="M2351" s="6">
        <v>0</v>
      </c>
      <c r="N2351" s="7">
        <v>1</v>
      </c>
      <c r="O2351" t="s">
        <v>3977</v>
      </c>
      <c r="P2351" s="3" t="s">
        <v>40</v>
      </c>
      <c r="Q2351" s="8">
        <v>0.18139</v>
      </c>
    </row>
    <row r="2352" spans="1:17" hidden="1" x14ac:dyDescent="0.55000000000000004">
      <c r="A2352" s="3" t="s">
        <v>3840</v>
      </c>
      <c r="B2352" s="3" t="s">
        <v>3969</v>
      </c>
      <c r="C2352" t="s">
        <v>3969</v>
      </c>
      <c r="D2352" s="3" t="s">
        <v>7312</v>
      </c>
      <c r="E2352" t="s">
        <v>3980</v>
      </c>
      <c r="F2352" s="3" t="s">
        <v>3981</v>
      </c>
      <c r="G2352" t="s">
        <v>19</v>
      </c>
      <c r="H2352" s="3" t="s">
        <v>3982</v>
      </c>
      <c r="I2352" t="s">
        <v>3902</v>
      </c>
      <c r="J2352" s="3" t="s">
        <v>3983</v>
      </c>
      <c r="K2352" s="4">
        <v>67</v>
      </c>
      <c r="L2352" s="5">
        <v>14.57</v>
      </c>
      <c r="M2352" s="6">
        <v>1</v>
      </c>
      <c r="N2352" s="7">
        <v>0</v>
      </c>
      <c r="O2352" t="s">
        <v>3905</v>
      </c>
      <c r="P2352" s="3" t="s">
        <v>3906</v>
      </c>
      <c r="Q2352" s="8">
        <v>2.3644999999999999E-2</v>
      </c>
    </row>
    <row r="2353" spans="1:17" hidden="1" x14ac:dyDescent="0.55000000000000004">
      <c r="A2353" s="3" t="s">
        <v>3840</v>
      </c>
      <c r="B2353" s="3" t="s">
        <v>3969</v>
      </c>
      <c r="C2353" t="s">
        <v>3969</v>
      </c>
      <c r="D2353" s="3" t="s">
        <v>7312</v>
      </c>
      <c r="E2353" t="s">
        <v>3980</v>
      </c>
      <c r="F2353" s="3" t="s">
        <v>3981</v>
      </c>
      <c r="G2353" t="s">
        <v>24</v>
      </c>
      <c r="H2353" s="3" t="s">
        <v>3975</v>
      </c>
      <c r="I2353" t="s">
        <v>37</v>
      </c>
      <c r="J2353" s="3" t="s">
        <v>3976</v>
      </c>
      <c r="K2353" s="4">
        <v>335</v>
      </c>
      <c r="L2353" s="5">
        <v>15.25</v>
      </c>
      <c r="M2353" s="6">
        <v>0</v>
      </c>
      <c r="N2353" s="7">
        <v>0</v>
      </c>
      <c r="O2353" t="s">
        <v>3977</v>
      </c>
      <c r="P2353" s="3" t="s">
        <v>40</v>
      </c>
      <c r="Q2353" s="8">
        <v>0.18139</v>
      </c>
    </row>
    <row r="2354" spans="1:17" hidden="1" x14ac:dyDescent="0.55000000000000004">
      <c r="A2354" s="3" t="s">
        <v>3840</v>
      </c>
      <c r="B2354" s="3" t="s">
        <v>3969</v>
      </c>
      <c r="C2354" t="s">
        <v>3969</v>
      </c>
      <c r="D2354" s="3" t="s">
        <v>7312</v>
      </c>
      <c r="E2354" t="s">
        <v>3984</v>
      </c>
      <c r="F2354" s="3" t="s">
        <v>3985</v>
      </c>
      <c r="G2354" t="s">
        <v>19</v>
      </c>
      <c r="H2354" s="3" t="s">
        <v>3972</v>
      </c>
      <c r="I2354" t="s">
        <v>3928</v>
      </c>
      <c r="J2354" s="3" t="s">
        <v>3973</v>
      </c>
      <c r="K2354" s="4">
        <v>199</v>
      </c>
      <c r="L2354" s="5">
        <v>43.35</v>
      </c>
      <c r="M2354" s="6">
        <v>1</v>
      </c>
      <c r="N2354" s="7">
        <v>0</v>
      </c>
      <c r="O2354" t="s">
        <v>3930</v>
      </c>
      <c r="P2354" s="3" t="s">
        <v>3931</v>
      </c>
      <c r="Q2354" s="8">
        <v>2.4150000000000001E-2</v>
      </c>
    </row>
    <row r="2355" spans="1:17" hidden="1" x14ac:dyDescent="0.55000000000000004">
      <c r="A2355" s="3" t="s">
        <v>3840</v>
      </c>
      <c r="B2355" s="3" t="s">
        <v>3969</v>
      </c>
      <c r="C2355" t="s">
        <v>3969</v>
      </c>
      <c r="D2355" s="3" t="s">
        <v>7312</v>
      </c>
      <c r="E2355" t="s">
        <v>3984</v>
      </c>
      <c r="F2355" s="3" t="s">
        <v>3985</v>
      </c>
      <c r="G2355" t="s">
        <v>19</v>
      </c>
      <c r="H2355" s="3" t="s">
        <v>3972</v>
      </c>
      <c r="I2355" t="s">
        <v>3928</v>
      </c>
      <c r="J2355" s="3" t="s">
        <v>3973</v>
      </c>
      <c r="K2355" s="4">
        <v>199</v>
      </c>
      <c r="L2355" s="5">
        <v>43.35</v>
      </c>
      <c r="M2355" s="6">
        <v>1</v>
      </c>
      <c r="N2355" s="7">
        <v>0</v>
      </c>
      <c r="O2355" t="s">
        <v>3974</v>
      </c>
      <c r="P2355" s="3" t="s">
        <v>3931</v>
      </c>
      <c r="Q2355" s="8">
        <v>3.9640000000000002E-2</v>
      </c>
    </row>
    <row r="2356" spans="1:17" hidden="1" x14ac:dyDescent="0.55000000000000004">
      <c r="A2356" s="3" t="s">
        <v>3840</v>
      </c>
      <c r="B2356" s="3" t="s">
        <v>3969</v>
      </c>
      <c r="C2356" t="s">
        <v>3969</v>
      </c>
      <c r="D2356" s="3" t="s">
        <v>7312</v>
      </c>
      <c r="E2356" t="s">
        <v>3984</v>
      </c>
      <c r="F2356" s="3" t="s">
        <v>3985</v>
      </c>
      <c r="G2356" t="s">
        <v>19</v>
      </c>
      <c r="H2356" s="3" t="s">
        <v>3972</v>
      </c>
      <c r="I2356" t="s">
        <v>3928</v>
      </c>
      <c r="J2356" s="3" t="s">
        <v>3973</v>
      </c>
      <c r="K2356" s="4">
        <v>199</v>
      </c>
      <c r="L2356" s="5">
        <v>43.35</v>
      </c>
      <c r="M2356" s="6">
        <v>1</v>
      </c>
      <c r="N2356" s="7">
        <v>0</v>
      </c>
      <c r="O2356" t="s">
        <v>3932</v>
      </c>
      <c r="P2356" s="3" t="s">
        <v>3931</v>
      </c>
      <c r="Q2356" s="8">
        <v>4.1999999999999997E-3</v>
      </c>
    </row>
    <row r="2357" spans="1:17" hidden="1" x14ac:dyDescent="0.55000000000000004">
      <c r="A2357" s="3" t="s">
        <v>3840</v>
      </c>
      <c r="B2357" s="3" t="s">
        <v>3969</v>
      </c>
      <c r="C2357" t="s">
        <v>3969</v>
      </c>
      <c r="D2357" s="3" t="s">
        <v>7312</v>
      </c>
      <c r="E2357" t="s">
        <v>3984</v>
      </c>
      <c r="F2357" s="3" t="s">
        <v>3985</v>
      </c>
      <c r="G2357" t="s">
        <v>19</v>
      </c>
      <c r="H2357" s="3" t="s">
        <v>3972</v>
      </c>
      <c r="I2357" t="s">
        <v>3928</v>
      </c>
      <c r="J2357" s="3" t="s">
        <v>3973</v>
      </c>
      <c r="K2357" s="4">
        <v>199</v>
      </c>
      <c r="L2357" s="5">
        <v>43.35</v>
      </c>
      <c r="M2357" s="6">
        <v>1</v>
      </c>
      <c r="N2357" s="7">
        <v>0</v>
      </c>
      <c r="O2357" t="s">
        <v>3933</v>
      </c>
      <c r="P2357" s="3" t="s">
        <v>3931</v>
      </c>
      <c r="Q2357" s="8">
        <v>4.2519000000000001E-2</v>
      </c>
    </row>
    <row r="2358" spans="1:17" hidden="1" x14ac:dyDescent="0.55000000000000004">
      <c r="A2358" s="3" t="s">
        <v>3840</v>
      </c>
      <c r="B2358" s="3" t="s">
        <v>3969</v>
      </c>
      <c r="C2358" t="s">
        <v>3969</v>
      </c>
      <c r="D2358" s="3" t="s">
        <v>7312</v>
      </c>
      <c r="E2358" t="s">
        <v>3984</v>
      </c>
      <c r="F2358" s="3" t="s">
        <v>3985</v>
      </c>
      <c r="G2358" t="s">
        <v>19</v>
      </c>
      <c r="H2358" s="3" t="s">
        <v>23</v>
      </c>
      <c r="I2358" t="s">
        <v>67</v>
      </c>
      <c r="J2358" s="3" t="s">
        <v>3899</v>
      </c>
      <c r="K2358" s="4" t="s">
        <v>23</v>
      </c>
      <c r="L2358" s="5" t="s">
        <v>23</v>
      </c>
      <c r="M2358" s="6">
        <v>0</v>
      </c>
      <c r="N2358" s="7">
        <v>0</v>
      </c>
      <c r="O2358" t="s">
        <v>23</v>
      </c>
      <c r="P2358" s="3" t="s">
        <v>23</v>
      </c>
      <c r="Q2358" s="8" t="s">
        <v>23</v>
      </c>
    </row>
    <row r="2359" spans="1:17" hidden="1" x14ac:dyDescent="0.55000000000000004">
      <c r="A2359" s="3" t="s">
        <v>3840</v>
      </c>
      <c r="B2359" s="3" t="s">
        <v>3969</v>
      </c>
      <c r="C2359" t="s">
        <v>3969</v>
      </c>
      <c r="D2359" s="3" t="s">
        <v>7312</v>
      </c>
      <c r="E2359" t="s">
        <v>3984</v>
      </c>
      <c r="F2359" s="3" t="s">
        <v>3985</v>
      </c>
      <c r="G2359" t="s">
        <v>24</v>
      </c>
      <c r="H2359" s="3" t="s">
        <v>3975</v>
      </c>
      <c r="I2359" t="s">
        <v>37</v>
      </c>
      <c r="J2359" s="3" t="s">
        <v>3976</v>
      </c>
      <c r="K2359" s="4">
        <v>335</v>
      </c>
      <c r="L2359" s="5">
        <v>15.25</v>
      </c>
      <c r="M2359" s="6">
        <v>0</v>
      </c>
      <c r="N2359" s="7">
        <v>0</v>
      </c>
      <c r="O2359" t="s">
        <v>3977</v>
      </c>
      <c r="P2359" s="3" t="s">
        <v>40</v>
      </c>
      <c r="Q2359" s="8">
        <v>0.18139</v>
      </c>
    </row>
    <row r="2360" spans="1:17" hidden="1" x14ac:dyDescent="0.55000000000000004">
      <c r="A2360" s="3" t="s">
        <v>3840</v>
      </c>
      <c r="B2360" s="3" t="s">
        <v>3986</v>
      </c>
      <c r="C2360" t="s">
        <v>3921</v>
      </c>
      <c r="D2360" s="3" t="s">
        <v>7312</v>
      </c>
      <c r="E2360" t="s">
        <v>3987</v>
      </c>
      <c r="F2360" s="3" t="s">
        <v>3988</v>
      </c>
      <c r="G2360" t="s">
        <v>24</v>
      </c>
      <c r="H2360" s="3" t="s">
        <v>3989</v>
      </c>
      <c r="I2360" t="s">
        <v>37</v>
      </c>
      <c r="J2360" s="3" t="s">
        <v>3990</v>
      </c>
      <c r="K2360" s="4">
        <v>380</v>
      </c>
      <c r="L2360" s="5">
        <v>17.28</v>
      </c>
      <c r="M2360" s="6">
        <v>0</v>
      </c>
      <c r="N2360" s="7">
        <v>0</v>
      </c>
      <c r="O2360" t="s">
        <v>3991</v>
      </c>
      <c r="P2360" s="3" t="s">
        <v>40</v>
      </c>
      <c r="Q2360" s="8">
        <v>0.181837</v>
      </c>
    </row>
    <row r="2361" spans="1:17" hidden="1" x14ac:dyDescent="0.55000000000000004">
      <c r="A2361" s="3" t="s">
        <v>3840</v>
      </c>
      <c r="B2361" s="3" t="s">
        <v>3992</v>
      </c>
      <c r="C2361" t="s">
        <v>3992</v>
      </c>
      <c r="D2361" s="3" t="s">
        <v>7312</v>
      </c>
      <c r="E2361" t="s">
        <v>3993</v>
      </c>
      <c r="F2361" s="3" t="s">
        <v>3994</v>
      </c>
      <c r="G2361" t="s">
        <v>19</v>
      </c>
      <c r="H2361" s="3" t="s">
        <v>3995</v>
      </c>
      <c r="I2361" t="s">
        <v>3928</v>
      </c>
      <c r="J2361" s="3" t="s">
        <v>3996</v>
      </c>
      <c r="K2361" s="4">
        <v>87</v>
      </c>
      <c r="L2361" s="5">
        <v>18.87</v>
      </c>
      <c r="M2361" s="6">
        <v>1</v>
      </c>
      <c r="N2361" s="7">
        <v>1</v>
      </c>
      <c r="O2361" t="s">
        <v>3932</v>
      </c>
      <c r="P2361" s="3" t="s">
        <v>3931</v>
      </c>
      <c r="Q2361" s="8">
        <v>4.1999999999999997E-3</v>
      </c>
    </row>
    <row r="2362" spans="1:17" hidden="1" x14ac:dyDescent="0.55000000000000004">
      <c r="A2362" s="3" t="s">
        <v>3840</v>
      </c>
      <c r="B2362" s="3" t="s">
        <v>3992</v>
      </c>
      <c r="C2362" t="s">
        <v>3992</v>
      </c>
      <c r="D2362" s="3" t="s">
        <v>7312</v>
      </c>
      <c r="E2362" t="s">
        <v>3993</v>
      </c>
      <c r="F2362" s="3" t="s">
        <v>3994</v>
      </c>
      <c r="G2362" t="s">
        <v>19</v>
      </c>
      <c r="H2362" s="3" t="s">
        <v>3995</v>
      </c>
      <c r="I2362" t="s">
        <v>3928</v>
      </c>
      <c r="J2362" s="3" t="s">
        <v>3996</v>
      </c>
      <c r="K2362" s="4">
        <v>87</v>
      </c>
      <c r="L2362" s="5">
        <v>18.87</v>
      </c>
      <c r="M2362" s="6">
        <v>1</v>
      </c>
      <c r="N2362" s="7">
        <v>1</v>
      </c>
      <c r="O2362" t="s">
        <v>3933</v>
      </c>
      <c r="P2362" s="3" t="s">
        <v>3931</v>
      </c>
      <c r="Q2362" s="8">
        <v>4.2519000000000001E-2</v>
      </c>
    </row>
    <row r="2363" spans="1:17" hidden="1" x14ac:dyDescent="0.55000000000000004">
      <c r="A2363" s="3" t="s">
        <v>3840</v>
      </c>
      <c r="B2363" s="3" t="s">
        <v>3992</v>
      </c>
      <c r="C2363" t="s">
        <v>3992</v>
      </c>
      <c r="D2363" s="3" t="s">
        <v>7312</v>
      </c>
      <c r="E2363" t="s">
        <v>3993</v>
      </c>
      <c r="F2363" s="3" t="s">
        <v>3994</v>
      </c>
      <c r="G2363" t="s">
        <v>24</v>
      </c>
      <c r="H2363" s="3" t="s">
        <v>3997</v>
      </c>
      <c r="I2363" t="s">
        <v>43</v>
      </c>
      <c r="J2363" s="3" t="s">
        <v>3998</v>
      </c>
      <c r="K2363" s="4">
        <v>485</v>
      </c>
      <c r="L2363" s="5">
        <v>22.05</v>
      </c>
      <c r="M2363" s="6">
        <v>1</v>
      </c>
      <c r="N2363" s="7">
        <v>1</v>
      </c>
      <c r="O2363" t="s">
        <v>3999</v>
      </c>
      <c r="P2363" s="3" t="s">
        <v>138</v>
      </c>
      <c r="Q2363" s="8">
        <v>0.15113299999999999</v>
      </c>
    </row>
    <row r="2364" spans="1:17" hidden="1" x14ac:dyDescent="0.55000000000000004">
      <c r="A2364" s="3" t="s">
        <v>3840</v>
      </c>
      <c r="B2364" s="3" t="s">
        <v>4000</v>
      </c>
      <c r="C2364" t="s">
        <v>4000</v>
      </c>
      <c r="D2364" s="3" t="s">
        <v>7312</v>
      </c>
      <c r="E2364" t="s">
        <v>4001</v>
      </c>
      <c r="F2364" s="3" t="s">
        <v>4002</v>
      </c>
      <c r="G2364" t="s">
        <v>24</v>
      </c>
      <c r="H2364" s="3" t="s">
        <v>4003</v>
      </c>
      <c r="I2364" t="s">
        <v>37</v>
      </c>
      <c r="J2364" s="3" t="s">
        <v>4004</v>
      </c>
      <c r="K2364" s="4">
        <v>355</v>
      </c>
      <c r="L2364" s="5">
        <v>16.13</v>
      </c>
      <c r="M2364" s="6">
        <v>0</v>
      </c>
      <c r="N2364" s="7">
        <v>0</v>
      </c>
      <c r="O2364" t="s">
        <v>4005</v>
      </c>
      <c r="P2364" s="3" t="s">
        <v>40</v>
      </c>
      <c r="Q2364" s="8">
        <v>0.181584</v>
      </c>
    </row>
    <row r="2365" spans="1:17" hidden="1" x14ac:dyDescent="0.55000000000000004">
      <c r="A2365" s="3" t="s">
        <v>3840</v>
      </c>
      <c r="B2365" s="3" t="s">
        <v>4000</v>
      </c>
      <c r="C2365" t="s">
        <v>4000</v>
      </c>
      <c r="D2365" s="3" t="s">
        <v>7312</v>
      </c>
      <c r="E2365" t="s">
        <v>4001</v>
      </c>
      <c r="F2365" s="3" t="s">
        <v>4002</v>
      </c>
      <c r="G2365" t="s">
        <v>24</v>
      </c>
      <c r="H2365" s="3" t="s">
        <v>4006</v>
      </c>
      <c r="I2365" t="s">
        <v>162</v>
      </c>
      <c r="J2365" s="3" t="s">
        <v>4007</v>
      </c>
      <c r="K2365" s="4">
        <v>298</v>
      </c>
      <c r="L2365" s="5">
        <v>13.55</v>
      </c>
      <c r="M2365" s="6">
        <v>0</v>
      </c>
      <c r="N2365" s="7">
        <v>0</v>
      </c>
      <c r="O2365" t="s">
        <v>4008</v>
      </c>
      <c r="P2365" s="3" t="s">
        <v>46</v>
      </c>
      <c r="Q2365" s="8">
        <v>0.15646699999999999</v>
      </c>
    </row>
    <row r="2366" spans="1:17" hidden="1" x14ac:dyDescent="0.55000000000000004">
      <c r="A2366" s="3" t="s">
        <v>3840</v>
      </c>
      <c r="B2366" s="3" t="s">
        <v>4009</v>
      </c>
      <c r="C2366" t="s">
        <v>4009</v>
      </c>
      <c r="D2366" s="3" t="s">
        <v>7312</v>
      </c>
      <c r="E2366" t="s">
        <v>4010</v>
      </c>
      <c r="F2366" s="3" t="s">
        <v>4011</v>
      </c>
      <c r="G2366" t="s">
        <v>19</v>
      </c>
      <c r="H2366" s="3" t="s">
        <v>4012</v>
      </c>
      <c r="I2366" t="s">
        <v>3862</v>
      </c>
      <c r="J2366" s="3" t="s">
        <v>4013</v>
      </c>
      <c r="K2366" s="4">
        <v>82</v>
      </c>
      <c r="L2366" s="5">
        <v>17.72</v>
      </c>
      <c r="M2366" s="6">
        <v>1</v>
      </c>
      <c r="N2366" s="7">
        <v>0</v>
      </c>
      <c r="O2366" t="s">
        <v>4014</v>
      </c>
      <c r="P2366" s="3" t="s">
        <v>1770</v>
      </c>
      <c r="Q2366" s="8">
        <v>2.9364000000000001E-2</v>
      </c>
    </row>
    <row r="2367" spans="1:17" hidden="1" x14ac:dyDescent="0.55000000000000004">
      <c r="A2367" s="3" t="s">
        <v>3840</v>
      </c>
      <c r="B2367" s="3" t="s">
        <v>4009</v>
      </c>
      <c r="C2367" t="s">
        <v>4009</v>
      </c>
      <c r="D2367" s="3" t="s">
        <v>7312</v>
      </c>
      <c r="E2367" t="s">
        <v>4010</v>
      </c>
      <c r="F2367" s="3" t="s">
        <v>4011</v>
      </c>
      <c r="G2367" t="s">
        <v>24</v>
      </c>
      <c r="H2367" s="3" t="s">
        <v>4015</v>
      </c>
      <c r="I2367" t="s">
        <v>37</v>
      </c>
      <c r="J2367" s="3" t="s">
        <v>4016</v>
      </c>
      <c r="K2367" s="4">
        <v>292</v>
      </c>
      <c r="L2367" s="5">
        <v>13.28</v>
      </c>
      <c r="M2367" s="6">
        <v>0</v>
      </c>
      <c r="N2367" s="7">
        <v>0</v>
      </c>
      <c r="O2367" t="s">
        <v>4017</v>
      </c>
      <c r="P2367" s="3" t="s">
        <v>40</v>
      </c>
      <c r="Q2367" s="8">
        <v>0.18095800000000001</v>
      </c>
    </row>
    <row r="2368" spans="1:17" hidden="1" x14ac:dyDescent="0.55000000000000004">
      <c r="A2368" s="3" t="s">
        <v>3840</v>
      </c>
      <c r="B2368" s="3" t="s">
        <v>4009</v>
      </c>
      <c r="C2368" t="s">
        <v>4009</v>
      </c>
      <c r="D2368" s="3" t="s">
        <v>7312</v>
      </c>
      <c r="E2368" t="s">
        <v>4018</v>
      </c>
      <c r="F2368" s="3" t="s">
        <v>4019</v>
      </c>
      <c r="G2368" t="s">
        <v>24</v>
      </c>
      <c r="H2368" s="3" t="s">
        <v>4015</v>
      </c>
      <c r="I2368" t="s">
        <v>37</v>
      </c>
      <c r="J2368" s="3" t="s">
        <v>4016</v>
      </c>
      <c r="K2368" s="4">
        <v>292</v>
      </c>
      <c r="L2368" s="5">
        <v>13.28</v>
      </c>
      <c r="M2368" s="6">
        <v>0</v>
      </c>
      <c r="N2368" s="7">
        <v>0</v>
      </c>
      <c r="O2368" t="s">
        <v>4017</v>
      </c>
      <c r="P2368" s="3" t="s">
        <v>40</v>
      </c>
      <c r="Q2368" s="8">
        <v>0.18095800000000001</v>
      </c>
    </row>
    <row r="2369" spans="1:17" hidden="1" x14ac:dyDescent="0.55000000000000004">
      <c r="A2369" s="3" t="s">
        <v>3840</v>
      </c>
      <c r="B2369" s="3" t="s">
        <v>4009</v>
      </c>
      <c r="C2369" t="s">
        <v>4009</v>
      </c>
      <c r="D2369" s="3" t="s">
        <v>7312</v>
      </c>
      <c r="E2369" t="s">
        <v>4020</v>
      </c>
      <c r="F2369" s="3" t="s">
        <v>4021</v>
      </c>
      <c r="G2369" t="s">
        <v>19</v>
      </c>
      <c r="H2369" s="3" t="s">
        <v>4022</v>
      </c>
      <c r="I2369" t="s">
        <v>3862</v>
      </c>
      <c r="J2369" s="3" t="s">
        <v>4023</v>
      </c>
      <c r="K2369" s="4">
        <v>80</v>
      </c>
      <c r="L2369" s="5">
        <v>17.43</v>
      </c>
      <c r="M2369" s="6">
        <v>1</v>
      </c>
      <c r="N2369" s="7">
        <v>1</v>
      </c>
      <c r="O2369" t="s">
        <v>4024</v>
      </c>
      <c r="P2369" s="3" t="s">
        <v>1770</v>
      </c>
      <c r="Q2369" s="8">
        <v>2.9364000000000001E-2</v>
      </c>
    </row>
    <row r="2370" spans="1:17" hidden="1" x14ac:dyDescent="0.55000000000000004">
      <c r="A2370" s="3" t="s">
        <v>3840</v>
      </c>
      <c r="B2370" s="3" t="s">
        <v>4009</v>
      </c>
      <c r="C2370" t="s">
        <v>4009</v>
      </c>
      <c r="D2370" s="3" t="s">
        <v>7312</v>
      </c>
      <c r="E2370" t="s">
        <v>4020</v>
      </c>
      <c r="F2370" s="3" t="s">
        <v>4021</v>
      </c>
      <c r="G2370" t="s">
        <v>19</v>
      </c>
      <c r="H2370" s="3" t="s">
        <v>23</v>
      </c>
      <c r="I2370" t="s">
        <v>67</v>
      </c>
      <c r="J2370" s="3" t="s">
        <v>4025</v>
      </c>
      <c r="K2370" s="4" t="s">
        <v>23</v>
      </c>
      <c r="L2370" s="5" t="s">
        <v>23</v>
      </c>
      <c r="M2370" s="6">
        <v>0</v>
      </c>
      <c r="N2370" s="7">
        <v>1</v>
      </c>
      <c r="O2370" t="s">
        <v>23</v>
      </c>
      <c r="P2370" s="3" t="s">
        <v>23</v>
      </c>
      <c r="Q2370" s="8" t="s">
        <v>23</v>
      </c>
    </row>
    <row r="2371" spans="1:17" hidden="1" x14ac:dyDescent="0.55000000000000004">
      <c r="A2371" s="3" t="s">
        <v>3840</v>
      </c>
      <c r="B2371" s="3" t="s">
        <v>4009</v>
      </c>
      <c r="C2371" t="s">
        <v>4009</v>
      </c>
      <c r="D2371" s="3" t="s">
        <v>7312</v>
      </c>
      <c r="E2371" t="s">
        <v>4020</v>
      </c>
      <c r="F2371" s="3" t="s">
        <v>4021</v>
      </c>
      <c r="G2371" t="s">
        <v>19</v>
      </c>
      <c r="H2371" s="3" t="s">
        <v>23</v>
      </c>
      <c r="I2371" t="s">
        <v>67</v>
      </c>
      <c r="J2371" s="3" t="s">
        <v>4026</v>
      </c>
      <c r="K2371" s="4" t="s">
        <v>23</v>
      </c>
      <c r="L2371" s="5" t="s">
        <v>23</v>
      </c>
      <c r="M2371" s="6">
        <v>0</v>
      </c>
      <c r="N2371" s="7">
        <v>1</v>
      </c>
      <c r="O2371" t="s">
        <v>23</v>
      </c>
      <c r="P2371" s="3" t="s">
        <v>23</v>
      </c>
      <c r="Q2371" s="8" t="s">
        <v>23</v>
      </c>
    </row>
    <row r="2372" spans="1:17" hidden="1" x14ac:dyDescent="0.55000000000000004">
      <c r="A2372" s="3" t="s">
        <v>3840</v>
      </c>
      <c r="B2372" s="3" t="s">
        <v>4009</v>
      </c>
      <c r="C2372" t="s">
        <v>4009</v>
      </c>
      <c r="D2372" s="3" t="s">
        <v>7312</v>
      </c>
      <c r="E2372" t="s">
        <v>4020</v>
      </c>
      <c r="F2372" s="3" t="s">
        <v>4021</v>
      </c>
      <c r="G2372" t="s">
        <v>19</v>
      </c>
      <c r="H2372" s="3" t="s">
        <v>23</v>
      </c>
      <c r="I2372" t="s">
        <v>67</v>
      </c>
      <c r="J2372" s="3" t="s">
        <v>3902</v>
      </c>
      <c r="K2372" s="4" t="s">
        <v>23</v>
      </c>
      <c r="L2372" s="5" t="s">
        <v>23</v>
      </c>
      <c r="M2372" s="6">
        <v>0</v>
      </c>
      <c r="N2372" s="7">
        <v>1</v>
      </c>
      <c r="O2372" t="s">
        <v>23</v>
      </c>
      <c r="P2372" s="3" t="s">
        <v>23</v>
      </c>
      <c r="Q2372" s="8" t="s">
        <v>23</v>
      </c>
    </row>
    <row r="2373" spans="1:17" hidden="1" x14ac:dyDescent="0.55000000000000004">
      <c r="A2373" s="3" t="s">
        <v>3840</v>
      </c>
      <c r="B2373" s="3" t="s">
        <v>4009</v>
      </c>
      <c r="C2373" t="s">
        <v>4009</v>
      </c>
      <c r="D2373" s="3" t="s">
        <v>7312</v>
      </c>
      <c r="E2373" t="s">
        <v>4020</v>
      </c>
      <c r="F2373" s="3" t="s">
        <v>4021</v>
      </c>
      <c r="G2373" t="s">
        <v>24</v>
      </c>
      <c r="H2373" s="3" t="s">
        <v>4015</v>
      </c>
      <c r="I2373" t="s">
        <v>37</v>
      </c>
      <c r="J2373" s="3" t="s">
        <v>4016</v>
      </c>
      <c r="K2373" s="4">
        <v>292</v>
      </c>
      <c r="L2373" s="5">
        <v>13.28</v>
      </c>
      <c r="M2373" s="6">
        <v>0</v>
      </c>
      <c r="N2373" s="7">
        <v>1</v>
      </c>
      <c r="O2373" t="s">
        <v>4017</v>
      </c>
      <c r="P2373" s="3" t="s">
        <v>40</v>
      </c>
      <c r="Q2373" s="8">
        <v>0.18095800000000001</v>
      </c>
    </row>
    <row r="2374" spans="1:17" hidden="1" x14ac:dyDescent="0.55000000000000004">
      <c r="A2374" s="3" t="s">
        <v>3840</v>
      </c>
      <c r="B2374" s="3" t="s">
        <v>4009</v>
      </c>
      <c r="C2374" t="s">
        <v>4009</v>
      </c>
      <c r="D2374" s="3" t="s">
        <v>7312</v>
      </c>
      <c r="E2374" t="s">
        <v>4020</v>
      </c>
      <c r="F2374" s="3" t="s">
        <v>4021</v>
      </c>
      <c r="G2374" t="s">
        <v>24</v>
      </c>
      <c r="H2374" s="3" t="s">
        <v>4027</v>
      </c>
      <c r="I2374" t="s">
        <v>48</v>
      </c>
      <c r="J2374" s="3" t="s">
        <v>4028</v>
      </c>
      <c r="K2374" s="4">
        <v>282</v>
      </c>
      <c r="L2374" s="5">
        <v>12.83</v>
      </c>
      <c r="M2374" s="6">
        <v>0</v>
      </c>
      <c r="N2374" s="7">
        <v>1</v>
      </c>
      <c r="O2374" t="s">
        <v>4029</v>
      </c>
      <c r="P2374" s="3" t="s">
        <v>23</v>
      </c>
      <c r="Q2374" s="8" t="s">
        <v>23</v>
      </c>
    </row>
    <row r="2375" spans="1:17" hidden="1" x14ac:dyDescent="0.55000000000000004">
      <c r="A2375" s="3" t="s">
        <v>3840</v>
      </c>
      <c r="B2375" s="3" t="s">
        <v>7376</v>
      </c>
      <c r="C2375" t="s">
        <v>4030</v>
      </c>
      <c r="D2375" s="3" t="s">
        <v>7312</v>
      </c>
      <c r="E2375" t="s">
        <v>4031</v>
      </c>
      <c r="F2375" s="3" t="s">
        <v>4032</v>
      </c>
      <c r="G2375" t="s">
        <v>19</v>
      </c>
      <c r="H2375" s="3" t="s">
        <v>4033</v>
      </c>
      <c r="I2375" t="s">
        <v>3862</v>
      </c>
      <c r="J2375" s="3" t="s">
        <v>4034</v>
      </c>
      <c r="K2375" s="4">
        <v>84</v>
      </c>
      <c r="L2375" s="5">
        <v>18.170000000000002</v>
      </c>
      <c r="M2375" s="6">
        <v>1</v>
      </c>
      <c r="N2375" s="7">
        <v>1</v>
      </c>
      <c r="O2375" t="s">
        <v>4035</v>
      </c>
      <c r="P2375" s="3" t="s">
        <v>3865</v>
      </c>
      <c r="Q2375" s="8">
        <v>2.2311999999999999E-2</v>
      </c>
    </row>
    <row r="2376" spans="1:17" hidden="1" x14ac:dyDescent="0.55000000000000004">
      <c r="A2376" s="3" t="s">
        <v>3840</v>
      </c>
      <c r="B2376" s="3" t="s">
        <v>7376</v>
      </c>
      <c r="C2376" t="s">
        <v>4030</v>
      </c>
      <c r="D2376" s="3" t="s">
        <v>7312</v>
      </c>
      <c r="E2376" t="s">
        <v>4031</v>
      </c>
      <c r="F2376" s="3" t="s">
        <v>4032</v>
      </c>
      <c r="G2376" t="s">
        <v>24</v>
      </c>
      <c r="H2376" s="3" t="s">
        <v>4036</v>
      </c>
      <c r="I2376" t="s">
        <v>43</v>
      </c>
      <c r="J2376" s="3" t="s">
        <v>4037</v>
      </c>
      <c r="K2376" s="4">
        <v>538</v>
      </c>
      <c r="L2376" s="5">
        <v>24.45</v>
      </c>
      <c r="M2376" s="6">
        <v>1</v>
      </c>
      <c r="N2376" s="7">
        <v>1</v>
      </c>
      <c r="O2376" t="s">
        <v>4038</v>
      </c>
      <c r="P2376" s="3" t="s">
        <v>46</v>
      </c>
      <c r="Q2376" s="8">
        <v>0.14363300000000001</v>
      </c>
    </row>
    <row r="2377" spans="1:17" hidden="1" x14ac:dyDescent="0.55000000000000004">
      <c r="A2377" s="3" t="s">
        <v>3840</v>
      </c>
      <c r="B2377" s="3" t="s">
        <v>7376</v>
      </c>
      <c r="C2377" t="s">
        <v>4030</v>
      </c>
      <c r="D2377" s="3" t="s">
        <v>7312</v>
      </c>
      <c r="E2377" t="s">
        <v>4031</v>
      </c>
      <c r="F2377" s="3" t="s">
        <v>4032</v>
      </c>
      <c r="G2377" t="s">
        <v>24</v>
      </c>
      <c r="H2377" s="3" t="s">
        <v>4039</v>
      </c>
      <c r="I2377" t="s">
        <v>48</v>
      </c>
      <c r="J2377" s="3" t="s">
        <v>4037</v>
      </c>
      <c r="K2377" s="4">
        <v>411</v>
      </c>
      <c r="L2377" s="5">
        <v>18.66</v>
      </c>
      <c r="M2377" s="6">
        <v>0</v>
      </c>
      <c r="N2377" s="7">
        <v>1</v>
      </c>
      <c r="O2377" t="s">
        <v>4040</v>
      </c>
      <c r="P2377" s="3" t="s">
        <v>23</v>
      </c>
      <c r="Q2377" s="8" t="s">
        <v>23</v>
      </c>
    </row>
    <row r="2378" spans="1:17" hidden="1" x14ac:dyDescent="0.55000000000000004">
      <c r="A2378" s="3" t="s">
        <v>3840</v>
      </c>
      <c r="B2378" s="3" t="s">
        <v>4041</v>
      </c>
      <c r="C2378" t="s">
        <v>4041</v>
      </c>
      <c r="D2378" s="3" t="s">
        <v>7312</v>
      </c>
      <c r="E2378" t="s">
        <v>4042</v>
      </c>
      <c r="F2378" s="3" t="s">
        <v>4043</v>
      </c>
      <c r="G2378" t="s">
        <v>24</v>
      </c>
      <c r="H2378" s="3" t="s">
        <v>4044</v>
      </c>
      <c r="I2378" t="s">
        <v>37</v>
      </c>
      <c r="J2378" s="3" t="s">
        <v>4045</v>
      </c>
      <c r="K2378" s="4">
        <v>512</v>
      </c>
      <c r="L2378" s="5">
        <v>23.28</v>
      </c>
      <c r="M2378" s="6">
        <v>1</v>
      </c>
      <c r="N2378" s="7">
        <v>0</v>
      </c>
      <c r="O2378" t="s">
        <v>4046</v>
      </c>
      <c r="P2378" s="3" t="s">
        <v>40</v>
      </c>
      <c r="Q2378" s="8">
        <v>0.18315300000000001</v>
      </c>
    </row>
    <row r="2379" spans="1:17" hidden="1" x14ac:dyDescent="0.55000000000000004">
      <c r="A2379" s="3" t="s">
        <v>3840</v>
      </c>
      <c r="B2379" s="3" t="s">
        <v>4047</v>
      </c>
      <c r="C2379" t="s">
        <v>4048</v>
      </c>
      <c r="D2379" s="3" t="s">
        <v>7312</v>
      </c>
      <c r="E2379" t="s">
        <v>4049</v>
      </c>
      <c r="F2379" s="3" t="s">
        <v>4050</v>
      </c>
      <c r="G2379" t="s">
        <v>24</v>
      </c>
      <c r="H2379" s="3" t="s">
        <v>4051</v>
      </c>
      <c r="I2379" t="s">
        <v>37</v>
      </c>
      <c r="J2379" s="3" t="s">
        <v>4052</v>
      </c>
      <c r="K2379" s="4">
        <v>503</v>
      </c>
      <c r="L2379" s="5">
        <v>22.84</v>
      </c>
      <c r="M2379" s="6">
        <v>1</v>
      </c>
      <c r="N2379" s="7">
        <v>0</v>
      </c>
      <c r="O2379" t="s">
        <v>4053</v>
      </c>
      <c r="P2379" s="3" t="s">
        <v>40</v>
      </c>
      <c r="Q2379" s="8">
        <v>0.183058</v>
      </c>
    </row>
    <row r="2380" spans="1:17" hidden="1" x14ac:dyDescent="0.55000000000000004">
      <c r="A2380" s="3" t="s">
        <v>3840</v>
      </c>
      <c r="B2380" s="3" t="s">
        <v>4054</v>
      </c>
      <c r="C2380" t="s">
        <v>4054</v>
      </c>
      <c r="D2380" s="3" t="s">
        <v>7312</v>
      </c>
      <c r="E2380" t="s">
        <v>4055</v>
      </c>
      <c r="F2380" s="3" t="s">
        <v>4056</v>
      </c>
      <c r="G2380" t="s">
        <v>24</v>
      </c>
      <c r="H2380" s="3" t="s">
        <v>4057</v>
      </c>
      <c r="I2380" t="s">
        <v>37</v>
      </c>
      <c r="J2380" s="3" t="s">
        <v>4058</v>
      </c>
      <c r="K2380" s="4">
        <v>530</v>
      </c>
      <c r="L2380" s="5">
        <v>24.08</v>
      </c>
      <c r="M2380" s="6">
        <v>1</v>
      </c>
      <c r="N2380" s="7">
        <v>0</v>
      </c>
      <c r="O2380" t="s">
        <v>4059</v>
      </c>
      <c r="P2380" s="3" t="s">
        <v>40</v>
      </c>
      <c r="Q2380" s="8">
        <v>0.18332899999999999</v>
      </c>
    </row>
    <row r="2381" spans="1:17" hidden="1" x14ac:dyDescent="0.55000000000000004">
      <c r="A2381" s="3" t="s">
        <v>3840</v>
      </c>
      <c r="B2381" s="3" t="s">
        <v>4060</v>
      </c>
      <c r="C2381" t="s">
        <v>4060</v>
      </c>
      <c r="D2381" s="3" t="s">
        <v>7312</v>
      </c>
      <c r="E2381" t="s">
        <v>4061</v>
      </c>
      <c r="F2381" s="3" t="s">
        <v>4062</v>
      </c>
      <c r="G2381" t="s">
        <v>19</v>
      </c>
      <c r="H2381" s="3" t="s">
        <v>4063</v>
      </c>
      <c r="I2381" t="s">
        <v>3862</v>
      </c>
      <c r="J2381" s="3" t="s">
        <v>4064</v>
      </c>
      <c r="K2381" s="4">
        <v>8</v>
      </c>
      <c r="L2381" s="5">
        <v>1.67</v>
      </c>
      <c r="M2381" s="6">
        <v>1</v>
      </c>
      <c r="N2381" s="7">
        <v>1</v>
      </c>
      <c r="O2381" t="s">
        <v>4065</v>
      </c>
      <c r="P2381" s="3" t="s">
        <v>3865</v>
      </c>
      <c r="Q2381" s="8">
        <v>8.4239999999999992E-3</v>
      </c>
    </row>
    <row r="2382" spans="1:17" hidden="1" x14ac:dyDescent="0.55000000000000004">
      <c r="A2382" s="3" t="s">
        <v>3840</v>
      </c>
      <c r="B2382" s="3" t="s">
        <v>4060</v>
      </c>
      <c r="C2382" t="s">
        <v>4060</v>
      </c>
      <c r="D2382" s="3" t="s">
        <v>7312</v>
      </c>
      <c r="E2382" t="s">
        <v>4061</v>
      </c>
      <c r="F2382" s="3" t="s">
        <v>4062</v>
      </c>
      <c r="G2382" t="s">
        <v>24</v>
      </c>
      <c r="H2382" s="3" t="s">
        <v>4066</v>
      </c>
      <c r="I2382" t="s">
        <v>48</v>
      </c>
      <c r="J2382" s="3" t="s">
        <v>4067</v>
      </c>
      <c r="K2382" s="4">
        <v>300</v>
      </c>
      <c r="L2382" s="5">
        <v>13.62</v>
      </c>
      <c r="M2382" s="6">
        <v>0</v>
      </c>
      <c r="N2382" s="7">
        <v>1</v>
      </c>
      <c r="O2382" t="s">
        <v>4068</v>
      </c>
      <c r="P2382" s="3" t="s">
        <v>23</v>
      </c>
      <c r="Q2382" s="8" t="s">
        <v>23</v>
      </c>
    </row>
    <row r="2383" spans="1:17" hidden="1" x14ac:dyDescent="0.55000000000000004">
      <c r="A2383" s="3" t="s">
        <v>3840</v>
      </c>
      <c r="B2383" s="3" t="s">
        <v>4060</v>
      </c>
      <c r="C2383" t="s">
        <v>4060</v>
      </c>
      <c r="D2383" s="3" t="s">
        <v>7312</v>
      </c>
      <c r="E2383" t="s">
        <v>4061</v>
      </c>
      <c r="F2383" s="3" t="s">
        <v>4062</v>
      </c>
      <c r="G2383" t="s">
        <v>24</v>
      </c>
      <c r="H2383" s="3" t="s">
        <v>4069</v>
      </c>
      <c r="I2383" t="s">
        <v>43</v>
      </c>
      <c r="J2383" s="3" t="s">
        <v>4067</v>
      </c>
      <c r="K2383" s="4">
        <v>443</v>
      </c>
      <c r="L2383" s="5">
        <v>20.13</v>
      </c>
      <c r="M2383" s="6">
        <v>0</v>
      </c>
      <c r="N2383" s="7">
        <v>1</v>
      </c>
      <c r="O2383" t="s">
        <v>4070</v>
      </c>
      <c r="P2383" s="3" t="s">
        <v>46</v>
      </c>
      <c r="Q2383" s="8">
        <v>0.137933</v>
      </c>
    </row>
    <row r="2384" spans="1:17" hidden="1" x14ac:dyDescent="0.55000000000000004">
      <c r="A2384" s="3" t="s">
        <v>3840</v>
      </c>
      <c r="B2384" s="3" t="s">
        <v>4060</v>
      </c>
      <c r="C2384" t="s">
        <v>4060</v>
      </c>
      <c r="D2384" s="3" t="s">
        <v>7312</v>
      </c>
      <c r="E2384" t="s">
        <v>4071</v>
      </c>
      <c r="F2384" s="3" t="s">
        <v>4072</v>
      </c>
      <c r="G2384" t="s">
        <v>24</v>
      </c>
      <c r="H2384" s="3" t="s">
        <v>4066</v>
      </c>
      <c r="I2384" t="s">
        <v>48</v>
      </c>
      <c r="J2384" s="3" t="s">
        <v>4067</v>
      </c>
      <c r="K2384" s="4">
        <v>300</v>
      </c>
      <c r="L2384" s="5">
        <v>13.62</v>
      </c>
      <c r="M2384" s="6">
        <v>0</v>
      </c>
      <c r="N2384" s="7">
        <v>0</v>
      </c>
      <c r="O2384" t="s">
        <v>4068</v>
      </c>
      <c r="P2384" s="3" t="s">
        <v>23</v>
      </c>
      <c r="Q2384" s="8" t="s">
        <v>23</v>
      </c>
    </row>
    <row r="2385" spans="1:17" hidden="1" x14ac:dyDescent="0.55000000000000004">
      <c r="A2385" s="3" t="s">
        <v>3840</v>
      </c>
      <c r="B2385" s="3" t="s">
        <v>4060</v>
      </c>
      <c r="C2385" t="s">
        <v>4060</v>
      </c>
      <c r="D2385" s="3" t="s">
        <v>7312</v>
      </c>
      <c r="E2385" t="s">
        <v>4071</v>
      </c>
      <c r="F2385" s="3" t="s">
        <v>4072</v>
      </c>
      <c r="G2385" t="s">
        <v>24</v>
      </c>
      <c r="H2385" s="3" t="s">
        <v>4069</v>
      </c>
      <c r="I2385" t="s">
        <v>43</v>
      </c>
      <c r="J2385" s="3" t="s">
        <v>4067</v>
      </c>
      <c r="K2385" s="4">
        <v>443</v>
      </c>
      <c r="L2385" s="5">
        <v>20.13</v>
      </c>
      <c r="M2385" s="6">
        <v>0</v>
      </c>
      <c r="N2385" s="7">
        <v>0</v>
      </c>
      <c r="O2385" t="s">
        <v>4070</v>
      </c>
      <c r="P2385" s="3" t="s">
        <v>46</v>
      </c>
      <c r="Q2385" s="8">
        <v>0.137933</v>
      </c>
    </row>
    <row r="2386" spans="1:17" hidden="1" x14ac:dyDescent="0.55000000000000004">
      <c r="A2386" s="3" t="s">
        <v>3840</v>
      </c>
      <c r="B2386" s="3" t="s">
        <v>7377</v>
      </c>
      <c r="C2386" t="s">
        <v>4060</v>
      </c>
      <c r="D2386" s="3" t="s">
        <v>7312</v>
      </c>
      <c r="E2386" t="s">
        <v>4073</v>
      </c>
      <c r="F2386" s="3" t="s">
        <v>4074</v>
      </c>
      <c r="G2386" t="s">
        <v>24</v>
      </c>
      <c r="H2386" s="3" t="s">
        <v>4066</v>
      </c>
      <c r="I2386" t="s">
        <v>48</v>
      </c>
      <c r="J2386" s="3" t="s">
        <v>4067</v>
      </c>
      <c r="K2386" s="4">
        <v>300</v>
      </c>
      <c r="L2386" s="5">
        <v>13.62</v>
      </c>
      <c r="M2386" s="6">
        <v>0</v>
      </c>
      <c r="N2386" s="7">
        <v>0</v>
      </c>
      <c r="O2386" t="s">
        <v>4068</v>
      </c>
      <c r="P2386" s="3" t="s">
        <v>23</v>
      </c>
      <c r="Q2386" s="8" t="s">
        <v>23</v>
      </c>
    </row>
    <row r="2387" spans="1:17" hidden="1" x14ac:dyDescent="0.55000000000000004">
      <c r="A2387" s="3" t="s">
        <v>3840</v>
      </c>
      <c r="B2387" s="3" t="s">
        <v>7377</v>
      </c>
      <c r="C2387" t="s">
        <v>4060</v>
      </c>
      <c r="D2387" s="3" t="s">
        <v>7312</v>
      </c>
      <c r="E2387" t="s">
        <v>4073</v>
      </c>
      <c r="F2387" s="3" t="s">
        <v>4074</v>
      </c>
      <c r="G2387" t="s">
        <v>24</v>
      </c>
      <c r="H2387" s="3" t="s">
        <v>4069</v>
      </c>
      <c r="I2387" t="s">
        <v>43</v>
      </c>
      <c r="J2387" s="3" t="s">
        <v>4067</v>
      </c>
      <c r="K2387" s="4">
        <v>443</v>
      </c>
      <c r="L2387" s="5">
        <v>20.13</v>
      </c>
      <c r="M2387" s="6">
        <v>0</v>
      </c>
      <c r="N2387" s="7">
        <v>0</v>
      </c>
      <c r="O2387" t="s">
        <v>4070</v>
      </c>
      <c r="P2387" s="3" t="s">
        <v>46</v>
      </c>
      <c r="Q2387" s="8">
        <v>0.137933</v>
      </c>
    </row>
    <row r="2388" spans="1:17" hidden="1" x14ac:dyDescent="0.55000000000000004">
      <c r="A2388" s="3" t="s">
        <v>3840</v>
      </c>
      <c r="B2388" s="3" t="s">
        <v>4060</v>
      </c>
      <c r="C2388" t="s">
        <v>4060</v>
      </c>
      <c r="D2388" s="3" t="s">
        <v>7312</v>
      </c>
      <c r="E2388" t="s">
        <v>4075</v>
      </c>
      <c r="F2388" s="3" t="s">
        <v>4076</v>
      </c>
      <c r="G2388" t="s">
        <v>24</v>
      </c>
      <c r="H2388" s="3" t="s">
        <v>4066</v>
      </c>
      <c r="I2388" t="s">
        <v>48</v>
      </c>
      <c r="J2388" s="3" t="s">
        <v>4067</v>
      </c>
      <c r="K2388" s="4">
        <v>300</v>
      </c>
      <c r="L2388" s="5">
        <v>13.62</v>
      </c>
      <c r="M2388" s="6">
        <v>0</v>
      </c>
      <c r="N2388" s="7">
        <v>0</v>
      </c>
      <c r="O2388" t="s">
        <v>4068</v>
      </c>
      <c r="P2388" s="3" t="s">
        <v>23</v>
      </c>
      <c r="Q2388" s="8" t="s">
        <v>23</v>
      </c>
    </row>
    <row r="2389" spans="1:17" hidden="1" x14ac:dyDescent="0.55000000000000004">
      <c r="A2389" s="3" t="s">
        <v>3840</v>
      </c>
      <c r="B2389" s="3" t="s">
        <v>4060</v>
      </c>
      <c r="C2389" t="s">
        <v>4060</v>
      </c>
      <c r="D2389" s="3" t="s">
        <v>7312</v>
      </c>
      <c r="E2389" t="s">
        <v>4075</v>
      </c>
      <c r="F2389" s="3" t="s">
        <v>4076</v>
      </c>
      <c r="G2389" t="s">
        <v>24</v>
      </c>
      <c r="H2389" s="3" t="s">
        <v>4069</v>
      </c>
      <c r="I2389" t="s">
        <v>43</v>
      </c>
      <c r="J2389" s="3" t="s">
        <v>4067</v>
      </c>
      <c r="K2389" s="4">
        <v>443</v>
      </c>
      <c r="L2389" s="5">
        <v>20.13</v>
      </c>
      <c r="M2389" s="6">
        <v>0</v>
      </c>
      <c r="N2389" s="7">
        <v>0</v>
      </c>
      <c r="O2389" t="s">
        <v>4070</v>
      </c>
      <c r="P2389" s="3" t="s">
        <v>46</v>
      </c>
      <c r="Q2389" s="8">
        <v>0.137933</v>
      </c>
    </row>
    <row r="2390" spans="1:17" hidden="1" x14ac:dyDescent="0.55000000000000004">
      <c r="A2390" s="3" t="s">
        <v>3840</v>
      </c>
      <c r="B2390" s="3" t="s">
        <v>4060</v>
      </c>
      <c r="C2390" t="s">
        <v>4060</v>
      </c>
      <c r="D2390" s="3" t="s">
        <v>7312</v>
      </c>
      <c r="E2390" t="s">
        <v>4077</v>
      </c>
      <c r="F2390" s="3" t="s">
        <v>4078</v>
      </c>
      <c r="G2390" t="s">
        <v>24</v>
      </c>
      <c r="H2390" s="3" t="s">
        <v>4066</v>
      </c>
      <c r="I2390" t="s">
        <v>48</v>
      </c>
      <c r="J2390" s="3" t="s">
        <v>4067</v>
      </c>
      <c r="K2390" s="4">
        <v>300</v>
      </c>
      <c r="L2390" s="5">
        <v>13.62</v>
      </c>
      <c r="M2390" s="6">
        <v>0</v>
      </c>
      <c r="N2390" s="7">
        <v>0</v>
      </c>
      <c r="O2390" t="s">
        <v>4068</v>
      </c>
      <c r="P2390" s="3" t="s">
        <v>23</v>
      </c>
      <c r="Q2390" s="8" t="s">
        <v>23</v>
      </c>
    </row>
    <row r="2391" spans="1:17" hidden="1" x14ac:dyDescent="0.55000000000000004">
      <c r="A2391" s="3" t="s">
        <v>3840</v>
      </c>
      <c r="B2391" s="3" t="s">
        <v>4060</v>
      </c>
      <c r="C2391" t="s">
        <v>4060</v>
      </c>
      <c r="D2391" s="3" t="s">
        <v>7312</v>
      </c>
      <c r="E2391" t="s">
        <v>4077</v>
      </c>
      <c r="F2391" s="3" t="s">
        <v>4078</v>
      </c>
      <c r="G2391" t="s">
        <v>24</v>
      </c>
      <c r="H2391" s="3" t="s">
        <v>4069</v>
      </c>
      <c r="I2391" t="s">
        <v>43</v>
      </c>
      <c r="J2391" s="3" t="s">
        <v>4067</v>
      </c>
      <c r="K2391" s="4">
        <v>443</v>
      </c>
      <c r="L2391" s="5">
        <v>20.13</v>
      </c>
      <c r="M2391" s="6">
        <v>0</v>
      </c>
      <c r="N2391" s="7">
        <v>0</v>
      </c>
      <c r="O2391" t="s">
        <v>4070</v>
      </c>
      <c r="P2391" s="3" t="s">
        <v>46</v>
      </c>
      <c r="Q2391" s="8">
        <v>0.137933</v>
      </c>
    </row>
    <row r="2392" spans="1:17" hidden="1" x14ac:dyDescent="0.55000000000000004">
      <c r="A2392" s="3" t="s">
        <v>3840</v>
      </c>
      <c r="B2392" s="3" t="s">
        <v>4060</v>
      </c>
      <c r="C2392" t="s">
        <v>4060</v>
      </c>
      <c r="D2392" s="3" t="s">
        <v>7312</v>
      </c>
      <c r="E2392" t="s">
        <v>4079</v>
      </c>
      <c r="F2392" s="3" t="s">
        <v>4080</v>
      </c>
      <c r="G2392" t="s">
        <v>24</v>
      </c>
      <c r="H2392" s="3" t="s">
        <v>4066</v>
      </c>
      <c r="I2392" t="s">
        <v>48</v>
      </c>
      <c r="J2392" s="3" t="s">
        <v>4067</v>
      </c>
      <c r="K2392" s="4">
        <v>300</v>
      </c>
      <c r="L2392" s="5">
        <v>13.62</v>
      </c>
      <c r="M2392" s="6">
        <v>0</v>
      </c>
      <c r="N2392" s="7">
        <v>0</v>
      </c>
      <c r="O2392" t="s">
        <v>4068</v>
      </c>
      <c r="P2392" s="3" t="s">
        <v>23</v>
      </c>
      <c r="Q2392" s="8" t="s">
        <v>23</v>
      </c>
    </row>
    <row r="2393" spans="1:17" hidden="1" x14ac:dyDescent="0.55000000000000004">
      <c r="A2393" s="3" t="s">
        <v>3840</v>
      </c>
      <c r="B2393" s="3" t="s">
        <v>4060</v>
      </c>
      <c r="C2393" t="s">
        <v>4060</v>
      </c>
      <c r="D2393" s="3" t="s">
        <v>7312</v>
      </c>
      <c r="E2393" t="s">
        <v>4079</v>
      </c>
      <c r="F2393" s="3" t="s">
        <v>4080</v>
      </c>
      <c r="G2393" t="s">
        <v>24</v>
      </c>
      <c r="H2393" s="3" t="s">
        <v>4069</v>
      </c>
      <c r="I2393" t="s">
        <v>43</v>
      </c>
      <c r="J2393" s="3" t="s">
        <v>4067</v>
      </c>
      <c r="K2393" s="4">
        <v>443</v>
      </c>
      <c r="L2393" s="5">
        <v>20.13</v>
      </c>
      <c r="M2393" s="6">
        <v>0</v>
      </c>
      <c r="N2393" s="7">
        <v>0</v>
      </c>
      <c r="O2393" t="s">
        <v>4070</v>
      </c>
      <c r="P2393" s="3" t="s">
        <v>46</v>
      </c>
      <c r="Q2393" s="8">
        <v>0.137933</v>
      </c>
    </row>
    <row r="2394" spans="1:17" hidden="1" x14ac:dyDescent="0.55000000000000004">
      <c r="A2394" s="3" t="s">
        <v>3840</v>
      </c>
      <c r="B2394" s="3" t="s">
        <v>4048</v>
      </c>
      <c r="C2394" t="s">
        <v>4048</v>
      </c>
      <c r="D2394" s="3" t="s">
        <v>7312</v>
      </c>
      <c r="E2394" t="s">
        <v>4081</v>
      </c>
      <c r="F2394" s="3" t="s">
        <v>4082</v>
      </c>
      <c r="G2394" t="s">
        <v>24</v>
      </c>
      <c r="H2394" s="3" t="s">
        <v>4083</v>
      </c>
      <c r="I2394" t="s">
        <v>37</v>
      </c>
      <c r="J2394" s="3" t="s">
        <v>4084</v>
      </c>
      <c r="K2394" s="4">
        <v>512</v>
      </c>
      <c r="L2394" s="5">
        <v>23.26</v>
      </c>
      <c r="M2394" s="6">
        <v>1</v>
      </c>
      <c r="N2394" s="7">
        <v>0</v>
      </c>
      <c r="O2394" t="s">
        <v>4085</v>
      </c>
      <c r="P2394" s="3" t="s">
        <v>40</v>
      </c>
      <c r="Q2394" s="8">
        <v>0.18314900000000001</v>
      </c>
    </row>
    <row r="2395" spans="1:17" hidden="1" x14ac:dyDescent="0.55000000000000004">
      <c r="A2395" s="3" t="s">
        <v>3840</v>
      </c>
      <c r="B2395" s="3" t="s">
        <v>4048</v>
      </c>
      <c r="C2395" t="s">
        <v>4048</v>
      </c>
      <c r="D2395" s="3" t="s">
        <v>7312</v>
      </c>
      <c r="E2395" t="s">
        <v>4086</v>
      </c>
      <c r="F2395" s="3" t="s">
        <v>4087</v>
      </c>
      <c r="G2395" t="s">
        <v>19</v>
      </c>
      <c r="H2395" s="3" t="s">
        <v>4088</v>
      </c>
      <c r="I2395" t="s">
        <v>3845</v>
      </c>
      <c r="J2395" s="3" t="s">
        <v>4089</v>
      </c>
      <c r="K2395" s="4">
        <v>203</v>
      </c>
      <c r="L2395" s="5">
        <v>44.15</v>
      </c>
      <c r="M2395" s="6">
        <v>1</v>
      </c>
      <c r="N2395" s="7">
        <v>1</v>
      </c>
      <c r="O2395" t="s">
        <v>4090</v>
      </c>
      <c r="P2395" s="3" t="s">
        <v>4091</v>
      </c>
      <c r="Q2395" s="8">
        <v>4.8211999999999998E-2</v>
      </c>
    </row>
    <row r="2396" spans="1:17" hidden="1" x14ac:dyDescent="0.55000000000000004">
      <c r="A2396" s="9" t="s">
        <v>3840</v>
      </c>
      <c r="B2396" s="3" t="s">
        <v>4048</v>
      </c>
      <c r="C2396" t="s">
        <v>4048</v>
      </c>
      <c r="D2396" s="3" t="s">
        <v>7312</v>
      </c>
      <c r="E2396" t="s">
        <v>4086</v>
      </c>
      <c r="F2396" s="3" t="s">
        <v>4087</v>
      </c>
      <c r="G2396" t="s">
        <v>24</v>
      </c>
      <c r="H2396" s="3" t="s">
        <v>4083</v>
      </c>
      <c r="I2396" t="s">
        <v>37</v>
      </c>
      <c r="J2396" s="3" t="s">
        <v>4084</v>
      </c>
      <c r="K2396" s="4">
        <v>512</v>
      </c>
      <c r="L2396" s="5">
        <v>23.26</v>
      </c>
      <c r="M2396" s="6">
        <v>1</v>
      </c>
      <c r="N2396" s="7">
        <v>1</v>
      </c>
      <c r="O2396" t="s">
        <v>4085</v>
      </c>
      <c r="P2396" s="3" t="s">
        <v>40</v>
      </c>
      <c r="Q2396" s="8">
        <v>0.18314900000000001</v>
      </c>
    </row>
    <row r="2397" spans="1:17" hidden="1" x14ac:dyDescent="0.55000000000000004">
      <c r="A2397" s="3" t="s">
        <v>4092</v>
      </c>
      <c r="B2397" s="3" t="s">
        <v>4093</v>
      </c>
      <c r="C2397" t="s">
        <v>4093</v>
      </c>
      <c r="D2397" s="3" t="s">
        <v>7312</v>
      </c>
      <c r="E2397" t="s">
        <v>4094</v>
      </c>
      <c r="F2397" s="3" t="s">
        <v>4095</v>
      </c>
      <c r="G2397" t="s">
        <v>24</v>
      </c>
      <c r="H2397" s="3" t="s">
        <v>4096</v>
      </c>
      <c r="I2397" t="s">
        <v>52</v>
      </c>
      <c r="J2397" s="3" t="s">
        <v>4097</v>
      </c>
      <c r="K2397" s="4">
        <v>683</v>
      </c>
      <c r="L2397" s="5">
        <v>31.03</v>
      </c>
      <c r="M2397" s="6">
        <v>1</v>
      </c>
      <c r="N2397" s="7">
        <v>0</v>
      </c>
      <c r="O2397" t="s">
        <v>4098</v>
      </c>
      <c r="P2397" s="3" t="s">
        <v>55</v>
      </c>
      <c r="Q2397" s="8">
        <v>0.18485499999999999</v>
      </c>
    </row>
    <row r="2398" spans="1:17" hidden="1" x14ac:dyDescent="0.55000000000000004">
      <c r="A2398" s="3" t="s">
        <v>4092</v>
      </c>
      <c r="B2398" s="3" t="s">
        <v>4099</v>
      </c>
      <c r="C2398" t="s">
        <v>4099</v>
      </c>
      <c r="D2398" s="3" t="s">
        <v>7312</v>
      </c>
      <c r="E2398" t="s">
        <v>4100</v>
      </c>
      <c r="F2398" s="3" t="s">
        <v>4101</v>
      </c>
      <c r="G2398" t="s">
        <v>19</v>
      </c>
      <c r="H2398" s="3" t="s">
        <v>4102</v>
      </c>
      <c r="I2398" t="s">
        <v>209</v>
      </c>
      <c r="J2398" s="3" t="s">
        <v>4103</v>
      </c>
      <c r="K2398" s="4">
        <v>594</v>
      </c>
      <c r="L2398" s="5">
        <v>129.07</v>
      </c>
      <c r="M2398" s="6">
        <v>1</v>
      </c>
      <c r="N2398" s="7">
        <v>1</v>
      </c>
      <c r="O2398" t="s">
        <v>213</v>
      </c>
      <c r="P2398" s="3" t="s">
        <v>64</v>
      </c>
      <c r="Q2398" s="8">
        <v>6.7199999999999996E-2</v>
      </c>
    </row>
    <row r="2399" spans="1:17" hidden="1" x14ac:dyDescent="0.55000000000000004">
      <c r="A2399" s="3" t="s">
        <v>4092</v>
      </c>
      <c r="B2399" s="3" t="s">
        <v>4099</v>
      </c>
      <c r="C2399" t="s">
        <v>4099</v>
      </c>
      <c r="D2399" s="3" t="s">
        <v>7312</v>
      </c>
      <c r="E2399" t="s">
        <v>4100</v>
      </c>
      <c r="F2399" s="3" t="s">
        <v>4101</v>
      </c>
      <c r="G2399" t="s">
        <v>19</v>
      </c>
      <c r="H2399" s="3" t="s">
        <v>4102</v>
      </c>
      <c r="I2399" t="s">
        <v>209</v>
      </c>
      <c r="J2399" s="3" t="s">
        <v>4103</v>
      </c>
      <c r="K2399" s="4">
        <v>594</v>
      </c>
      <c r="L2399" s="5">
        <v>129.07</v>
      </c>
      <c r="M2399" s="6">
        <v>1</v>
      </c>
      <c r="N2399" s="7">
        <v>1</v>
      </c>
      <c r="O2399" t="s">
        <v>4104</v>
      </c>
      <c r="P2399" s="3" t="s">
        <v>212</v>
      </c>
      <c r="Q2399" s="8">
        <v>6.9040000000000004E-2</v>
      </c>
    </row>
    <row r="2400" spans="1:17" hidden="1" x14ac:dyDescent="0.55000000000000004">
      <c r="A2400" s="3" t="s">
        <v>4092</v>
      </c>
      <c r="B2400" s="3" t="s">
        <v>4099</v>
      </c>
      <c r="C2400" t="s">
        <v>4099</v>
      </c>
      <c r="D2400" s="3" t="s">
        <v>7312</v>
      </c>
      <c r="E2400" t="s">
        <v>4100</v>
      </c>
      <c r="F2400" s="3" t="s">
        <v>4101</v>
      </c>
      <c r="G2400" t="s">
        <v>24</v>
      </c>
      <c r="H2400" s="3" t="s">
        <v>4105</v>
      </c>
      <c r="I2400" t="s">
        <v>52</v>
      </c>
      <c r="J2400" s="3" t="s">
        <v>4106</v>
      </c>
      <c r="K2400" s="4">
        <v>496</v>
      </c>
      <c r="L2400" s="5">
        <v>22.54</v>
      </c>
      <c r="M2400" s="6">
        <v>1</v>
      </c>
      <c r="N2400" s="7">
        <v>1</v>
      </c>
      <c r="O2400" t="s">
        <v>4107</v>
      </c>
      <c r="P2400" s="3" t="s">
        <v>55</v>
      </c>
      <c r="Q2400" s="8">
        <v>0.18299199999999999</v>
      </c>
    </row>
    <row r="2401" spans="1:17" hidden="1" x14ac:dyDescent="0.55000000000000004">
      <c r="A2401" s="3" t="s">
        <v>4092</v>
      </c>
      <c r="B2401" s="3" t="s">
        <v>4108</v>
      </c>
      <c r="C2401" t="s">
        <v>4109</v>
      </c>
      <c r="D2401" s="3" t="s">
        <v>7312</v>
      </c>
      <c r="E2401" t="s">
        <v>4110</v>
      </c>
      <c r="F2401" s="3" t="s">
        <v>4111</v>
      </c>
      <c r="G2401" t="s">
        <v>19</v>
      </c>
      <c r="H2401" s="3" t="s">
        <v>4112</v>
      </c>
      <c r="I2401" t="s">
        <v>4113</v>
      </c>
      <c r="J2401" s="3" t="s">
        <v>4114</v>
      </c>
      <c r="K2401" s="4">
        <v>471</v>
      </c>
      <c r="L2401" s="5">
        <v>102.35</v>
      </c>
      <c r="M2401" s="6">
        <v>1</v>
      </c>
      <c r="N2401" s="7">
        <v>1</v>
      </c>
      <c r="O2401" t="s">
        <v>4115</v>
      </c>
      <c r="P2401" s="3" t="s">
        <v>1610</v>
      </c>
      <c r="Q2401" s="8">
        <v>7.1429000000000006E-2</v>
      </c>
    </row>
    <row r="2402" spans="1:17" hidden="1" x14ac:dyDescent="0.55000000000000004">
      <c r="A2402" s="3" t="s">
        <v>4092</v>
      </c>
      <c r="B2402" s="3" t="s">
        <v>4108</v>
      </c>
      <c r="C2402" t="s">
        <v>4109</v>
      </c>
      <c r="D2402" s="3" t="s">
        <v>7312</v>
      </c>
      <c r="E2402" t="s">
        <v>4110</v>
      </c>
      <c r="F2402" s="3" t="s">
        <v>4111</v>
      </c>
      <c r="G2402" t="s">
        <v>24</v>
      </c>
      <c r="H2402" s="3" t="s">
        <v>4116</v>
      </c>
      <c r="I2402" t="s">
        <v>52</v>
      </c>
      <c r="J2402" s="3" t="s">
        <v>4117</v>
      </c>
      <c r="K2402" s="4">
        <v>507</v>
      </c>
      <c r="L2402" s="5">
        <v>23.05</v>
      </c>
      <c r="M2402" s="6">
        <v>1</v>
      </c>
      <c r="N2402" s="7">
        <v>1</v>
      </c>
      <c r="O2402" t="s">
        <v>4118</v>
      </c>
      <c r="P2402" s="3" t="s">
        <v>55</v>
      </c>
      <c r="Q2402" s="8">
        <v>0.18310399999999999</v>
      </c>
    </row>
    <row r="2403" spans="1:17" hidden="1" x14ac:dyDescent="0.55000000000000004">
      <c r="A2403" s="3" t="s">
        <v>4092</v>
      </c>
      <c r="B2403" s="3" t="s">
        <v>4119</v>
      </c>
      <c r="C2403" t="s">
        <v>4119</v>
      </c>
      <c r="D2403" s="3" t="s">
        <v>7312</v>
      </c>
      <c r="E2403" t="s">
        <v>4120</v>
      </c>
      <c r="F2403" s="3" t="s">
        <v>4121</v>
      </c>
      <c r="G2403" t="s">
        <v>24</v>
      </c>
      <c r="H2403" s="3" t="s">
        <v>4122</v>
      </c>
      <c r="I2403" t="s">
        <v>52</v>
      </c>
      <c r="J2403" s="3" t="s">
        <v>4123</v>
      </c>
      <c r="K2403" s="4">
        <v>571</v>
      </c>
      <c r="L2403" s="5">
        <v>25.96</v>
      </c>
      <c r="M2403" s="6">
        <v>1</v>
      </c>
      <c r="N2403" s="7">
        <v>0</v>
      </c>
      <c r="O2403" t="s">
        <v>4124</v>
      </c>
      <c r="P2403" s="3" t="s">
        <v>55</v>
      </c>
      <c r="Q2403" s="8">
        <v>0.18374099999999999</v>
      </c>
    </row>
    <row r="2404" spans="1:17" hidden="1" x14ac:dyDescent="0.55000000000000004">
      <c r="A2404" s="3" t="s">
        <v>4092</v>
      </c>
      <c r="B2404" s="3" t="s">
        <v>4119</v>
      </c>
      <c r="C2404" t="s">
        <v>4119</v>
      </c>
      <c r="D2404" s="3" t="s">
        <v>7312</v>
      </c>
      <c r="E2404" t="s">
        <v>4125</v>
      </c>
      <c r="F2404" s="3" t="s">
        <v>4126</v>
      </c>
      <c r="G2404" t="s">
        <v>19</v>
      </c>
      <c r="H2404" s="3" t="s">
        <v>4127</v>
      </c>
      <c r="I2404" t="s">
        <v>209</v>
      </c>
      <c r="J2404" s="3" t="s">
        <v>4128</v>
      </c>
      <c r="K2404" s="4">
        <v>521</v>
      </c>
      <c r="L2404" s="5">
        <v>113.35</v>
      </c>
      <c r="M2404" s="6">
        <v>1</v>
      </c>
      <c r="N2404" s="7">
        <v>1</v>
      </c>
      <c r="O2404" t="s">
        <v>213</v>
      </c>
      <c r="P2404" s="3" t="s">
        <v>64</v>
      </c>
      <c r="Q2404" s="8">
        <v>6.7199999999999996E-2</v>
      </c>
    </row>
    <row r="2405" spans="1:17" hidden="1" x14ac:dyDescent="0.55000000000000004">
      <c r="A2405" s="3" t="s">
        <v>4092</v>
      </c>
      <c r="B2405" s="3" t="s">
        <v>4119</v>
      </c>
      <c r="C2405" t="s">
        <v>4119</v>
      </c>
      <c r="D2405" s="3" t="s">
        <v>7312</v>
      </c>
      <c r="E2405" t="s">
        <v>4125</v>
      </c>
      <c r="F2405" s="3" t="s">
        <v>4126</v>
      </c>
      <c r="G2405" t="s">
        <v>19</v>
      </c>
      <c r="H2405" s="3" t="s">
        <v>4127</v>
      </c>
      <c r="I2405" t="s">
        <v>209</v>
      </c>
      <c r="J2405" s="3" t="s">
        <v>4128</v>
      </c>
      <c r="K2405" s="4">
        <v>521</v>
      </c>
      <c r="L2405" s="5">
        <v>113.35</v>
      </c>
      <c r="M2405" s="6">
        <v>1</v>
      </c>
      <c r="N2405" s="7">
        <v>1</v>
      </c>
      <c r="O2405" t="s">
        <v>4129</v>
      </c>
      <c r="P2405" s="3" t="s">
        <v>212</v>
      </c>
      <c r="Q2405" s="8">
        <v>4.1102E-2</v>
      </c>
    </row>
    <row r="2406" spans="1:17" hidden="1" x14ac:dyDescent="0.55000000000000004">
      <c r="A2406" s="3" t="s">
        <v>4092</v>
      </c>
      <c r="B2406" s="3" t="s">
        <v>4119</v>
      </c>
      <c r="C2406" t="s">
        <v>4119</v>
      </c>
      <c r="D2406" s="3" t="s">
        <v>7312</v>
      </c>
      <c r="E2406" t="s">
        <v>4125</v>
      </c>
      <c r="F2406" s="3" t="s">
        <v>4126</v>
      </c>
      <c r="G2406" t="s">
        <v>19</v>
      </c>
      <c r="H2406" s="3" t="s">
        <v>23</v>
      </c>
      <c r="I2406" t="s">
        <v>67</v>
      </c>
      <c r="J2406" s="3" t="s">
        <v>4130</v>
      </c>
      <c r="K2406" s="4" t="s">
        <v>23</v>
      </c>
      <c r="L2406" s="5" t="s">
        <v>23</v>
      </c>
      <c r="M2406" s="6">
        <v>0</v>
      </c>
      <c r="N2406" s="7">
        <v>1</v>
      </c>
      <c r="O2406" t="s">
        <v>23</v>
      </c>
      <c r="P2406" s="3" t="s">
        <v>23</v>
      </c>
      <c r="Q2406" s="8" t="s">
        <v>23</v>
      </c>
    </row>
    <row r="2407" spans="1:17" hidden="1" x14ac:dyDescent="0.55000000000000004">
      <c r="A2407" s="3" t="s">
        <v>4092</v>
      </c>
      <c r="B2407" s="3" t="s">
        <v>4119</v>
      </c>
      <c r="C2407" t="s">
        <v>4119</v>
      </c>
      <c r="D2407" s="3" t="s">
        <v>7312</v>
      </c>
      <c r="E2407" t="s">
        <v>4125</v>
      </c>
      <c r="F2407" s="3" t="s">
        <v>4126</v>
      </c>
      <c r="G2407" t="s">
        <v>24</v>
      </c>
      <c r="H2407" s="3" t="s">
        <v>4122</v>
      </c>
      <c r="I2407" t="s">
        <v>52</v>
      </c>
      <c r="J2407" s="3" t="s">
        <v>4123</v>
      </c>
      <c r="K2407" s="4">
        <v>571</v>
      </c>
      <c r="L2407" s="5">
        <v>25.96</v>
      </c>
      <c r="M2407" s="6">
        <v>1</v>
      </c>
      <c r="N2407" s="7">
        <v>1</v>
      </c>
      <c r="O2407" t="s">
        <v>4124</v>
      </c>
      <c r="P2407" s="3" t="s">
        <v>55</v>
      </c>
      <c r="Q2407" s="8">
        <v>0.18374099999999999</v>
      </c>
    </row>
    <row r="2408" spans="1:17" hidden="1" x14ac:dyDescent="0.55000000000000004">
      <c r="A2408" s="3" t="s">
        <v>4092</v>
      </c>
      <c r="B2408" s="3" t="s">
        <v>4119</v>
      </c>
      <c r="C2408" t="s">
        <v>4119</v>
      </c>
      <c r="D2408" s="3" t="s">
        <v>7312</v>
      </c>
      <c r="E2408" t="s">
        <v>4131</v>
      </c>
      <c r="F2408" s="3" t="s">
        <v>4132</v>
      </c>
      <c r="G2408" t="s">
        <v>24</v>
      </c>
      <c r="H2408" s="3" t="s">
        <v>4122</v>
      </c>
      <c r="I2408" t="s">
        <v>52</v>
      </c>
      <c r="J2408" s="3" t="s">
        <v>4123</v>
      </c>
      <c r="K2408" s="4">
        <v>571</v>
      </c>
      <c r="L2408" s="5">
        <v>25.96</v>
      </c>
      <c r="M2408" s="6">
        <v>1</v>
      </c>
      <c r="N2408" s="7">
        <v>0</v>
      </c>
      <c r="O2408" t="s">
        <v>4124</v>
      </c>
      <c r="P2408" s="3" t="s">
        <v>55</v>
      </c>
      <c r="Q2408" s="8">
        <v>0.18374099999999999</v>
      </c>
    </row>
    <row r="2409" spans="1:17" hidden="1" x14ac:dyDescent="0.55000000000000004">
      <c r="A2409" s="3" t="s">
        <v>4092</v>
      </c>
      <c r="B2409" s="3" t="s">
        <v>4133</v>
      </c>
      <c r="C2409" t="s">
        <v>4133</v>
      </c>
      <c r="D2409" s="3" t="s">
        <v>7312</v>
      </c>
      <c r="E2409" t="s">
        <v>4134</v>
      </c>
      <c r="F2409" s="3" t="s">
        <v>4135</v>
      </c>
      <c r="G2409" t="s">
        <v>24</v>
      </c>
      <c r="H2409" s="3" t="s">
        <v>4136</v>
      </c>
      <c r="I2409" t="s">
        <v>52</v>
      </c>
      <c r="J2409" s="3" t="s">
        <v>4137</v>
      </c>
      <c r="K2409" s="4">
        <v>454</v>
      </c>
      <c r="L2409" s="5">
        <v>20.63</v>
      </c>
      <c r="M2409" s="6">
        <v>1</v>
      </c>
      <c r="N2409" s="7">
        <v>0</v>
      </c>
      <c r="O2409" t="s">
        <v>4138</v>
      </c>
      <c r="P2409" s="3" t="s">
        <v>55</v>
      </c>
      <c r="Q2409" s="8">
        <v>0.18257200000000001</v>
      </c>
    </row>
    <row r="2410" spans="1:17" hidden="1" x14ac:dyDescent="0.55000000000000004">
      <c r="A2410" s="3" t="s">
        <v>4092</v>
      </c>
      <c r="B2410" s="3" t="s">
        <v>4109</v>
      </c>
      <c r="C2410" t="s">
        <v>4109</v>
      </c>
      <c r="D2410" s="3" t="s">
        <v>7312</v>
      </c>
      <c r="E2410" t="s">
        <v>4139</v>
      </c>
      <c r="F2410" s="3" t="s">
        <v>4140</v>
      </c>
      <c r="G2410" t="s">
        <v>19</v>
      </c>
      <c r="H2410" s="3" t="s">
        <v>4141</v>
      </c>
      <c r="I2410" t="s">
        <v>4113</v>
      </c>
      <c r="J2410" s="3" t="s">
        <v>4142</v>
      </c>
      <c r="K2410" s="4">
        <v>480</v>
      </c>
      <c r="L2410" s="5">
        <v>104.28</v>
      </c>
      <c r="M2410" s="6">
        <v>1</v>
      </c>
      <c r="N2410" s="7">
        <v>0</v>
      </c>
      <c r="O2410" t="s">
        <v>4143</v>
      </c>
      <c r="P2410" s="3" t="s">
        <v>1610</v>
      </c>
      <c r="Q2410" s="8">
        <v>7.1429000000000006E-2</v>
      </c>
    </row>
    <row r="2411" spans="1:17" hidden="1" x14ac:dyDescent="0.55000000000000004">
      <c r="A2411" s="3" t="s">
        <v>4092</v>
      </c>
      <c r="B2411" s="3" t="s">
        <v>4109</v>
      </c>
      <c r="C2411" t="s">
        <v>4109</v>
      </c>
      <c r="D2411" s="3" t="s">
        <v>7312</v>
      </c>
      <c r="E2411" t="s">
        <v>4139</v>
      </c>
      <c r="F2411" s="3" t="s">
        <v>4140</v>
      </c>
      <c r="G2411" t="s">
        <v>24</v>
      </c>
      <c r="H2411" s="3" t="s">
        <v>4144</v>
      </c>
      <c r="I2411" t="s">
        <v>52</v>
      </c>
      <c r="J2411" s="3" t="s">
        <v>4145</v>
      </c>
      <c r="K2411" s="4">
        <v>495</v>
      </c>
      <c r="L2411" s="5">
        <v>22.5</v>
      </c>
      <c r="M2411" s="6">
        <v>1</v>
      </c>
      <c r="N2411" s="7">
        <v>0</v>
      </c>
      <c r="O2411" t="s">
        <v>4146</v>
      </c>
      <c r="P2411" s="3" t="s">
        <v>55</v>
      </c>
      <c r="Q2411" s="8">
        <v>0.18298300000000001</v>
      </c>
    </row>
    <row r="2412" spans="1:17" hidden="1" x14ac:dyDescent="0.55000000000000004">
      <c r="A2412" s="3" t="s">
        <v>4092</v>
      </c>
      <c r="B2412" s="3" t="s">
        <v>4109</v>
      </c>
      <c r="C2412" t="s">
        <v>4109</v>
      </c>
      <c r="D2412" s="3" t="s">
        <v>7312</v>
      </c>
      <c r="E2412" t="s">
        <v>4147</v>
      </c>
      <c r="F2412" s="3" t="s">
        <v>4148</v>
      </c>
      <c r="G2412" t="s">
        <v>19</v>
      </c>
      <c r="H2412" s="3" t="s">
        <v>4141</v>
      </c>
      <c r="I2412" t="s">
        <v>4113</v>
      </c>
      <c r="J2412" s="3" t="s">
        <v>4142</v>
      </c>
      <c r="K2412" s="4">
        <v>480</v>
      </c>
      <c r="L2412" s="5">
        <v>104.28</v>
      </c>
      <c r="M2412" s="6">
        <v>1</v>
      </c>
      <c r="N2412" s="7">
        <v>0</v>
      </c>
      <c r="O2412" t="s">
        <v>4143</v>
      </c>
      <c r="P2412" s="3" t="s">
        <v>1610</v>
      </c>
      <c r="Q2412" s="8">
        <v>7.1429000000000006E-2</v>
      </c>
    </row>
    <row r="2413" spans="1:17" hidden="1" x14ac:dyDescent="0.55000000000000004">
      <c r="A2413" s="3" t="s">
        <v>4092</v>
      </c>
      <c r="B2413" s="3" t="s">
        <v>4109</v>
      </c>
      <c r="C2413" t="s">
        <v>4109</v>
      </c>
      <c r="D2413" s="3" t="s">
        <v>7312</v>
      </c>
      <c r="E2413" t="s">
        <v>4147</v>
      </c>
      <c r="F2413" s="3" t="s">
        <v>4148</v>
      </c>
      <c r="G2413" t="s">
        <v>24</v>
      </c>
      <c r="H2413" s="3" t="s">
        <v>4144</v>
      </c>
      <c r="I2413" t="s">
        <v>52</v>
      </c>
      <c r="J2413" s="3" t="s">
        <v>4145</v>
      </c>
      <c r="K2413" s="4">
        <v>495</v>
      </c>
      <c r="L2413" s="5">
        <v>22.5</v>
      </c>
      <c r="M2413" s="6">
        <v>1</v>
      </c>
      <c r="N2413" s="7">
        <v>0</v>
      </c>
      <c r="O2413" t="s">
        <v>4146</v>
      </c>
      <c r="P2413" s="3" t="s">
        <v>55</v>
      </c>
      <c r="Q2413" s="8">
        <v>0.18298300000000001</v>
      </c>
    </row>
    <row r="2414" spans="1:17" hidden="1" x14ac:dyDescent="0.55000000000000004">
      <c r="A2414" s="3" t="s">
        <v>4092</v>
      </c>
      <c r="B2414" s="3" t="s">
        <v>4109</v>
      </c>
      <c r="C2414" t="s">
        <v>4109</v>
      </c>
      <c r="D2414" s="3" t="s">
        <v>7312</v>
      </c>
      <c r="E2414" t="s">
        <v>4149</v>
      </c>
      <c r="F2414" s="3" t="s">
        <v>4150</v>
      </c>
      <c r="G2414" t="s">
        <v>19</v>
      </c>
      <c r="H2414" s="3" t="s">
        <v>23</v>
      </c>
      <c r="I2414" t="s">
        <v>67</v>
      </c>
      <c r="J2414" s="3" t="s">
        <v>61</v>
      </c>
      <c r="K2414" s="4" t="s">
        <v>23</v>
      </c>
      <c r="L2414" s="5" t="s">
        <v>23</v>
      </c>
      <c r="M2414" s="6">
        <v>0</v>
      </c>
      <c r="N2414" s="7">
        <v>1</v>
      </c>
      <c r="O2414" t="s">
        <v>23</v>
      </c>
      <c r="P2414" s="3" t="s">
        <v>23</v>
      </c>
      <c r="Q2414" s="8" t="s">
        <v>23</v>
      </c>
    </row>
    <row r="2415" spans="1:17" hidden="1" x14ac:dyDescent="0.55000000000000004">
      <c r="A2415" s="3" t="s">
        <v>4092</v>
      </c>
      <c r="B2415" s="3" t="s">
        <v>4109</v>
      </c>
      <c r="C2415" t="s">
        <v>4109</v>
      </c>
      <c r="D2415" s="3" t="s">
        <v>7312</v>
      </c>
      <c r="E2415" t="s">
        <v>4149</v>
      </c>
      <c r="F2415" s="3" t="s">
        <v>4150</v>
      </c>
      <c r="G2415" t="s">
        <v>19</v>
      </c>
      <c r="H2415" s="3" t="s">
        <v>4141</v>
      </c>
      <c r="I2415" t="s">
        <v>4113</v>
      </c>
      <c r="J2415" s="3" t="s">
        <v>4142</v>
      </c>
      <c r="K2415" s="4">
        <v>480</v>
      </c>
      <c r="L2415" s="5">
        <v>104.28</v>
      </c>
      <c r="M2415" s="6">
        <v>1</v>
      </c>
      <c r="N2415" s="7">
        <v>1</v>
      </c>
      <c r="O2415" t="s">
        <v>4143</v>
      </c>
      <c r="P2415" s="3" t="s">
        <v>1610</v>
      </c>
      <c r="Q2415" s="8">
        <v>7.1429000000000006E-2</v>
      </c>
    </row>
    <row r="2416" spans="1:17" hidden="1" x14ac:dyDescent="0.55000000000000004">
      <c r="A2416" s="3" t="s">
        <v>4092</v>
      </c>
      <c r="B2416" s="3" t="s">
        <v>4109</v>
      </c>
      <c r="C2416" t="s">
        <v>4109</v>
      </c>
      <c r="D2416" s="3" t="s">
        <v>7312</v>
      </c>
      <c r="E2416" t="s">
        <v>4149</v>
      </c>
      <c r="F2416" s="3" t="s">
        <v>4150</v>
      </c>
      <c r="G2416" t="s">
        <v>19</v>
      </c>
      <c r="H2416" s="3" t="s">
        <v>4151</v>
      </c>
      <c r="I2416" t="s">
        <v>1227</v>
      </c>
      <c r="J2416" s="3" t="s">
        <v>1232</v>
      </c>
      <c r="K2416" s="4">
        <v>710</v>
      </c>
      <c r="L2416" s="5">
        <v>154.46</v>
      </c>
      <c r="M2416" s="6">
        <v>0</v>
      </c>
      <c r="N2416" s="7">
        <v>1</v>
      </c>
      <c r="O2416" t="s">
        <v>4152</v>
      </c>
      <c r="P2416" s="3" t="s">
        <v>212</v>
      </c>
      <c r="Q2416" s="8">
        <v>0.137155</v>
      </c>
    </row>
    <row r="2417" spans="1:17" hidden="1" x14ac:dyDescent="0.55000000000000004">
      <c r="A2417" s="3" t="s">
        <v>4092</v>
      </c>
      <c r="B2417" s="3" t="s">
        <v>4109</v>
      </c>
      <c r="C2417" t="s">
        <v>4109</v>
      </c>
      <c r="D2417" s="3" t="s">
        <v>7312</v>
      </c>
      <c r="E2417" t="s">
        <v>4149</v>
      </c>
      <c r="F2417" s="3" t="s">
        <v>4150</v>
      </c>
      <c r="G2417" t="s">
        <v>19</v>
      </c>
      <c r="H2417" s="3" t="s">
        <v>4153</v>
      </c>
      <c r="I2417" t="s">
        <v>686</v>
      </c>
      <c r="J2417" s="3" t="s">
        <v>1232</v>
      </c>
      <c r="K2417" s="4">
        <v>216</v>
      </c>
      <c r="L2417" s="5">
        <v>47.04</v>
      </c>
      <c r="M2417" s="6">
        <v>0</v>
      </c>
      <c r="N2417" s="7">
        <v>1</v>
      </c>
      <c r="O2417" t="s">
        <v>4154</v>
      </c>
      <c r="P2417" s="3" t="s">
        <v>212</v>
      </c>
      <c r="Q2417" s="8">
        <v>3.1621000000000003E-2</v>
      </c>
    </row>
    <row r="2418" spans="1:17" hidden="1" x14ac:dyDescent="0.55000000000000004">
      <c r="A2418" s="3" t="s">
        <v>4092</v>
      </c>
      <c r="B2418" s="3" t="s">
        <v>4109</v>
      </c>
      <c r="C2418" t="s">
        <v>4109</v>
      </c>
      <c r="D2418" s="3" t="s">
        <v>7312</v>
      </c>
      <c r="E2418" t="s">
        <v>4149</v>
      </c>
      <c r="F2418" s="3" t="s">
        <v>4150</v>
      </c>
      <c r="G2418" t="s">
        <v>19</v>
      </c>
      <c r="H2418" s="3" t="s">
        <v>4155</v>
      </c>
      <c r="I2418" t="s">
        <v>1223</v>
      </c>
      <c r="J2418" s="3" t="s">
        <v>1232</v>
      </c>
      <c r="K2418" s="4">
        <v>702</v>
      </c>
      <c r="L2418" s="5">
        <v>152.66999999999999</v>
      </c>
      <c r="M2418" s="6">
        <v>0</v>
      </c>
      <c r="N2418" s="7">
        <v>1</v>
      </c>
      <c r="O2418" t="s">
        <v>4156</v>
      </c>
      <c r="P2418" s="3" t="s">
        <v>212</v>
      </c>
      <c r="Q2418" s="8">
        <v>0.137155</v>
      </c>
    </row>
    <row r="2419" spans="1:17" hidden="1" x14ac:dyDescent="0.55000000000000004">
      <c r="A2419" s="3" t="s">
        <v>4092</v>
      </c>
      <c r="B2419" s="3" t="s">
        <v>4109</v>
      </c>
      <c r="C2419" t="s">
        <v>4109</v>
      </c>
      <c r="D2419" s="3" t="s">
        <v>7312</v>
      </c>
      <c r="E2419" t="s">
        <v>4149</v>
      </c>
      <c r="F2419" s="3" t="s">
        <v>4150</v>
      </c>
      <c r="G2419" t="s">
        <v>19</v>
      </c>
      <c r="H2419" s="3" t="s">
        <v>4157</v>
      </c>
      <c r="I2419" t="s">
        <v>209</v>
      </c>
      <c r="J2419" s="3" t="s">
        <v>4158</v>
      </c>
      <c r="K2419" s="4">
        <v>731</v>
      </c>
      <c r="L2419" s="5">
        <v>158.83000000000001</v>
      </c>
      <c r="M2419" s="6">
        <v>0</v>
      </c>
      <c r="N2419" s="7">
        <v>1</v>
      </c>
      <c r="O2419" t="s">
        <v>4159</v>
      </c>
      <c r="P2419" s="3" t="s">
        <v>64</v>
      </c>
      <c r="Q2419" s="8">
        <v>5.8164E-2</v>
      </c>
    </row>
    <row r="2420" spans="1:17" hidden="1" x14ac:dyDescent="0.55000000000000004">
      <c r="A2420" s="3" t="s">
        <v>4092</v>
      </c>
      <c r="B2420" s="3" t="s">
        <v>4109</v>
      </c>
      <c r="C2420" t="s">
        <v>4109</v>
      </c>
      <c r="D2420" s="3" t="s">
        <v>7312</v>
      </c>
      <c r="E2420" t="s">
        <v>4149</v>
      </c>
      <c r="F2420" s="3" t="s">
        <v>4150</v>
      </c>
      <c r="G2420" t="s">
        <v>24</v>
      </c>
      <c r="H2420" s="3" t="s">
        <v>4144</v>
      </c>
      <c r="I2420" t="s">
        <v>52</v>
      </c>
      <c r="J2420" s="3" t="s">
        <v>4145</v>
      </c>
      <c r="K2420" s="4">
        <v>495</v>
      </c>
      <c r="L2420" s="5">
        <v>22.5</v>
      </c>
      <c r="M2420" s="6">
        <v>1</v>
      </c>
      <c r="N2420" s="7">
        <v>1</v>
      </c>
      <c r="O2420" t="s">
        <v>4146</v>
      </c>
      <c r="P2420" s="3" t="s">
        <v>55</v>
      </c>
      <c r="Q2420" s="8">
        <v>0.18298300000000001</v>
      </c>
    </row>
    <row r="2421" spans="1:17" hidden="1" x14ac:dyDescent="0.55000000000000004">
      <c r="A2421" s="9" t="s">
        <v>4092</v>
      </c>
      <c r="B2421" s="3" t="s">
        <v>4160</v>
      </c>
      <c r="C2421" t="s">
        <v>4160</v>
      </c>
      <c r="D2421" s="3" t="s">
        <v>7312</v>
      </c>
      <c r="E2421" t="s">
        <v>4161</v>
      </c>
      <c r="F2421" s="3" t="s">
        <v>4162</v>
      </c>
      <c r="G2421" t="s">
        <v>24</v>
      </c>
      <c r="H2421" s="3" t="s">
        <v>4163</v>
      </c>
      <c r="I2421" t="s">
        <v>52</v>
      </c>
      <c r="J2421" s="3" t="s">
        <v>4164</v>
      </c>
      <c r="K2421" s="4">
        <v>641</v>
      </c>
      <c r="L2421" s="5">
        <v>29.12</v>
      </c>
      <c r="M2421" s="6">
        <v>1</v>
      </c>
      <c r="N2421" s="7">
        <v>0</v>
      </c>
      <c r="O2421" t="s">
        <v>4165</v>
      </c>
      <c r="P2421" s="3" t="s">
        <v>55</v>
      </c>
      <c r="Q2421" s="8">
        <v>0.18443599999999999</v>
      </c>
    </row>
    <row r="2422" spans="1:17" hidden="1" x14ac:dyDescent="0.55000000000000004">
      <c r="A2422" s="3" t="s">
        <v>4166</v>
      </c>
      <c r="B2422" s="3" t="s">
        <v>4167</v>
      </c>
      <c r="C2422" t="s">
        <v>4167</v>
      </c>
      <c r="D2422" s="3" t="s">
        <v>7319</v>
      </c>
      <c r="E2422" t="s">
        <v>4168</v>
      </c>
      <c r="F2422" s="3" t="s">
        <v>4169</v>
      </c>
      <c r="G2422" t="s">
        <v>19</v>
      </c>
      <c r="H2422" s="3" t="s">
        <v>4170</v>
      </c>
      <c r="I2422" t="s">
        <v>4171</v>
      </c>
      <c r="J2422" s="3" t="s">
        <v>4172</v>
      </c>
      <c r="K2422" s="4">
        <v>115</v>
      </c>
      <c r="L2422" s="5">
        <v>24.93</v>
      </c>
      <c r="M2422" s="6">
        <v>1</v>
      </c>
      <c r="N2422" s="7">
        <v>0</v>
      </c>
      <c r="O2422" t="s">
        <v>4173</v>
      </c>
      <c r="P2422" s="3" t="s">
        <v>4174</v>
      </c>
      <c r="Q2422" s="8">
        <v>2.0882999999999999E-2</v>
      </c>
    </row>
    <row r="2423" spans="1:17" hidden="1" x14ac:dyDescent="0.55000000000000004">
      <c r="A2423" s="3" t="s">
        <v>4166</v>
      </c>
      <c r="B2423" s="3" t="s">
        <v>4167</v>
      </c>
      <c r="C2423" t="s">
        <v>4167</v>
      </c>
      <c r="D2423" s="3" t="s">
        <v>7319</v>
      </c>
      <c r="E2423" t="s">
        <v>4168</v>
      </c>
      <c r="F2423" s="3" t="s">
        <v>4169</v>
      </c>
      <c r="G2423" t="s">
        <v>24</v>
      </c>
      <c r="H2423" s="3" t="s">
        <v>4175</v>
      </c>
      <c r="I2423" t="s">
        <v>52</v>
      </c>
      <c r="J2423" s="3" t="s">
        <v>4176</v>
      </c>
      <c r="K2423" s="4">
        <v>1869</v>
      </c>
      <c r="L2423" s="5">
        <v>84.94</v>
      </c>
      <c r="M2423" s="6">
        <v>0</v>
      </c>
      <c r="N2423" s="7">
        <v>0</v>
      </c>
      <c r="O2423" t="s">
        <v>4177</v>
      </c>
      <c r="P2423" s="3" t="s">
        <v>55</v>
      </c>
      <c r="Q2423" s="8">
        <v>0.29669000000000001</v>
      </c>
    </row>
    <row r="2424" spans="1:17" hidden="1" x14ac:dyDescent="0.55000000000000004">
      <c r="A2424" s="3" t="s">
        <v>4166</v>
      </c>
      <c r="B2424" s="3" t="s">
        <v>4167</v>
      </c>
      <c r="C2424" t="s">
        <v>4167</v>
      </c>
      <c r="D2424" s="3" t="s">
        <v>7319</v>
      </c>
      <c r="E2424" t="s">
        <v>4168</v>
      </c>
      <c r="F2424" s="3" t="s">
        <v>4169</v>
      </c>
      <c r="G2424" t="s">
        <v>24</v>
      </c>
      <c r="H2424" s="3" t="s">
        <v>4178</v>
      </c>
      <c r="I2424" t="s">
        <v>26</v>
      </c>
      <c r="J2424" s="3" t="s">
        <v>4179</v>
      </c>
      <c r="K2424" s="4">
        <v>1397</v>
      </c>
      <c r="L2424" s="5">
        <v>63.49</v>
      </c>
      <c r="M2424" s="6">
        <v>1</v>
      </c>
      <c r="N2424" s="7">
        <v>0</v>
      </c>
      <c r="O2424" t="s">
        <v>4180</v>
      </c>
      <c r="P2424" s="3" t="s">
        <v>76</v>
      </c>
      <c r="Q2424" s="8">
        <v>0.29083300000000001</v>
      </c>
    </row>
    <row r="2425" spans="1:17" hidden="1" x14ac:dyDescent="0.55000000000000004">
      <c r="A2425" s="3" t="s">
        <v>4166</v>
      </c>
      <c r="B2425" s="3" t="s">
        <v>4181</v>
      </c>
      <c r="C2425" t="s">
        <v>4181</v>
      </c>
      <c r="D2425" s="3" t="s">
        <v>7319</v>
      </c>
      <c r="E2425" t="s">
        <v>4182</v>
      </c>
      <c r="F2425" s="3" t="s">
        <v>4183</v>
      </c>
      <c r="G2425" t="s">
        <v>24</v>
      </c>
      <c r="H2425" s="3" t="s">
        <v>4184</v>
      </c>
      <c r="I2425" t="s">
        <v>52</v>
      </c>
      <c r="J2425" s="3" t="s">
        <v>4185</v>
      </c>
      <c r="K2425" s="4">
        <v>1844</v>
      </c>
      <c r="L2425" s="5">
        <v>83.8</v>
      </c>
      <c r="M2425" s="6">
        <v>1</v>
      </c>
      <c r="N2425" s="7">
        <v>0</v>
      </c>
      <c r="O2425" t="s">
        <v>4186</v>
      </c>
      <c r="P2425" s="3" t="s">
        <v>55</v>
      </c>
      <c r="Q2425" s="8">
        <v>0.29643599999999998</v>
      </c>
    </row>
    <row r="2426" spans="1:17" hidden="1" x14ac:dyDescent="0.55000000000000004">
      <c r="A2426" s="3" t="s">
        <v>4166</v>
      </c>
      <c r="B2426" s="3" t="s">
        <v>4181</v>
      </c>
      <c r="C2426" t="s">
        <v>4181</v>
      </c>
      <c r="D2426" s="3" t="s">
        <v>7319</v>
      </c>
      <c r="E2426" t="s">
        <v>4182</v>
      </c>
      <c r="F2426" s="3" t="s">
        <v>4183</v>
      </c>
      <c r="G2426" t="s">
        <v>24</v>
      </c>
      <c r="H2426" s="3" t="s">
        <v>4187</v>
      </c>
      <c r="I2426" t="s">
        <v>26</v>
      </c>
      <c r="J2426" s="3" t="s">
        <v>4188</v>
      </c>
      <c r="K2426" s="4">
        <v>1766</v>
      </c>
      <c r="L2426" s="5">
        <v>80.27</v>
      </c>
      <c r="M2426" s="6">
        <v>0</v>
      </c>
      <c r="N2426" s="7">
        <v>0</v>
      </c>
      <c r="O2426" t="s">
        <v>4189</v>
      </c>
      <c r="P2426" s="3" t="s">
        <v>29</v>
      </c>
      <c r="Q2426" s="8">
        <v>0.29083300000000001</v>
      </c>
    </row>
    <row r="2427" spans="1:17" hidden="1" x14ac:dyDescent="0.55000000000000004">
      <c r="A2427" s="3" t="s">
        <v>4166</v>
      </c>
      <c r="B2427" s="3" t="s">
        <v>7378</v>
      </c>
      <c r="C2427" t="s">
        <v>4181</v>
      </c>
      <c r="D2427" s="3" t="s">
        <v>7319</v>
      </c>
      <c r="E2427" t="s">
        <v>4190</v>
      </c>
      <c r="F2427" s="3" t="s">
        <v>4191</v>
      </c>
      <c r="G2427" t="s">
        <v>19</v>
      </c>
      <c r="H2427" s="3" t="s">
        <v>23</v>
      </c>
      <c r="I2427" t="s">
        <v>67</v>
      </c>
      <c r="J2427" s="3" t="s">
        <v>4192</v>
      </c>
      <c r="K2427" s="4" t="s">
        <v>23</v>
      </c>
      <c r="L2427" s="5" t="s">
        <v>23</v>
      </c>
      <c r="M2427" s="6">
        <v>0</v>
      </c>
      <c r="N2427" s="7">
        <v>0</v>
      </c>
      <c r="O2427" t="s">
        <v>23</v>
      </c>
      <c r="P2427" s="3" t="s">
        <v>23</v>
      </c>
      <c r="Q2427" s="8" t="s">
        <v>23</v>
      </c>
    </row>
    <row r="2428" spans="1:17" hidden="1" x14ac:dyDescent="0.55000000000000004">
      <c r="A2428" s="3" t="s">
        <v>4166</v>
      </c>
      <c r="B2428" s="3" t="s">
        <v>7378</v>
      </c>
      <c r="C2428" t="s">
        <v>4181</v>
      </c>
      <c r="D2428" s="3" t="s">
        <v>7319</v>
      </c>
      <c r="E2428" t="s">
        <v>4190</v>
      </c>
      <c r="F2428" s="3" t="s">
        <v>4191</v>
      </c>
      <c r="G2428" t="s">
        <v>19</v>
      </c>
      <c r="H2428" s="3" t="s">
        <v>23</v>
      </c>
      <c r="I2428" t="s">
        <v>67</v>
      </c>
      <c r="J2428" s="3" t="s">
        <v>4171</v>
      </c>
      <c r="K2428" s="4" t="s">
        <v>23</v>
      </c>
      <c r="L2428" s="5" t="s">
        <v>23</v>
      </c>
      <c r="M2428" s="6">
        <v>0</v>
      </c>
      <c r="N2428" s="7">
        <v>0</v>
      </c>
      <c r="O2428" t="s">
        <v>23</v>
      </c>
      <c r="P2428" s="3" t="s">
        <v>23</v>
      </c>
      <c r="Q2428" s="8" t="s">
        <v>23</v>
      </c>
    </row>
    <row r="2429" spans="1:17" hidden="1" x14ac:dyDescent="0.55000000000000004">
      <c r="A2429" s="3" t="s">
        <v>4166</v>
      </c>
      <c r="B2429" s="3" t="s">
        <v>7378</v>
      </c>
      <c r="C2429" t="s">
        <v>4181</v>
      </c>
      <c r="D2429" s="3" t="s">
        <v>7319</v>
      </c>
      <c r="E2429" t="s">
        <v>4190</v>
      </c>
      <c r="F2429" s="3" t="s">
        <v>4191</v>
      </c>
      <c r="G2429" t="s">
        <v>24</v>
      </c>
      <c r="H2429" s="3" t="s">
        <v>4184</v>
      </c>
      <c r="I2429" t="s">
        <v>52</v>
      </c>
      <c r="J2429" s="3" t="s">
        <v>4185</v>
      </c>
      <c r="K2429" s="4">
        <v>1844</v>
      </c>
      <c r="L2429" s="5">
        <v>83.8</v>
      </c>
      <c r="M2429" s="6">
        <v>1</v>
      </c>
      <c r="N2429" s="7">
        <v>0</v>
      </c>
      <c r="O2429" t="s">
        <v>4186</v>
      </c>
      <c r="P2429" s="3" t="s">
        <v>55</v>
      </c>
      <c r="Q2429" s="8">
        <v>0.29643599999999998</v>
      </c>
    </row>
    <row r="2430" spans="1:17" hidden="1" x14ac:dyDescent="0.55000000000000004">
      <c r="A2430" s="3" t="s">
        <v>4166</v>
      </c>
      <c r="B2430" s="3" t="s">
        <v>7378</v>
      </c>
      <c r="C2430" t="s">
        <v>4181</v>
      </c>
      <c r="D2430" s="3" t="s">
        <v>7319</v>
      </c>
      <c r="E2430" t="s">
        <v>4190</v>
      </c>
      <c r="F2430" s="3" t="s">
        <v>4191</v>
      </c>
      <c r="G2430" t="s">
        <v>24</v>
      </c>
      <c r="H2430" s="3" t="s">
        <v>4187</v>
      </c>
      <c r="I2430" t="s">
        <v>26</v>
      </c>
      <c r="J2430" s="3" t="s">
        <v>4188</v>
      </c>
      <c r="K2430" s="4">
        <v>1766</v>
      </c>
      <c r="L2430" s="5">
        <v>80.27</v>
      </c>
      <c r="M2430" s="6">
        <v>0</v>
      </c>
      <c r="N2430" s="7">
        <v>0</v>
      </c>
      <c r="O2430" t="s">
        <v>4189</v>
      </c>
      <c r="P2430" s="3" t="s">
        <v>29</v>
      </c>
      <c r="Q2430" s="8">
        <v>0.29083300000000001</v>
      </c>
    </row>
    <row r="2431" spans="1:17" hidden="1" x14ac:dyDescent="0.55000000000000004">
      <c r="A2431" s="3" t="s">
        <v>4166</v>
      </c>
      <c r="B2431" s="3" t="s">
        <v>4181</v>
      </c>
      <c r="C2431" t="s">
        <v>4181</v>
      </c>
      <c r="D2431" s="3" t="s">
        <v>7319</v>
      </c>
      <c r="E2431" t="s">
        <v>4193</v>
      </c>
      <c r="F2431" s="3" t="s">
        <v>4194</v>
      </c>
      <c r="G2431" t="s">
        <v>24</v>
      </c>
      <c r="H2431" s="3" t="s">
        <v>4184</v>
      </c>
      <c r="I2431" t="s">
        <v>52</v>
      </c>
      <c r="J2431" s="3" t="s">
        <v>4185</v>
      </c>
      <c r="K2431" s="4">
        <v>1844</v>
      </c>
      <c r="L2431" s="5">
        <v>83.8</v>
      </c>
      <c r="M2431" s="6">
        <v>1</v>
      </c>
      <c r="N2431" s="7">
        <v>0</v>
      </c>
      <c r="O2431" t="s">
        <v>4186</v>
      </c>
      <c r="P2431" s="3" t="s">
        <v>55</v>
      </c>
      <c r="Q2431" s="8">
        <v>0.29643599999999998</v>
      </c>
    </row>
    <row r="2432" spans="1:17" hidden="1" x14ac:dyDescent="0.55000000000000004">
      <c r="A2432" s="3" t="s">
        <v>4166</v>
      </c>
      <c r="B2432" s="3" t="s">
        <v>4181</v>
      </c>
      <c r="C2432" t="s">
        <v>4181</v>
      </c>
      <c r="D2432" s="3" t="s">
        <v>7319</v>
      </c>
      <c r="E2432" t="s">
        <v>4193</v>
      </c>
      <c r="F2432" s="3" t="s">
        <v>4194</v>
      </c>
      <c r="G2432" t="s">
        <v>24</v>
      </c>
      <c r="H2432" s="3" t="s">
        <v>4187</v>
      </c>
      <c r="I2432" t="s">
        <v>26</v>
      </c>
      <c r="J2432" s="3" t="s">
        <v>4188</v>
      </c>
      <c r="K2432" s="4">
        <v>1766</v>
      </c>
      <c r="L2432" s="5">
        <v>80.27</v>
      </c>
      <c r="M2432" s="6">
        <v>0</v>
      </c>
      <c r="N2432" s="7">
        <v>0</v>
      </c>
      <c r="O2432" t="s">
        <v>4189</v>
      </c>
      <c r="P2432" s="3" t="s">
        <v>29</v>
      </c>
      <c r="Q2432" s="8">
        <v>0.29083300000000001</v>
      </c>
    </row>
    <row r="2433" spans="1:17" hidden="1" x14ac:dyDescent="0.55000000000000004">
      <c r="A2433" s="3" t="s">
        <v>4166</v>
      </c>
      <c r="B2433" s="3" t="s">
        <v>4181</v>
      </c>
      <c r="C2433" t="s">
        <v>4181</v>
      </c>
      <c r="D2433" s="3" t="s">
        <v>7319</v>
      </c>
      <c r="E2433" t="s">
        <v>4195</v>
      </c>
      <c r="F2433" s="3" t="s">
        <v>4196</v>
      </c>
      <c r="G2433" t="s">
        <v>24</v>
      </c>
      <c r="H2433" s="3" t="s">
        <v>4184</v>
      </c>
      <c r="I2433" t="s">
        <v>52</v>
      </c>
      <c r="J2433" s="3" t="s">
        <v>4185</v>
      </c>
      <c r="K2433" s="4">
        <v>1844</v>
      </c>
      <c r="L2433" s="5">
        <v>83.8</v>
      </c>
      <c r="M2433" s="6">
        <v>1</v>
      </c>
      <c r="N2433" s="7">
        <v>0</v>
      </c>
      <c r="O2433" t="s">
        <v>4186</v>
      </c>
      <c r="P2433" s="3" t="s">
        <v>55</v>
      </c>
      <c r="Q2433" s="8">
        <v>0.29643599999999998</v>
      </c>
    </row>
    <row r="2434" spans="1:17" hidden="1" x14ac:dyDescent="0.55000000000000004">
      <c r="A2434" s="3" t="s">
        <v>4166</v>
      </c>
      <c r="B2434" s="3" t="s">
        <v>4181</v>
      </c>
      <c r="C2434" t="s">
        <v>4181</v>
      </c>
      <c r="D2434" s="3" t="s">
        <v>7319</v>
      </c>
      <c r="E2434" t="s">
        <v>4195</v>
      </c>
      <c r="F2434" s="3" t="s">
        <v>4196</v>
      </c>
      <c r="G2434" t="s">
        <v>24</v>
      </c>
      <c r="H2434" s="3" t="s">
        <v>4187</v>
      </c>
      <c r="I2434" t="s">
        <v>26</v>
      </c>
      <c r="J2434" s="3" t="s">
        <v>4188</v>
      </c>
      <c r="K2434" s="4">
        <v>1766</v>
      </c>
      <c r="L2434" s="5">
        <v>80.27</v>
      </c>
      <c r="M2434" s="6">
        <v>0</v>
      </c>
      <c r="N2434" s="7">
        <v>0</v>
      </c>
      <c r="O2434" t="s">
        <v>4189</v>
      </c>
      <c r="P2434" s="3" t="s">
        <v>29</v>
      </c>
      <c r="Q2434" s="8">
        <v>0.29083300000000001</v>
      </c>
    </row>
    <row r="2435" spans="1:17" hidden="1" x14ac:dyDescent="0.55000000000000004">
      <c r="A2435" s="3" t="s">
        <v>4166</v>
      </c>
      <c r="B2435" s="3" t="s">
        <v>4181</v>
      </c>
      <c r="C2435" t="s">
        <v>4181</v>
      </c>
      <c r="D2435" s="3" t="s">
        <v>7319</v>
      </c>
      <c r="E2435" t="s">
        <v>4197</v>
      </c>
      <c r="F2435" s="3" t="s">
        <v>4198</v>
      </c>
      <c r="G2435" t="s">
        <v>24</v>
      </c>
      <c r="H2435" s="3" t="s">
        <v>4184</v>
      </c>
      <c r="I2435" t="s">
        <v>52</v>
      </c>
      <c r="J2435" s="3" t="s">
        <v>4185</v>
      </c>
      <c r="K2435" s="4">
        <v>1844</v>
      </c>
      <c r="L2435" s="5">
        <v>83.8</v>
      </c>
      <c r="M2435" s="6">
        <v>1</v>
      </c>
      <c r="N2435" s="7">
        <v>0</v>
      </c>
      <c r="O2435" t="s">
        <v>4186</v>
      </c>
      <c r="P2435" s="3" t="s">
        <v>55</v>
      </c>
      <c r="Q2435" s="8">
        <v>0.29643599999999998</v>
      </c>
    </row>
    <row r="2436" spans="1:17" hidden="1" x14ac:dyDescent="0.55000000000000004">
      <c r="A2436" s="3" t="s">
        <v>4166</v>
      </c>
      <c r="B2436" s="3" t="s">
        <v>4181</v>
      </c>
      <c r="C2436" t="s">
        <v>4181</v>
      </c>
      <c r="D2436" s="3" t="s">
        <v>7319</v>
      </c>
      <c r="E2436" t="s">
        <v>4197</v>
      </c>
      <c r="F2436" s="3" t="s">
        <v>4198</v>
      </c>
      <c r="G2436" t="s">
        <v>24</v>
      </c>
      <c r="H2436" s="3" t="s">
        <v>4187</v>
      </c>
      <c r="I2436" t="s">
        <v>26</v>
      </c>
      <c r="J2436" s="3" t="s">
        <v>4188</v>
      </c>
      <c r="K2436" s="4">
        <v>1766</v>
      </c>
      <c r="L2436" s="5">
        <v>80.27</v>
      </c>
      <c r="M2436" s="6">
        <v>0</v>
      </c>
      <c r="N2436" s="7">
        <v>0</v>
      </c>
      <c r="O2436" t="s">
        <v>4189</v>
      </c>
      <c r="P2436" s="3" t="s">
        <v>29</v>
      </c>
      <c r="Q2436" s="8">
        <v>0.29083300000000001</v>
      </c>
    </row>
    <row r="2437" spans="1:17" hidden="1" x14ac:dyDescent="0.55000000000000004">
      <c r="A2437" s="3" t="s">
        <v>4166</v>
      </c>
      <c r="B2437" s="3" t="s">
        <v>4181</v>
      </c>
      <c r="C2437" t="s">
        <v>4181</v>
      </c>
      <c r="D2437" s="3" t="s">
        <v>7319</v>
      </c>
      <c r="E2437" t="s">
        <v>4199</v>
      </c>
      <c r="F2437" s="3" t="s">
        <v>4200</v>
      </c>
      <c r="G2437" t="s">
        <v>24</v>
      </c>
      <c r="H2437" s="3" t="s">
        <v>4184</v>
      </c>
      <c r="I2437" t="s">
        <v>52</v>
      </c>
      <c r="J2437" s="3" t="s">
        <v>4185</v>
      </c>
      <c r="K2437" s="4">
        <v>1844</v>
      </c>
      <c r="L2437" s="5">
        <v>83.8</v>
      </c>
      <c r="M2437" s="6">
        <v>1</v>
      </c>
      <c r="N2437" s="7">
        <v>0</v>
      </c>
      <c r="O2437" t="s">
        <v>4186</v>
      </c>
      <c r="P2437" s="3" t="s">
        <v>55</v>
      </c>
      <c r="Q2437" s="8">
        <v>0.29643599999999998</v>
      </c>
    </row>
    <row r="2438" spans="1:17" hidden="1" x14ac:dyDescent="0.55000000000000004">
      <c r="A2438" s="3" t="s">
        <v>4166</v>
      </c>
      <c r="B2438" s="3" t="s">
        <v>4181</v>
      </c>
      <c r="C2438" t="s">
        <v>4181</v>
      </c>
      <c r="D2438" s="3" t="s">
        <v>7319</v>
      </c>
      <c r="E2438" t="s">
        <v>4199</v>
      </c>
      <c r="F2438" s="3" t="s">
        <v>4200</v>
      </c>
      <c r="G2438" t="s">
        <v>24</v>
      </c>
      <c r="H2438" s="3" t="s">
        <v>4187</v>
      </c>
      <c r="I2438" t="s">
        <v>26</v>
      </c>
      <c r="J2438" s="3" t="s">
        <v>4188</v>
      </c>
      <c r="K2438" s="4">
        <v>1766</v>
      </c>
      <c r="L2438" s="5">
        <v>80.27</v>
      </c>
      <c r="M2438" s="6">
        <v>0</v>
      </c>
      <c r="N2438" s="7">
        <v>0</v>
      </c>
      <c r="O2438" t="s">
        <v>4189</v>
      </c>
      <c r="P2438" s="3" t="s">
        <v>29</v>
      </c>
      <c r="Q2438" s="8">
        <v>0.29083300000000001</v>
      </c>
    </row>
    <row r="2439" spans="1:17" hidden="1" x14ac:dyDescent="0.55000000000000004">
      <c r="A2439" s="3" t="s">
        <v>4166</v>
      </c>
      <c r="B2439" s="3" t="s">
        <v>4201</v>
      </c>
      <c r="C2439" t="s">
        <v>4201</v>
      </c>
      <c r="D2439" s="3" t="s">
        <v>7319</v>
      </c>
      <c r="E2439" t="s">
        <v>4202</v>
      </c>
      <c r="F2439" s="3" t="s">
        <v>4203</v>
      </c>
      <c r="G2439" t="s">
        <v>24</v>
      </c>
      <c r="H2439" s="3" t="s">
        <v>4204</v>
      </c>
      <c r="I2439" t="s">
        <v>52</v>
      </c>
      <c r="J2439" s="3" t="s">
        <v>4205</v>
      </c>
      <c r="K2439" s="4">
        <v>1634</v>
      </c>
      <c r="L2439" s="5">
        <v>74.260000000000005</v>
      </c>
      <c r="M2439" s="6">
        <v>1</v>
      </c>
      <c r="N2439" s="7">
        <v>0</v>
      </c>
      <c r="O2439" t="s">
        <v>4206</v>
      </c>
      <c r="P2439" s="3" t="s">
        <v>55</v>
      </c>
      <c r="Q2439" s="8">
        <v>0.294319</v>
      </c>
    </row>
    <row r="2440" spans="1:17" hidden="1" x14ac:dyDescent="0.55000000000000004">
      <c r="A2440" s="9" t="s">
        <v>4166</v>
      </c>
      <c r="B2440" s="3" t="s">
        <v>4201</v>
      </c>
      <c r="C2440" t="s">
        <v>4201</v>
      </c>
      <c r="D2440" s="3" t="s">
        <v>7319</v>
      </c>
      <c r="E2440" t="s">
        <v>4202</v>
      </c>
      <c r="F2440" s="3" t="s">
        <v>4203</v>
      </c>
      <c r="G2440" t="s">
        <v>24</v>
      </c>
      <c r="H2440" s="3" t="s">
        <v>4207</v>
      </c>
      <c r="I2440" t="s">
        <v>26</v>
      </c>
      <c r="J2440" s="3" t="s">
        <v>4208</v>
      </c>
      <c r="K2440" s="4">
        <v>1594</v>
      </c>
      <c r="L2440" s="5">
        <v>72.45</v>
      </c>
      <c r="M2440" s="6">
        <v>0</v>
      </c>
      <c r="N2440" s="7">
        <v>0</v>
      </c>
      <c r="O2440" t="s">
        <v>4209</v>
      </c>
      <c r="P2440" s="3" t="s">
        <v>29</v>
      </c>
      <c r="Q2440" s="8">
        <v>0.29416700000000001</v>
      </c>
    </row>
    <row r="2441" spans="1:17" hidden="1" x14ac:dyDescent="0.55000000000000004">
      <c r="A2441" s="3" t="s">
        <v>4210</v>
      </c>
      <c r="B2441" s="3" t="s">
        <v>4211</v>
      </c>
      <c r="C2441" t="s">
        <v>4344</v>
      </c>
      <c r="D2441" s="3" t="s">
        <v>7329</v>
      </c>
      <c r="E2441" t="s">
        <v>4212</v>
      </c>
      <c r="F2441" s="3" t="s">
        <v>4213</v>
      </c>
      <c r="G2441" t="s">
        <v>19</v>
      </c>
      <c r="H2441" s="3" t="s">
        <v>4214</v>
      </c>
      <c r="I2441" t="s">
        <v>3691</v>
      </c>
      <c r="J2441" s="3" t="s">
        <v>4215</v>
      </c>
      <c r="K2441" s="4">
        <v>87</v>
      </c>
      <c r="L2441" s="5">
        <v>18.87</v>
      </c>
      <c r="M2441" s="6">
        <v>0</v>
      </c>
      <c r="N2441" s="7">
        <v>1</v>
      </c>
      <c r="O2441" t="s">
        <v>4216</v>
      </c>
      <c r="P2441" s="3" t="s">
        <v>4217</v>
      </c>
      <c r="Q2441" s="8">
        <v>3.8075999999999999E-2</v>
      </c>
    </row>
    <row r="2442" spans="1:17" hidden="1" x14ac:dyDescent="0.55000000000000004">
      <c r="A2442" s="3" t="s">
        <v>4210</v>
      </c>
      <c r="B2442" s="3" t="s">
        <v>4211</v>
      </c>
      <c r="C2442" t="s">
        <v>4344</v>
      </c>
      <c r="D2442" s="3" t="s">
        <v>7329</v>
      </c>
      <c r="E2442" t="s">
        <v>4212</v>
      </c>
      <c r="F2442" s="3" t="s">
        <v>4213</v>
      </c>
      <c r="G2442" t="s">
        <v>19</v>
      </c>
      <c r="H2442" s="3" t="s">
        <v>4218</v>
      </c>
      <c r="I2442" t="s">
        <v>3470</v>
      </c>
      <c r="J2442" s="3" t="s">
        <v>4215</v>
      </c>
      <c r="K2442" s="4">
        <v>103</v>
      </c>
      <c r="L2442" s="5">
        <v>22.28</v>
      </c>
      <c r="M2442" s="6">
        <v>1</v>
      </c>
      <c r="N2442" s="7">
        <v>1</v>
      </c>
      <c r="O2442" t="s">
        <v>4219</v>
      </c>
      <c r="P2442" s="3" t="s">
        <v>3711</v>
      </c>
      <c r="Q2442" s="8">
        <v>3.4363999999999999E-2</v>
      </c>
    </row>
    <row r="2443" spans="1:17" hidden="1" x14ac:dyDescent="0.55000000000000004">
      <c r="A2443" s="3" t="s">
        <v>4210</v>
      </c>
      <c r="B2443" s="3" t="s">
        <v>4211</v>
      </c>
      <c r="C2443" t="s">
        <v>4344</v>
      </c>
      <c r="D2443" s="3" t="s">
        <v>7329</v>
      </c>
      <c r="E2443" t="s">
        <v>4212</v>
      </c>
      <c r="F2443" s="3" t="s">
        <v>4213</v>
      </c>
      <c r="G2443" t="s">
        <v>24</v>
      </c>
      <c r="H2443" s="3" t="s">
        <v>4220</v>
      </c>
      <c r="I2443" t="s">
        <v>43</v>
      </c>
      <c r="J2443" s="3" t="s">
        <v>4221</v>
      </c>
      <c r="K2443" s="4">
        <v>984</v>
      </c>
      <c r="L2443" s="5">
        <v>44.74</v>
      </c>
      <c r="M2443" s="6">
        <v>1</v>
      </c>
      <c r="N2443" s="7">
        <v>1</v>
      </c>
      <c r="O2443" t="s">
        <v>4222</v>
      </c>
      <c r="P2443" s="3" t="s">
        <v>46</v>
      </c>
      <c r="Q2443" s="8">
        <v>0.21213299999999999</v>
      </c>
    </row>
    <row r="2444" spans="1:17" hidden="1" x14ac:dyDescent="0.55000000000000004">
      <c r="A2444" s="3" t="s">
        <v>4210</v>
      </c>
      <c r="B2444" s="3" t="s">
        <v>4211</v>
      </c>
      <c r="C2444" t="s">
        <v>4344</v>
      </c>
      <c r="D2444" s="3" t="s">
        <v>7329</v>
      </c>
      <c r="E2444" t="s">
        <v>4212</v>
      </c>
      <c r="F2444" s="3" t="s">
        <v>4213</v>
      </c>
      <c r="G2444" t="s">
        <v>24</v>
      </c>
      <c r="H2444" s="3" t="s">
        <v>4223</v>
      </c>
      <c r="I2444" t="s">
        <v>48</v>
      </c>
      <c r="J2444" s="3" t="s">
        <v>4221</v>
      </c>
      <c r="K2444" s="4">
        <v>869</v>
      </c>
      <c r="L2444" s="5">
        <v>39.51</v>
      </c>
      <c r="M2444" s="6">
        <v>0</v>
      </c>
      <c r="N2444" s="7">
        <v>1</v>
      </c>
      <c r="O2444" t="s">
        <v>4224</v>
      </c>
      <c r="P2444" s="3" t="s">
        <v>23</v>
      </c>
      <c r="Q2444" s="8" t="s">
        <v>23</v>
      </c>
    </row>
    <row r="2445" spans="1:17" hidden="1" x14ac:dyDescent="0.55000000000000004">
      <c r="A2445" s="3" t="s">
        <v>4210</v>
      </c>
      <c r="B2445" s="3" t="s">
        <v>7384</v>
      </c>
      <c r="C2445" t="s">
        <v>4225</v>
      </c>
      <c r="D2445" s="3" t="s">
        <v>7329</v>
      </c>
      <c r="E2445" t="s">
        <v>4226</v>
      </c>
      <c r="F2445" s="3" t="s">
        <v>4227</v>
      </c>
      <c r="G2445" t="s">
        <v>19</v>
      </c>
      <c r="H2445" s="3" t="s">
        <v>4228</v>
      </c>
      <c r="I2445" t="s">
        <v>4229</v>
      </c>
      <c r="J2445" s="3" t="s">
        <v>4230</v>
      </c>
      <c r="K2445" s="4">
        <v>184</v>
      </c>
      <c r="L2445" s="5">
        <v>39.979999999999997</v>
      </c>
      <c r="M2445" s="6">
        <v>1</v>
      </c>
      <c r="N2445" s="7">
        <v>1</v>
      </c>
      <c r="O2445" t="s">
        <v>4231</v>
      </c>
      <c r="P2445" s="3" t="s">
        <v>4217</v>
      </c>
      <c r="Q2445" s="8">
        <v>3.124E-2</v>
      </c>
    </row>
    <row r="2446" spans="1:17" hidden="1" x14ac:dyDescent="0.55000000000000004">
      <c r="A2446" s="3" t="s">
        <v>4210</v>
      </c>
      <c r="B2446" s="3" t="s">
        <v>7384</v>
      </c>
      <c r="C2446" t="s">
        <v>4225</v>
      </c>
      <c r="D2446" s="3" t="s">
        <v>7329</v>
      </c>
      <c r="E2446" t="s">
        <v>4226</v>
      </c>
      <c r="F2446" s="3" t="s">
        <v>4227</v>
      </c>
      <c r="G2446" t="s">
        <v>19</v>
      </c>
      <c r="H2446" s="3" t="s">
        <v>4232</v>
      </c>
      <c r="I2446" t="s">
        <v>4233</v>
      </c>
      <c r="J2446" s="3" t="s">
        <v>4230</v>
      </c>
      <c r="K2446" s="4">
        <v>188</v>
      </c>
      <c r="L2446" s="5">
        <v>40.89</v>
      </c>
      <c r="M2446" s="6">
        <v>0</v>
      </c>
      <c r="N2446" s="7">
        <v>1</v>
      </c>
      <c r="O2446" t="s">
        <v>4234</v>
      </c>
      <c r="P2446" s="3" t="s">
        <v>4217</v>
      </c>
      <c r="Q2446" s="8">
        <v>2.4504999999999999E-2</v>
      </c>
    </row>
    <row r="2447" spans="1:17" hidden="1" x14ac:dyDescent="0.55000000000000004">
      <c r="A2447" s="3" t="s">
        <v>4210</v>
      </c>
      <c r="B2447" s="3" t="s">
        <v>7384</v>
      </c>
      <c r="C2447" t="s">
        <v>4225</v>
      </c>
      <c r="D2447" s="3" t="s">
        <v>7329</v>
      </c>
      <c r="E2447" t="s">
        <v>4226</v>
      </c>
      <c r="F2447" s="3" t="s">
        <v>4227</v>
      </c>
      <c r="G2447" t="s">
        <v>19</v>
      </c>
      <c r="H2447" s="3" t="s">
        <v>4235</v>
      </c>
      <c r="I2447" t="s">
        <v>3534</v>
      </c>
      <c r="J2447" s="3" t="s">
        <v>4230</v>
      </c>
      <c r="K2447" s="4">
        <v>204</v>
      </c>
      <c r="L2447" s="5">
        <v>44.3</v>
      </c>
      <c r="M2447" s="6">
        <v>0</v>
      </c>
      <c r="N2447" s="7">
        <v>1</v>
      </c>
      <c r="O2447" t="s">
        <v>4236</v>
      </c>
      <c r="P2447" s="3" t="s">
        <v>4217</v>
      </c>
      <c r="Q2447" s="8">
        <v>3.4551999999999999E-2</v>
      </c>
    </row>
    <row r="2448" spans="1:17" hidden="1" x14ac:dyDescent="0.55000000000000004">
      <c r="A2448" s="3" t="s">
        <v>4210</v>
      </c>
      <c r="B2448" s="3" t="s">
        <v>7384</v>
      </c>
      <c r="C2448" t="s">
        <v>4225</v>
      </c>
      <c r="D2448" s="3" t="s">
        <v>7329</v>
      </c>
      <c r="E2448" t="s">
        <v>4226</v>
      </c>
      <c r="F2448" s="3" t="s">
        <v>4227</v>
      </c>
      <c r="G2448" t="s">
        <v>24</v>
      </c>
      <c r="H2448" s="3" t="s">
        <v>4237</v>
      </c>
      <c r="I2448" t="s">
        <v>43</v>
      </c>
      <c r="J2448" s="3" t="s">
        <v>4238</v>
      </c>
      <c r="K2448" s="4">
        <v>776</v>
      </c>
      <c r="L2448" s="5">
        <v>35.270000000000003</v>
      </c>
      <c r="M2448" s="6">
        <v>1</v>
      </c>
      <c r="N2448" s="7">
        <v>1</v>
      </c>
      <c r="O2448" t="s">
        <v>4239</v>
      </c>
      <c r="P2448" s="3" t="s">
        <v>46</v>
      </c>
      <c r="Q2448" s="8">
        <v>0.19956699999999999</v>
      </c>
    </row>
    <row r="2449" spans="1:17" hidden="1" x14ac:dyDescent="0.55000000000000004">
      <c r="A2449" s="3" t="s">
        <v>4210</v>
      </c>
      <c r="B2449" s="3" t="s">
        <v>7384</v>
      </c>
      <c r="C2449" t="s">
        <v>4225</v>
      </c>
      <c r="D2449" s="3" t="s">
        <v>7329</v>
      </c>
      <c r="E2449" t="s">
        <v>4226</v>
      </c>
      <c r="F2449" s="3" t="s">
        <v>4227</v>
      </c>
      <c r="G2449" t="s">
        <v>24</v>
      </c>
      <c r="H2449" s="3" t="s">
        <v>4240</v>
      </c>
      <c r="I2449" t="s">
        <v>48</v>
      </c>
      <c r="J2449" s="3" t="s">
        <v>4238</v>
      </c>
      <c r="K2449" s="4">
        <v>669</v>
      </c>
      <c r="L2449" s="5">
        <v>30.39</v>
      </c>
      <c r="M2449" s="6">
        <v>0</v>
      </c>
      <c r="N2449" s="7">
        <v>1</v>
      </c>
      <c r="O2449" t="s">
        <v>4241</v>
      </c>
      <c r="P2449" s="3" t="s">
        <v>23</v>
      </c>
      <c r="Q2449" s="8" t="s">
        <v>23</v>
      </c>
    </row>
    <row r="2450" spans="1:17" hidden="1" x14ac:dyDescent="0.55000000000000004">
      <c r="A2450" s="3" t="s">
        <v>4210</v>
      </c>
      <c r="B2450" s="3" t="s">
        <v>4225</v>
      </c>
      <c r="C2450" t="s">
        <v>4225</v>
      </c>
      <c r="D2450" s="3" t="s">
        <v>7329</v>
      </c>
      <c r="E2450" t="s">
        <v>4242</v>
      </c>
      <c r="F2450" s="3" t="s">
        <v>4243</v>
      </c>
      <c r="G2450" t="s">
        <v>19</v>
      </c>
      <c r="H2450" s="3" t="s">
        <v>4228</v>
      </c>
      <c r="I2450" t="s">
        <v>4229</v>
      </c>
      <c r="J2450" s="3" t="s">
        <v>4230</v>
      </c>
      <c r="K2450" s="4">
        <v>184</v>
      </c>
      <c r="L2450" s="5">
        <v>39.979999999999997</v>
      </c>
      <c r="M2450" s="6">
        <v>1</v>
      </c>
      <c r="N2450" s="7">
        <v>0</v>
      </c>
      <c r="O2450" t="s">
        <v>4231</v>
      </c>
      <c r="P2450" s="3" t="s">
        <v>4217</v>
      </c>
      <c r="Q2450" s="8">
        <v>3.124E-2</v>
      </c>
    </row>
    <row r="2451" spans="1:17" hidden="1" x14ac:dyDescent="0.55000000000000004">
      <c r="A2451" s="3" t="s">
        <v>4210</v>
      </c>
      <c r="B2451" s="3" t="s">
        <v>4225</v>
      </c>
      <c r="C2451" t="s">
        <v>4225</v>
      </c>
      <c r="D2451" s="3" t="s">
        <v>7329</v>
      </c>
      <c r="E2451" t="s">
        <v>4242</v>
      </c>
      <c r="F2451" s="3" t="s">
        <v>4243</v>
      </c>
      <c r="G2451" t="s">
        <v>19</v>
      </c>
      <c r="H2451" s="3" t="s">
        <v>4232</v>
      </c>
      <c r="I2451" t="s">
        <v>4233</v>
      </c>
      <c r="J2451" s="3" t="s">
        <v>4230</v>
      </c>
      <c r="K2451" s="4">
        <v>188</v>
      </c>
      <c r="L2451" s="5">
        <v>40.89</v>
      </c>
      <c r="M2451" s="6">
        <v>0</v>
      </c>
      <c r="N2451" s="7">
        <v>0</v>
      </c>
      <c r="O2451" t="s">
        <v>4234</v>
      </c>
      <c r="P2451" s="3" t="s">
        <v>4217</v>
      </c>
      <c r="Q2451" s="8">
        <v>2.4504999999999999E-2</v>
      </c>
    </row>
    <row r="2452" spans="1:17" hidden="1" x14ac:dyDescent="0.55000000000000004">
      <c r="A2452" s="3" t="s">
        <v>4210</v>
      </c>
      <c r="B2452" s="3" t="s">
        <v>4225</v>
      </c>
      <c r="C2452" t="s">
        <v>4225</v>
      </c>
      <c r="D2452" s="3" t="s">
        <v>7329</v>
      </c>
      <c r="E2452" t="s">
        <v>4242</v>
      </c>
      <c r="F2452" s="3" t="s">
        <v>4243</v>
      </c>
      <c r="G2452" t="s">
        <v>19</v>
      </c>
      <c r="H2452" s="3" t="s">
        <v>4235</v>
      </c>
      <c r="I2452" t="s">
        <v>3534</v>
      </c>
      <c r="J2452" s="3" t="s">
        <v>4230</v>
      </c>
      <c r="K2452" s="4">
        <v>204</v>
      </c>
      <c r="L2452" s="5">
        <v>44.3</v>
      </c>
      <c r="M2452" s="6">
        <v>0</v>
      </c>
      <c r="N2452" s="7">
        <v>0</v>
      </c>
      <c r="O2452" t="s">
        <v>4236</v>
      </c>
      <c r="P2452" s="3" t="s">
        <v>4217</v>
      </c>
      <c r="Q2452" s="8">
        <v>3.4551999999999999E-2</v>
      </c>
    </row>
    <row r="2453" spans="1:17" hidden="1" x14ac:dyDescent="0.55000000000000004">
      <c r="A2453" s="3" t="s">
        <v>4210</v>
      </c>
      <c r="B2453" s="3" t="s">
        <v>4225</v>
      </c>
      <c r="C2453" t="s">
        <v>4225</v>
      </c>
      <c r="D2453" s="3" t="s">
        <v>7329</v>
      </c>
      <c r="E2453" t="s">
        <v>4242</v>
      </c>
      <c r="F2453" s="3" t="s">
        <v>4243</v>
      </c>
      <c r="G2453" t="s">
        <v>24</v>
      </c>
      <c r="H2453" s="3" t="s">
        <v>4237</v>
      </c>
      <c r="I2453" t="s">
        <v>43</v>
      </c>
      <c r="J2453" s="3" t="s">
        <v>4238</v>
      </c>
      <c r="K2453" s="4">
        <v>776</v>
      </c>
      <c r="L2453" s="5">
        <v>35.270000000000003</v>
      </c>
      <c r="M2453" s="6">
        <v>1</v>
      </c>
      <c r="N2453" s="7">
        <v>0</v>
      </c>
      <c r="O2453" t="s">
        <v>4239</v>
      </c>
      <c r="P2453" s="3" t="s">
        <v>46</v>
      </c>
      <c r="Q2453" s="8">
        <v>0.19956699999999999</v>
      </c>
    </row>
    <row r="2454" spans="1:17" hidden="1" x14ac:dyDescent="0.55000000000000004">
      <c r="A2454" s="3" t="s">
        <v>4210</v>
      </c>
      <c r="B2454" s="3" t="s">
        <v>4225</v>
      </c>
      <c r="C2454" t="s">
        <v>4225</v>
      </c>
      <c r="D2454" s="3" t="s">
        <v>7329</v>
      </c>
      <c r="E2454" t="s">
        <v>4242</v>
      </c>
      <c r="F2454" s="3" t="s">
        <v>4243</v>
      </c>
      <c r="G2454" t="s">
        <v>24</v>
      </c>
      <c r="H2454" s="3" t="s">
        <v>4240</v>
      </c>
      <c r="I2454" t="s">
        <v>48</v>
      </c>
      <c r="J2454" s="3" t="s">
        <v>4238</v>
      </c>
      <c r="K2454" s="4">
        <v>669</v>
      </c>
      <c r="L2454" s="5">
        <v>30.39</v>
      </c>
      <c r="M2454" s="6">
        <v>0</v>
      </c>
      <c r="N2454" s="7">
        <v>0</v>
      </c>
      <c r="O2454" t="s">
        <v>4241</v>
      </c>
      <c r="P2454" s="3" t="s">
        <v>23</v>
      </c>
      <c r="Q2454" s="8" t="s">
        <v>23</v>
      </c>
    </row>
    <row r="2455" spans="1:17" hidden="1" x14ac:dyDescent="0.55000000000000004">
      <c r="A2455" s="3" t="s">
        <v>4210</v>
      </c>
      <c r="B2455" s="3" t="s">
        <v>4225</v>
      </c>
      <c r="C2455" t="s">
        <v>4225</v>
      </c>
      <c r="D2455" s="3" t="s">
        <v>7329</v>
      </c>
      <c r="E2455" t="s">
        <v>4244</v>
      </c>
      <c r="F2455" s="3" t="s">
        <v>4245</v>
      </c>
      <c r="G2455" t="s">
        <v>19</v>
      </c>
      <c r="H2455" s="3" t="s">
        <v>4228</v>
      </c>
      <c r="I2455" t="s">
        <v>4229</v>
      </c>
      <c r="J2455" s="3" t="s">
        <v>4230</v>
      </c>
      <c r="K2455" s="4">
        <v>184</v>
      </c>
      <c r="L2455" s="5">
        <v>39.979999999999997</v>
      </c>
      <c r="M2455" s="6">
        <v>1</v>
      </c>
      <c r="N2455" s="7">
        <v>0</v>
      </c>
      <c r="O2455" t="s">
        <v>4231</v>
      </c>
      <c r="P2455" s="3" t="s">
        <v>4217</v>
      </c>
      <c r="Q2455" s="8">
        <v>3.124E-2</v>
      </c>
    </row>
    <row r="2456" spans="1:17" hidden="1" x14ac:dyDescent="0.55000000000000004">
      <c r="A2456" s="3" t="s">
        <v>4210</v>
      </c>
      <c r="B2456" s="3" t="s">
        <v>4225</v>
      </c>
      <c r="C2456" t="s">
        <v>4225</v>
      </c>
      <c r="D2456" s="3" t="s">
        <v>7329</v>
      </c>
      <c r="E2456" t="s">
        <v>4244</v>
      </c>
      <c r="F2456" s="3" t="s">
        <v>4245</v>
      </c>
      <c r="G2456" t="s">
        <v>19</v>
      </c>
      <c r="H2456" s="3" t="s">
        <v>4232</v>
      </c>
      <c r="I2456" t="s">
        <v>4233</v>
      </c>
      <c r="J2456" s="3" t="s">
        <v>4230</v>
      </c>
      <c r="K2456" s="4">
        <v>188</v>
      </c>
      <c r="L2456" s="5">
        <v>40.89</v>
      </c>
      <c r="M2456" s="6">
        <v>0</v>
      </c>
      <c r="N2456" s="7">
        <v>0</v>
      </c>
      <c r="O2456" t="s">
        <v>4234</v>
      </c>
      <c r="P2456" s="3" t="s">
        <v>4217</v>
      </c>
      <c r="Q2456" s="8">
        <v>2.4504999999999999E-2</v>
      </c>
    </row>
    <row r="2457" spans="1:17" hidden="1" x14ac:dyDescent="0.55000000000000004">
      <c r="A2457" s="3" t="s">
        <v>4210</v>
      </c>
      <c r="B2457" s="3" t="s">
        <v>4225</v>
      </c>
      <c r="C2457" t="s">
        <v>4225</v>
      </c>
      <c r="D2457" s="3" t="s">
        <v>7329</v>
      </c>
      <c r="E2457" t="s">
        <v>4244</v>
      </c>
      <c r="F2457" s="3" t="s">
        <v>4245</v>
      </c>
      <c r="G2457" t="s">
        <v>19</v>
      </c>
      <c r="H2457" s="3" t="s">
        <v>4235</v>
      </c>
      <c r="I2457" t="s">
        <v>3534</v>
      </c>
      <c r="J2457" s="3" t="s">
        <v>4230</v>
      </c>
      <c r="K2457" s="4">
        <v>204</v>
      </c>
      <c r="L2457" s="5">
        <v>44.3</v>
      </c>
      <c r="M2457" s="6">
        <v>0</v>
      </c>
      <c r="N2457" s="7">
        <v>0</v>
      </c>
      <c r="O2457" t="s">
        <v>4236</v>
      </c>
      <c r="P2457" s="3" t="s">
        <v>4217</v>
      </c>
      <c r="Q2457" s="8">
        <v>3.4551999999999999E-2</v>
      </c>
    </row>
    <row r="2458" spans="1:17" hidden="1" x14ac:dyDescent="0.55000000000000004">
      <c r="A2458" s="3" t="s">
        <v>4210</v>
      </c>
      <c r="B2458" s="3" t="s">
        <v>4225</v>
      </c>
      <c r="C2458" t="s">
        <v>4225</v>
      </c>
      <c r="D2458" s="3" t="s">
        <v>7329</v>
      </c>
      <c r="E2458" t="s">
        <v>4244</v>
      </c>
      <c r="F2458" s="3" t="s">
        <v>4245</v>
      </c>
      <c r="G2458" t="s">
        <v>24</v>
      </c>
      <c r="H2458" s="3" t="s">
        <v>4237</v>
      </c>
      <c r="I2458" t="s">
        <v>43</v>
      </c>
      <c r="J2458" s="3" t="s">
        <v>4238</v>
      </c>
      <c r="K2458" s="4">
        <v>776</v>
      </c>
      <c r="L2458" s="5">
        <v>35.270000000000003</v>
      </c>
      <c r="M2458" s="6">
        <v>1</v>
      </c>
      <c r="N2458" s="7">
        <v>0</v>
      </c>
      <c r="O2458" t="s">
        <v>4239</v>
      </c>
      <c r="P2458" s="3" t="s">
        <v>46</v>
      </c>
      <c r="Q2458" s="8">
        <v>0.19956699999999999</v>
      </c>
    </row>
    <row r="2459" spans="1:17" hidden="1" x14ac:dyDescent="0.55000000000000004">
      <c r="A2459" s="3" t="s">
        <v>4210</v>
      </c>
      <c r="B2459" s="3" t="s">
        <v>4225</v>
      </c>
      <c r="C2459" t="s">
        <v>4225</v>
      </c>
      <c r="D2459" s="3" t="s">
        <v>7329</v>
      </c>
      <c r="E2459" t="s">
        <v>4244</v>
      </c>
      <c r="F2459" s="3" t="s">
        <v>4245</v>
      </c>
      <c r="G2459" t="s">
        <v>24</v>
      </c>
      <c r="H2459" s="3" t="s">
        <v>4240</v>
      </c>
      <c r="I2459" t="s">
        <v>48</v>
      </c>
      <c r="J2459" s="3" t="s">
        <v>4238</v>
      </c>
      <c r="K2459" s="4">
        <v>669</v>
      </c>
      <c r="L2459" s="5">
        <v>30.39</v>
      </c>
      <c r="M2459" s="6">
        <v>0</v>
      </c>
      <c r="N2459" s="7">
        <v>0</v>
      </c>
      <c r="O2459" t="s">
        <v>4241</v>
      </c>
      <c r="P2459" s="3" t="s">
        <v>23</v>
      </c>
      <c r="Q2459" s="8" t="s">
        <v>23</v>
      </c>
    </row>
    <row r="2460" spans="1:17" hidden="1" x14ac:dyDescent="0.55000000000000004">
      <c r="A2460" s="3" t="s">
        <v>4210</v>
      </c>
      <c r="B2460" s="3" t="s">
        <v>7382</v>
      </c>
      <c r="C2460" t="s">
        <v>3531</v>
      </c>
      <c r="D2460" s="3" t="s">
        <v>7329</v>
      </c>
      <c r="E2460" t="s">
        <v>4246</v>
      </c>
      <c r="F2460" s="3" t="s">
        <v>4247</v>
      </c>
      <c r="G2460" t="s">
        <v>19</v>
      </c>
      <c r="H2460" s="3" t="s">
        <v>4248</v>
      </c>
      <c r="I2460" t="s">
        <v>4249</v>
      </c>
      <c r="J2460" s="3" t="s">
        <v>4250</v>
      </c>
      <c r="K2460" s="4">
        <v>22</v>
      </c>
      <c r="L2460" s="5">
        <v>4.74</v>
      </c>
      <c r="M2460" s="6">
        <v>1</v>
      </c>
      <c r="N2460" s="7">
        <v>1</v>
      </c>
      <c r="O2460" t="s">
        <v>4251</v>
      </c>
      <c r="P2460" s="3" t="s">
        <v>4252</v>
      </c>
      <c r="Q2460" s="8">
        <v>1.7340000000000001E-2</v>
      </c>
    </row>
    <row r="2461" spans="1:17" hidden="1" x14ac:dyDescent="0.55000000000000004">
      <c r="A2461" s="3" t="s">
        <v>4210</v>
      </c>
      <c r="B2461" s="3" t="s">
        <v>7382</v>
      </c>
      <c r="C2461" t="s">
        <v>3531</v>
      </c>
      <c r="D2461" s="3" t="s">
        <v>7329</v>
      </c>
      <c r="E2461" t="s">
        <v>4246</v>
      </c>
      <c r="F2461" s="3" t="s">
        <v>4247</v>
      </c>
      <c r="G2461" t="s">
        <v>19</v>
      </c>
      <c r="H2461" s="3" t="s">
        <v>23</v>
      </c>
      <c r="I2461" t="s">
        <v>67</v>
      </c>
      <c r="J2461" s="3" t="s">
        <v>4233</v>
      </c>
      <c r="K2461" s="4" t="s">
        <v>23</v>
      </c>
      <c r="L2461" s="5" t="s">
        <v>23</v>
      </c>
      <c r="M2461" s="6">
        <v>0</v>
      </c>
      <c r="N2461" s="7">
        <v>1</v>
      </c>
      <c r="O2461" t="s">
        <v>23</v>
      </c>
      <c r="P2461" s="3" t="s">
        <v>23</v>
      </c>
      <c r="Q2461" s="8" t="s">
        <v>23</v>
      </c>
    </row>
    <row r="2462" spans="1:17" hidden="1" x14ac:dyDescent="0.55000000000000004">
      <c r="A2462" s="3" t="s">
        <v>4210</v>
      </c>
      <c r="B2462" s="3" t="s">
        <v>7382</v>
      </c>
      <c r="C2462" t="s">
        <v>3531</v>
      </c>
      <c r="D2462" s="3" t="s">
        <v>7329</v>
      </c>
      <c r="E2462" t="s">
        <v>4246</v>
      </c>
      <c r="F2462" s="3" t="s">
        <v>4247</v>
      </c>
      <c r="G2462" t="s">
        <v>24</v>
      </c>
      <c r="H2462" s="3" t="s">
        <v>4253</v>
      </c>
      <c r="I2462" t="s">
        <v>37</v>
      </c>
      <c r="J2462" s="3" t="s">
        <v>4254</v>
      </c>
      <c r="K2462" s="4">
        <v>891</v>
      </c>
      <c r="L2462" s="5">
        <v>40.51</v>
      </c>
      <c r="M2462" s="6">
        <v>1</v>
      </c>
      <c r="N2462" s="7">
        <v>1</v>
      </c>
      <c r="O2462" t="s">
        <v>4255</v>
      </c>
      <c r="P2462" s="3" t="s">
        <v>40</v>
      </c>
      <c r="Q2462" s="8">
        <v>0.219079</v>
      </c>
    </row>
    <row r="2463" spans="1:17" hidden="1" x14ac:dyDescent="0.55000000000000004">
      <c r="A2463" s="3" t="s">
        <v>4210</v>
      </c>
      <c r="B2463" s="3" t="s">
        <v>7382</v>
      </c>
      <c r="C2463" t="s">
        <v>3531</v>
      </c>
      <c r="D2463" s="3" t="s">
        <v>7329</v>
      </c>
      <c r="E2463" t="s">
        <v>4246</v>
      </c>
      <c r="F2463" s="3" t="s">
        <v>4247</v>
      </c>
      <c r="G2463" t="s">
        <v>24</v>
      </c>
      <c r="H2463" s="3" t="s">
        <v>3537</v>
      </c>
      <c r="I2463" t="s">
        <v>105</v>
      </c>
      <c r="J2463" s="3" t="s">
        <v>3538</v>
      </c>
      <c r="K2463" s="4">
        <v>625</v>
      </c>
      <c r="L2463" s="5">
        <v>0</v>
      </c>
      <c r="M2463" s="6">
        <v>0</v>
      </c>
      <c r="N2463" s="7">
        <v>1</v>
      </c>
      <c r="O2463" t="s">
        <v>23</v>
      </c>
      <c r="P2463" s="3" t="s">
        <v>23</v>
      </c>
      <c r="Q2463" s="8" t="s">
        <v>23</v>
      </c>
    </row>
    <row r="2464" spans="1:17" hidden="1" x14ac:dyDescent="0.55000000000000004">
      <c r="A2464" s="3" t="s">
        <v>4210</v>
      </c>
      <c r="B2464" s="3" t="s">
        <v>7382</v>
      </c>
      <c r="C2464" t="s">
        <v>3531</v>
      </c>
      <c r="D2464" s="3" t="s">
        <v>7329</v>
      </c>
      <c r="E2464" t="s">
        <v>4246</v>
      </c>
      <c r="F2464" s="3" t="s">
        <v>4247</v>
      </c>
      <c r="G2464" t="s">
        <v>24</v>
      </c>
      <c r="H2464" s="3" t="s">
        <v>3539</v>
      </c>
      <c r="I2464" t="s">
        <v>37</v>
      </c>
      <c r="J2464" s="3" t="s">
        <v>3538</v>
      </c>
      <c r="K2464" s="4">
        <v>707</v>
      </c>
      <c r="L2464" s="5">
        <v>0</v>
      </c>
      <c r="M2464" s="6">
        <v>0</v>
      </c>
      <c r="N2464" s="7">
        <v>1</v>
      </c>
      <c r="O2464" t="s">
        <v>23</v>
      </c>
      <c r="P2464" s="3" t="s">
        <v>23</v>
      </c>
      <c r="Q2464" s="8" t="s">
        <v>23</v>
      </c>
    </row>
    <row r="2465" spans="1:17" hidden="1" x14ac:dyDescent="0.55000000000000004">
      <c r="A2465" s="3" t="s">
        <v>4210</v>
      </c>
      <c r="B2465" s="3" t="s">
        <v>7382</v>
      </c>
      <c r="C2465" t="s">
        <v>3531</v>
      </c>
      <c r="D2465" s="3" t="s">
        <v>7329</v>
      </c>
      <c r="E2465" t="s">
        <v>4246</v>
      </c>
      <c r="F2465" s="3" t="s">
        <v>4247</v>
      </c>
      <c r="G2465" t="s">
        <v>24</v>
      </c>
      <c r="H2465" s="3" t="s">
        <v>4256</v>
      </c>
      <c r="I2465" t="s">
        <v>43</v>
      </c>
      <c r="J2465" s="3" t="s">
        <v>4257</v>
      </c>
      <c r="K2465" s="4">
        <v>982</v>
      </c>
      <c r="L2465" s="5">
        <v>44.62</v>
      </c>
      <c r="M2465" s="6">
        <v>0</v>
      </c>
      <c r="N2465" s="7">
        <v>1</v>
      </c>
      <c r="O2465" t="s">
        <v>4258</v>
      </c>
      <c r="P2465" s="3" t="s">
        <v>138</v>
      </c>
      <c r="Q2465" s="8">
        <v>0.20219999999999999</v>
      </c>
    </row>
    <row r="2466" spans="1:17" hidden="1" x14ac:dyDescent="0.55000000000000004">
      <c r="A2466" s="3" t="s">
        <v>4210</v>
      </c>
      <c r="B2466" s="3" t="s">
        <v>4259</v>
      </c>
      <c r="C2466" t="s">
        <v>4260</v>
      </c>
      <c r="D2466" s="3" t="s">
        <v>7329</v>
      </c>
      <c r="E2466" t="s">
        <v>4261</v>
      </c>
      <c r="F2466" s="3" t="s">
        <v>4262</v>
      </c>
      <c r="G2466" t="s">
        <v>24</v>
      </c>
      <c r="H2466" s="3" t="s">
        <v>4263</v>
      </c>
      <c r="I2466" t="s">
        <v>43</v>
      </c>
      <c r="J2466" s="3" t="s">
        <v>4264</v>
      </c>
      <c r="K2466" s="4">
        <v>666</v>
      </c>
      <c r="L2466" s="5">
        <v>30.29</v>
      </c>
      <c r="M2466" s="6">
        <v>1</v>
      </c>
      <c r="N2466" s="7">
        <v>0</v>
      </c>
      <c r="O2466" t="s">
        <v>4265</v>
      </c>
      <c r="P2466" s="3" t="s">
        <v>138</v>
      </c>
      <c r="Q2466" s="8">
        <v>0.1706</v>
      </c>
    </row>
    <row r="2467" spans="1:17" hidden="1" x14ac:dyDescent="0.55000000000000004">
      <c r="A2467" s="3" t="s">
        <v>4210</v>
      </c>
      <c r="B2467" s="3" t="s">
        <v>4266</v>
      </c>
      <c r="C2467" t="s">
        <v>4267</v>
      </c>
      <c r="D2467" s="3" t="s">
        <v>7329</v>
      </c>
      <c r="E2467" t="s">
        <v>4268</v>
      </c>
      <c r="F2467" s="3" t="s">
        <v>4269</v>
      </c>
      <c r="G2467" t="s">
        <v>24</v>
      </c>
      <c r="H2467" s="3" t="s">
        <v>4270</v>
      </c>
      <c r="I2467" t="s">
        <v>43</v>
      </c>
      <c r="J2467" s="3" t="s">
        <v>4271</v>
      </c>
      <c r="K2467" s="4">
        <v>792</v>
      </c>
      <c r="L2467" s="5">
        <v>36.01</v>
      </c>
      <c r="M2467" s="6">
        <v>1</v>
      </c>
      <c r="N2467" s="7">
        <v>0</v>
      </c>
      <c r="O2467" t="s">
        <v>4272</v>
      </c>
      <c r="P2467" s="3" t="s">
        <v>138</v>
      </c>
      <c r="Q2467" s="8">
        <v>0.21809000000000001</v>
      </c>
    </row>
    <row r="2468" spans="1:17" hidden="1" x14ac:dyDescent="0.55000000000000004">
      <c r="A2468" s="3" t="s">
        <v>4210</v>
      </c>
      <c r="B2468" s="3" t="s">
        <v>4273</v>
      </c>
      <c r="C2468" t="s">
        <v>4260</v>
      </c>
      <c r="D2468" s="3" t="s">
        <v>7329</v>
      </c>
      <c r="E2468" t="s">
        <v>4274</v>
      </c>
      <c r="F2468" s="3" t="s">
        <v>4275</v>
      </c>
      <c r="G2468" t="s">
        <v>19</v>
      </c>
      <c r="H2468" s="3" t="s">
        <v>4276</v>
      </c>
      <c r="I2468" t="s">
        <v>3534</v>
      </c>
      <c r="J2468" s="3" t="s">
        <v>4277</v>
      </c>
      <c r="K2468" s="4">
        <v>297</v>
      </c>
      <c r="L2468" s="5">
        <v>64.650000000000006</v>
      </c>
      <c r="M2468" s="6">
        <v>0</v>
      </c>
      <c r="N2468" s="7">
        <v>0</v>
      </c>
      <c r="O2468" t="s">
        <v>4278</v>
      </c>
      <c r="P2468" s="3" t="s">
        <v>4217</v>
      </c>
      <c r="Q2468" s="8">
        <v>4.1954999999999999E-2</v>
      </c>
    </row>
    <row r="2469" spans="1:17" hidden="1" x14ac:dyDescent="0.55000000000000004">
      <c r="A2469" s="3" t="s">
        <v>4210</v>
      </c>
      <c r="B2469" s="3" t="s">
        <v>4273</v>
      </c>
      <c r="C2469" t="s">
        <v>4260</v>
      </c>
      <c r="D2469" s="3" t="s">
        <v>7329</v>
      </c>
      <c r="E2469" t="s">
        <v>4274</v>
      </c>
      <c r="F2469" s="3" t="s">
        <v>4275</v>
      </c>
      <c r="G2469" t="s">
        <v>19</v>
      </c>
      <c r="H2469" s="3" t="s">
        <v>4279</v>
      </c>
      <c r="I2469" t="s">
        <v>4229</v>
      </c>
      <c r="J2469" s="3" t="s">
        <v>4277</v>
      </c>
      <c r="K2469" s="4">
        <v>278</v>
      </c>
      <c r="L2469" s="5">
        <v>60.33</v>
      </c>
      <c r="M2469" s="6">
        <v>1</v>
      </c>
      <c r="N2469" s="7">
        <v>0</v>
      </c>
      <c r="O2469" t="s">
        <v>4280</v>
      </c>
      <c r="P2469" s="3" t="s">
        <v>4217</v>
      </c>
      <c r="Q2469" s="8">
        <v>3.8635999999999997E-2</v>
      </c>
    </row>
    <row r="2470" spans="1:17" hidden="1" x14ac:dyDescent="0.55000000000000004">
      <c r="A2470" s="3" t="s">
        <v>4210</v>
      </c>
      <c r="B2470" s="3" t="s">
        <v>4273</v>
      </c>
      <c r="C2470" t="s">
        <v>4260</v>
      </c>
      <c r="D2470" s="3" t="s">
        <v>7329</v>
      </c>
      <c r="E2470" t="s">
        <v>4274</v>
      </c>
      <c r="F2470" s="3" t="s">
        <v>4275</v>
      </c>
      <c r="G2470" t="s">
        <v>19</v>
      </c>
      <c r="H2470" s="3" t="s">
        <v>4281</v>
      </c>
      <c r="I2470" t="s">
        <v>4233</v>
      </c>
      <c r="J2470" s="3" t="s">
        <v>4277</v>
      </c>
      <c r="K2470" s="4">
        <v>282</v>
      </c>
      <c r="L2470" s="5">
        <v>61.24</v>
      </c>
      <c r="M2470" s="6">
        <v>0</v>
      </c>
      <c r="N2470" s="7">
        <v>0</v>
      </c>
      <c r="O2470" t="s">
        <v>4282</v>
      </c>
      <c r="P2470" s="3" t="s">
        <v>4217</v>
      </c>
      <c r="Q2470" s="8">
        <v>3.0571000000000001E-2</v>
      </c>
    </row>
    <row r="2471" spans="1:17" hidden="1" x14ac:dyDescent="0.55000000000000004">
      <c r="A2471" s="3" t="s">
        <v>4210</v>
      </c>
      <c r="B2471" s="3" t="s">
        <v>4273</v>
      </c>
      <c r="C2471" t="s">
        <v>4260</v>
      </c>
      <c r="D2471" s="3" t="s">
        <v>7329</v>
      </c>
      <c r="E2471" t="s">
        <v>4274</v>
      </c>
      <c r="F2471" s="3" t="s">
        <v>4275</v>
      </c>
      <c r="G2471" t="s">
        <v>19</v>
      </c>
      <c r="H2471" s="3" t="s">
        <v>4283</v>
      </c>
      <c r="I2471" t="s">
        <v>3862</v>
      </c>
      <c r="J2471" s="3" t="s">
        <v>4284</v>
      </c>
      <c r="K2471" s="4">
        <v>246</v>
      </c>
      <c r="L2471" s="5">
        <v>53.57</v>
      </c>
      <c r="M2471" s="6">
        <v>0</v>
      </c>
      <c r="N2471" s="7">
        <v>0</v>
      </c>
      <c r="O2471" t="s">
        <v>4285</v>
      </c>
      <c r="P2471" s="3" t="s">
        <v>1770</v>
      </c>
      <c r="Q2471" s="8">
        <v>6.3775999999999999E-2</v>
      </c>
    </row>
    <row r="2472" spans="1:17" hidden="1" x14ac:dyDescent="0.55000000000000004">
      <c r="A2472" s="3" t="s">
        <v>4210</v>
      </c>
      <c r="B2472" s="3" t="s">
        <v>4273</v>
      </c>
      <c r="C2472" t="s">
        <v>4260</v>
      </c>
      <c r="D2472" s="3" t="s">
        <v>7329</v>
      </c>
      <c r="E2472" t="s">
        <v>4274</v>
      </c>
      <c r="F2472" s="3" t="s">
        <v>4275</v>
      </c>
      <c r="G2472" t="s">
        <v>24</v>
      </c>
      <c r="H2472" s="3" t="s">
        <v>4286</v>
      </c>
      <c r="I2472" t="s">
        <v>43</v>
      </c>
      <c r="J2472" s="3" t="s">
        <v>4287</v>
      </c>
      <c r="K2472" s="4">
        <v>654</v>
      </c>
      <c r="L2472" s="5">
        <v>29.75</v>
      </c>
      <c r="M2472" s="6">
        <v>1</v>
      </c>
      <c r="N2472" s="7">
        <v>0</v>
      </c>
      <c r="O2472" t="s">
        <v>4288</v>
      </c>
      <c r="P2472" s="3" t="s">
        <v>46</v>
      </c>
      <c r="Q2472" s="8">
        <v>0.15226700000000001</v>
      </c>
    </row>
    <row r="2473" spans="1:17" hidden="1" x14ac:dyDescent="0.55000000000000004">
      <c r="A2473" s="3" t="s">
        <v>4210</v>
      </c>
      <c r="B2473" s="3" t="s">
        <v>4273</v>
      </c>
      <c r="C2473" t="s">
        <v>4260</v>
      </c>
      <c r="D2473" s="3" t="s">
        <v>7329</v>
      </c>
      <c r="E2473" t="s">
        <v>4274</v>
      </c>
      <c r="F2473" s="3" t="s">
        <v>4275</v>
      </c>
      <c r="G2473" t="s">
        <v>24</v>
      </c>
      <c r="H2473" s="3" t="s">
        <v>4289</v>
      </c>
      <c r="I2473" t="s">
        <v>48</v>
      </c>
      <c r="J2473" s="3" t="s">
        <v>4287</v>
      </c>
      <c r="K2473" s="4">
        <v>549</v>
      </c>
      <c r="L2473" s="5">
        <v>24.95</v>
      </c>
      <c r="M2473" s="6">
        <v>0</v>
      </c>
      <c r="N2473" s="7">
        <v>0</v>
      </c>
      <c r="O2473" t="s">
        <v>4290</v>
      </c>
      <c r="P2473" s="3" t="s">
        <v>23</v>
      </c>
      <c r="Q2473" s="8" t="s">
        <v>23</v>
      </c>
    </row>
    <row r="2474" spans="1:17" hidden="1" x14ac:dyDescent="0.55000000000000004">
      <c r="A2474" s="3" t="s">
        <v>4210</v>
      </c>
      <c r="B2474" s="3" t="s">
        <v>4273</v>
      </c>
      <c r="C2474" t="s">
        <v>4260</v>
      </c>
      <c r="D2474" s="3" t="s">
        <v>7329</v>
      </c>
      <c r="E2474" t="s">
        <v>4291</v>
      </c>
      <c r="F2474" s="3" t="s">
        <v>4292</v>
      </c>
      <c r="G2474" t="s">
        <v>19</v>
      </c>
      <c r="H2474" s="3" t="s">
        <v>4276</v>
      </c>
      <c r="I2474" t="s">
        <v>3534</v>
      </c>
      <c r="J2474" s="3" t="s">
        <v>4277</v>
      </c>
      <c r="K2474" s="4">
        <v>297</v>
      </c>
      <c r="L2474" s="5">
        <v>64.650000000000006</v>
      </c>
      <c r="M2474" s="6">
        <v>0</v>
      </c>
      <c r="N2474" s="7">
        <v>0</v>
      </c>
      <c r="O2474" t="s">
        <v>4278</v>
      </c>
      <c r="P2474" s="3" t="s">
        <v>4217</v>
      </c>
      <c r="Q2474" s="8">
        <v>4.1954999999999999E-2</v>
      </c>
    </row>
    <row r="2475" spans="1:17" hidden="1" x14ac:dyDescent="0.55000000000000004">
      <c r="A2475" s="3" t="s">
        <v>4210</v>
      </c>
      <c r="B2475" s="3" t="s">
        <v>4273</v>
      </c>
      <c r="C2475" t="s">
        <v>4260</v>
      </c>
      <c r="D2475" s="3" t="s">
        <v>7329</v>
      </c>
      <c r="E2475" t="s">
        <v>4291</v>
      </c>
      <c r="F2475" s="3" t="s">
        <v>4292</v>
      </c>
      <c r="G2475" t="s">
        <v>19</v>
      </c>
      <c r="H2475" s="3" t="s">
        <v>4279</v>
      </c>
      <c r="I2475" t="s">
        <v>4229</v>
      </c>
      <c r="J2475" s="3" t="s">
        <v>4277</v>
      </c>
      <c r="K2475" s="4">
        <v>278</v>
      </c>
      <c r="L2475" s="5">
        <v>60.33</v>
      </c>
      <c r="M2475" s="6">
        <v>1</v>
      </c>
      <c r="N2475" s="7">
        <v>0</v>
      </c>
      <c r="O2475" t="s">
        <v>4280</v>
      </c>
      <c r="P2475" s="3" t="s">
        <v>4217</v>
      </c>
      <c r="Q2475" s="8">
        <v>3.8635999999999997E-2</v>
      </c>
    </row>
    <row r="2476" spans="1:17" hidden="1" x14ac:dyDescent="0.55000000000000004">
      <c r="A2476" s="3" t="s">
        <v>4210</v>
      </c>
      <c r="B2476" s="3" t="s">
        <v>4273</v>
      </c>
      <c r="C2476" t="s">
        <v>4260</v>
      </c>
      <c r="D2476" s="3" t="s">
        <v>7329</v>
      </c>
      <c r="E2476" t="s">
        <v>4291</v>
      </c>
      <c r="F2476" s="3" t="s">
        <v>4292</v>
      </c>
      <c r="G2476" t="s">
        <v>19</v>
      </c>
      <c r="H2476" s="3" t="s">
        <v>4281</v>
      </c>
      <c r="I2476" t="s">
        <v>4233</v>
      </c>
      <c r="J2476" s="3" t="s">
        <v>4277</v>
      </c>
      <c r="K2476" s="4">
        <v>282</v>
      </c>
      <c r="L2476" s="5">
        <v>61.24</v>
      </c>
      <c r="M2476" s="6">
        <v>0</v>
      </c>
      <c r="N2476" s="7">
        <v>0</v>
      </c>
      <c r="O2476" t="s">
        <v>4282</v>
      </c>
      <c r="P2476" s="3" t="s">
        <v>4217</v>
      </c>
      <c r="Q2476" s="8">
        <v>3.0571000000000001E-2</v>
      </c>
    </row>
    <row r="2477" spans="1:17" hidden="1" x14ac:dyDescent="0.55000000000000004">
      <c r="A2477" s="3" t="s">
        <v>4210</v>
      </c>
      <c r="B2477" s="3" t="s">
        <v>4273</v>
      </c>
      <c r="C2477" t="s">
        <v>4260</v>
      </c>
      <c r="D2477" s="3" t="s">
        <v>7329</v>
      </c>
      <c r="E2477" t="s">
        <v>4291</v>
      </c>
      <c r="F2477" s="3" t="s">
        <v>4292</v>
      </c>
      <c r="G2477" t="s">
        <v>19</v>
      </c>
      <c r="H2477" s="3" t="s">
        <v>4283</v>
      </c>
      <c r="I2477" t="s">
        <v>3862</v>
      </c>
      <c r="J2477" s="3" t="s">
        <v>4284</v>
      </c>
      <c r="K2477" s="4">
        <v>246</v>
      </c>
      <c r="L2477" s="5">
        <v>53.57</v>
      </c>
      <c r="M2477" s="6">
        <v>0</v>
      </c>
      <c r="N2477" s="7">
        <v>0</v>
      </c>
      <c r="O2477" t="s">
        <v>4285</v>
      </c>
      <c r="P2477" s="3" t="s">
        <v>1770</v>
      </c>
      <c r="Q2477" s="8">
        <v>6.3775999999999999E-2</v>
      </c>
    </row>
    <row r="2478" spans="1:17" hidden="1" x14ac:dyDescent="0.55000000000000004">
      <c r="A2478" s="3" t="s">
        <v>4210</v>
      </c>
      <c r="B2478" s="3" t="s">
        <v>4273</v>
      </c>
      <c r="C2478" t="s">
        <v>4260</v>
      </c>
      <c r="D2478" s="3" t="s">
        <v>7329</v>
      </c>
      <c r="E2478" t="s">
        <v>4291</v>
      </c>
      <c r="F2478" s="3" t="s">
        <v>4292</v>
      </c>
      <c r="G2478" t="s">
        <v>24</v>
      </c>
      <c r="H2478" s="3" t="s">
        <v>4286</v>
      </c>
      <c r="I2478" t="s">
        <v>43</v>
      </c>
      <c r="J2478" s="3" t="s">
        <v>4287</v>
      </c>
      <c r="K2478" s="4">
        <v>654</v>
      </c>
      <c r="L2478" s="5">
        <v>29.75</v>
      </c>
      <c r="M2478" s="6">
        <v>1</v>
      </c>
      <c r="N2478" s="7">
        <v>0</v>
      </c>
      <c r="O2478" t="s">
        <v>4288</v>
      </c>
      <c r="P2478" s="3" t="s">
        <v>46</v>
      </c>
      <c r="Q2478" s="8">
        <v>0.15226700000000001</v>
      </c>
    </row>
    <row r="2479" spans="1:17" hidden="1" x14ac:dyDescent="0.55000000000000004">
      <c r="A2479" s="3" t="s">
        <v>4210</v>
      </c>
      <c r="B2479" s="3" t="s">
        <v>4273</v>
      </c>
      <c r="C2479" t="s">
        <v>4260</v>
      </c>
      <c r="D2479" s="3" t="s">
        <v>7329</v>
      </c>
      <c r="E2479" t="s">
        <v>4291</v>
      </c>
      <c r="F2479" s="3" t="s">
        <v>4292</v>
      </c>
      <c r="G2479" t="s">
        <v>24</v>
      </c>
      <c r="H2479" s="3" t="s">
        <v>4289</v>
      </c>
      <c r="I2479" t="s">
        <v>48</v>
      </c>
      <c r="J2479" s="3" t="s">
        <v>4287</v>
      </c>
      <c r="K2479" s="4">
        <v>549</v>
      </c>
      <c r="L2479" s="5">
        <v>24.95</v>
      </c>
      <c r="M2479" s="6">
        <v>0</v>
      </c>
      <c r="N2479" s="7">
        <v>0</v>
      </c>
      <c r="O2479" t="s">
        <v>4290</v>
      </c>
      <c r="P2479" s="3" t="s">
        <v>23</v>
      </c>
      <c r="Q2479" s="8" t="s">
        <v>23</v>
      </c>
    </row>
    <row r="2480" spans="1:17" hidden="1" x14ac:dyDescent="0.55000000000000004">
      <c r="A2480" s="3" t="s">
        <v>4210</v>
      </c>
      <c r="B2480" s="3" t="s">
        <v>4273</v>
      </c>
      <c r="C2480" t="s">
        <v>4260</v>
      </c>
      <c r="D2480" s="3" t="s">
        <v>7329</v>
      </c>
      <c r="E2480" t="s">
        <v>4293</v>
      </c>
      <c r="F2480" s="3" t="s">
        <v>4294</v>
      </c>
      <c r="G2480" t="s">
        <v>19</v>
      </c>
      <c r="H2480" s="3" t="s">
        <v>4276</v>
      </c>
      <c r="I2480" t="s">
        <v>3534</v>
      </c>
      <c r="J2480" s="3" t="s">
        <v>4277</v>
      </c>
      <c r="K2480" s="4">
        <v>297</v>
      </c>
      <c r="L2480" s="5">
        <v>64.650000000000006</v>
      </c>
      <c r="M2480" s="6">
        <v>0</v>
      </c>
      <c r="N2480" s="7">
        <v>1</v>
      </c>
      <c r="O2480" t="s">
        <v>4278</v>
      </c>
      <c r="P2480" s="3" t="s">
        <v>4217</v>
      </c>
      <c r="Q2480" s="8">
        <v>4.1954999999999999E-2</v>
      </c>
    </row>
    <row r="2481" spans="1:17" hidden="1" x14ac:dyDescent="0.55000000000000004">
      <c r="A2481" s="3" t="s">
        <v>4210</v>
      </c>
      <c r="B2481" s="3" t="s">
        <v>4273</v>
      </c>
      <c r="C2481" t="s">
        <v>4260</v>
      </c>
      <c r="D2481" s="3" t="s">
        <v>7329</v>
      </c>
      <c r="E2481" t="s">
        <v>4293</v>
      </c>
      <c r="F2481" s="3" t="s">
        <v>4294</v>
      </c>
      <c r="G2481" t="s">
        <v>19</v>
      </c>
      <c r="H2481" s="3" t="s">
        <v>4279</v>
      </c>
      <c r="I2481" t="s">
        <v>4229</v>
      </c>
      <c r="J2481" s="3" t="s">
        <v>4277</v>
      </c>
      <c r="K2481" s="4">
        <v>278</v>
      </c>
      <c r="L2481" s="5">
        <v>60.33</v>
      </c>
      <c r="M2481" s="6">
        <v>1</v>
      </c>
      <c r="N2481" s="7">
        <v>1</v>
      </c>
      <c r="O2481" t="s">
        <v>4280</v>
      </c>
      <c r="P2481" s="3" t="s">
        <v>4217</v>
      </c>
      <c r="Q2481" s="8">
        <v>3.8635999999999997E-2</v>
      </c>
    </row>
    <row r="2482" spans="1:17" hidden="1" x14ac:dyDescent="0.55000000000000004">
      <c r="A2482" s="3" t="s">
        <v>4210</v>
      </c>
      <c r="B2482" s="3" t="s">
        <v>4273</v>
      </c>
      <c r="C2482" t="s">
        <v>4260</v>
      </c>
      <c r="D2482" s="3" t="s">
        <v>7329</v>
      </c>
      <c r="E2482" t="s">
        <v>4293</v>
      </c>
      <c r="F2482" s="3" t="s">
        <v>4294</v>
      </c>
      <c r="G2482" t="s">
        <v>19</v>
      </c>
      <c r="H2482" s="3" t="s">
        <v>4281</v>
      </c>
      <c r="I2482" t="s">
        <v>4233</v>
      </c>
      <c r="J2482" s="3" t="s">
        <v>4277</v>
      </c>
      <c r="K2482" s="4">
        <v>282</v>
      </c>
      <c r="L2482" s="5">
        <v>61.24</v>
      </c>
      <c r="M2482" s="6">
        <v>0</v>
      </c>
      <c r="N2482" s="7">
        <v>1</v>
      </c>
      <c r="O2482" t="s">
        <v>4282</v>
      </c>
      <c r="P2482" s="3" t="s">
        <v>4217</v>
      </c>
      <c r="Q2482" s="8">
        <v>3.0571000000000001E-2</v>
      </c>
    </row>
    <row r="2483" spans="1:17" hidden="1" x14ac:dyDescent="0.55000000000000004">
      <c r="A2483" s="3" t="s">
        <v>4210</v>
      </c>
      <c r="B2483" s="3" t="s">
        <v>4273</v>
      </c>
      <c r="C2483" t="s">
        <v>4260</v>
      </c>
      <c r="D2483" s="3" t="s">
        <v>7329</v>
      </c>
      <c r="E2483" t="s">
        <v>4293</v>
      </c>
      <c r="F2483" s="3" t="s">
        <v>4294</v>
      </c>
      <c r="G2483" t="s">
        <v>19</v>
      </c>
      <c r="H2483" s="3" t="s">
        <v>4283</v>
      </c>
      <c r="I2483" t="s">
        <v>3862</v>
      </c>
      <c r="J2483" s="3" t="s">
        <v>4284</v>
      </c>
      <c r="K2483" s="4">
        <v>246</v>
      </c>
      <c r="L2483" s="5">
        <v>53.57</v>
      </c>
      <c r="M2483" s="6">
        <v>0</v>
      </c>
      <c r="N2483" s="7">
        <v>1</v>
      </c>
      <c r="O2483" t="s">
        <v>4285</v>
      </c>
      <c r="P2483" s="3" t="s">
        <v>1770</v>
      </c>
      <c r="Q2483" s="8">
        <v>6.3775999999999999E-2</v>
      </c>
    </row>
    <row r="2484" spans="1:17" hidden="1" x14ac:dyDescent="0.55000000000000004">
      <c r="A2484" s="3" t="s">
        <v>4210</v>
      </c>
      <c r="B2484" s="3" t="s">
        <v>4273</v>
      </c>
      <c r="C2484" t="s">
        <v>4260</v>
      </c>
      <c r="D2484" s="3" t="s">
        <v>7329</v>
      </c>
      <c r="E2484" t="s">
        <v>4293</v>
      </c>
      <c r="F2484" s="3" t="s">
        <v>4294</v>
      </c>
      <c r="G2484" t="s">
        <v>24</v>
      </c>
      <c r="H2484" s="3" t="s">
        <v>4286</v>
      </c>
      <c r="I2484" t="s">
        <v>43</v>
      </c>
      <c r="J2484" s="3" t="s">
        <v>4287</v>
      </c>
      <c r="K2484" s="4">
        <v>654</v>
      </c>
      <c r="L2484" s="5">
        <v>29.75</v>
      </c>
      <c r="M2484" s="6">
        <v>1</v>
      </c>
      <c r="N2484" s="7">
        <v>1</v>
      </c>
      <c r="O2484" t="s">
        <v>4288</v>
      </c>
      <c r="P2484" s="3" t="s">
        <v>46</v>
      </c>
      <c r="Q2484" s="8">
        <v>0.15226700000000001</v>
      </c>
    </row>
    <row r="2485" spans="1:17" hidden="1" x14ac:dyDescent="0.55000000000000004">
      <c r="A2485" s="3" t="s">
        <v>4210</v>
      </c>
      <c r="B2485" s="3" t="s">
        <v>4273</v>
      </c>
      <c r="C2485" t="s">
        <v>4260</v>
      </c>
      <c r="D2485" s="3" t="s">
        <v>7329</v>
      </c>
      <c r="E2485" t="s">
        <v>4293</v>
      </c>
      <c r="F2485" s="3" t="s">
        <v>4294</v>
      </c>
      <c r="G2485" t="s">
        <v>24</v>
      </c>
      <c r="H2485" s="3" t="s">
        <v>4289</v>
      </c>
      <c r="I2485" t="s">
        <v>48</v>
      </c>
      <c r="J2485" s="3" t="s">
        <v>4287</v>
      </c>
      <c r="K2485" s="4">
        <v>549</v>
      </c>
      <c r="L2485" s="5">
        <v>24.95</v>
      </c>
      <c r="M2485" s="6">
        <v>0</v>
      </c>
      <c r="N2485" s="7">
        <v>1</v>
      </c>
      <c r="O2485" t="s">
        <v>4290</v>
      </c>
      <c r="P2485" s="3" t="s">
        <v>23</v>
      </c>
      <c r="Q2485" s="8" t="s">
        <v>23</v>
      </c>
    </row>
    <row r="2486" spans="1:17" hidden="1" x14ac:dyDescent="0.55000000000000004">
      <c r="A2486" s="3" t="s">
        <v>4210</v>
      </c>
      <c r="B2486" s="3" t="s">
        <v>4295</v>
      </c>
      <c r="C2486" t="s">
        <v>4260</v>
      </c>
      <c r="D2486" s="3" t="s">
        <v>7329</v>
      </c>
      <c r="E2486" t="s">
        <v>4296</v>
      </c>
      <c r="F2486" s="3" t="s">
        <v>4297</v>
      </c>
      <c r="G2486" t="s">
        <v>19</v>
      </c>
      <c r="H2486" s="3" t="s">
        <v>4298</v>
      </c>
      <c r="I2486" t="s">
        <v>4229</v>
      </c>
      <c r="J2486" s="3" t="s">
        <v>4299</v>
      </c>
      <c r="K2486" s="4">
        <v>243</v>
      </c>
      <c r="L2486" s="5">
        <v>52.89</v>
      </c>
      <c r="M2486" s="6">
        <v>1</v>
      </c>
      <c r="N2486" s="7">
        <v>0</v>
      </c>
      <c r="O2486" t="s">
        <v>4300</v>
      </c>
      <c r="P2486" s="3" t="s">
        <v>4217</v>
      </c>
      <c r="Q2486" s="8">
        <v>3.5730999999999999E-2</v>
      </c>
    </row>
    <row r="2487" spans="1:17" hidden="1" x14ac:dyDescent="0.55000000000000004">
      <c r="A2487" s="3" t="s">
        <v>4210</v>
      </c>
      <c r="B2487" s="3" t="s">
        <v>4295</v>
      </c>
      <c r="C2487" t="s">
        <v>4260</v>
      </c>
      <c r="D2487" s="3" t="s">
        <v>7329</v>
      </c>
      <c r="E2487" t="s">
        <v>4296</v>
      </c>
      <c r="F2487" s="3" t="s">
        <v>4297</v>
      </c>
      <c r="G2487" t="s">
        <v>19</v>
      </c>
      <c r="H2487" s="3" t="s">
        <v>4301</v>
      </c>
      <c r="I2487" t="s">
        <v>3534</v>
      </c>
      <c r="J2487" s="3" t="s">
        <v>4299</v>
      </c>
      <c r="K2487" s="4">
        <v>263</v>
      </c>
      <c r="L2487" s="5">
        <v>57.22</v>
      </c>
      <c r="M2487" s="6">
        <v>0</v>
      </c>
      <c r="N2487" s="7">
        <v>0</v>
      </c>
      <c r="O2487" t="s">
        <v>4302</v>
      </c>
      <c r="P2487" s="3" t="s">
        <v>4217</v>
      </c>
      <c r="Q2487" s="8">
        <v>3.9047999999999999E-2</v>
      </c>
    </row>
    <row r="2488" spans="1:17" hidden="1" x14ac:dyDescent="0.55000000000000004">
      <c r="A2488" s="3" t="s">
        <v>4210</v>
      </c>
      <c r="B2488" s="3" t="s">
        <v>4295</v>
      </c>
      <c r="C2488" t="s">
        <v>4260</v>
      </c>
      <c r="D2488" s="3" t="s">
        <v>7329</v>
      </c>
      <c r="E2488" t="s">
        <v>4296</v>
      </c>
      <c r="F2488" s="3" t="s">
        <v>4297</v>
      </c>
      <c r="G2488" t="s">
        <v>19</v>
      </c>
      <c r="H2488" s="3" t="s">
        <v>4303</v>
      </c>
      <c r="I2488" t="s">
        <v>4233</v>
      </c>
      <c r="J2488" s="3" t="s">
        <v>4299</v>
      </c>
      <c r="K2488" s="4">
        <v>248</v>
      </c>
      <c r="L2488" s="5">
        <v>53.8</v>
      </c>
      <c r="M2488" s="6">
        <v>0</v>
      </c>
      <c r="N2488" s="7">
        <v>0</v>
      </c>
      <c r="O2488" t="s">
        <v>4304</v>
      </c>
      <c r="P2488" s="3" t="s">
        <v>4217</v>
      </c>
      <c r="Q2488" s="8">
        <v>3.4381000000000002E-2</v>
      </c>
    </row>
    <row r="2489" spans="1:17" hidden="1" x14ac:dyDescent="0.55000000000000004">
      <c r="A2489" s="3" t="s">
        <v>4210</v>
      </c>
      <c r="B2489" s="3" t="s">
        <v>4295</v>
      </c>
      <c r="C2489" t="s">
        <v>4260</v>
      </c>
      <c r="D2489" s="3" t="s">
        <v>7329</v>
      </c>
      <c r="E2489" t="s">
        <v>4296</v>
      </c>
      <c r="F2489" s="3" t="s">
        <v>4297</v>
      </c>
      <c r="G2489" t="s">
        <v>24</v>
      </c>
      <c r="H2489" s="3" t="s">
        <v>4305</v>
      </c>
      <c r="I2489" t="s">
        <v>43</v>
      </c>
      <c r="J2489" s="3" t="s">
        <v>4306</v>
      </c>
      <c r="K2489" s="4">
        <v>695</v>
      </c>
      <c r="L2489" s="5">
        <v>31.58</v>
      </c>
      <c r="M2489" s="6">
        <v>1</v>
      </c>
      <c r="N2489" s="7">
        <v>0</v>
      </c>
      <c r="O2489" t="s">
        <v>4307</v>
      </c>
      <c r="P2489" s="3" t="s">
        <v>46</v>
      </c>
      <c r="Q2489" s="8">
        <v>0.15226700000000001</v>
      </c>
    </row>
    <row r="2490" spans="1:17" hidden="1" x14ac:dyDescent="0.55000000000000004">
      <c r="A2490" s="3" t="s">
        <v>4210</v>
      </c>
      <c r="B2490" s="3" t="s">
        <v>4295</v>
      </c>
      <c r="C2490" t="s">
        <v>4260</v>
      </c>
      <c r="D2490" s="3" t="s">
        <v>7329</v>
      </c>
      <c r="E2490" t="s">
        <v>4296</v>
      </c>
      <c r="F2490" s="3" t="s">
        <v>4297</v>
      </c>
      <c r="G2490" t="s">
        <v>24</v>
      </c>
      <c r="H2490" s="3" t="s">
        <v>4308</v>
      </c>
      <c r="I2490" t="s">
        <v>48</v>
      </c>
      <c r="J2490" s="3" t="s">
        <v>4306</v>
      </c>
      <c r="K2490" s="4">
        <v>591</v>
      </c>
      <c r="L2490" s="5">
        <v>26.87</v>
      </c>
      <c r="M2490" s="6">
        <v>0</v>
      </c>
      <c r="N2490" s="7">
        <v>0</v>
      </c>
      <c r="O2490" t="s">
        <v>4309</v>
      </c>
      <c r="P2490" s="3" t="s">
        <v>23</v>
      </c>
      <c r="Q2490" s="8" t="s">
        <v>23</v>
      </c>
    </row>
    <row r="2491" spans="1:17" hidden="1" x14ac:dyDescent="0.55000000000000004">
      <c r="A2491" s="3" t="s">
        <v>4210</v>
      </c>
      <c r="B2491" s="3" t="s">
        <v>4295</v>
      </c>
      <c r="C2491" t="s">
        <v>4260</v>
      </c>
      <c r="D2491" s="3" t="s">
        <v>7329</v>
      </c>
      <c r="E2491" t="s">
        <v>4310</v>
      </c>
      <c r="F2491" s="3" t="s">
        <v>4311</v>
      </c>
      <c r="G2491" t="s">
        <v>19</v>
      </c>
      <c r="H2491" s="3" t="s">
        <v>4298</v>
      </c>
      <c r="I2491" t="s">
        <v>4229</v>
      </c>
      <c r="J2491" s="3" t="s">
        <v>4299</v>
      </c>
      <c r="K2491" s="4">
        <v>243</v>
      </c>
      <c r="L2491" s="5">
        <v>52.89</v>
      </c>
      <c r="M2491" s="6">
        <v>1</v>
      </c>
      <c r="N2491" s="7">
        <v>1</v>
      </c>
      <c r="O2491" t="s">
        <v>4300</v>
      </c>
      <c r="P2491" s="3" t="s">
        <v>4217</v>
      </c>
      <c r="Q2491" s="8">
        <v>3.5730999999999999E-2</v>
      </c>
    </row>
    <row r="2492" spans="1:17" hidden="1" x14ac:dyDescent="0.55000000000000004">
      <c r="A2492" s="3" t="s">
        <v>4210</v>
      </c>
      <c r="B2492" s="3" t="s">
        <v>4295</v>
      </c>
      <c r="C2492" t="s">
        <v>4260</v>
      </c>
      <c r="D2492" s="3" t="s">
        <v>7329</v>
      </c>
      <c r="E2492" t="s">
        <v>4310</v>
      </c>
      <c r="F2492" s="3" t="s">
        <v>4311</v>
      </c>
      <c r="G2492" t="s">
        <v>19</v>
      </c>
      <c r="H2492" s="3" t="s">
        <v>4301</v>
      </c>
      <c r="I2492" t="s">
        <v>3534</v>
      </c>
      <c r="J2492" s="3" t="s">
        <v>4299</v>
      </c>
      <c r="K2492" s="4">
        <v>263</v>
      </c>
      <c r="L2492" s="5">
        <v>57.22</v>
      </c>
      <c r="M2492" s="6">
        <v>0</v>
      </c>
      <c r="N2492" s="7">
        <v>1</v>
      </c>
      <c r="O2492" t="s">
        <v>4302</v>
      </c>
      <c r="P2492" s="3" t="s">
        <v>4217</v>
      </c>
      <c r="Q2492" s="8">
        <v>3.9047999999999999E-2</v>
      </c>
    </row>
    <row r="2493" spans="1:17" hidden="1" x14ac:dyDescent="0.55000000000000004">
      <c r="A2493" s="3" t="s">
        <v>4210</v>
      </c>
      <c r="B2493" s="3" t="s">
        <v>4295</v>
      </c>
      <c r="C2493" t="s">
        <v>4260</v>
      </c>
      <c r="D2493" s="3" t="s">
        <v>7329</v>
      </c>
      <c r="E2493" t="s">
        <v>4310</v>
      </c>
      <c r="F2493" s="3" t="s">
        <v>4311</v>
      </c>
      <c r="G2493" t="s">
        <v>19</v>
      </c>
      <c r="H2493" s="3" t="s">
        <v>4303</v>
      </c>
      <c r="I2493" t="s">
        <v>4233</v>
      </c>
      <c r="J2493" s="3" t="s">
        <v>4299</v>
      </c>
      <c r="K2493" s="4">
        <v>248</v>
      </c>
      <c r="L2493" s="5">
        <v>53.8</v>
      </c>
      <c r="M2493" s="6">
        <v>0</v>
      </c>
      <c r="N2493" s="7">
        <v>1</v>
      </c>
      <c r="O2493" t="s">
        <v>4304</v>
      </c>
      <c r="P2493" s="3" t="s">
        <v>4217</v>
      </c>
      <c r="Q2493" s="8">
        <v>3.4381000000000002E-2</v>
      </c>
    </row>
    <row r="2494" spans="1:17" hidden="1" x14ac:dyDescent="0.55000000000000004">
      <c r="A2494" s="3" t="s">
        <v>4210</v>
      </c>
      <c r="B2494" s="3" t="s">
        <v>4295</v>
      </c>
      <c r="C2494" t="s">
        <v>4260</v>
      </c>
      <c r="D2494" s="3" t="s">
        <v>7329</v>
      </c>
      <c r="E2494" t="s">
        <v>4310</v>
      </c>
      <c r="F2494" s="3" t="s">
        <v>4311</v>
      </c>
      <c r="G2494" t="s">
        <v>24</v>
      </c>
      <c r="H2494" s="3" t="s">
        <v>4305</v>
      </c>
      <c r="I2494" t="s">
        <v>43</v>
      </c>
      <c r="J2494" s="3" t="s">
        <v>4306</v>
      </c>
      <c r="K2494" s="4">
        <v>695</v>
      </c>
      <c r="L2494" s="5">
        <v>31.58</v>
      </c>
      <c r="M2494" s="6">
        <v>1</v>
      </c>
      <c r="N2494" s="7">
        <v>1</v>
      </c>
      <c r="O2494" t="s">
        <v>4307</v>
      </c>
      <c r="P2494" s="3" t="s">
        <v>46</v>
      </c>
      <c r="Q2494" s="8">
        <v>0.15226700000000001</v>
      </c>
    </row>
    <row r="2495" spans="1:17" hidden="1" x14ac:dyDescent="0.55000000000000004">
      <c r="A2495" s="3" t="s">
        <v>4210</v>
      </c>
      <c r="B2495" s="3" t="s">
        <v>4295</v>
      </c>
      <c r="C2495" t="s">
        <v>4260</v>
      </c>
      <c r="D2495" s="3" t="s">
        <v>7329</v>
      </c>
      <c r="E2495" t="s">
        <v>4310</v>
      </c>
      <c r="F2495" s="3" t="s">
        <v>4311</v>
      </c>
      <c r="G2495" t="s">
        <v>24</v>
      </c>
      <c r="H2495" s="3" t="s">
        <v>4308</v>
      </c>
      <c r="I2495" t="s">
        <v>48</v>
      </c>
      <c r="J2495" s="3" t="s">
        <v>4306</v>
      </c>
      <c r="K2495" s="4">
        <v>591</v>
      </c>
      <c r="L2495" s="5">
        <v>26.87</v>
      </c>
      <c r="M2495" s="6">
        <v>0</v>
      </c>
      <c r="N2495" s="7">
        <v>1</v>
      </c>
      <c r="O2495" t="s">
        <v>4309</v>
      </c>
      <c r="P2495" s="3" t="s">
        <v>23</v>
      </c>
      <c r="Q2495" s="8" t="s">
        <v>23</v>
      </c>
    </row>
    <row r="2496" spans="1:17" hidden="1" x14ac:dyDescent="0.55000000000000004">
      <c r="A2496" s="3" t="s">
        <v>4210</v>
      </c>
      <c r="B2496" s="3" t="s">
        <v>4312</v>
      </c>
      <c r="C2496" t="s">
        <v>4312</v>
      </c>
      <c r="D2496" s="3" t="s">
        <v>7329</v>
      </c>
      <c r="E2496" t="s">
        <v>4313</v>
      </c>
      <c r="F2496" s="3" t="s">
        <v>4314</v>
      </c>
      <c r="G2496" t="s">
        <v>19</v>
      </c>
      <c r="H2496" s="3" t="s">
        <v>4315</v>
      </c>
      <c r="I2496" t="s">
        <v>4229</v>
      </c>
      <c r="J2496" s="3" t="s">
        <v>4316</v>
      </c>
      <c r="K2496" s="4">
        <v>88</v>
      </c>
      <c r="L2496" s="5">
        <v>19.170000000000002</v>
      </c>
      <c r="M2496" s="6">
        <v>1</v>
      </c>
      <c r="N2496" s="7">
        <v>0</v>
      </c>
      <c r="O2496" t="s">
        <v>4317</v>
      </c>
      <c r="P2496" s="3" t="s">
        <v>4217</v>
      </c>
      <c r="Q2496" s="8">
        <v>2.4648E-2</v>
      </c>
    </row>
    <row r="2497" spans="1:17" hidden="1" x14ac:dyDescent="0.55000000000000004">
      <c r="A2497" s="3" t="s">
        <v>4210</v>
      </c>
      <c r="B2497" s="3" t="s">
        <v>4312</v>
      </c>
      <c r="C2497" t="s">
        <v>4312</v>
      </c>
      <c r="D2497" s="3" t="s">
        <v>7329</v>
      </c>
      <c r="E2497" t="s">
        <v>4313</v>
      </c>
      <c r="F2497" s="3" t="s">
        <v>4314</v>
      </c>
      <c r="G2497" t="s">
        <v>19</v>
      </c>
      <c r="H2497" s="3" t="s">
        <v>4318</v>
      </c>
      <c r="I2497" t="s">
        <v>4233</v>
      </c>
      <c r="J2497" s="3" t="s">
        <v>4316</v>
      </c>
      <c r="K2497" s="4">
        <v>92</v>
      </c>
      <c r="L2497" s="5">
        <v>20.09</v>
      </c>
      <c r="M2497" s="6">
        <v>0</v>
      </c>
      <c r="N2497" s="7">
        <v>0</v>
      </c>
      <c r="O2497" t="s">
        <v>4319</v>
      </c>
      <c r="P2497" s="3" t="s">
        <v>4217</v>
      </c>
      <c r="Q2497" s="8">
        <v>1.1831E-2</v>
      </c>
    </row>
    <row r="2498" spans="1:17" hidden="1" x14ac:dyDescent="0.55000000000000004">
      <c r="A2498" s="3" t="s">
        <v>4210</v>
      </c>
      <c r="B2498" s="3" t="s">
        <v>4312</v>
      </c>
      <c r="C2498" t="s">
        <v>4312</v>
      </c>
      <c r="D2498" s="3" t="s">
        <v>7329</v>
      </c>
      <c r="E2498" t="s">
        <v>4313</v>
      </c>
      <c r="F2498" s="3" t="s">
        <v>4314</v>
      </c>
      <c r="G2498" t="s">
        <v>19</v>
      </c>
      <c r="H2498" s="3" t="s">
        <v>4320</v>
      </c>
      <c r="I2498" t="s">
        <v>3534</v>
      </c>
      <c r="J2498" s="3" t="s">
        <v>4316</v>
      </c>
      <c r="K2498" s="4">
        <v>108</v>
      </c>
      <c r="L2498" s="5">
        <v>23.5</v>
      </c>
      <c r="M2498" s="6">
        <v>0</v>
      </c>
      <c r="N2498" s="7">
        <v>0</v>
      </c>
      <c r="O2498" t="s">
        <v>4321</v>
      </c>
      <c r="P2498" s="3" t="s">
        <v>4217</v>
      </c>
      <c r="Q2498" s="8">
        <v>2.7949999999999999E-2</v>
      </c>
    </row>
    <row r="2499" spans="1:17" hidden="1" x14ac:dyDescent="0.55000000000000004">
      <c r="A2499" s="3" t="s">
        <v>4210</v>
      </c>
      <c r="B2499" s="3" t="s">
        <v>4312</v>
      </c>
      <c r="C2499" t="s">
        <v>4312</v>
      </c>
      <c r="D2499" s="3" t="s">
        <v>7329</v>
      </c>
      <c r="E2499" t="s">
        <v>4313</v>
      </c>
      <c r="F2499" s="3" t="s">
        <v>4314</v>
      </c>
      <c r="G2499" t="s">
        <v>19</v>
      </c>
      <c r="H2499" s="3" t="s">
        <v>4322</v>
      </c>
      <c r="I2499" t="s">
        <v>3470</v>
      </c>
      <c r="J2499" s="3" t="s">
        <v>4323</v>
      </c>
      <c r="K2499" s="4">
        <v>94</v>
      </c>
      <c r="L2499" s="5">
        <v>20.5</v>
      </c>
      <c r="M2499" s="6">
        <v>0</v>
      </c>
      <c r="N2499" s="7">
        <v>0</v>
      </c>
      <c r="O2499" t="s">
        <v>4324</v>
      </c>
      <c r="P2499" s="3" t="s">
        <v>3711</v>
      </c>
      <c r="Q2499" s="8">
        <v>4.1567E-2</v>
      </c>
    </row>
    <row r="2500" spans="1:17" hidden="1" x14ac:dyDescent="0.55000000000000004">
      <c r="A2500" s="3" t="s">
        <v>4210</v>
      </c>
      <c r="B2500" s="3" t="s">
        <v>4312</v>
      </c>
      <c r="C2500" t="s">
        <v>4312</v>
      </c>
      <c r="D2500" s="3" t="s">
        <v>7329</v>
      </c>
      <c r="E2500" t="s">
        <v>4313</v>
      </c>
      <c r="F2500" s="3" t="s">
        <v>4314</v>
      </c>
      <c r="G2500" t="s">
        <v>24</v>
      </c>
      <c r="H2500" s="3" t="s">
        <v>4325</v>
      </c>
      <c r="I2500" t="s">
        <v>43</v>
      </c>
      <c r="J2500" s="3" t="s">
        <v>4326</v>
      </c>
      <c r="K2500" s="4">
        <v>890</v>
      </c>
      <c r="L2500" s="5">
        <v>40.47</v>
      </c>
      <c r="M2500" s="6">
        <v>1</v>
      </c>
      <c r="N2500" s="7">
        <v>0</v>
      </c>
      <c r="O2500" t="s">
        <v>4327</v>
      </c>
      <c r="P2500" s="3" t="s">
        <v>46</v>
      </c>
      <c r="Q2500" s="8">
        <v>0.22120000000000001</v>
      </c>
    </row>
    <row r="2501" spans="1:17" hidden="1" x14ac:dyDescent="0.55000000000000004">
      <c r="A2501" s="3" t="s">
        <v>4210</v>
      </c>
      <c r="B2501" s="3" t="s">
        <v>4312</v>
      </c>
      <c r="C2501" t="s">
        <v>4312</v>
      </c>
      <c r="D2501" s="3" t="s">
        <v>7329</v>
      </c>
      <c r="E2501" t="s">
        <v>4313</v>
      </c>
      <c r="F2501" s="3" t="s">
        <v>4314</v>
      </c>
      <c r="G2501" t="s">
        <v>24</v>
      </c>
      <c r="H2501" s="3" t="s">
        <v>4328</v>
      </c>
      <c r="I2501" t="s">
        <v>48</v>
      </c>
      <c r="J2501" s="3" t="s">
        <v>4326</v>
      </c>
      <c r="K2501" s="4">
        <v>785</v>
      </c>
      <c r="L2501" s="5">
        <v>35.659999999999997</v>
      </c>
      <c r="M2501" s="6">
        <v>0</v>
      </c>
      <c r="N2501" s="7">
        <v>0</v>
      </c>
      <c r="O2501" t="s">
        <v>4329</v>
      </c>
      <c r="P2501" s="3" t="s">
        <v>23</v>
      </c>
      <c r="Q2501" s="8" t="s">
        <v>23</v>
      </c>
    </row>
    <row r="2502" spans="1:17" hidden="1" x14ac:dyDescent="0.55000000000000004">
      <c r="A2502" s="3" t="s">
        <v>4210</v>
      </c>
      <c r="B2502" s="3" t="s">
        <v>7380</v>
      </c>
      <c r="C2502" t="s">
        <v>4312</v>
      </c>
      <c r="D2502" s="3" t="s">
        <v>7329</v>
      </c>
      <c r="E2502" t="s">
        <v>4330</v>
      </c>
      <c r="F2502" s="3" t="s">
        <v>4331</v>
      </c>
      <c r="G2502" t="s">
        <v>19</v>
      </c>
      <c r="H2502" s="3" t="s">
        <v>4315</v>
      </c>
      <c r="I2502" t="s">
        <v>4229</v>
      </c>
      <c r="J2502" s="3" t="s">
        <v>4316</v>
      </c>
      <c r="K2502" s="4">
        <v>88</v>
      </c>
      <c r="L2502" s="5">
        <v>19.170000000000002</v>
      </c>
      <c r="M2502" s="6">
        <v>1</v>
      </c>
      <c r="N2502" s="7">
        <v>1</v>
      </c>
      <c r="O2502" t="s">
        <v>4317</v>
      </c>
      <c r="P2502" s="3" t="s">
        <v>4217</v>
      </c>
      <c r="Q2502" s="8">
        <v>2.4648E-2</v>
      </c>
    </row>
    <row r="2503" spans="1:17" hidden="1" x14ac:dyDescent="0.55000000000000004">
      <c r="A2503" s="3" t="s">
        <v>4210</v>
      </c>
      <c r="B2503" s="3" t="s">
        <v>7380</v>
      </c>
      <c r="C2503" t="s">
        <v>4312</v>
      </c>
      <c r="D2503" s="3" t="s">
        <v>7329</v>
      </c>
      <c r="E2503" t="s">
        <v>4330</v>
      </c>
      <c r="F2503" s="3" t="s">
        <v>4331</v>
      </c>
      <c r="G2503" t="s">
        <v>19</v>
      </c>
      <c r="H2503" s="3" t="s">
        <v>4318</v>
      </c>
      <c r="I2503" t="s">
        <v>4233</v>
      </c>
      <c r="J2503" s="3" t="s">
        <v>4316</v>
      </c>
      <c r="K2503" s="4">
        <v>92</v>
      </c>
      <c r="L2503" s="5">
        <v>20.09</v>
      </c>
      <c r="M2503" s="6">
        <v>0</v>
      </c>
      <c r="N2503" s="7">
        <v>1</v>
      </c>
      <c r="O2503" t="s">
        <v>4319</v>
      </c>
      <c r="P2503" s="3" t="s">
        <v>4217</v>
      </c>
      <c r="Q2503" s="8">
        <v>1.1831E-2</v>
      </c>
    </row>
    <row r="2504" spans="1:17" hidden="1" x14ac:dyDescent="0.55000000000000004">
      <c r="A2504" s="3" t="s">
        <v>4210</v>
      </c>
      <c r="B2504" s="3" t="s">
        <v>7380</v>
      </c>
      <c r="C2504" t="s">
        <v>4312</v>
      </c>
      <c r="D2504" s="3" t="s">
        <v>7329</v>
      </c>
      <c r="E2504" t="s">
        <v>4330</v>
      </c>
      <c r="F2504" s="3" t="s">
        <v>4331</v>
      </c>
      <c r="G2504" t="s">
        <v>19</v>
      </c>
      <c r="H2504" s="3" t="s">
        <v>4320</v>
      </c>
      <c r="I2504" t="s">
        <v>3534</v>
      </c>
      <c r="J2504" s="3" t="s">
        <v>4316</v>
      </c>
      <c r="K2504" s="4">
        <v>108</v>
      </c>
      <c r="L2504" s="5">
        <v>23.5</v>
      </c>
      <c r="M2504" s="6">
        <v>0</v>
      </c>
      <c r="N2504" s="7">
        <v>1</v>
      </c>
      <c r="O2504" t="s">
        <v>4321</v>
      </c>
      <c r="P2504" s="3" t="s">
        <v>4217</v>
      </c>
      <c r="Q2504" s="8">
        <v>2.7949999999999999E-2</v>
      </c>
    </row>
    <row r="2505" spans="1:17" hidden="1" x14ac:dyDescent="0.55000000000000004">
      <c r="A2505" s="3" t="s">
        <v>4210</v>
      </c>
      <c r="B2505" s="3" t="s">
        <v>7380</v>
      </c>
      <c r="C2505" t="s">
        <v>4312</v>
      </c>
      <c r="D2505" s="3" t="s">
        <v>7329</v>
      </c>
      <c r="E2505" t="s">
        <v>4330</v>
      </c>
      <c r="F2505" s="3" t="s">
        <v>4331</v>
      </c>
      <c r="G2505" t="s">
        <v>24</v>
      </c>
      <c r="H2505" s="3" t="s">
        <v>4325</v>
      </c>
      <c r="I2505" t="s">
        <v>43</v>
      </c>
      <c r="J2505" s="3" t="s">
        <v>4326</v>
      </c>
      <c r="K2505" s="4">
        <v>890</v>
      </c>
      <c r="L2505" s="5">
        <v>40.47</v>
      </c>
      <c r="M2505" s="6">
        <v>1</v>
      </c>
      <c r="N2505" s="7">
        <v>1</v>
      </c>
      <c r="O2505" t="s">
        <v>4327</v>
      </c>
      <c r="P2505" s="3" t="s">
        <v>46</v>
      </c>
      <c r="Q2505" s="8">
        <v>0.22120000000000001</v>
      </c>
    </row>
    <row r="2506" spans="1:17" hidden="1" x14ac:dyDescent="0.55000000000000004">
      <c r="A2506" s="3" t="s">
        <v>4210</v>
      </c>
      <c r="B2506" s="3" t="s">
        <v>7380</v>
      </c>
      <c r="C2506" t="s">
        <v>4312</v>
      </c>
      <c r="D2506" s="3" t="s">
        <v>7329</v>
      </c>
      <c r="E2506" t="s">
        <v>4330</v>
      </c>
      <c r="F2506" s="3" t="s">
        <v>4331</v>
      </c>
      <c r="G2506" t="s">
        <v>24</v>
      </c>
      <c r="H2506" s="3" t="s">
        <v>4328</v>
      </c>
      <c r="I2506" t="s">
        <v>48</v>
      </c>
      <c r="J2506" s="3" t="s">
        <v>4326</v>
      </c>
      <c r="K2506" s="4">
        <v>785</v>
      </c>
      <c r="L2506" s="5">
        <v>35.659999999999997</v>
      </c>
      <c r="M2506" s="6">
        <v>0</v>
      </c>
      <c r="N2506" s="7">
        <v>1</v>
      </c>
      <c r="O2506" t="s">
        <v>4329</v>
      </c>
      <c r="P2506" s="3" t="s">
        <v>23</v>
      </c>
      <c r="Q2506" s="8" t="s">
        <v>23</v>
      </c>
    </row>
    <row r="2507" spans="1:17" hidden="1" x14ac:dyDescent="0.55000000000000004">
      <c r="A2507" s="3" t="s">
        <v>4210</v>
      </c>
      <c r="B2507" s="3" t="s">
        <v>4332</v>
      </c>
      <c r="C2507" t="s">
        <v>4260</v>
      </c>
      <c r="D2507" s="3" t="s">
        <v>7329</v>
      </c>
      <c r="E2507" t="s">
        <v>4333</v>
      </c>
      <c r="F2507" s="3" t="s">
        <v>4334</v>
      </c>
      <c r="G2507" t="s">
        <v>19</v>
      </c>
      <c r="H2507" s="3" t="s">
        <v>23</v>
      </c>
      <c r="I2507" t="s">
        <v>67</v>
      </c>
      <c r="J2507" s="3" t="s">
        <v>4335</v>
      </c>
      <c r="K2507" s="4" t="s">
        <v>23</v>
      </c>
      <c r="L2507" s="5" t="s">
        <v>23</v>
      </c>
      <c r="M2507" s="6">
        <v>0</v>
      </c>
      <c r="N2507" s="7">
        <v>0</v>
      </c>
      <c r="O2507" t="s">
        <v>23</v>
      </c>
      <c r="P2507" s="3" t="s">
        <v>23</v>
      </c>
      <c r="Q2507" s="8" t="s">
        <v>23</v>
      </c>
    </row>
    <row r="2508" spans="1:17" hidden="1" x14ac:dyDescent="0.55000000000000004">
      <c r="A2508" s="3" t="s">
        <v>4210</v>
      </c>
      <c r="B2508" s="3" t="s">
        <v>4332</v>
      </c>
      <c r="C2508" t="s">
        <v>4260</v>
      </c>
      <c r="D2508" s="3" t="s">
        <v>7329</v>
      </c>
      <c r="E2508" t="s">
        <v>4333</v>
      </c>
      <c r="F2508" s="3" t="s">
        <v>4334</v>
      </c>
      <c r="G2508" t="s">
        <v>19</v>
      </c>
      <c r="H2508" s="3" t="s">
        <v>23</v>
      </c>
      <c r="I2508" t="s">
        <v>67</v>
      </c>
      <c r="J2508" s="3" t="s">
        <v>4336</v>
      </c>
      <c r="K2508" s="4" t="s">
        <v>23</v>
      </c>
      <c r="L2508" s="5" t="s">
        <v>23</v>
      </c>
      <c r="M2508" s="6">
        <v>0</v>
      </c>
      <c r="N2508" s="7">
        <v>0</v>
      </c>
      <c r="O2508" t="s">
        <v>23</v>
      </c>
      <c r="P2508" s="3" t="s">
        <v>23</v>
      </c>
      <c r="Q2508" s="8" t="s">
        <v>23</v>
      </c>
    </row>
    <row r="2509" spans="1:17" hidden="1" x14ac:dyDescent="0.55000000000000004">
      <c r="A2509" s="3" t="s">
        <v>4210</v>
      </c>
      <c r="B2509" s="3" t="s">
        <v>4332</v>
      </c>
      <c r="C2509" t="s">
        <v>4260</v>
      </c>
      <c r="D2509" s="3" t="s">
        <v>7329</v>
      </c>
      <c r="E2509" t="s">
        <v>4333</v>
      </c>
      <c r="F2509" s="3" t="s">
        <v>4334</v>
      </c>
      <c r="G2509" t="s">
        <v>24</v>
      </c>
      <c r="H2509" s="3" t="s">
        <v>4263</v>
      </c>
      <c r="I2509" t="s">
        <v>43</v>
      </c>
      <c r="J2509" s="3" t="s">
        <v>4264</v>
      </c>
      <c r="K2509" s="4">
        <v>666</v>
      </c>
      <c r="L2509" s="5">
        <v>30.29</v>
      </c>
      <c r="M2509" s="6">
        <v>1</v>
      </c>
      <c r="N2509" s="7">
        <v>0</v>
      </c>
      <c r="O2509" t="s">
        <v>4265</v>
      </c>
      <c r="P2509" s="3" t="s">
        <v>138</v>
      </c>
      <c r="Q2509" s="8">
        <v>0.1706</v>
      </c>
    </row>
    <row r="2510" spans="1:17" hidden="1" x14ac:dyDescent="0.55000000000000004">
      <c r="A2510" s="3" t="s">
        <v>4210</v>
      </c>
      <c r="B2510" s="3" t="s">
        <v>4337</v>
      </c>
      <c r="C2510" t="s">
        <v>4475</v>
      </c>
      <c r="D2510" s="3" t="s">
        <v>7329</v>
      </c>
      <c r="E2510" t="s">
        <v>4339</v>
      </c>
      <c r="F2510" s="3" t="s">
        <v>4340</v>
      </c>
      <c r="G2510" t="s">
        <v>24</v>
      </c>
      <c r="H2510" s="3" t="s">
        <v>4341</v>
      </c>
      <c r="I2510" t="s">
        <v>43</v>
      </c>
      <c r="J2510" s="3" t="s">
        <v>4342</v>
      </c>
      <c r="K2510" s="4">
        <v>944</v>
      </c>
      <c r="L2510" s="5">
        <v>42.92</v>
      </c>
      <c r="M2510" s="6">
        <v>1</v>
      </c>
      <c r="N2510" s="7">
        <v>0</v>
      </c>
      <c r="O2510" t="s">
        <v>4343</v>
      </c>
      <c r="P2510" s="3" t="s">
        <v>138</v>
      </c>
      <c r="Q2510" s="8">
        <v>0.23046700000000001</v>
      </c>
    </row>
    <row r="2511" spans="1:17" hidden="1" x14ac:dyDescent="0.55000000000000004">
      <c r="A2511" s="3" t="s">
        <v>4210</v>
      </c>
      <c r="B2511" s="3" t="s">
        <v>4344</v>
      </c>
      <c r="C2511" t="s">
        <v>4344</v>
      </c>
      <c r="D2511" s="3" t="s">
        <v>7329</v>
      </c>
      <c r="E2511" t="s">
        <v>4345</v>
      </c>
      <c r="F2511" s="3" t="s">
        <v>4346</v>
      </c>
      <c r="G2511" t="s">
        <v>19</v>
      </c>
      <c r="H2511" s="3" t="s">
        <v>4347</v>
      </c>
      <c r="I2511" t="s">
        <v>3691</v>
      </c>
      <c r="J2511" s="3" t="s">
        <v>4348</v>
      </c>
      <c r="K2511" s="4">
        <v>72</v>
      </c>
      <c r="L2511" s="5">
        <v>15.59</v>
      </c>
      <c r="M2511" s="6">
        <v>0</v>
      </c>
      <c r="N2511" s="7">
        <v>0</v>
      </c>
      <c r="O2511" t="s">
        <v>4349</v>
      </c>
      <c r="P2511" s="3" t="s">
        <v>4217</v>
      </c>
      <c r="Q2511" s="8">
        <v>3.8075999999999999E-2</v>
      </c>
    </row>
    <row r="2512" spans="1:17" hidden="1" x14ac:dyDescent="0.55000000000000004">
      <c r="A2512" s="3" t="s">
        <v>4210</v>
      </c>
      <c r="B2512" s="3" t="s">
        <v>4344</v>
      </c>
      <c r="C2512" t="s">
        <v>4344</v>
      </c>
      <c r="D2512" s="3" t="s">
        <v>7329</v>
      </c>
      <c r="E2512" t="s">
        <v>4345</v>
      </c>
      <c r="F2512" s="3" t="s">
        <v>4346</v>
      </c>
      <c r="G2512" t="s">
        <v>19</v>
      </c>
      <c r="H2512" s="3" t="s">
        <v>4350</v>
      </c>
      <c r="I2512" t="s">
        <v>3470</v>
      </c>
      <c r="J2512" s="3" t="s">
        <v>4348</v>
      </c>
      <c r="K2512" s="4">
        <v>87</v>
      </c>
      <c r="L2512" s="5">
        <v>19</v>
      </c>
      <c r="M2512" s="6">
        <v>1</v>
      </c>
      <c r="N2512" s="7">
        <v>0</v>
      </c>
      <c r="O2512" t="s">
        <v>4351</v>
      </c>
      <c r="P2512" s="3" t="s">
        <v>4217</v>
      </c>
      <c r="Q2512" s="8">
        <v>3.9787999999999997E-2</v>
      </c>
    </row>
    <row r="2513" spans="1:17" hidden="1" x14ac:dyDescent="0.55000000000000004">
      <c r="A2513" s="3" t="s">
        <v>4210</v>
      </c>
      <c r="B2513" s="3" t="s">
        <v>4344</v>
      </c>
      <c r="C2513" t="s">
        <v>4344</v>
      </c>
      <c r="D2513" s="3" t="s">
        <v>7329</v>
      </c>
      <c r="E2513" t="s">
        <v>4345</v>
      </c>
      <c r="F2513" s="3" t="s">
        <v>4346</v>
      </c>
      <c r="G2513" t="s">
        <v>19</v>
      </c>
      <c r="H2513" s="3" t="s">
        <v>23</v>
      </c>
      <c r="I2513" t="s">
        <v>67</v>
      </c>
      <c r="J2513" s="3" t="s">
        <v>4352</v>
      </c>
      <c r="K2513" s="4" t="s">
        <v>23</v>
      </c>
      <c r="L2513" s="5" t="s">
        <v>23</v>
      </c>
      <c r="M2513" s="6">
        <v>0</v>
      </c>
      <c r="N2513" s="7">
        <v>0</v>
      </c>
      <c r="O2513" t="s">
        <v>23</v>
      </c>
      <c r="P2513" s="3" t="s">
        <v>23</v>
      </c>
      <c r="Q2513" s="8" t="s">
        <v>23</v>
      </c>
    </row>
    <row r="2514" spans="1:17" hidden="1" x14ac:dyDescent="0.55000000000000004">
      <c r="A2514" s="3" t="s">
        <v>4210</v>
      </c>
      <c r="B2514" s="3" t="s">
        <v>4344</v>
      </c>
      <c r="C2514" t="s">
        <v>4344</v>
      </c>
      <c r="D2514" s="3" t="s">
        <v>7329</v>
      </c>
      <c r="E2514" t="s">
        <v>4345</v>
      </c>
      <c r="F2514" s="3" t="s">
        <v>4346</v>
      </c>
      <c r="G2514" t="s">
        <v>24</v>
      </c>
      <c r="H2514" s="3" t="s">
        <v>4353</v>
      </c>
      <c r="I2514" t="s">
        <v>43</v>
      </c>
      <c r="J2514" s="3" t="s">
        <v>4354</v>
      </c>
      <c r="K2514" s="4">
        <v>977</v>
      </c>
      <c r="L2514" s="5">
        <v>44.42</v>
      </c>
      <c r="M2514" s="6">
        <v>1</v>
      </c>
      <c r="N2514" s="7">
        <v>0</v>
      </c>
      <c r="O2514" t="s">
        <v>4355</v>
      </c>
      <c r="P2514" s="3" t="s">
        <v>46</v>
      </c>
      <c r="Q2514" s="8">
        <v>0.21213299999999999</v>
      </c>
    </row>
    <row r="2515" spans="1:17" hidden="1" x14ac:dyDescent="0.55000000000000004">
      <c r="A2515" s="3" t="s">
        <v>4210</v>
      </c>
      <c r="B2515" s="3" t="s">
        <v>4344</v>
      </c>
      <c r="C2515" t="s">
        <v>4344</v>
      </c>
      <c r="D2515" s="3" t="s">
        <v>7329</v>
      </c>
      <c r="E2515" t="s">
        <v>4345</v>
      </c>
      <c r="F2515" s="3" t="s">
        <v>4346</v>
      </c>
      <c r="G2515" t="s">
        <v>24</v>
      </c>
      <c r="H2515" s="3" t="s">
        <v>4356</v>
      </c>
      <c r="I2515" t="s">
        <v>48</v>
      </c>
      <c r="J2515" s="3" t="s">
        <v>4354</v>
      </c>
      <c r="K2515" s="4">
        <v>864</v>
      </c>
      <c r="L2515" s="5">
        <v>39.28</v>
      </c>
      <c r="M2515" s="6">
        <v>0</v>
      </c>
      <c r="N2515" s="7">
        <v>0</v>
      </c>
      <c r="O2515" t="s">
        <v>4357</v>
      </c>
      <c r="P2515" s="3" t="s">
        <v>23</v>
      </c>
      <c r="Q2515" s="8" t="s">
        <v>23</v>
      </c>
    </row>
    <row r="2516" spans="1:17" hidden="1" x14ac:dyDescent="0.55000000000000004">
      <c r="A2516" s="3" t="s">
        <v>4210</v>
      </c>
      <c r="B2516" s="3" t="s">
        <v>4344</v>
      </c>
      <c r="C2516" t="s">
        <v>4344</v>
      </c>
      <c r="D2516" s="3" t="s">
        <v>7329</v>
      </c>
      <c r="E2516" t="s">
        <v>4358</v>
      </c>
      <c r="F2516" s="3" t="s">
        <v>4359</v>
      </c>
      <c r="G2516" t="s">
        <v>19</v>
      </c>
      <c r="H2516" s="3" t="s">
        <v>4347</v>
      </c>
      <c r="I2516" t="s">
        <v>3691</v>
      </c>
      <c r="J2516" s="3" t="s">
        <v>4348</v>
      </c>
      <c r="K2516" s="4">
        <v>72</v>
      </c>
      <c r="L2516" s="5">
        <v>15.59</v>
      </c>
      <c r="M2516" s="6">
        <v>0</v>
      </c>
      <c r="N2516" s="7">
        <v>1</v>
      </c>
      <c r="O2516" t="s">
        <v>4349</v>
      </c>
      <c r="P2516" s="3" t="s">
        <v>4217</v>
      </c>
      <c r="Q2516" s="8">
        <v>3.8075999999999999E-2</v>
      </c>
    </row>
    <row r="2517" spans="1:17" hidden="1" x14ac:dyDescent="0.55000000000000004">
      <c r="A2517" s="3" t="s">
        <v>4210</v>
      </c>
      <c r="B2517" s="3" t="s">
        <v>4344</v>
      </c>
      <c r="C2517" t="s">
        <v>4344</v>
      </c>
      <c r="D2517" s="3" t="s">
        <v>7329</v>
      </c>
      <c r="E2517" t="s">
        <v>4358</v>
      </c>
      <c r="F2517" s="3" t="s">
        <v>4359</v>
      </c>
      <c r="G2517" t="s">
        <v>19</v>
      </c>
      <c r="H2517" s="3" t="s">
        <v>4350</v>
      </c>
      <c r="I2517" t="s">
        <v>3470</v>
      </c>
      <c r="J2517" s="3" t="s">
        <v>4348</v>
      </c>
      <c r="K2517" s="4">
        <v>87</v>
      </c>
      <c r="L2517" s="5">
        <v>19</v>
      </c>
      <c r="M2517" s="6">
        <v>1</v>
      </c>
      <c r="N2517" s="7">
        <v>1</v>
      </c>
      <c r="O2517" t="s">
        <v>4351</v>
      </c>
      <c r="P2517" s="3" t="s">
        <v>4217</v>
      </c>
      <c r="Q2517" s="8">
        <v>3.9787999999999997E-2</v>
      </c>
    </row>
    <row r="2518" spans="1:17" hidden="1" x14ac:dyDescent="0.55000000000000004">
      <c r="A2518" s="3" t="s">
        <v>4210</v>
      </c>
      <c r="B2518" s="3" t="s">
        <v>4344</v>
      </c>
      <c r="C2518" t="s">
        <v>4344</v>
      </c>
      <c r="D2518" s="3" t="s">
        <v>7329</v>
      </c>
      <c r="E2518" t="s">
        <v>4358</v>
      </c>
      <c r="F2518" s="3" t="s">
        <v>4359</v>
      </c>
      <c r="G2518" t="s">
        <v>19</v>
      </c>
      <c r="H2518" s="3" t="s">
        <v>23</v>
      </c>
      <c r="I2518" t="s">
        <v>67</v>
      </c>
      <c r="J2518" s="3" t="s">
        <v>4352</v>
      </c>
      <c r="K2518" s="4" t="s">
        <v>23</v>
      </c>
      <c r="L2518" s="5" t="s">
        <v>23</v>
      </c>
      <c r="M2518" s="6">
        <v>0</v>
      </c>
      <c r="N2518" s="7">
        <v>1</v>
      </c>
      <c r="O2518" t="s">
        <v>23</v>
      </c>
      <c r="P2518" s="3" t="s">
        <v>23</v>
      </c>
      <c r="Q2518" s="8" t="s">
        <v>23</v>
      </c>
    </row>
    <row r="2519" spans="1:17" hidden="1" x14ac:dyDescent="0.55000000000000004">
      <c r="A2519" s="3" t="s">
        <v>4210</v>
      </c>
      <c r="B2519" s="3" t="s">
        <v>4344</v>
      </c>
      <c r="C2519" t="s">
        <v>4344</v>
      </c>
      <c r="D2519" s="3" t="s">
        <v>7329</v>
      </c>
      <c r="E2519" t="s">
        <v>4358</v>
      </c>
      <c r="F2519" s="3" t="s">
        <v>4359</v>
      </c>
      <c r="G2519" t="s">
        <v>24</v>
      </c>
      <c r="H2519" s="3" t="s">
        <v>4353</v>
      </c>
      <c r="I2519" t="s">
        <v>43</v>
      </c>
      <c r="J2519" s="3" t="s">
        <v>4354</v>
      </c>
      <c r="K2519" s="4">
        <v>977</v>
      </c>
      <c r="L2519" s="5">
        <v>44.42</v>
      </c>
      <c r="M2519" s="6">
        <v>1</v>
      </c>
      <c r="N2519" s="7">
        <v>1</v>
      </c>
      <c r="O2519" t="s">
        <v>4355</v>
      </c>
      <c r="P2519" s="3" t="s">
        <v>46</v>
      </c>
      <c r="Q2519" s="8">
        <v>0.21213299999999999</v>
      </c>
    </row>
    <row r="2520" spans="1:17" hidden="1" x14ac:dyDescent="0.55000000000000004">
      <c r="A2520" s="3" t="s">
        <v>4210</v>
      </c>
      <c r="B2520" s="3" t="s">
        <v>4344</v>
      </c>
      <c r="C2520" t="s">
        <v>4344</v>
      </c>
      <c r="D2520" s="3" t="s">
        <v>7329</v>
      </c>
      <c r="E2520" t="s">
        <v>4358</v>
      </c>
      <c r="F2520" s="3" t="s">
        <v>4359</v>
      </c>
      <c r="G2520" t="s">
        <v>24</v>
      </c>
      <c r="H2520" s="3" t="s">
        <v>4356</v>
      </c>
      <c r="I2520" t="s">
        <v>48</v>
      </c>
      <c r="J2520" s="3" t="s">
        <v>4354</v>
      </c>
      <c r="K2520" s="4">
        <v>864</v>
      </c>
      <c r="L2520" s="5">
        <v>39.28</v>
      </c>
      <c r="M2520" s="6">
        <v>0</v>
      </c>
      <c r="N2520" s="7">
        <v>1</v>
      </c>
      <c r="O2520" t="s">
        <v>4357</v>
      </c>
      <c r="P2520" s="3" t="s">
        <v>23</v>
      </c>
      <c r="Q2520" s="8" t="s">
        <v>23</v>
      </c>
    </row>
    <row r="2521" spans="1:17" hidden="1" x14ac:dyDescent="0.55000000000000004">
      <c r="A2521" s="3" t="s">
        <v>4210</v>
      </c>
      <c r="B2521" s="3" t="s">
        <v>4344</v>
      </c>
      <c r="C2521" t="s">
        <v>4344</v>
      </c>
      <c r="D2521" s="3" t="s">
        <v>7329</v>
      </c>
      <c r="E2521" t="s">
        <v>4360</v>
      </c>
      <c r="F2521" s="3" t="s">
        <v>4361</v>
      </c>
      <c r="G2521" t="s">
        <v>19</v>
      </c>
      <c r="H2521" s="3" t="s">
        <v>4347</v>
      </c>
      <c r="I2521" t="s">
        <v>3691</v>
      </c>
      <c r="J2521" s="3" t="s">
        <v>4348</v>
      </c>
      <c r="K2521" s="4">
        <v>72</v>
      </c>
      <c r="L2521" s="5">
        <v>15.59</v>
      </c>
      <c r="M2521" s="6">
        <v>0</v>
      </c>
      <c r="N2521" s="7">
        <v>0</v>
      </c>
      <c r="O2521" t="s">
        <v>4349</v>
      </c>
      <c r="P2521" s="3" t="s">
        <v>4217</v>
      </c>
      <c r="Q2521" s="8">
        <v>3.8075999999999999E-2</v>
      </c>
    </row>
    <row r="2522" spans="1:17" hidden="1" x14ac:dyDescent="0.55000000000000004">
      <c r="A2522" s="3" t="s">
        <v>4210</v>
      </c>
      <c r="B2522" s="3" t="s">
        <v>4344</v>
      </c>
      <c r="C2522" t="s">
        <v>4344</v>
      </c>
      <c r="D2522" s="3" t="s">
        <v>7329</v>
      </c>
      <c r="E2522" t="s">
        <v>4360</v>
      </c>
      <c r="F2522" s="3" t="s">
        <v>4361</v>
      </c>
      <c r="G2522" t="s">
        <v>19</v>
      </c>
      <c r="H2522" s="3" t="s">
        <v>4350</v>
      </c>
      <c r="I2522" t="s">
        <v>3470</v>
      </c>
      <c r="J2522" s="3" t="s">
        <v>4348</v>
      </c>
      <c r="K2522" s="4">
        <v>87</v>
      </c>
      <c r="L2522" s="5">
        <v>19</v>
      </c>
      <c r="M2522" s="6">
        <v>1</v>
      </c>
      <c r="N2522" s="7">
        <v>0</v>
      </c>
      <c r="O2522" t="s">
        <v>4351</v>
      </c>
      <c r="P2522" s="3" t="s">
        <v>4217</v>
      </c>
      <c r="Q2522" s="8">
        <v>3.9787999999999997E-2</v>
      </c>
    </row>
    <row r="2523" spans="1:17" hidden="1" x14ac:dyDescent="0.55000000000000004">
      <c r="A2523" s="3" t="s">
        <v>4210</v>
      </c>
      <c r="B2523" s="3" t="s">
        <v>4344</v>
      </c>
      <c r="C2523" t="s">
        <v>4344</v>
      </c>
      <c r="D2523" s="3" t="s">
        <v>7329</v>
      </c>
      <c r="E2523" t="s">
        <v>4360</v>
      </c>
      <c r="F2523" s="3" t="s">
        <v>4361</v>
      </c>
      <c r="G2523" t="s">
        <v>19</v>
      </c>
      <c r="H2523" s="3" t="s">
        <v>23</v>
      </c>
      <c r="I2523" t="s">
        <v>67</v>
      </c>
      <c r="J2523" s="3" t="s">
        <v>4352</v>
      </c>
      <c r="K2523" s="4" t="s">
        <v>23</v>
      </c>
      <c r="L2523" s="5" t="s">
        <v>23</v>
      </c>
      <c r="M2523" s="6">
        <v>0</v>
      </c>
      <c r="N2523" s="7">
        <v>0</v>
      </c>
      <c r="O2523" t="s">
        <v>23</v>
      </c>
      <c r="P2523" s="3" t="s">
        <v>23</v>
      </c>
      <c r="Q2523" s="8" t="s">
        <v>23</v>
      </c>
    </row>
    <row r="2524" spans="1:17" hidden="1" x14ac:dyDescent="0.55000000000000004">
      <c r="A2524" s="3" t="s">
        <v>4210</v>
      </c>
      <c r="B2524" s="3" t="s">
        <v>4344</v>
      </c>
      <c r="C2524" t="s">
        <v>4344</v>
      </c>
      <c r="D2524" s="3" t="s">
        <v>7329</v>
      </c>
      <c r="E2524" t="s">
        <v>4360</v>
      </c>
      <c r="F2524" s="3" t="s">
        <v>4361</v>
      </c>
      <c r="G2524" t="s">
        <v>24</v>
      </c>
      <c r="H2524" s="3" t="s">
        <v>4353</v>
      </c>
      <c r="I2524" t="s">
        <v>43</v>
      </c>
      <c r="J2524" s="3" t="s">
        <v>4354</v>
      </c>
      <c r="K2524" s="4">
        <v>977</v>
      </c>
      <c r="L2524" s="5">
        <v>44.42</v>
      </c>
      <c r="M2524" s="6">
        <v>1</v>
      </c>
      <c r="N2524" s="7">
        <v>0</v>
      </c>
      <c r="O2524" t="s">
        <v>4355</v>
      </c>
      <c r="P2524" s="3" t="s">
        <v>46</v>
      </c>
      <c r="Q2524" s="8">
        <v>0.21213299999999999</v>
      </c>
    </row>
    <row r="2525" spans="1:17" hidden="1" x14ac:dyDescent="0.55000000000000004">
      <c r="A2525" s="3" t="s">
        <v>4210</v>
      </c>
      <c r="B2525" s="3" t="s">
        <v>4344</v>
      </c>
      <c r="C2525" t="s">
        <v>4344</v>
      </c>
      <c r="D2525" s="3" t="s">
        <v>7329</v>
      </c>
      <c r="E2525" t="s">
        <v>4360</v>
      </c>
      <c r="F2525" s="3" t="s">
        <v>4361</v>
      </c>
      <c r="G2525" t="s">
        <v>24</v>
      </c>
      <c r="H2525" s="3" t="s">
        <v>4356</v>
      </c>
      <c r="I2525" t="s">
        <v>48</v>
      </c>
      <c r="J2525" s="3" t="s">
        <v>4354</v>
      </c>
      <c r="K2525" s="4">
        <v>864</v>
      </c>
      <c r="L2525" s="5">
        <v>39.28</v>
      </c>
      <c r="M2525" s="6">
        <v>0</v>
      </c>
      <c r="N2525" s="7">
        <v>0</v>
      </c>
      <c r="O2525" t="s">
        <v>4357</v>
      </c>
      <c r="P2525" s="3" t="s">
        <v>23</v>
      </c>
      <c r="Q2525" s="8" t="s">
        <v>23</v>
      </c>
    </row>
    <row r="2526" spans="1:17" hidden="1" x14ac:dyDescent="0.55000000000000004">
      <c r="A2526" s="3" t="s">
        <v>4210</v>
      </c>
      <c r="B2526" s="3" t="s">
        <v>4362</v>
      </c>
      <c r="C2526" t="s">
        <v>3531</v>
      </c>
      <c r="D2526" s="3" t="s">
        <v>7329</v>
      </c>
      <c r="E2526" t="s">
        <v>4363</v>
      </c>
      <c r="F2526" s="3" t="s">
        <v>4364</v>
      </c>
      <c r="G2526" t="s">
        <v>24</v>
      </c>
      <c r="H2526" s="3" t="s">
        <v>3537</v>
      </c>
      <c r="I2526" t="s">
        <v>105</v>
      </c>
      <c r="J2526" s="3" t="s">
        <v>3538</v>
      </c>
      <c r="K2526" s="4">
        <v>625</v>
      </c>
      <c r="L2526" s="5">
        <v>0</v>
      </c>
      <c r="M2526" s="6">
        <v>0</v>
      </c>
      <c r="N2526" s="7">
        <v>0</v>
      </c>
      <c r="O2526" t="s">
        <v>23</v>
      </c>
      <c r="P2526" s="3" t="s">
        <v>23</v>
      </c>
      <c r="Q2526" s="8" t="s">
        <v>23</v>
      </c>
    </row>
    <row r="2527" spans="1:17" hidden="1" x14ac:dyDescent="0.55000000000000004">
      <c r="A2527" s="3" t="s">
        <v>4210</v>
      </c>
      <c r="B2527" s="3" t="s">
        <v>4362</v>
      </c>
      <c r="C2527" t="s">
        <v>3531</v>
      </c>
      <c r="D2527" s="3" t="s">
        <v>7329</v>
      </c>
      <c r="E2527" t="s">
        <v>4363</v>
      </c>
      <c r="F2527" s="3" t="s">
        <v>4364</v>
      </c>
      <c r="G2527" t="s">
        <v>24</v>
      </c>
      <c r="H2527" s="3" t="s">
        <v>3539</v>
      </c>
      <c r="I2527" t="s">
        <v>37</v>
      </c>
      <c r="J2527" s="3" t="s">
        <v>3538</v>
      </c>
      <c r="K2527" s="4">
        <v>707</v>
      </c>
      <c r="L2527" s="5">
        <v>0</v>
      </c>
      <c r="M2527" s="6">
        <v>0</v>
      </c>
      <c r="N2527" s="7">
        <v>0</v>
      </c>
      <c r="O2527" t="s">
        <v>23</v>
      </c>
      <c r="P2527" s="3" t="s">
        <v>23</v>
      </c>
      <c r="Q2527" s="8" t="s">
        <v>23</v>
      </c>
    </row>
    <row r="2528" spans="1:17" hidden="1" x14ac:dyDescent="0.55000000000000004">
      <c r="A2528" s="3" t="s">
        <v>4210</v>
      </c>
      <c r="B2528" s="3" t="s">
        <v>4362</v>
      </c>
      <c r="C2528" t="s">
        <v>3531</v>
      </c>
      <c r="D2528" s="3" t="s">
        <v>7329</v>
      </c>
      <c r="E2528" t="s">
        <v>4363</v>
      </c>
      <c r="F2528" s="3" t="s">
        <v>4364</v>
      </c>
      <c r="G2528" t="s">
        <v>24</v>
      </c>
      <c r="H2528" s="3" t="s">
        <v>4365</v>
      </c>
      <c r="I2528" t="s">
        <v>43</v>
      </c>
      <c r="J2528" s="3" t="s">
        <v>4366</v>
      </c>
      <c r="K2528" s="4">
        <v>978</v>
      </c>
      <c r="L2528" s="5">
        <v>44.48</v>
      </c>
      <c r="M2528" s="6">
        <v>1</v>
      </c>
      <c r="N2528" s="7">
        <v>0</v>
      </c>
      <c r="O2528" t="s">
        <v>4367</v>
      </c>
      <c r="P2528" s="3" t="s">
        <v>46</v>
      </c>
      <c r="Q2528" s="8">
        <v>0.183867</v>
      </c>
    </row>
    <row r="2529" spans="1:17" hidden="1" x14ac:dyDescent="0.55000000000000004">
      <c r="A2529" s="3" t="s">
        <v>4210</v>
      </c>
      <c r="B2529" s="3" t="s">
        <v>4362</v>
      </c>
      <c r="C2529" t="s">
        <v>3531</v>
      </c>
      <c r="D2529" s="3" t="s">
        <v>7329</v>
      </c>
      <c r="E2529" t="s">
        <v>4363</v>
      </c>
      <c r="F2529" s="3" t="s">
        <v>4364</v>
      </c>
      <c r="G2529" t="s">
        <v>24</v>
      </c>
      <c r="H2529" s="3" t="s">
        <v>4368</v>
      </c>
      <c r="I2529" t="s">
        <v>48</v>
      </c>
      <c r="J2529" s="3" t="s">
        <v>4366</v>
      </c>
      <c r="K2529" s="4">
        <v>874</v>
      </c>
      <c r="L2529" s="5">
        <v>39.71</v>
      </c>
      <c r="M2529" s="6">
        <v>0</v>
      </c>
      <c r="N2529" s="7">
        <v>0</v>
      </c>
      <c r="O2529" t="s">
        <v>4369</v>
      </c>
      <c r="P2529" s="3" t="s">
        <v>23</v>
      </c>
      <c r="Q2529" s="8" t="s">
        <v>23</v>
      </c>
    </row>
    <row r="2530" spans="1:17" hidden="1" x14ac:dyDescent="0.55000000000000004">
      <c r="A2530" s="3" t="s">
        <v>4210</v>
      </c>
      <c r="B2530" s="3" t="s">
        <v>4362</v>
      </c>
      <c r="C2530" t="s">
        <v>3531</v>
      </c>
      <c r="D2530" s="3" t="s">
        <v>7329</v>
      </c>
      <c r="E2530" t="s">
        <v>4370</v>
      </c>
      <c r="F2530" s="3" t="s">
        <v>4371</v>
      </c>
      <c r="G2530" t="s">
        <v>19</v>
      </c>
      <c r="H2530" s="3" t="s">
        <v>4372</v>
      </c>
      <c r="I2530" t="s">
        <v>3470</v>
      </c>
      <c r="J2530" s="3" t="s">
        <v>4373</v>
      </c>
      <c r="K2530" s="4">
        <v>22</v>
      </c>
      <c r="L2530" s="5">
        <v>4.72</v>
      </c>
      <c r="M2530" s="6">
        <v>1</v>
      </c>
      <c r="N2530" s="7">
        <v>1</v>
      </c>
      <c r="O2530" t="s">
        <v>4374</v>
      </c>
      <c r="P2530" s="3" t="s">
        <v>3711</v>
      </c>
      <c r="Q2530" s="8">
        <v>7.8069999999999997E-3</v>
      </c>
    </row>
    <row r="2531" spans="1:17" hidden="1" x14ac:dyDescent="0.55000000000000004">
      <c r="A2531" s="3" t="s">
        <v>4210</v>
      </c>
      <c r="B2531" s="3" t="s">
        <v>4362</v>
      </c>
      <c r="C2531" t="s">
        <v>3531</v>
      </c>
      <c r="D2531" s="3" t="s">
        <v>7329</v>
      </c>
      <c r="E2531" t="s">
        <v>4370</v>
      </c>
      <c r="F2531" s="3" t="s">
        <v>4371</v>
      </c>
      <c r="G2531" t="s">
        <v>24</v>
      </c>
      <c r="H2531" s="3" t="s">
        <v>3537</v>
      </c>
      <c r="I2531" t="s">
        <v>105</v>
      </c>
      <c r="J2531" s="3" t="s">
        <v>3538</v>
      </c>
      <c r="K2531" s="4">
        <v>625</v>
      </c>
      <c r="L2531" s="5">
        <v>0</v>
      </c>
      <c r="M2531" s="6">
        <v>0</v>
      </c>
      <c r="N2531" s="7">
        <v>1</v>
      </c>
      <c r="O2531" t="s">
        <v>23</v>
      </c>
      <c r="P2531" s="3" t="s">
        <v>23</v>
      </c>
      <c r="Q2531" s="8" t="s">
        <v>23</v>
      </c>
    </row>
    <row r="2532" spans="1:17" hidden="1" x14ac:dyDescent="0.55000000000000004">
      <c r="A2532" s="3" t="s">
        <v>4210</v>
      </c>
      <c r="B2532" s="3" t="s">
        <v>4362</v>
      </c>
      <c r="C2532" t="s">
        <v>3531</v>
      </c>
      <c r="D2532" s="3" t="s">
        <v>7329</v>
      </c>
      <c r="E2532" t="s">
        <v>4370</v>
      </c>
      <c r="F2532" s="3" t="s">
        <v>4371</v>
      </c>
      <c r="G2532" t="s">
        <v>24</v>
      </c>
      <c r="H2532" s="3" t="s">
        <v>3539</v>
      </c>
      <c r="I2532" t="s">
        <v>37</v>
      </c>
      <c r="J2532" s="3" t="s">
        <v>3538</v>
      </c>
      <c r="K2532" s="4">
        <v>707</v>
      </c>
      <c r="L2532" s="5">
        <v>0</v>
      </c>
      <c r="M2532" s="6">
        <v>0</v>
      </c>
      <c r="N2532" s="7">
        <v>1</v>
      </c>
      <c r="O2532" t="s">
        <v>23</v>
      </c>
      <c r="P2532" s="3" t="s">
        <v>23</v>
      </c>
      <c r="Q2532" s="8" t="s">
        <v>23</v>
      </c>
    </row>
    <row r="2533" spans="1:17" hidden="1" x14ac:dyDescent="0.55000000000000004">
      <c r="A2533" s="3" t="s">
        <v>4210</v>
      </c>
      <c r="B2533" s="3" t="s">
        <v>4362</v>
      </c>
      <c r="C2533" t="s">
        <v>3531</v>
      </c>
      <c r="D2533" s="3" t="s">
        <v>7329</v>
      </c>
      <c r="E2533" t="s">
        <v>4370</v>
      </c>
      <c r="F2533" s="3" t="s">
        <v>4371</v>
      </c>
      <c r="G2533" t="s">
        <v>24</v>
      </c>
      <c r="H2533" s="3" t="s">
        <v>4365</v>
      </c>
      <c r="I2533" t="s">
        <v>43</v>
      </c>
      <c r="J2533" s="3" t="s">
        <v>4366</v>
      </c>
      <c r="K2533" s="4">
        <v>978</v>
      </c>
      <c r="L2533" s="5">
        <v>44.48</v>
      </c>
      <c r="M2533" s="6">
        <v>1</v>
      </c>
      <c r="N2533" s="7">
        <v>1</v>
      </c>
      <c r="O2533" t="s">
        <v>4367</v>
      </c>
      <c r="P2533" s="3" t="s">
        <v>46</v>
      </c>
      <c r="Q2533" s="8">
        <v>0.183867</v>
      </c>
    </row>
    <row r="2534" spans="1:17" hidden="1" x14ac:dyDescent="0.55000000000000004">
      <c r="A2534" s="3" t="s">
        <v>4210</v>
      </c>
      <c r="B2534" s="3" t="s">
        <v>4362</v>
      </c>
      <c r="C2534" t="s">
        <v>3531</v>
      </c>
      <c r="D2534" s="3" t="s">
        <v>7329</v>
      </c>
      <c r="E2534" t="s">
        <v>4370</v>
      </c>
      <c r="F2534" s="3" t="s">
        <v>4371</v>
      </c>
      <c r="G2534" t="s">
        <v>24</v>
      </c>
      <c r="H2534" s="3" t="s">
        <v>4368</v>
      </c>
      <c r="I2534" t="s">
        <v>48</v>
      </c>
      <c r="J2534" s="3" t="s">
        <v>4366</v>
      </c>
      <c r="K2534" s="4">
        <v>874</v>
      </c>
      <c r="L2534" s="5">
        <v>39.71</v>
      </c>
      <c r="M2534" s="6">
        <v>0</v>
      </c>
      <c r="N2534" s="7">
        <v>1</v>
      </c>
      <c r="O2534" t="s">
        <v>4369</v>
      </c>
      <c r="P2534" s="3" t="s">
        <v>23</v>
      </c>
      <c r="Q2534" s="8" t="s">
        <v>23</v>
      </c>
    </row>
    <row r="2535" spans="1:17" hidden="1" x14ac:dyDescent="0.55000000000000004">
      <c r="A2535" s="3" t="s">
        <v>4210</v>
      </c>
      <c r="B2535" s="3" t="s">
        <v>4362</v>
      </c>
      <c r="C2535" t="s">
        <v>3531</v>
      </c>
      <c r="D2535" s="3" t="s">
        <v>7329</v>
      </c>
      <c r="E2535" t="s">
        <v>4375</v>
      </c>
      <c r="F2535" s="3" t="s">
        <v>4376</v>
      </c>
      <c r="G2535" t="s">
        <v>24</v>
      </c>
      <c r="H2535" s="3" t="s">
        <v>3537</v>
      </c>
      <c r="I2535" t="s">
        <v>105</v>
      </c>
      <c r="J2535" s="3" t="s">
        <v>3538</v>
      </c>
      <c r="K2535" s="4">
        <v>625</v>
      </c>
      <c r="L2535" s="5">
        <v>0</v>
      </c>
      <c r="M2535" s="6">
        <v>0</v>
      </c>
      <c r="N2535" s="7">
        <v>0</v>
      </c>
      <c r="O2535" t="s">
        <v>23</v>
      </c>
      <c r="P2535" s="3" t="s">
        <v>23</v>
      </c>
      <c r="Q2535" s="8" t="s">
        <v>23</v>
      </c>
    </row>
    <row r="2536" spans="1:17" hidden="1" x14ac:dyDescent="0.55000000000000004">
      <c r="A2536" s="3" t="s">
        <v>4210</v>
      </c>
      <c r="B2536" s="3" t="s">
        <v>4362</v>
      </c>
      <c r="C2536" t="s">
        <v>3531</v>
      </c>
      <c r="D2536" s="3" t="s">
        <v>7329</v>
      </c>
      <c r="E2536" t="s">
        <v>4375</v>
      </c>
      <c r="F2536" s="3" t="s">
        <v>4376</v>
      </c>
      <c r="G2536" t="s">
        <v>24</v>
      </c>
      <c r="H2536" s="3" t="s">
        <v>3539</v>
      </c>
      <c r="I2536" t="s">
        <v>37</v>
      </c>
      <c r="J2536" s="3" t="s">
        <v>3538</v>
      </c>
      <c r="K2536" s="4">
        <v>707</v>
      </c>
      <c r="L2536" s="5">
        <v>0</v>
      </c>
      <c r="M2536" s="6">
        <v>0</v>
      </c>
      <c r="N2536" s="7">
        <v>0</v>
      </c>
      <c r="O2536" t="s">
        <v>23</v>
      </c>
      <c r="P2536" s="3" t="s">
        <v>23</v>
      </c>
      <c r="Q2536" s="8" t="s">
        <v>23</v>
      </c>
    </row>
    <row r="2537" spans="1:17" hidden="1" x14ac:dyDescent="0.55000000000000004">
      <c r="A2537" s="3" t="s">
        <v>4210</v>
      </c>
      <c r="B2537" s="3" t="s">
        <v>4362</v>
      </c>
      <c r="C2537" t="s">
        <v>3531</v>
      </c>
      <c r="D2537" s="3" t="s">
        <v>7329</v>
      </c>
      <c r="E2537" t="s">
        <v>4375</v>
      </c>
      <c r="F2537" s="3" t="s">
        <v>4376</v>
      </c>
      <c r="G2537" t="s">
        <v>24</v>
      </c>
      <c r="H2537" s="3" t="s">
        <v>4365</v>
      </c>
      <c r="I2537" t="s">
        <v>43</v>
      </c>
      <c r="J2537" s="3" t="s">
        <v>4366</v>
      </c>
      <c r="K2537" s="4">
        <v>978</v>
      </c>
      <c r="L2537" s="5">
        <v>44.48</v>
      </c>
      <c r="M2537" s="6">
        <v>1</v>
      </c>
      <c r="N2537" s="7">
        <v>0</v>
      </c>
      <c r="O2537" t="s">
        <v>4367</v>
      </c>
      <c r="P2537" s="3" t="s">
        <v>46</v>
      </c>
      <c r="Q2537" s="8">
        <v>0.183867</v>
      </c>
    </row>
    <row r="2538" spans="1:17" hidden="1" x14ac:dyDescent="0.55000000000000004">
      <c r="A2538" s="3" t="s">
        <v>4210</v>
      </c>
      <c r="B2538" s="3" t="s">
        <v>4362</v>
      </c>
      <c r="C2538" t="s">
        <v>3531</v>
      </c>
      <c r="D2538" s="3" t="s">
        <v>7329</v>
      </c>
      <c r="E2538" t="s">
        <v>4375</v>
      </c>
      <c r="F2538" s="3" t="s">
        <v>4376</v>
      </c>
      <c r="G2538" t="s">
        <v>24</v>
      </c>
      <c r="H2538" s="3" t="s">
        <v>4368</v>
      </c>
      <c r="I2538" t="s">
        <v>48</v>
      </c>
      <c r="J2538" s="3" t="s">
        <v>4366</v>
      </c>
      <c r="K2538" s="4">
        <v>874</v>
      </c>
      <c r="L2538" s="5">
        <v>39.71</v>
      </c>
      <c r="M2538" s="6">
        <v>0</v>
      </c>
      <c r="N2538" s="7">
        <v>0</v>
      </c>
      <c r="O2538" t="s">
        <v>4369</v>
      </c>
      <c r="P2538" s="3" t="s">
        <v>23</v>
      </c>
      <c r="Q2538" s="8" t="s">
        <v>23</v>
      </c>
    </row>
    <row r="2539" spans="1:17" hidden="1" x14ac:dyDescent="0.55000000000000004">
      <c r="A2539" s="3" t="s">
        <v>4210</v>
      </c>
      <c r="B2539" s="3" t="s">
        <v>4377</v>
      </c>
      <c r="C2539" t="s">
        <v>4312</v>
      </c>
      <c r="D2539" s="3" t="s">
        <v>7329</v>
      </c>
      <c r="E2539" t="s">
        <v>4378</v>
      </c>
      <c r="F2539" s="3" t="s">
        <v>4379</v>
      </c>
      <c r="G2539" t="s">
        <v>19</v>
      </c>
      <c r="H2539" s="3" t="s">
        <v>4380</v>
      </c>
      <c r="I2539" t="s">
        <v>4229</v>
      </c>
      <c r="J2539" s="3" t="s">
        <v>4381</v>
      </c>
      <c r="K2539" s="4">
        <v>98</v>
      </c>
      <c r="L2539" s="5">
        <v>21.3</v>
      </c>
      <c r="M2539" s="6">
        <v>1</v>
      </c>
      <c r="N2539" s="7">
        <v>1</v>
      </c>
      <c r="O2539" t="s">
        <v>4382</v>
      </c>
      <c r="P2539" s="3" t="s">
        <v>4217</v>
      </c>
      <c r="Q2539" s="8">
        <v>2.5368999999999999E-2</v>
      </c>
    </row>
    <row r="2540" spans="1:17" hidden="1" x14ac:dyDescent="0.55000000000000004">
      <c r="A2540" s="3" t="s">
        <v>4210</v>
      </c>
      <c r="B2540" s="3" t="s">
        <v>4377</v>
      </c>
      <c r="C2540" t="s">
        <v>4312</v>
      </c>
      <c r="D2540" s="3" t="s">
        <v>7329</v>
      </c>
      <c r="E2540" t="s">
        <v>4378</v>
      </c>
      <c r="F2540" s="3" t="s">
        <v>4379</v>
      </c>
      <c r="G2540" t="s">
        <v>19</v>
      </c>
      <c r="H2540" s="3" t="s">
        <v>4383</v>
      </c>
      <c r="I2540" t="s">
        <v>4233</v>
      </c>
      <c r="J2540" s="3" t="s">
        <v>4381</v>
      </c>
      <c r="K2540" s="4">
        <v>102</v>
      </c>
      <c r="L2540" s="5">
        <v>22.22</v>
      </c>
      <c r="M2540" s="6">
        <v>0</v>
      </c>
      <c r="N2540" s="7">
        <v>1</v>
      </c>
      <c r="O2540" t="s">
        <v>4384</v>
      </c>
      <c r="P2540" s="3" t="s">
        <v>4217</v>
      </c>
      <c r="Q2540" s="8">
        <v>1.3143E-2</v>
      </c>
    </row>
    <row r="2541" spans="1:17" hidden="1" x14ac:dyDescent="0.55000000000000004">
      <c r="A2541" s="3" t="s">
        <v>4210</v>
      </c>
      <c r="B2541" s="3" t="s">
        <v>4377</v>
      </c>
      <c r="C2541" t="s">
        <v>4312</v>
      </c>
      <c r="D2541" s="3" t="s">
        <v>7329</v>
      </c>
      <c r="E2541" t="s">
        <v>4378</v>
      </c>
      <c r="F2541" s="3" t="s">
        <v>4379</v>
      </c>
      <c r="G2541" t="s">
        <v>19</v>
      </c>
      <c r="H2541" s="3" t="s">
        <v>4385</v>
      </c>
      <c r="I2541" t="s">
        <v>3534</v>
      </c>
      <c r="J2541" s="3" t="s">
        <v>4381</v>
      </c>
      <c r="K2541" s="4">
        <v>118</v>
      </c>
      <c r="L2541" s="5">
        <v>25.63</v>
      </c>
      <c r="M2541" s="6">
        <v>0</v>
      </c>
      <c r="N2541" s="7">
        <v>1</v>
      </c>
      <c r="O2541" t="s">
        <v>4386</v>
      </c>
      <c r="P2541" s="3" t="s">
        <v>4217</v>
      </c>
      <c r="Q2541" s="8">
        <v>2.8679E-2</v>
      </c>
    </row>
    <row r="2542" spans="1:17" hidden="1" x14ac:dyDescent="0.55000000000000004">
      <c r="A2542" s="3" t="s">
        <v>4210</v>
      </c>
      <c r="B2542" s="3" t="s">
        <v>4377</v>
      </c>
      <c r="C2542" t="s">
        <v>4312</v>
      </c>
      <c r="D2542" s="3" t="s">
        <v>7329</v>
      </c>
      <c r="E2542" t="s">
        <v>4378</v>
      </c>
      <c r="F2542" s="3" t="s">
        <v>4379</v>
      </c>
      <c r="G2542" t="s">
        <v>24</v>
      </c>
      <c r="H2542" s="3" t="s">
        <v>4387</v>
      </c>
      <c r="I2542" t="s">
        <v>43</v>
      </c>
      <c r="J2542" s="3" t="s">
        <v>4388</v>
      </c>
      <c r="K2542" s="4">
        <v>873</v>
      </c>
      <c r="L2542" s="5">
        <v>39.659999999999997</v>
      </c>
      <c r="M2542" s="6">
        <v>1</v>
      </c>
      <c r="N2542" s="7">
        <v>1</v>
      </c>
      <c r="O2542" t="s">
        <v>4389</v>
      </c>
      <c r="P2542" s="3" t="s">
        <v>46</v>
      </c>
      <c r="Q2542" s="8">
        <v>0.22120000000000001</v>
      </c>
    </row>
    <row r="2543" spans="1:17" hidden="1" x14ac:dyDescent="0.55000000000000004">
      <c r="A2543" s="3" t="s">
        <v>4210</v>
      </c>
      <c r="B2543" s="3" t="s">
        <v>4377</v>
      </c>
      <c r="C2543" t="s">
        <v>4312</v>
      </c>
      <c r="D2543" s="3" t="s">
        <v>7329</v>
      </c>
      <c r="E2543" t="s">
        <v>4378</v>
      </c>
      <c r="F2543" s="3" t="s">
        <v>4379</v>
      </c>
      <c r="G2543" t="s">
        <v>24</v>
      </c>
      <c r="H2543" s="3" t="s">
        <v>4390</v>
      </c>
      <c r="I2543" t="s">
        <v>48</v>
      </c>
      <c r="J2543" s="3" t="s">
        <v>4388</v>
      </c>
      <c r="K2543" s="4">
        <v>767</v>
      </c>
      <c r="L2543" s="5">
        <v>34.880000000000003</v>
      </c>
      <c r="M2543" s="6">
        <v>0</v>
      </c>
      <c r="N2543" s="7">
        <v>1</v>
      </c>
      <c r="O2543" t="s">
        <v>4391</v>
      </c>
      <c r="P2543" s="3" t="s">
        <v>23</v>
      </c>
      <c r="Q2543" s="8" t="s">
        <v>23</v>
      </c>
    </row>
    <row r="2544" spans="1:17" hidden="1" x14ac:dyDescent="0.55000000000000004">
      <c r="A2544" s="3" t="s">
        <v>4210</v>
      </c>
      <c r="B2544" s="3" t="s">
        <v>4377</v>
      </c>
      <c r="C2544" t="s">
        <v>4312</v>
      </c>
      <c r="D2544" s="3" t="s">
        <v>7329</v>
      </c>
      <c r="E2544" t="s">
        <v>4392</v>
      </c>
      <c r="F2544" s="3" t="s">
        <v>4393</v>
      </c>
      <c r="G2544" t="s">
        <v>19</v>
      </c>
      <c r="H2544" s="3" t="s">
        <v>4380</v>
      </c>
      <c r="I2544" t="s">
        <v>4229</v>
      </c>
      <c r="J2544" s="3" t="s">
        <v>4381</v>
      </c>
      <c r="K2544" s="4">
        <v>98</v>
      </c>
      <c r="L2544" s="5">
        <v>21.3</v>
      </c>
      <c r="M2544" s="6">
        <v>1</v>
      </c>
      <c r="N2544" s="7">
        <v>0</v>
      </c>
      <c r="O2544" t="s">
        <v>4382</v>
      </c>
      <c r="P2544" s="3" t="s">
        <v>4217</v>
      </c>
      <c r="Q2544" s="8">
        <v>2.5368999999999999E-2</v>
      </c>
    </row>
    <row r="2545" spans="1:17" hidden="1" x14ac:dyDescent="0.55000000000000004">
      <c r="A2545" s="3" t="s">
        <v>4210</v>
      </c>
      <c r="B2545" s="3" t="s">
        <v>4377</v>
      </c>
      <c r="C2545" t="s">
        <v>4312</v>
      </c>
      <c r="D2545" s="3" t="s">
        <v>7329</v>
      </c>
      <c r="E2545" t="s">
        <v>4392</v>
      </c>
      <c r="F2545" s="3" t="s">
        <v>4393</v>
      </c>
      <c r="G2545" t="s">
        <v>19</v>
      </c>
      <c r="H2545" s="3" t="s">
        <v>4383</v>
      </c>
      <c r="I2545" t="s">
        <v>4233</v>
      </c>
      <c r="J2545" s="3" t="s">
        <v>4381</v>
      </c>
      <c r="K2545" s="4">
        <v>102</v>
      </c>
      <c r="L2545" s="5">
        <v>22.22</v>
      </c>
      <c r="M2545" s="6">
        <v>0</v>
      </c>
      <c r="N2545" s="7">
        <v>0</v>
      </c>
      <c r="O2545" t="s">
        <v>4384</v>
      </c>
      <c r="P2545" s="3" t="s">
        <v>4217</v>
      </c>
      <c r="Q2545" s="8">
        <v>1.3143E-2</v>
      </c>
    </row>
    <row r="2546" spans="1:17" hidden="1" x14ac:dyDescent="0.55000000000000004">
      <c r="A2546" s="3" t="s">
        <v>4210</v>
      </c>
      <c r="B2546" s="3" t="s">
        <v>4377</v>
      </c>
      <c r="C2546" t="s">
        <v>4312</v>
      </c>
      <c r="D2546" s="3" t="s">
        <v>7329</v>
      </c>
      <c r="E2546" t="s">
        <v>4392</v>
      </c>
      <c r="F2546" s="3" t="s">
        <v>4393</v>
      </c>
      <c r="G2546" t="s">
        <v>19</v>
      </c>
      <c r="H2546" s="3" t="s">
        <v>4385</v>
      </c>
      <c r="I2546" t="s">
        <v>3534</v>
      </c>
      <c r="J2546" s="3" t="s">
        <v>4381</v>
      </c>
      <c r="K2546" s="4">
        <v>118</v>
      </c>
      <c r="L2546" s="5">
        <v>25.63</v>
      </c>
      <c r="M2546" s="6">
        <v>0</v>
      </c>
      <c r="N2546" s="7">
        <v>0</v>
      </c>
      <c r="O2546" t="s">
        <v>4386</v>
      </c>
      <c r="P2546" s="3" t="s">
        <v>4217</v>
      </c>
      <c r="Q2546" s="8">
        <v>2.8679E-2</v>
      </c>
    </row>
    <row r="2547" spans="1:17" hidden="1" x14ac:dyDescent="0.55000000000000004">
      <c r="A2547" s="3" t="s">
        <v>4210</v>
      </c>
      <c r="B2547" s="3" t="s">
        <v>4377</v>
      </c>
      <c r="C2547" t="s">
        <v>4312</v>
      </c>
      <c r="D2547" s="3" t="s">
        <v>7329</v>
      </c>
      <c r="E2547" t="s">
        <v>4392</v>
      </c>
      <c r="F2547" s="3" t="s">
        <v>4393</v>
      </c>
      <c r="G2547" t="s">
        <v>24</v>
      </c>
      <c r="H2547" s="3" t="s">
        <v>4387</v>
      </c>
      <c r="I2547" t="s">
        <v>43</v>
      </c>
      <c r="J2547" s="3" t="s">
        <v>4388</v>
      </c>
      <c r="K2547" s="4">
        <v>873</v>
      </c>
      <c r="L2547" s="5">
        <v>39.659999999999997</v>
      </c>
      <c r="M2547" s="6">
        <v>1</v>
      </c>
      <c r="N2547" s="7">
        <v>0</v>
      </c>
      <c r="O2547" t="s">
        <v>4389</v>
      </c>
      <c r="P2547" s="3" t="s">
        <v>46</v>
      </c>
      <c r="Q2547" s="8">
        <v>0.22120000000000001</v>
      </c>
    </row>
    <row r="2548" spans="1:17" hidden="1" x14ac:dyDescent="0.55000000000000004">
      <c r="A2548" s="3" t="s">
        <v>4210</v>
      </c>
      <c r="B2548" s="3" t="s">
        <v>4377</v>
      </c>
      <c r="C2548" t="s">
        <v>4312</v>
      </c>
      <c r="D2548" s="3" t="s">
        <v>7329</v>
      </c>
      <c r="E2548" t="s">
        <v>4392</v>
      </c>
      <c r="F2548" s="3" t="s">
        <v>4393</v>
      </c>
      <c r="G2548" t="s">
        <v>24</v>
      </c>
      <c r="H2548" s="3" t="s">
        <v>4390</v>
      </c>
      <c r="I2548" t="s">
        <v>48</v>
      </c>
      <c r="J2548" s="3" t="s">
        <v>4388</v>
      </c>
      <c r="K2548" s="4">
        <v>767</v>
      </c>
      <c r="L2548" s="5">
        <v>34.880000000000003</v>
      </c>
      <c r="M2548" s="6">
        <v>0</v>
      </c>
      <c r="N2548" s="7">
        <v>0</v>
      </c>
      <c r="O2548" t="s">
        <v>4391</v>
      </c>
      <c r="P2548" s="3" t="s">
        <v>23</v>
      </c>
      <c r="Q2548" s="8" t="s">
        <v>23</v>
      </c>
    </row>
    <row r="2549" spans="1:17" hidden="1" x14ac:dyDescent="0.55000000000000004">
      <c r="A2549" s="3" t="s">
        <v>4210</v>
      </c>
      <c r="B2549" s="3" t="s">
        <v>4377</v>
      </c>
      <c r="C2549" t="s">
        <v>4312</v>
      </c>
      <c r="D2549" s="3" t="s">
        <v>7329</v>
      </c>
      <c r="E2549" t="s">
        <v>4394</v>
      </c>
      <c r="F2549" s="3" t="s">
        <v>4395</v>
      </c>
      <c r="G2549" t="s">
        <v>19</v>
      </c>
      <c r="H2549" s="3" t="s">
        <v>4380</v>
      </c>
      <c r="I2549" t="s">
        <v>4229</v>
      </c>
      <c r="J2549" s="3" t="s">
        <v>4381</v>
      </c>
      <c r="K2549" s="4">
        <v>98</v>
      </c>
      <c r="L2549" s="5">
        <v>21.3</v>
      </c>
      <c r="M2549" s="6">
        <v>1</v>
      </c>
      <c r="N2549" s="7">
        <v>0</v>
      </c>
      <c r="O2549" t="s">
        <v>4382</v>
      </c>
      <c r="P2549" s="3" t="s">
        <v>4217</v>
      </c>
      <c r="Q2549" s="8">
        <v>2.5368999999999999E-2</v>
      </c>
    </row>
    <row r="2550" spans="1:17" hidden="1" x14ac:dyDescent="0.55000000000000004">
      <c r="A2550" s="3" t="s">
        <v>4210</v>
      </c>
      <c r="B2550" s="3" t="s">
        <v>4377</v>
      </c>
      <c r="C2550" t="s">
        <v>4312</v>
      </c>
      <c r="D2550" s="3" t="s">
        <v>7329</v>
      </c>
      <c r="E2550" t="s">
        <v>4394</v>
      </c>
      <c r="F2550" s="3" t="s">
        <v>4395</v>
      </c>
      <c r="G2550" t="s">
        <v>19</v>
      </c>
      <c r="H2550" s="3" t="s">
        <v>4383</v>
      </c>
      <c r="I2550" t="s">
        <v>4233</v>
      </c>
      <c r="J2550" s="3" t="s">
        <v>4381</v>
      </c>
      <c r="K2550" s="4">
        <v>102</v>
      </c>
      <c r="L2550" s="5">
        <v>22.22</v>
      </c>
      <c r="M2550" s="6">
        <v>0</v>
      </c>
      <c r="N2550" s="7">
        <v>0</v>
      </c>
      <c r="O2550" t="s">
        <v>4384</v>
      </c>
      <c r="P2550" s="3" t="s">
        <v>4217</v>
      </c>
      <c r="Q2550" s="8">
        <v>1.3143E-2</v>
      </c>
    </row>
    <row r="2551" spans="1:17" hidden="1" x14ac:dyDescent="0.55000000000000004">
      <c r="A2551" s="3" t="s">
        <v>4210</v>
      </c>
      <c r="B2551" s="3" t="s">
        <v>4377</v>
      </c>
      <c r="C2551" t="s">
        <v>4312</v>
      </c>
      <c r="D2551" s="3" t="s">
        <v>7329</v>
      </c>
      <c r="E2551" t="s">
        <v>4394</v>
      </c>
      <c r="F2551" s="3" t="s">
        <v>4395</v>
      </c>
      <c r="G2551" t="s">
        <v>19</v>
      </c>
      <c r="H2551" s="3" t="s">
        <v>4385</v>
      </c>
      <c r="I2551" t="s">
        <v>3534</v>
      </c>
      <c r="J2551" s="3" t="s">
        <v>4381</v>
      </c>
      <c r="K2551" s="4">
        <v>118</v>
      </c>
      <c r="L2551" s="5">
        <v>25.63</v>
      </c>
      <c r="M2551" s="6">
        <v>0</v>
      </c>
      <c r="N2551" s="7">
        <v>0</v>
      </c>
      <c r="O2551" t="s">
        <v>4386</v>
      </c>
      <c r="P2551" s="3" t="s">
        <v>4217</v>
      </c>
      <c r="Q2551" s="8">
        <v>2.8679E-2</v>
      </c>
    </row>
    <row r="2552" spans="1:17" hidden="1" x14ac:dyDescent="0.55000000000000004">
      <c r="A2552" s="3" t="s">
        <v>4210</v>
      </c>
      <c r="B2552" s="3" t="s">
        <v>4377</v>
      </c>
      <c r="C2552" t="s">
        <v>4312</v>
      </c>
      <c r="D2552" s="3" t="s">
        <v>7329</v>
      </c>
      <c r="E2552" t="s">
        <v>4394</v>
      </c>
      <c r="F2552" s="3" t="s">
        <v>4395</v>
      </c>
      <c r="G2552" t="s">
        <v>24</v>
      </c>
      <c r="H2552" s="3" t="s">
        <v>4387</v>
      </c>
      <c r="I2552" t="s">
        <v>43</v>
      </c>
      <c r="J2552" s="3" t="s">
        <v>4388</v>
      </c>
      <c r="K2552" s="4">
        <v>873</v>
      </c>
      <c r="L2552" s="5">
        <v>39.659999999999997</v>
      </c>
      <c r="M2552" s="6">
        <v>1</v>
      </c>
      <c r="N2552" s="7">
        <v>0</v>
      </c>
      <c r="O2552" t="s">
        <v>4389</v>
      </c>
      <c r="P2552" s="3" t="s">
        <v>46</v>
      </c>
      <c r="Q2552" s="8">
        <v>0.22120000000000001</v>
      </c>
    </row>
    <row r="2553" spans="1:17" hidden="1" x14ac:dyDescent="0.55000000000000004">
      <c r="A2553" s="3" t="s">
        <v>4210</v>
      </c>
      <c r="B2553" s="3" t="s">
        <v>4377</v>
      </c>
      <c r="C2553" t="s">
        <v>4312</v>
      </c>
      <c r="D2553" s="3" t="s">
        <v>7329</v>
      </c>
      <c r="E2553" t="s">
        <v>4394</v>
      </c>
      <c r="F2553" s="3" t="s">
        <v>4395</v>
      </c>
      <c r="G2553" t="s">
        <v>24</v>
      </c>
      <c r="H2553" s="3" t="s">
        <v>4390</v>
      </c>
      <c r="I2553" t="s">
        <v>48</v>
      </c>
      <c r="J2553" s="3" t="s">
        <v>4388</v>
      </c>
      <c r="K2553" s="4">
        <v>767</v>
      </c>
      <c r="L2553" s="5">
        <v>34.880000000000003</v>
      </c>
      <c r="M2553" s="6">
        <v>0</v>
      </c>
      <c r="N2553" s="7">
        <v>0</v>
      </c>
      <c r="O2553" t="s">
        <v>4391</v>
      </c>
      <c r="P2553" s="3" t="s">
        <v>23</v>
      </c>
      <c r="Q2553" s="8" t="s">
        <v>23</v>
      </c>
    </row>
    <row r="2554" spans="1:17" hidden="1" x14ac:dyDescent="0.55000000000000004">
      <c r="A2554" s="3" t="s">
        <v>4210</v>
      </c>
      <c r="B2554" s="3" t="s">
        <v>4396</v>
      </c>
      <c r="C2554" t="s">
        <v>4396</v>
      </c>
      <c r="D2554" s="3" t="s">
        <v>7329</v>
      </c>
      <c r="E2554" t="s">
        <v>4397</v>
      </c>
      <c r="F2554" s="3" t="s">
        <v>4398</v>
      </c>
      <c r="G2554" t="s">
        <v>19</v>
      </c>
      <c r="H2554" s="3" t="s">
        <v>4399</v>
      </c>
      <c r="I2554" t="s">
        <v>4229</v>
      </c>
      <c r="J2554" s="3" t="s">
        <v>4400</v>
      </c>
      <c r="K2554" s="4">
        <v>294</v>
      </c>
      <c r="L2554" s="5">
        <v>63.85</v>
      </c>
      <c r="M2554" s="6">
        <v>0</v>
      </c>
      <c r="N2554" s="7">
        <v>1</v>
      </c>
      <c r="O2554" t="s">
        <v>4401</v>
      </c>
      <c r="P2554" s="3" t="s">
        <v>4217</v>
      </c>
      <c r="Q2554" s="8">
        <v>4.0883000000000003E-2</v>
      </c>
    </row>
    <row r="2555" spans="1:17" hidden="1" x14ac:dyDescent="0.55000000000000004">
      <c r="A2555" s="3" t="s">
        <v>4210</v>
      </c>
      <c r="B2555" s="3" t="s">
        <v>4396</v>
      </c>
      <c r="C2555" t="s">
        <v>4396</v>
      </c>
      <c r="D2555" s="3" t="s">
        <v>7329</v>
      </c>
      <c r="E2555" t="s">
        <v>4397</v>
      </c>
      <c r="F2555" s="3" t="s">
        <v>4398</v>
      </c>
      <c r="G2555" t="s">
        <v>19</v>
      </c>
      <c r="H2555" s="3" t="s">
        <v>4402</v>
      </c>
      <c r="I2555" t="s">
        <v>4233</v>
      </c>
      <c r="J2555" s="3" t="s">
        <v>4400</v>
      </c>
      <c r="K2555" s="4">
        <v>298</v>
      </c>
      <c r="L2555" s="5">
        <v>64.760000000000005</v>
      </c>
      <c r="M2555" s="6">
        <v>0</v>
      </c>
      <c r="N2555" s="7">
        <v>1</v>
      </c>
      <c r="O2555" t="s">
        <v>4403</v>
      </c>
      <c r="P2555" s="3" t="s">
        <v>4217</v>
      </c>
      <c r="Q2555" s="8">
        <v>3.9550000000000002E-2</v>
      </c>
    </row>
    <row r="2556" spans="1:17" hidden="1" x14ac:dyDescent="0.55000000000000004">
      <c r="A2556" s="3" t="s">
        <v>4210</v>
      </c>
      <c r="B2556" s="3" t="s">
        <v>4396</v>
      </c>
      <c r="C2556" t="s">
        <v>4396</v>
      </c>
      <c r="D2556" s="3" t="s">
        <v>7329</v>
      </c>
      <c r="E2556" t="s">
        <v>4397</v>
      </c>
      <c r="F2556" s="3" t="s">
        <v>4398</v>
      </c>
      <c r="G2556" t="s">
        <v>19</v>
      </c>
      <c r="H2556" s="3" t="s">
        <v>4404</v>
      </c>
      <c r="I2556" t="s">
        <v>3534</v>
      </c>
      <c r="J2556" s="3" t="s">
        <v>4400</v>
      </c>
      <c r="K2556" s="4">
        <v>314</v>
      </c>
      <c r="L2556" s="5">
        <v>68.17</v>
      </c>
      <c r="M2556" s="6">
        <v>0</v>
      </c>
      <c r="N2556" s="7">
        <v>1</v>
      </c>
      <c r="O2556" t="s">
        <v>4405</v>
      </c>
      <c r="P2556" s="3" t="s">
        <v>4217</v>
      </c>
      <c r="Q2556" s="8">
        <v>4.4187999999999998E-2</v>
      </c>
    </row>
    <row r="2557" spans="1:17" hidden="1" x14ac:dyDescent="0.55000000000000004">
      <c r="A2557" s="3" t="s">
        <v>4210</v>
      </c>
      <c r="B2557" s="3" t="s">
        <v>4396</v>
      </c>
      <c r="C2557" t="s">
        <v>4396</v>
      </c>
      <c r="D2557" s="3" t="s">
        <v>7329</v>
      </c>
      <c r="E2557" t="s">
        <v>4397</v>
      </c>
      <c r="F2557" s="3" t="s">
        <v>4398</v>
      </c>
      <c r="G2557" t="s">
        <v>19</v>
      </c>
      <c r="H2557" s="3" t="s">
        <v>4406</v>
      </c>
      <c r="I2557" t="s">
        <v>3862</v>
      </c>
      <c r="J2557" s="3" t="s">
        <v>4407</v>
      </c>
      <c r="K2557" s="4">
        <v>230</v>
      </c>
      <c r="L2557" s="5">
        <v>50.04</v>
      </c>
      <c r="M2557" s="6">
        <v>0</v>
      </c>
      <c r="N2557" s="7">
        <v>1</v>
      </c>
      <c r="O2557" t="s">
        <v>4408</v>
      </c>
      <c r="P2557" s="3" t="s">
        <v>3963</v>
      </c>
      <c r="Q2557" s="8">
        <v>6.3342999999999997E-2</v>
      </c>
    </row>
    <row r="2558" spans="1:17" hidden="1" x14ac:dyDescent="0.55000000000000004">
      <c r="A2558" s="3" t="s">
        <v>4210</v>
      </c>
      <c r="B2558" s="3" t="s">
        <v>4396</v>
      </c>
      <c r="C2558" t="s">
        <v>4396</v>
      </c>
      <c r="D2558" s="3" t="s">
        <v>7329</v>
      </c>
      <c r="E2558" t="s">
        <v>4397</v>
      </c>
      <c r="F2558" s="3" t="s">
        <v>4398</v>
      </c>
      <c r="G2558" t="s">
        <v>19</v>
      </c>
      <c r="H2558" s="3" t="s">
        <v>4409</v>
      </c>
      <c r="I2558" t="s">
        <v>3928</v>
      </c>
      <c r="J2558" s="3" t="s">
        <v>4410</v>
      </c>
      <c r="K2558" s="4">
        <v>59</v>
      </c>
      <c r="L2558" s="5">
        <v>12.85</v>
      </c>
      <c r="M2558" s="6">
        <v>1</v>
      </c>
      <c r="N2558" s="7">
        <v>1</v>
      </c>
      <c r="O2558" t="s">
        <v>3932</v>
      </c>
      <c r="P2558" s="3" t="s">
        <v>3931</v>
      </c>
      <c r="Q2558" s="8">
        <v>4.1999999999999997E-3</v>
      </c>
    </row>
    <row r="2559" spans="1:17" hidden="1" x14ac:dyDescent="0.55000000000000004">
      <c r="A2559" s="3" t="s">
        <v>4210</v>
      </c>
      <c r="B2559" s="3" t="s">
        <v>4396</v>
      </c>
      <c r="C2559" t="s">
        <v>4396</v>
      </c>
      <c r="D2559" s="3" t="s">
        <v>7329</v>
      </c>
      <c r="E2559" t="s">
        <v>4397</v>
      </c>
      <c r="F2559" s="3" t="s">
        <v>4398</v>
      </c>
      <c r="G2559" t="s">
        <v>19</v>
      </c>
      <c r="H2559" s="3" t="s">
        <v>4409</v>
      </c>
      <c r="I2559" t="s">
        <v>3928</v>
      </c>
      <c r="J2559" s="3" t="s">
        <v>4410</v>
      </c>
      <c r="K2559" s="4">
        <v>59</v>
      </c>
      <c r="L2559" s="5">
        <v>12.85</v>
      </c>
      <c r="M2559" s="6">
        <v>1</v>
      </c>
      <c r="N2559" s="7">
        <v>1</v>
      </c>
      <c r="O2559" t="s">
        <v>4411</v>
      </c>
      <c r="P2559" s="3" t="s">
        <v>3931</v>
      </c>
      <c r="Q2559" s="8">
        <v>3.2550000000000003E-2</v>
      </c>
    </row>
    <row r="2560" spans="1:17" hidden="1" x14ac:dyDescent="0.55000000000000004">
      <c r="A2560" s="3" t="s">
        <v>4210</v>
      </c>
      <c r="B2560" s="3" t="s">
        <v>4396</v>
      </c>
      <c r="C2560" t="s">
        <v>4396</v>
      </c>
      <c r="D2560" s="3" t="s">
        <v>7329</v>
      </c>
      <c r="E2560" t="s">
        <v>4397</v>
      </c>
      <c r="F2560" s="3" t="s">
        <v>4398</v>
      </c>
      <c r="G2560" t="s">
        <v>24</v>
      </c>
      <c r="H2560" s="3" t="s">
        <v>4412</v>
      </c>
      <c r="I2560" t="s">
        <v>37</v>
      </c>
      <c r="J2560" s="3" t="s">
        <v>4413</v>
      </c>
      <c r="K2560" s="4">
        <v>534</v>
      </c>
      <c r="L2560" s="5">
        <v>24.28</v>
      </c>
      <c r="M2560" s="6">
        <v>1</v>
      </c>
      <c r="N2560" s="7">
        <v>1</v>
      </c>
      <c r="O2560" t="s">
        <v>4414</v>
      </c>
      <c r="P2560" s="3" t="s">
        <v>40</v>
      </c>
      <c r="Q2560" s="8">
        <v>0.18337300000000001</v>
      </c>
    </row>
    <row r="2561" spans="1:17" hidden="1" x14ac:dyDescent="0.55000000000000004">
      <c r="A2561" s="3" t="s">
        <v>4210</v>
      </c>
      <c r="B2561" s="3" t="s">
        <v>4415</v>
      </c>
      <c r="C2561" t="s">
        <v>4260</v>
      </c>
      <c r="D2561" s="3" t="s">
        <v>7329</v>
      </c>
      <c r="E2561" t="s">
        <v>4416</v>
      </c>
      <c r="F2561" s="3" t="s">
        <v>4417</v>
      </c>
      <c r="G2561" t="s">
        <v>19</v>
      </c>
      <c r="H2561" s="3" t="s">
        <v>4418</v>
      </c>
      <c r="I2561" t="s">
        <v>4229</v>
      </c>
      <c r="J2561" s="3" t="s">
        <v>4419</v>
      </c>
      <c r="K2561" s="4">
        <v>282</v>
      </c>
      <c r="L2561" s="5">
        <v>61.41</v>
      </c>
      <c r="M2561" s="6">
        <v>1</v>
      </c>
      <c r="N2561" s="7">
        <v>1</v>
      </c>
      <c r="O2561" t="s">
        <v>4420</v>
      </c>
      <c r="P2561" s="3" t="s">
        <v>4217</v>
      </c>
      <c r="Q2561" s="8">
        <v>4.0883000000000003E-2</v>
      </c>
    </row>
    <row r="2562" spans="1:17" hidden="1" x14ac:dyDescent="0.55000000000000004">
      <c r="A2562" s="3" t="s">
        <v>4210</v>
      </c>
      <c r="B2562" s="3" t="s">
        <v>4415</v>
      </c>
      <c r="C2562" t="s">
        <v>4260</v>
      </c>
      <c r="D2562" s="3" t="s">
        <v>7329</v>
      </c>
      <c r="E2562" t="s">
        <v>4416</v>
      </c>
      <c r="F2562" s="3" t="s">
        <v>4417</v>
      </c>
      <c r="G2562" t="s">
        <v>19</v>
      </c>
      <c r="H2562" s="3" t="s">
        <v>4421</v>
      </c>
      <c r="I2562" t="s">
        <v>4233</v>
      </c>
      <c r="J2562" s="3" t="s">
        <v>4419</v>
      </c>
      <c r="K2562" s="4">
        <v>287</v>
      </c>
      <c r="L2562" s="5">
        <v>62.33</v>
      </c>
      <c r="M2562" s="6">
        <v>0</v>
      </c>
      <c r="N2562" s="7">
        <v>1</v>
      </c>
      <c r="O2562" t="s">
        <v>4422</v>
      </c>
      <c r="P2562" s="3" t="s">
        <v>4217</v>
      </c>
      <c r="Q2562" s="8">
        <v>3.2417000000000001E-2</v>
      </c>
    </row>
    <row r="2563" spans="1:17" hidden="1" x14ac:dyDescent="0.55000000000000004">
      <c r="A2563" s="3" t="s">
        <v>4210</v>
      </c>
      <c r="B2563" s="3" t="s">
        <v>4415</v>
      </c>
      <c r="C2563" t="s">
        <v>4260</v>
      </c>
      <c r="D2563" s="3" t="s">
        <v>7329</v>
      </c>
      <c r="E2563" t="s">
        <v>4416</v>
      </c>
      <c r="F2563" s="3" t="s">
        <v>4417</v>
      </c>
      <c r="G2563" t="s">
        <v>19</v>
      </c>
      <c r="H2563" s="3" t="s">
        <v>4423</v>
      </c>
      <c r="I2563" t="s">
        <v>3534</v>
      </c>
      <c r="J2563" s="3" t="s">
        <v>4419</v>
      </c>
      <c r="K2563" s="4">
        <v>302</v>
      </c>
      <c r="L2563" s="5">
        <v>65.739999999999995</v>
      </c>
      <c r="M2563" s="6">
        <v>0</v>
      </c>
      <c r="N2563" s="7">
        <v>1</v>
      </c>
      <c r="O2563" t="s">
        <v>4424</v>
      </c>
      <c r="P2563" s="3" t="s">
        <v>4217</v>
      </c>
      <c r="Q2563" s="8">
        <v>4.4187999999999998E-2</v>
      </c>
    </row>
    <row r="2564" spans="1:17" hidden="1" x14ac:dyDescent="0.55000000000000004">
      <c r="A2564" s="3" t="s">
        <v>4210</v>
      </c>
      <c r="B2564" s="3" t="s">
        <v>4415</v>
      </c>
      <c r="C2564" t="s">
        <v>4260</v>
      </c>
      <c r="D2564" s="3" t="s">
        <v>7329</v>
      </c>
      <c r="E2564" t="s">
        <v>4416</v>
      </c>
      <c r="F2564" s="3" t="s">
        <v>4417</v>
      </c>
      <c r="G2564" t="s">
        <v>19</v>
      </c>
      <c r="H2564" s="3" t="s">
        <v>4425</v>
      </c>
      <c r="I2564" t="s">
        <v>3862</v>
      </c>
      <c r="J2564" s="3" t="s">
        <v>4426</v>
      </c>
      <c r="K2564" s="4">
        <v>251</v>
      </c>
      <c r="L2564" s="5">
        <v>54.65</v>
      </c>
      <c r="M2564" s="6">
        <v>0</v>
      </c>
      <c r="N2564" s="7">
        <v>1</v>
      </c>
      <c r="O2564" t="s">
        <v>4427</v>
      </c>
      <c r="P2564" s="3" t="s">
        <v>1770</v>
      </c>
      <c r="Q2564" s="8">
        <v>6.4986000000000002E-2</v>
      </c>
    </row>
    <row r="2565" spans="1:17" hidden="1" x14ac:dyDescent="0.55000000000000004">
      <c r="A2565" s="3" t="s">
        <v>4210</v>
      </c>
      <c r="B2565" s="3" t="s">
        <v>4415</v>
      </c>
      <c r="C2565" t="s">
        <v>4260</v>
      </c>
      <c r="D2565" s="3" t="s">
        <v>7329</v>
      </c>
      <c r="E2565" t="s">
        <v>4416</v>
      </c>
      <c r="F2565" s="3" t="s">
        <v>4417</v>
      </c>
      <c r="G2565" t="s">
        <v>24</v>
      </c>
      <c r="H2565" s="3" t="s">
        <v>4428</v>
      </c>
      <c r="I2565" t="s">
        <v>43</v>
      </c>
      <c r="J2565" s="3" t="s">
        <v>4429</v>
      </c>
      <c r="K2565" s="4">
        <v>660</v>
      </c>
      <c r="L2565" s="5">
        <v>30.01</v>
      </c>
      <c r="M2565" s="6">
        <v>1</v>
      </c>
      <c r="N2565" s="7">
        <v>1</v>
      </c>
      <c r="O2565" t="s">
        <v>4430</v>
      </c>
      <c r="P2565" s="3" t="s">
        <v>46</v>
      </c>
      <c r="Q2565" s="8">
        <v>0.15226700000000001</v>
      </c>
    </row>
    <row r="2566" spans="1:17" hidden="1" x14ac:dyDescent="0.55000000000000004">
      <c r="A2566" s="3" t="s">
        <v>4210</v>
      </c>
      <c r="B2566" s="3" t="s">
        <v>4415</v>
      </c>
      <c r="C2566" t="s">
        <v>4260</v>
      </c>
      <c r="D2566" s="3" t="s">
        <v>7329</v>
      </c>
      <c r="E2566" t="s">
        <v>4416</v>
      </c>
      <c r="F2566" s="3" t="s">
        <v>4417</v>
      </c>
      <c r="G2566" t="s">
        <v>24</v>
      </c>
      <c r="H2566" s="3" t="s">
        <v>4431</v>
      </c>
      <c r="I2566" t="s">
        <v>48</v>
      </c>
      <c r="J2566" s="3" t="s">
        <v>4429</v>
      </c>
      <c r="K2566" s="4">
        <v>555</v>
      </c>
      <c r="L2566" s="5">
        <v>25.23</v>
      </c>
      <c r="M2566" s="6">
        <v>0</v>
      </c>
      <c r="N2566" s="7">
        <v>1</v>
      </c>
      <c r="O2566" t="s">
        <v>4432</v>
      </c>
      <c r="P2566" s="3" t="s">
        <v>23</v>
      </c>
      <c r="Q2566" s="8" t="s">
        <v>23</v>
      </c>
    </row>
    <row r="2567" spans="1:17" hidden="1" x14ac:dyDescent="0.55000000000000004">
      <c r="A2567" s="3" t="s">
        <v>4210</v>
      </c>
      <c r="B2567" s="3" t="s">
        <v>4433</v>
      </c>
      <c r="C2567" t="s">
        <v>4433</v>
      </c>
      <c r="D2567" s="3" t="s">
        <v>7329</v>
      </c>
      <c r="E2567" t="s">
        <v>4434</v>
      </c>
      <c r="F2567" s="3" t="s">
        <v>4435</v>
      </c>
      <c r="G2567" t="s">
        <v>24</v>
      </c>
      <c r="H2567" s="3" t="s">
        <v>4436</v>
      </c>
      <c r="I2567" t="s">
        <v>43</v>
      </c>
      <c r="J2567" s="3" t="s">
        <v>4437</v>
      </c>
      <c r="K2567" s="4">
        <v>890</v>
      </c>
      <c r="L2567" s="5">
        <v>40.47</v>
      </c>
      <c r="M2567" s="6">
        <v>1</v>
      </c>
      <c r="N2567" s="7">
        <v>0</v>
      </c>
      <c r="O2567" t="s">
        <v>4438</v>
      </c>
      <c r="P2567" s="3" t="s">
        <v>138</v>
      </c>
      <c r="Q2567" s="8">
        <v>0.21907099999999999</v>
      </c>
    </row>
    <row r="2568" spans="1:17" hidden="1" x14ac:dyDescent="0.55000000000000004">
      <c r="A2568" s="3" t="s">
        <v>4210</v>
      </c>
      <c r="B2568" s="3" t="s">
        <v>4433</v>
      </c>
      <c r="C2568" t="s">
        <v>4433</v>
      </c>
      <c r="D2568" s="3" t="s">
        <v>7329</v>
      </c>
      <c r="E2568" t="s">
        <v>4439</v>
      </c>
      <c r="F2568" s="3" t="s">
        <v>4440</v>
      </c>
      <c r="G2568" t="s">
        <v>24</v>
      </c>
      <c r="H2568" s="3" t="s">
        <v>4436</v>
      </c>
      <c r="I2568" t="s">
        <v>43</v>
      </c>
      <c r="J2568" s="3" t="s">
        <v>4437</v>
      </c>
      <c r="K2568" s="4">
        <v>890</v>
      </c>
      <c r="L2568" s="5">
        <v>40.47</v>
      </c>
      <c r="M2568" s="6">
        <v>1</v>
      </c>
      <c r="N2568" s="7">
        <v>0</v>
      </c>
      <c r="O2568" t="s">
        <v>4438</v>
      </c>
      <c r="P2568" s="3" t="s">
        <v>138</v>
      </c>
      <c r="Q2568" s="8">
        <v>0.21907099999999999</v>
      </c>
    </row>
    <row r="2569" spans="1:17" hidden="1" x14ac:dyDescent="0.55000000000000004">
      <c r="A2569" s="3" t="s">
        <v>4210</v>
      </c>
      <c r="B2569" s="3" t="s">
        <v>3531</v>
      </c>
      <c r="C2569" t="s">
        <v>3531</v>
      </c>
      <c r="D2569" s="3" t="s">
        <v>7329</v>
      </c>
      <c r="E2569" t="s">
        <v>4441</v>
      </c>
      <c r="F2569" s="3" t="s">
        <v>4442</v>
      </c>
      <c r="G2569" t="s">
        <v>24</v>
      </c>
      <c r="H2569" s="3" t="s">
        <v>3537</v>
      </c>
      <c r="I2569" t="s">
        <v>105</v>
      </c>
      <c r="J2569" s="3" t="s">
        <v>3538</v>
      </c>
      <c r="K2569" s="4">
        <v>625</v>
      </c>
      <c r="L2569" s="5">
        <v>0</v>
      </c>
      <c r="M2569" s="6">
        <v>0</v>
      </c>
      <c r="N2569" s="7">
        <v>0</v>
      </c>
      <c r="O2569" t="s">
        <v>23</v>
      </c>
      <c r="P2569" s="3" t="s">
        <v>23</v>
      </c>
      <c r="Q2569" s="8" t="s">
        <v>23</v>
      </c>
    </row>
    <row r="2570" spans="1:17" hidden="1" x14ac:dyDescent="0.55000000000000004">
      <c r="A2570" s="3" t="s">
        <v>4210</v>
      </c>
      <c r="B2570" s="3" t="s">
        <v>3531</v>
      </c>
      <c r="C2570" t="s">
        <v>3531</v>
      </c>
      <c r="D2570" s="3" t="s">
        <v>7329</v>
      </c>
      <c r="E2570" t="s">
        <v>4441</v>
      </c>
      <c r="F2570" s="3" t="s">
        <v>4442</v>
      </c>
      <c r="G2570" t="s">
        <v>24</v>
      </c>
      <c r="H2570" s="3" t="s">
        <v>3539</v>
      </c>
      <c r="I2570" t="s">
        <v>37</v>
      </c>
      <c r="J2570" s="3" t="s">
        <v>3538</v>
      </c>
      <c r="K2570" s="4">
        <v>707</v>
      </c>
      <c r="L2570" s="5">
        <v>0</v>
      </c>
      <c r="M2570" s="6">
        <v>0</v>
      </c>
      <c r="N2570" s="7">
        <v>0</v>
      </c>
      <c r="O2570" t="s">
        <v>23</v>
      </c>
      <c r="P2570" s="3" t="s">
        <v>23</v>
      </c>
      <c r="Q2570" s="8" t="s">
        <v>23</v>
      </c>
    </row>
    <row r="2571" spans="1:17" hidden="1" x14ac:dyDescent="0.55000000000000004">
      <c r="A2571" s="3" t="s">
        <v>4210</v>
      </c>
      <c r="B2571" s="3" t="s">
        <v>3531</v>
      </c>
      <c r="C2571" t="s">
        <v>3531</v>
      </c>
      <c r="D2571" s="3" t="s">
        <v>7329</v>
      </c>
      <c r="E2571" t="s">
        <v>4441</v>
      </c>
      <c r="F2571" s="3" t="s">
        <v>4442</v>
      </c>
      <c r="G2571" t="s">
        <v>24</v>
      </c>
      <c r="H2571" s="3" t="s">
        <v>4443</v>
      </c>
      <c r="I2571" t="s">
        <v>43</v>
      </c>
      <c r="J2571" s="3" t="s">
        <v>4444</v>
      </c>
      <c r="K2571" s="4">
        <v>1002</v>
      </c>
      <c r="L2571" s="5">
        <v>45.53</v>
      </c>
      <c r="M2571" s="6">
        <v>1</v>
      </c>
      <c r="N2571" s="7">
        <v>0</v>
      </c>
      <c r="O2571" t="s">
        <v>4445</v>
      </c>
      <c r="P2571" s="3" t="s">
        <v>46</v>
      </c>
      <c r="Q2571" s="8">
        <v>0.183867</v>
      </c>
    </row>
    <row r="2572" spans="1:17" hidden="1" x14ac:dyDescent="0.55000000000000004">
      <c r="A2572" s="3" t="s">
        <v>4210</v>
      </c>
      <c r="B2572" s="3" t="s">
        <v>3531</v>
      </c>
      <c r="C2572" t="s">
        <v>3531</v>
      </c>
      <c r="D2572" s="3" t="s">
        <v>7329</v>
      </c>
      <c r="E2572" t="s">
        <v>4441</v>
      </c>
      <c r="F2572" s="3" t="s">
        <v>4442</v>
      </c>
      <c r="G2572" t="s">
        <v>24</v>
      </c>
      <c r="H2572" s="3" t="s">
        <v>4446</v>
      </c>
      <c r="I2572" t="s">
        <v>48</v>
      </c>
      <c r="J2572" s="3" t="s">
        <v>4444</v>
      </c>
      <c r="K2572" s="4">
        <v>898</v>
      </c>
      <c r="L2572" s="5">
        <v>40.83</v>
      </c>
      <c r="M2572" s="6">
        <v>0</v>
      </c>
      <c r="N2572" s="7">
        <v>0</v>
      </c>
      <c r="O2572" t="s">
        <v>4447</v>
      </c>
      <c r="P2572" s="3" t="s">
        <v>23</v>
      </c>
      <c r="Q2572" s="8" t="s">
        <v>23</v>
      </c>
    </row>
    <row r="2573" spans="1:17" hidden="1" x14ac:dyDescent="0.55000000000000004">
      <c r="A2573" s="3" t="s">
        <v>4210</v>
      </c>
      <c r="B2573" s="3" t="s">
        <v>3531</v>
      </c>
      <c r="C2573" t="s">
        <v>3531</v>
      </c>
      <c r="D2573" s="3" t="s">
        <v>7329</v>
      </c>
      <c r="E2573" t="s">
        <v>4448</v>
      </c>
      <c r="F2573" s="3" t="s">
        <v>4449</v>
      </c>
      <c r="G2573" t="s">
        <v>19</v>
      </c>
      <c r="H2573" s="3" t="s">
        <v>4450</v>
      </c>
      <c r="I2573" t="s">
        <v>81</v>
      </c>
      <c r="J2573" s="3" t="s">
        <v>4451</v>
      </c>
      <c r="K2573" s="4">
        <v>1478</v>
      </c>
      <c r="L2573" s="5">
        <v>321.37</v>
      </c>
      <c r="M2573" s="6">
        <v>1</v>
      </c>
      <c r="N2573" s="7">
        <v>1</v>
      </c>
      <c r="O2573" t="s">
        <v>4452</v>
      </c>
      <c r="P2573" s="3" t="s">
        <v>84</v>
      </c>
      <c r="Q2573" s="8">
        <v>6.9766999999999996E-2</v>
      </c>
    </row>
    <row r="2574" spans="1:17" hidden="1" x14ac:dyDescent="0.55000000000000004">
      <c r="A2574" s="3" t="s">
        <v>4210</v>
      </c>
      <c r="B2574" s="3" t="s">
        <v>3531</v>
      </c>
      <c r="C2574" t="s">
        <v>3531</v>
      </c>
      <c r="D2574" s="3" t="s">
        <v>7329</v>
      </c>
      <c r="E2574" t="s">
        <v>4448</v>
      </c>
      <c r="F2574" s="3" t="s">
        <v>4449</v>
      </c>
      <c r="G2574" t="s">
        <v>24</v>
      </c>
      <c r="H2574" s="3" t="s">
        <v>4443</v>
      </c>
      <c r="I2574" t="s">
        <v>43</v>
      </c>
      <c r="J2574" s="3" t="s">
        <v>4444</v>
      </c>
      <c r="K2574" s="4">
        <v>1002</v>
      </c>
      <c r="L2574" s="5">
        <v>45.53</v>
      </c>
      <c r="M2574" s="6">
        <v>1</v>
      </c>
      <c r="N2574" s="7">
        <v>1</v>
      </c>
      <c r="O2574" t="s">
        <v>4445</v>
      </c>
      <c r="P2574" s="3" t="s">
        <v>46</v>
      </c>
      <c r="Q2574" s="8">
        <v>0.183867</v>
      </c>
    </row>
    <row r="2575" spans="1:17" hidden="1" x14ac:dyDescent="0.55000000000000004">
      <c r="A2575" s="3" t="s">
        <v>4210</v>
      </c>
      <c r="B2575" s="3" t="s">
        <v>3531</v>
      </c>
      <c r="C2575" t="s">
        <v>3531</v>
      </c>
      <c r="D2575" s="3" t="s">
        <v>7329</v>
      </c>
      <c r="E2575" t="s">
        <v>4448</v>
      </c>
      <c r="F2575" s="3" t="s">
        <v>4449</v>
      </c>
      <c r="G2575" t="s">
        <v>24</v>
      </c>
      <c r="H2575" s="3" t="s">
        <v>4446</v>
      </c>
      <c r="I2575" t="s">
        <v>48</v>
      </c>
      <c r="J2575" s="3" t="s">
        <v>4444</v>
      </c>
      <c r="K2575" s="4">
        <v>898</v>
      </c>
      <c r="L2575" s="5">
        <v>40.83</v>
      </c>
      <c r="M2575" s="6">
        <v>0</v>
      </c>
      <c r="N2575" s="7">
        <v>1</v>
      </c>
      <c r="O2575" t="s">
        <v>4447</v>
      </c>
      <c r="P2575" s="3" t="s">
        <v>23</v>
      </c>
      <c r="Q2575" s="8" t="s">
        <v>23</v>
      </c>
    </row>
    <row r="2576" spans="1:17" hidden="1" x14ac:dyDescent="0.55000000000000004">
      <c r="A2576" s="3" t="s">
        <v>4210</v>
      </c>
      <c r="B2576" s="3" t="s">
        <v>3531</v>
      </c>
      <c r="C2576" t="s">
        <v>3531</v>
      </c>
      <c r="D2576" s="3" t="s">
        <v>7329</v>
      </c>
      <c r="E2576" t="s">
        <v>4453</v>
      </c>
      <c r="F2576" s="3" t="s">
        <v>4454</v>
      </c>
      <c r="G2576" t="s">
        <v>24</v>
      </c>
      <c r="H2576" s="3" t="s">
        <v>3537</v>
      </c>
      <c r="I2576" t="s">
        <v>105</v>
      </c>
      <c r="J2576" s="3" t="s">
        <v>3538</v>
      </c>
      <c r="K2576" s="4">
        <v>625</v>
      </c>
      <c r="L2576" s="5">
        <v>0</v>
      </c>
      <c r="M2576" s="6">
        <v>0</v>
      </c>
      <c r="N2576" s="7">
        <v>0</v>
      </c>
      <c r="O2576" t="s">
        <v>23</v>
      </c>
      <c r="P2576" s="3" t="s">
        <v>23</v>
      </c>
      <c r="Q2576" s="8" t="s">
        <v>23</v>
      </c>
    </row>
    <row r="2577" spans="1:17" hidden="1" x14ac:dyDescent="0.55000000000000004">
      <c r="A2577" s="3" t="s">
        <v>4210</v>
      </c>
      <c r="B2577" s="3" t="s">
        <v>3531</v>
      </c>
      <c r="C2577" t="s">
        <v>3531</v>
      </c>
      <c r="D2577" s="3" t="s">
        <v>7329</v>
      </c>
      <c r="E2577" t="s">
        <v>4453</v>
      </c>
      <c r="F2577" s="3" t="s">
        <v>4454</v>
      </c>
      <c r="G2577" t="s">
        <v>24</v>
      </c>
      <c r="H2577" s="3" t="s">
        <v>3539</v>
      </c>
      <c r="I2577" t="s">
        <v>37</v>
      </c>
      <c r="J2577" s="3" t="s">
        <v>3538</v>
      </c>
      <c r="K2577" s="4">
        <v>707</v>
      </c>
      <c r="L2577" s="5">
        <v>0</v>
      </c>
      <c r="M2577" s="6">
        <v>0</v>
      </c>
      <c r="N2577" s="7">
        <v>0</v>
      </c>
      <c r="O2577" t="s">
        <v>23</v>
      </c>
      <c r="P2577" s="3" t="s">
        <v>23</v>
      </c>
      <c r="Q2577" s="8" t="s">
        <v>23</v>
      </c>
    </row>
    <row r="2578" spans="1:17" hidden="1" x14ac:dyDescent="0.55000000000000004">
      <c r="A2578" s="3" t="s">
        <v>4210</v>
      </c>
      <c r="B2578" s="3" t="s">
        <v>3531</v>
      </c>
      <c r="C2578" t="s">
        <v>3531</v>
      </c>
      <c r="D2578" s="3" t="s">
        <v>7329</v>
      </c>
      <c r="E2578" t="s">
        <v>4453</v>
      </c>
      <c r="F2578" s="3" t="s">
        <v>4454</v>
      </c>
      <c r="G2578" t="s">
        <v>24</v>
      </c>
      <c r="H2578" s="3" t="s">
        <v>4443</v>
      </c>
      <c r="I2578" t="s">
        <v>43</v>
      </c>
      <c r="J2578" s="3" t="s">
        <v>4444</v>
      </c>
      <c r="K2578" s="4">
        <v>1002</v>
      </c>
      <c r="L2578" s="5">
        <v>45.53</v>
      </c>
      <c r="M2578" s="6">
        <v>1</v>
      </c>
      <c r="N2578" s="7">
        <v>0</v>
      </c>
      <c r="O2578" t="s">
        <v>4445</v>
      </c>
      <c r="P2578" s="3" t="s">
        <v>46</v>
      </c>
      <c r="Q2578" s="8">
        <v>0.183867</v>
      </c>
    </row>
    <row r="2579" spans="1:17" hidden="1" x14ac:dyDescent="0.55000000000000004">
      <c r="A2579" s="3" t="s">
        <v>4210</v>
      </c>
      <c r="B2579" s="3" t="s">
        <v>3531</v>
      </c>
      <c r="C2579" t="s">
        <v>3531</v>
      </c>
      <c r="D2579" s="3" t="s">
        <v>7329</v>
      </c>
      <c r="E2579" t="s">
        <v>4453</v>
      </c>
      <c r="F2579" s="3" t="s">
        <v>4454</v>
      </c>
      <c r="G2579" t="s">
        <v>24</v>
      </c>
      <c r="H2579" s="3" t="s">
        <v>4446</v>
      </c>
      <c r="I2579" t="s">
        <v>48</v>
      </c>
      <c r="J2579" s="3" t="s">
        <v>4444</v>
      </c>
      <c r="K2579" s="4">
        <v>898</v>
      </c>
      <c r="L2579" s="5">
        <v>40.83</v>
      </c>
      <c r="M2579" s="6">
        <v>0</v>
      </c>
      <c r="N2579" s="7">
        <v>0</v>
      </c>
      <c r="O2579" t="s">
        <v>4447</v>
      </c>
      <c r="P2579" s="3" t="s">
        <v>23</v>
      </c>
      <c r="Q2579" s="8" t="s">
        <v>23</v>
      </c>
    </row>
    <row r="2580" spans="1:17" hidden="1" x14ac:dyDescent="0.55000000000000004">
      <c r="A2580" s="3" t="s">
        <v>4210</v>
      </c>
      <c r="B2580" s="3" t="s">
        <v>3531</v>
      </c>
      <c r="C2580" t="s">
        <v>3531</v>
      </c>
      <c r="D2580" s="3" t="s">
        <v>7329</v>
      </c>
      <c r="E2580" t="s">
        <v>4455</v>
      </c>
      <c r="F2580" s="3" t="s">
        <v>4456</v>
      </c>
      <c r="G2580" t="s">
        <v>19</v>
      </c>
      <c r="H2580" s="3" t="s">
        <v>4450</v>
      </c>
      <c r="I2580" t="s">
        <v>81</v>
      </c>
      <c r="J2580" s="3" t="s">
        <v>4451</v>
      </c>
      <c r="K2580" s="4">
        <v>1478</v>
      </c>
      <c r="L2580" s="5">
        <v>321.37</v>
      </c>
      <c r="M2580" s="6">
        <v>1</v>
      </c>
      <c r="N2580" s="7">
        <v>0</v>
      </c>
      <c r="O2580" t="s">
        <v>4452</v>
      </c>
      <c r="P2580" s="3" t="s">
        <v>84</v>
      </c>
      <c r="Q2580" s="8">
        <v>6.9766999999999996E-2</v>
      </c>
    </row>
    <row r="2581" spans="1:17" hidden="1" x14ac:dyDescent="0.55000000000000004">
      <c r="A2581" s="3" t="s">
        <v>4210</v>
      </c>
      <c r="B2581" s="3" t="s">
        <v>3531</v>
      </c>
      <c r="C2581" t="s">
        <v>3531</v>
      </c>
      <c r="D2581" s="3" t="s">
        <v>7329</v>
      </c>
      <c r="E2581" t="s">
        <v>4455</v>
      </c>
      <c r="F2581" s="3" t="s">
        <v>4456</v>
      </c>
      <c r="G2581" t="s">
        <v>24</v>
      </c>
      <c r="H2581" s="3" t="s">
        <v>4443</v>
      </c>
      <c r="I2581" t="s">
        <v>43</v>
      </c>
      <c r="J2581" s="3" t="s">
        <v>4444</v>
      </c>
      <c r="K2581" s="4">
        <v>1002</v>
      </c>
      <c r="L2581" s="5">
        <v>45.53</v>
      </c>
      <c r="M2581" s="6">
        <v>1</v>
      </c>
      <c r="N2581" s="7">
        <v>0</v>
      </c>
      <c r="O2581" t="s">
        <v>4445</v>
      </c>
      <c r="P2581" s="3" t="s">
        <v>46</v>
      </c>
      <c r="Q2581" s="8">
        <v>0.183867</v>
      </c>
    </row>
    <row r="2582" spans="1:17" hidden="1" x14ac:dyDescent="0.55000000000000004">
      <c r="A2582" s="3" t="s">
        <v>4210</v>
      </c>
      <c r="B2582" s="3" t="s">
        <v>3531</v>
      </c>
      <c r="C2582" t="s">
        <v>3531</v>
      </c>
      <c r="D2582" s="3" t="s">
        <v>7329</v>
      </c>
      <c r="E2582" t="s">
        <v>4455</v>
      </c>
      <c r="F2582" s="3" t="s">
        <v>4456</v>
      </c>
      <c r="G2582" t="s">
        <v>24</v>
      </c>
      <c r="H2582" s="3" t="s">
        <v>4446</v>
      </c>
      <c r="I2582" t="s">
        <v>48</v>
      </c>
      <c r="J2582" s="3" t="s">
        <v>4444</v>
      </c>
      <c r="K2582" s="4">
        <v>898</v>
      </c>
      <c r="L2582" s="5">
        <v>40.83</v>
      </c>
      <c r="M2582" s="6">
        <v>0</v>
      </c>
      <c r="N2582" s="7">
        <v>0</v>
      </c>
      <c r="O2582" t="s">
        <v>4447</v>
      </c>
      <c r="P2582" s="3" t="s">
        <v>23</v>
      </c>
      <c r="Q2582" s="8" t="s">
        <v>23</v>
      </c>
    </row>
    <row r="2583" spans="1:17" hidden="1" x14ac:dyDescent="0.55000000000000004">
      <c r="A2583" s="3" t="s">
        <v>4210</v>
      </c>
      <c r="B2583" s="3" t="s">
        <v>4260</v>
      </c>
      <c r="C2583" t="s">
        <v>4260</v>
      </c>
      <c r="D2583" s="3" t="s">
        <v>7329</v>
      </c>
      <c r="E2583" t="s">
        <v>4457</v>
      </c>
      <c r="F2583" s="3" t="s">
        <v>4458</v>
      </c>
      <c r="G2583" t="s">
        <v>24</v>
      </c>
      <c r="H2583" s="3" t="s">
        <v>4459</v>
      </c>
      <c r="I2583" t="s">
        <v>43</v>
      </c>
      <c r="J2583" s="3" t="s">
        <v>4460</v>
      </c>
      <c r="K2583" s="4">
        <v>657</v>
      </c>
      <c r="L2583" s="5">
        <v>29.85</v>
      </c>
      <c r="M2583" s="6">
        <v>1</v>
      </c>
      <c r="N2583" s="7">
        <v>0</v>
      </c>
      <c r="O2583" t="s">
        <v>4461</v>
      </c>
      <c r="P2583" s="3" t="s">
        <v>138</v>
      </c>
      <c r="Q2583" s="8">
        <v>0.1706</v>
      </c>
    </row>
    <row r="2584" spans="1:17" hidden="1" x14ac:dyDescent="0.55000000000000004">
      <c r="A2584" s="3" t="s">
        <v>4210</v>
      </c>
      <c r="B2584" s="3" t="s">
        <v>7383</v>
      </c>
      <c r="C2584" t="s">
        <v>4462</v>
      </c>
      <c r="D2584" s="3" t="s">
        <v>7329</v>
      </c>
      <c r="E2584" t="s">
        <v>4463</v>
      </c>
      <c r="F2584" s="3" t="s">
        <v>4464</v>
      </c>
      <c r="G2584" t="s">
        <v>19</v>
      </c>
      <c r="H2584" s="3" t="s">
        <v>4465</v>
      </c>
      <c r="I2584" t="s">
        <v>3691</v>
      </c>
      <c r="J2584" s="3" t="s">
        <v>4466</v>
      </c>
      <c r="K2584" s="4">
        <v>95</v>
      </c>
      <c r="L2584" s="5">
        <v>20.7</v>
      </c>
      <c r="M2584" s="6">
        <v>0</v>
      </c>
      <c r="N2584" s="7">
        <v>1</v>
      </c>
      <c r="O2584" t="s">
        <v>4467</v>
      </c>
      <c r="P2584" s="3" t="s">
        <v>4217</v>
      </c>
      <c r="Q2584" s="8">
        <v>3.9787999999999997E-2</v>
      </c>
    </row>
    <row r="2585" spans="1:17" hidden="1" x14ac:dyDescent="0.55000000000000004">
      <c r="A2585" s="3" t="s">
        <v>4210</v>
      </c>
      <c r="B2585" s="3" t="s">
        <v>7383</v>
      </c>
      <c r="C2585" t="s">
        <v>4462</v>
      </c>
      <c r="D2585" s="3" t="s">
        <v>7329</v>
      </c>
      <c r="E2585" t="s">
        <v>4463</v>
      </c>
      <c r="F2585" s="3" t="s">
        <v>4464</v>
      </c>
      <c r="G2585" t="s">
        <v>19</v>
      </c>
      <c r="H2585" s="3" t="s">
        <v>4468</v>
      </c>
      <c r="I2585" t="s">
        <v>3470</v>
      </c>
      <c r="J2585" s="3" t="s">
        <v>4466</v>
      </c>
      <c r="K2585" s="4">
        <v>64</v>
      </c>
      <c r="L2585" s="5">
        <v>13.89</v>
      </c>
      <c r="M2585" s="6">
        <v>1</v>
      </c>
      <c r="N2585" s="7">
        <v>1</v>
      </c>
      <c r="O2585" t="s">
        <v>4469</v>
      </c>
      <c r="P2585" s="3" t="s">
        <v>4217</v>
      </c>
      <c r="Q2585" s="8">
        <v>3.9787999999999997E-2</v>
      </c>
    </row>
    <row r="2586" spans="1:17" hidden="1" x14ac:dyDescent="0.55000000000000004">
      <c r="A2586" s="3" t="s">
        <v>4210</v>
      </c>
      <c r="B2586" s="3" t="s">
        <v>7383</v>
      </c>
      <c r="C2586" t="s">
        <v>4462</v>
      </c>
      <c r="D2586" s="3" t="s">
        <v>7329</v>
      </c>
      <c r="E2586" t="s">
        <v>4463</v>
      </c>
      <c r="F2586" s="3" t="s">
        <v>4464</v>
      </c>
      <c r="G2586" t="s">
        <v>24</v>
      </c>
      <c r="H2586" s="3" t="s">
        <v>4470</v>
      </c>
      <c r="I2586" t="s">
        <v>43</v>
      </c>
      <c r="J2586" s="3" t="s">
        <v>4471</v>
      </c>
      <c r="K2586" s="4">
        <v>950</v>
      </c>
      <c r="L2586" s="5">
        <v>43.17</v>
      </c>
      <c r="M2586" s="6">
        <v>1</v>
      </c>
      <c r="N2586" s="7">
        <v>1</v>
      </c>
      <c r="O2586" t="s">
        <v>4472</v>
      </c>
      <c r="P2586" s="3" t="s">
        <v>46</v>
      </c>
      <c r="Q2586" s="8">
        <v>0.21213299999999999</v>
      </c>
    </row>
    <row r="2587" spans="1:17" hidden="1" x14ac:dyDescent="0.55000000000000004">
      <c r="A2587" s="3" t="s">
        <v>4210</v>
      </c>
      <c r="B2587" s="3" t="s">
        <v>7383</v>
      </c>
      <c r="C2587" t="s">
        <v>4462</v>
      </c>
      <c r="D2587" s="3" t="s">
        <v>7329</v>
      </c>
      <c r="E2587" t="s">
        <v>4463</v>
      </c>
      <c r="F2587" s="3" t="s">
        <v>4464</v>
      </c>
      <c r="G2587" t="s">
        <v>24</v>
      </c>
      <c r="H2587" s="3" t="s">
        <v>4473</v>
      </c>
      <c r="I2587" t="s">
        <v>48</v>
      </c>
      <c r="J2587" s="3" t="s">
        <v>4471</v>
      </c>
      <c r="K2587" s="4">
        <v>839</v>
      </c>
      <c r="L2587" s="5">
        <v>38.15</v>
      </c>
      <c r="M2587" s="6">
        <v>0</v>
      </c>
      <c r="N2587" s="7">
        <v>1</v>
      </c>
      <c r="O2587" t="s">
        <v>4474</v>
      </c>
      <c r="P2587" s="3" t="s">
        <v>23</v>
      </c>
      <c r="Q2587" s="8" t="s">
        <v>23</v>
      </c>
    </row>
    <row r="2588" spans="1:17" hidden="1" x14ac:dyDescent="0.55000000000000004">
      <c r="A2588" s="3" t="s">
        <v>4210</v>
      </c>
      <c r="B2588" s="3" t="s">
        <v>4475</v>
      </c>
      <c r="C2588" t="s">
        <v>4475</v>
      </c>
      <c r="D2588" s="3" t="s">
        <v>7329</v>
      </c>
      <c r="E2588" t="s">
        <v>4476</v>
      </c>
      <c r="F2588" s="3" t="s">
        <v>4477</v>
      </c>
      <c r="G2588" t="s">
        <v>19</v>
      </c>
      <c r="H2588" s="3" t="s">
        <v>4478</v>
      </c>
      <c r="I2588" t="s">
        <v>3691</v>
      </c>
      <c r="J2588" s="3" t="s">
        <v>4479</v>
      </c>
      <c r="K2588" s="4">
        <v>130</v>
      </c>
      <c r="L2588" s="5">
        <v>28.37</v>
      </c>
      <c r="M2588" s="6">
        <v>1</v>
      </c>
      <c r="N2588" s="7">
        <v>0</v>
      </c>
      <c r="O2588" t="s">
        <v>4480</v>
      </c>
      <c r="P2588" s="3" t="s">
        <v>4217</v>
      </c>
      <c r="Q2588" s="8">
        <v>5.2513999999999998E-2</v>
      </c>
    </row>
    <row r="2589" spans="1:17" hidden="1" x14ac:dyDescent="0.55000000000000004">
      <c r="A2589" s="3" t="s">
        <v>4210</v>
      </c>
      <c r="B2589" s="3" t="s">
        <v>4475</v>
      </c>
      <c r="C2589" t="s">
        <v>4475</v>
      </c>
      <c r="D2589" s="3" t="s">
        <v>7329</v>
      </c>
      <c r="E2589" t="s">
        <v>4476</v>
      </c>
      <c r="F2589" s="3" t="s">
        <v>4477</v>
      </c>
      <c r="G2589" t="s">
        <v>19</v>
      </c>
      <c r="H2589" s="3" t="s">
        <v>4481</v>
      </c>
      <c r="I2589" t="s">
        <v>3470</v>
      </c>
      <c r="J2589" s="3" t="s">
        <v>4479</v>
      </c>
      <c r="K2589" s="4">
        <v>146</v>
      </c>
      <c r="L2589" s="5">
        <v>31.78</v>
      </c>
      <c r="M2589" s="6">
        <v>0</v>
      </c>
      <c r="N2589" s="7">
        <v>0</v>
      </c>
      <c r="O2589" t="s">
        <v>4482</v>
      </c>
      <c r="P2589" s="3" t="s">
        <v>4217</v>
      </c>
      <c r="Q2589" s="8">
        <v>5.2513999999999998E-2</v>
      </c>
    </row>
    <row r="2590" spans="1:17" hidden="1" x14ac:dyDescent="0.55000000000000004">
      <c r="A2590" s="3" t="s">
        <v>4210</v>
      </c>
      <c r="B2590" s="3" t="s">
        <v>4475</v>
      </c>
      <c r="C2590" t="s">
        <v>4475</v>
      </c>
      <c r="D2590" s="3" t="s">
        <v>7329</v>
      </c>
      <c r="E2590" t="s">
        <v>4476</v>
      </c>
      <c r="F2590" s="3" t="s">
        <v>4477</v>
      </c>
      <c r="G2590" t="s">
        <v>24</v>
      </c>
      <c r="H2590" s="3" t="s">
        <v>4483</v>
      </c>
      <c r="I2590" t="s">
        <v>43</v>
      </c>
      <c r="J2590" s="3" t="s">
        <v>4484</v>
      </c>
      <c r="K2590" s="4">
        <v>965</v>
      </c>
      <c r="L2590" s="5">
        <v>43.86</v>
      </c>
      <c r="M2590" s="6">
        <v>1</v>
      </c>
      <c r="N2590" s="7">
        <v>0</v>
      </c>
      <c r="O2590" t="s">
        <v>4485</v>
      </c>
      <c r="P2590" s="3" t="s">
        <v>46</v>
      </c>
      <c r="Q2590" s="8">
        <v>0.21213299999999999</v>
      </c>
    </row>
    <row r="2591" spans="1:17" hidden="1" x14ac:dyDescent="0.55000000000000004">
      <c r="A2591" s="3" t="s">
        <v>4210</v>
      </c>
      <c r="B2591" s="3" t="s">
        <v>4475</v>
      </c>
      <c r="C2591" t="s">
        <v>4475</v>
      </c>
      <c r="D2591" s="3" t="s">
        <v>7329</v>
      </c>
      <c r="E2591" t="s">
        <v>4476</v>
      </c>
      <c r="F2591" s="3" t="s">
        <v>4477</v>
      </c>
      <c r="G2591" t="s">
        <v>24</v>
      </c>
      <c r="H2591" s="3" t="s">
        <v>4486</v>
      </c>
      <c r="I2591" t="s">
        <v>48</v>
      </c>
      <c r="J2591" s="3" t="s">
        <v>4484</v>
      </c>
      <c r="K2591" s="4">
        <v>839</v>
      </c>
      <c r="L2591" s="5">
        <v>38.130000000000003</v>
      </c>
      <c r="M2591" s="6">
        <v>0</v>
      </c>
      <c r="N2591" s="7">
        <v>0</v>
      </c>
      <c r="O2591" t="s">
        <v>4487</v>
      </c>
      <c r="P2591" s="3" t="s">
        <v>23</v>
      </c>
      <c r="Q2591" s="8" t="s">
        <v>23</v>
      </c>
    </row>
    <row r="2592" spans="1:17" hidden="1" x14ac:dyDescent="0.55000000000000004">
      <c r="A2592" s="3" t="s">
        <v>4210</v>
      </c>
      <c r="B2592" s="3" t="s">
        <v>4338</v>
      </c>
      <c r="C2592" t="s">
        <v>4475</v>
      </c>
      <c r="D2592" s="3" t="s">
        <v>7329</v>
      </c>
      <c r="E2592" t="s">
        <v>4488</v>
      </c>
      <c r="F2592" s="3" t="s">
        <v>4489</v>
      </c>
      <c r="G2592" t="s">
        <v>19</v>
      </c>
      <c r="H2592" s="3" t="s">
        <v>4478</v>
      </c>
      <c r="I2592" t="s">
        <v>3691</v>
      </c>
      <c r="J2592" s="3" t="s">
        <v>4479</v>
      </c>
      <c r="K2592" s="4">
        <v>130</v>
      </c>
      <c r="L2592" s="5">
        <v>28.37</v>
      </c>
      <c r="M2592" s="6">
        <v>1</v>
      </c>
      <c r="N2592" s="7">
        <v>1</v>
      </c>
      <c r="O2592" t="s">
        <v>4480</v>
      </c>
      <c r="P2592" s="3" t="s">
        <v>4217</v>
      </c>
      <c r="Q2592" s="8">
        <v>5.2513999999999998E-2</v>
      </c>
    </row>
    <row r="2593" spans="1:17" hidden="1" x14ac:dyDescent="0.55000000000000004">
      <c r="A2593" s="3" t="s">
        <v>4210</v>
      </c>
      <c r="B2593" s="3" t="s">
        <v>4338</v>
      </c>
      <c r="C2593" t="s">
        <v>4475</v>
      </c>
      <c r="D2593" s="3" t="s">
        <v>7329</v>
      </c>
      <c r="E2593" t="s">
        <v>4488</v>
      </c>
      <c r="F2593" s="3" t="s">
        <v>4489</v>
      </c>
      <c r="G2593" t="s">
        <v>19</v>
      </c>
      <c r="H2593" s="3" t="s">
        <v>4481</v>
      </c>
      <c r="I2593" t="s">
        <v>3470</v>
      </c>
      <c r="J2593" s="3" t="s">
        <v>4479</v>
      </c>
      <c r="K2593" s="4">
        <v>146</v>
      </c>
      <c r="L2593" s="5">
        <v>31.78</v>
      </c>
      <c r="M2593" s="6">
        <v>0</v>
      </c>
      <c r="N2593" s="7">
        <v>1</v>
      </c>
      <c r="O2593" t="s">
        <v>4482</v>
      </c>
      <c r="P2593" s="3" t="s">
        <v>4217</v>
      </c>
      <c r="Q2593" s="8">
        <v>5.2513999999999998E-2</v>
      </c>
    </row>
    <row r="2594" spans="1:17" hidden="1" x14ac:dyDescent="0.55000000000000004">
      <c r="A2594" s="3" t="s">
        <v>4210</v>
      </c>
      <c r="B2594" s="3" t="s">
        <v>4338</v>
      </c>
      <c r="C2594" t="s">
        <v>4475</v>
      </c>
      <c r="D2594" s="3" t="s">
        <v>7329</v>
      </c>
      <c r="E2594" t="s">
        <v>4488</v>
      </c>
      <c r="F2594" s="3" t="s">
        <v>4489</v>
      </c>
      <c r="G2594" t="s">
        <v>24</v>
      </c>
      <c r="H2594" s="3" t="s">
        <v>4483</v>
      </c>
      <c r="I2594" t="s">
        <v>43</v>
      </c>
      <c r="J2594" s="3" t="s">
        <v>4484</v>
      </c>
      <c r="K2594" s="4">
        <v>965</v>
      </c>
      <c r="L2594" s="5">
        <v>43.86</v>
      </c>
      <c r="M2594" s="6">
        <v>1</v>
      </c>
      <c r="N2594" s="7">
        <v>1</v>
      </c>
      <c r="O2594" t="s">
        <v>4485</v>
      </c>
      <c r="P2594" s="3" t="s">
        <v>46</v>
      </c>
      <c r="Q2594" s="8">
        <v>0.21213299999999999</v>
      </c>
    </row>
    <row r="2595" spans="1:17" hidden="1" x14ac:dyDescent="0.55000000000000004">
      <c r="A2595" s="3" t="s">
        <v>4210</v>
      </c>
      <c r="B2595" s="3" t="s">
        <v>4338</v>
      </c>
      <c r="C2595" t="s">
        <v>4475</v>
      </c>
      <c r="D2595" s="3" t="s">
        <v>7329</v>
      </c>
      <c r="E2595" t="s">
        <v>4488</v>
      </c>
      <c r="F2595" s="3" t="s">
        <v>4489</v>
      </c>
      <c r="G2595" t="s">
        <v>24</v>
      </c>
      <c r="H2595" s="3" t="s">
        <v>4486</v>
      </c>
      <c r="I2595" t="s">
        <v>48</v>
      </c>
      <c r="J2595" s="3" t="s">
        <v>4484</v>
      </c>
      <c r="K2595" s="4">
        <v>839</v>
      </c>
      <c r="L2595" s="5">
        <v>38.130000000000003</v>
      </c>
      <c r="M2595" s="6">
        <v>0</v>
      </c>
      <c r="N2595" s="7">
        <v>1</v>
      </c>
      <c r="O2595" t="s">
        <v>4487</v>
      </c>
      <c r="P2595" s="3" t="s">
        <v>23</v>
      </c>
      <c r="Q2595" s="8" t="s">
        <v>23</v>
      </c>
    </row>
    <row r="2596" spans="1:17" hidden="1" x14ac:dyDescent="0.55000000000000004">
      <c r="A2596" s="3" t="s">
        <v>4210</v>
      </c>
      <c r="B2596" s="3" t="s">
        <v>7381</v>
      </c>
      <c r="C2596" t="s">
        <v>4462</v>
      </c>
      <c r="D2596" s="3" t="s">
        <v>7329</v>
      </c>
      <c r="E2596" t="s">
        <v>4491</v>
      </c>
      <c r="F2596" s="3" t="s">
        <v>4492</v>
      </c>
      <c r="G2596" t="s">
        <v>19</v>
      </c>
      <c r="H2596" s="3" t="s">
        <v>4493</v>
      </c>
      <c r="I2596" t="s">
        <v>4229</v>
      </c>
      <c r="J2596" s="3" t="s">
        <v>4494</v>
      </c>
      <c r="K2596" s="4">
        <v>46</v>
      </c>
      <c r="L2596" s="5">
        <v>9.91</v>
      </c>
      <c r="M2596" s="6">
        <v>1</v>
      </c>
      <c r="N2596" s="7">
        <v>1</v>
      </c>
      <c r="O2596" t="s">
        <v>4495</v>
      </c>
      <c r="P2596" s="3" t="s">
        <v>4217</v>
      </c>
      <c r="Q2596" s="8">
        <v>2.1555000000000001E-2</v>
      </c>
    </row>
    <row r="2597" spans="1:17" hidden="1" x14ac:dyDescent="0.55000000000000004">
      <c r="A2597" s="3" t="s">
        <v>4210</v>
      </c>
      <c r="B2597" s="3" t="s">
        <v>7381</v>
      </c>
      <c r="C2597" t="s">
        <v>4462</v>
      </c>
      <c r="D2597" s="3" t="s">
        <v>7329</v>
      </c>
      <c r="E2597" t="s">
        <v>4491</v>
      </c>
      <c r="F2597" s="3" t="s">
        <v>4492</v>
      </c>
      <c r="G2597" t="s">
        <v>19</v>
      </c>
      <c r="H2597" s="3" t="s">
        <v>4496</v>
      </c>
      <c r="I2597" t="s">
        <v>3534</v>
      </c>
      <c r="J2597" s="3" t="s">
        <v>4494</v>
      </c>
      <c r="K2597" s="4">
        <v>66</v>
      </c>
      <c r="L2597" s="5">
        <v>14.24</v>
      </c>
      <c r="M2597" s="6">
        <v>0</v>
      </c>
      <c r="N2597" s="7">
        <v>1</v>
      </c>
      <c r="O2597" t="s">
        <v>4497</v>
      </c>
      <c r="P2597" s="3" t="s">
        <v>4217</v>
      </c>
      <c r="Q2597" s="8">
        <v>2.4867E-2</v>
      </c>
    </row>
    <row r="2598" spans="1:17" hidden="1" x14ac:dyDescent="0.55000000000000004">
      <c r="A2598" s="3" t="s">
        <v>4210</v>
      </c>
      <c r="B2598" s="3" t="s">
        <v>7381</v>
      </c>
      <c r="C2598" t="s">
        <v>4462</v>
      </c>
      <c r="D2598" s="3" t="s">
        <v>7329</v>
      </c>
      <c r="E2598" t="s">
        <v>4491</v>
      </c>
      <c r="F2598" s="3" t="s">
        <v>4492</v>
      </c>
      <c r="G2598" t="s">
        <v>19</v>
      </c>
      <c r="H2598" s="3" t="s">
        <v>4498</v>
      </c>
      <c r="I2598" t="s">
        <v>4233</v>
      </c>
      <c r="J2598" s="3" t="s">
        <v>4494</v>
      </c>
      <c r="K2598" s="4">
        <v>50</v>
      </c>
      <c r="L2598" s="5">
        <v>10.83</v>
      </c>
      <c r="M2598" s="6">
        <v>0</v>
      </c>
      <c r="N2598" s="7">
        <v>1</v>
      </c>
      <c r="O2598" t="s">
        <v>4499</v>
      </c>
      <c r="P2598" s="3" t="s">
        <v>4217</v>
      </c>
      <c r="Q2598" s="8">
        <v>9.0950000000000007E-3</v>
      </c>
    </row>
    <row r="2599" spans="1:17" hidden="1" x14ac:dyDescent="0.55000000000000004">
      <c r="A2599" s="3" t="s">
        <v>4210</v>
      </c>
      <c r="B2599" s="3" t="s">
        <v>7381</v>
      </c>
      <c r="C2599" t="s">
        <v>4462</v>
      </c>
      <c r="D2599" s="3" t="s">
        <v>7329</v>
      </c>
      <c r="E2599" t="s">
        <v>4491</v>
      </c>
      <c r="F2599" s="3" t="s">
        <v>4492</v>
      </c>
      <c r="G2599" t="s">
        <v>19</v>
      </c>
      <c r="H2599" s="3" t="s">
        <v>4500</v>
      </c>
      <c r="I2599" t="s">
        <v>3470</v>
      </c>
      <c r="J2599" s="3" t="s">
        <v>4501</v>
      </c>
      <c r="K2599" s="4">
        <v>56</v>
      </c>
      <c r="L2599" s="5">
        <v>12.15</v>
      </c>
      <c r="M2599" s="6">
        <v>0</v>
      </c>
      <c r="N2599" s="7">
        <v>1</v>
      </c>
      <c r="O2599" t="s">
        <v>4469</v>
      </c>
      <c r="P2599" s="3" t="s">
        <v>4217</v>
      </c>
      <c r="Q2599" s="8">
        <v>3.9787999999999997E-2</v>
      </c>
    </row>
    <row r="2600" spans="1:17" hidden="1" x14ac:dyDescent="0.55000000000000004">
      <c r="A2600" s="3" t="s">
        <v>4210</v>
      </c>
      <c r="B2600" s="3" t="s">
        <v>7381</v>
      </c>
      <c r="C2600" t="s">
        <v>4462</v>
      </c>
      <c r="D2600" s="3" t="s">
        <v>7329</v>
      </c>
      <c r="E2600" t="s">
        <v>4491</v>
      </c>
      <c r="F2600" s="3" t="s">
        <v>4492</v>
      </c>
      <c r="G2600" t="s">
        <v>19</v>
      </c>
      <c r="H2600" s="3" t="s">
        <v>4502</v>
      </c>
      <c r="I2600" t="s">
        <v>3691</v>
      </c>
      <c r="J2600" s="3" t="s">
        <v>4501</v>
      </c>
      <c r="K2600" s="4">
        <v>103</v>
      </c>
      <c r="L2600" s="5">
        <v>22.43</v>
      </c>
      <c r="M2600" s="6">
        <v>0</v>
      </c>
      <c r="N2600" s="7">
        <v>1</v>
      </c>
      <c r="O2600" t="s">
        <v>4503</v>
      </c>
      <c r="P2600" s="3" t="s">
        <v>4217</v>
      </c>
      <c r="Q2600" s="8">
        <v>3.9787999999999997E-2</v>
      </c>
    </row>
    <row r="2601" spans="1:17" hidden="1" x14ac:dyDescent="0.55000000000000004">
      <c r="A2601" s="3" t="s">
        <v>4210</v>
      </c>
      <c r="B2601" s="3" t="s">
        <v>7381</v>
      </c>
      <c r="C2601" t="s">
        <v>4462</v>
      </c>
      <c r="D2601" s="3" t="s">
        <v>7329</v>
      </c>
      <c r="E2601" t="s">
        <v>4491</v>
      </c>
      <c r="F2601" s="3" t="s">
        <v>4492</v>
      </c>
      <c r="G2601" t="s">
        <v>24</v>
      </c>
      <c r="H2601" s="3" t="s">
        <v>4504</v>
      </c>
      <c r="I2601" t="s">
        <v>43</v>
      </c>
      <c r="J2601" s="3" t="s">
        <v>4505</v>
      </c>
      <c r="K2601" s="4">
        <v>943</v>
      </c>
      <c r="L2601" s="5">
        <v>42.86</v>
      </c>
      <c r="M2601" s="6">
        <v>1</v>
      </c>
      <c r="N2601" s="7">
        <v>1</v>
      </c>
      <c r="O2601" t="s">
        <v>4506</v>
      </c>
      <c r="P2601" s="3" t="s">
        <v>46</v>
      </c>
      <c r="Q2601" s="8">
        <v>0.21213299999999999</v>
      </c>
    </row>
    <row r="2602" spans="1:17" hidden="1" x14ac:dyDescent="0.55000000000000004">
      <c r="A2602" s="3" t="s">
        <v>4210</v>
      </c>
      <c r="B2602" s="3" t="s">
        <v>7381</v>
      </c>
      <c r="C2602" t="s">
        <v>4462</v>
      </c>
      <c r="D2602" s="3" t="s">
        <v>7329</v>
      </c>
      <c r="E2602" t="s">
        <v>4491</v>
      </c>
      <c r="F2602" s="3" t="s">
        <v>4492</v>
      </c>
      <c r="G2602" t="s">
        <v>24</v>
      </c>
      <c r="H2602" s="3" t="s">
        <v>4507</v>
      </c>
      <c r="I2602" t="s">
        <v>48</v>
      </c>
      <c r="J2602" s="3" t="s">
        <v>4505</v>
      </c>
      <c r="K2602" s="4">
        <v>834</v>
      </c>
      <c r="L2602" s="5">
        <v>37.909999999999997</v>
      </c>
      <c r="M2602" s="6">
        <v>0</v>
      </c>
      <c r="N2602" s="7">
        <v>1</v>
      </c>
      <c r="O2602" t="s">
        <v>4508</v>
      </c>
      <c r="P2602" s="3" t="s">
        <v>23</v>
      </c>
      <c r="Q2602" s="8" t="s">
        <v>23</v>
      </c>
    </row>
    <row r="2603" spans="1:17" hidden="1" x14ac:dyDescent="0.55000000000000004">
      <c r="A2603" s="3" t="s">
        <v>4210</v>
      </c>
      <c r="B2603" s="3" t="s">
        <v>4490</v>
      </c>
      <c r="C2603" t="s">
        <v>4462</v>
      </c>
      <c r="D2603" s="3" t="s">
        <v>7329</v>
      </c>
      <c r="E2603" t="s">
        <v>4509</v>
      </c>
      <c r="F2603" s="3" t="s">
        <v>4510</v>
      </c>
      <c r="G2603" t="s">
        <v>19</v>
      </c>
      <c r="H2603" s="3" t="s">
        <v>4493</v>
      </c>
      <c r="I2603" t="s">
        <v>4229</v>
      </c>
      <c r="J2603" s="3" t="s">
        <v>4494</v>
      </c>
      <c r="K2603" s="4">
        <v>46</v>
      </c>
      <c r="L2603" s="5">
        <v>9.91</v>
      </c>
      <c r="M2603" s="6">
        <v>1</v>
      </c>
      <c r="N2603" s="7">
        <v>0</v>
      </c>
      <c r="O2603" t="s">
        <v>4495</v>
      </c>
      <c r="P2603" s="3" t="s">
        <v>4217</v>
      </c>
      <c r="Q2603" s="8">
        <v>2.1555000000000001E-2</v>
      </c>
    </row>
    <row r="2604" spans="1:17" hidden="1" x14ac:dyDescent="0.55000000000000004">
      <c r="A2604" s="3" t="s">
        <v>4210</v>
      </c>
      <c r="B2604" s="3" t="s">
        <v>4490</v>
      </c>
      <c r="C2604" t="s">
        <v>4462</v>
      </c>
      <c r="D2604" s="3" t="s">
        <v>7329</v>
      </c>
      <c r="E2604" t="s">
        <v>4509</v>
      </c>
      <c r="F2604" s="3" t="s">
        <v>4510</v>
      </c>
      <c r="G2604" t="s">
        <v>19</v>
      </c>
      <c r="H2604" s="3" t="s">
        <v>4496</v>
      </c>
      <c r="I2604" t="s">
        <v>3534</v>
      </c>
      <c r="J2604" s="3" t="s">
        <v>4494</v>
      </c>
      <c r="K2604" s="4">
        <v>66</v>
      </c>
      <c r="L2604" s="5">
        <v>14.24</v>
      </c>
      <c r="M2604" s="6">
        <v>0</v>
      </c>
      <c r="N2604" s="7">
        <v>0</v>
      </c>
      <c r="O2604" t="s">
        <v>4497</v>
      </c>
      <c r="P2604" s="3" t="s">
        <v>4217</v>
      </c>
      <c r="Q2604" s="8">
        <v>2.4867E-2</v>
      </c>
    </row>
    <row r="2605" spans="1:17" hidden="1" x14ac:dyDescent="0.55000000000000004">
      <c r="A2605" s="3" t="s">
        <v>4210</v>
      </c>
      <c r="B2605" s="3" t="s">
        <v>4490</v>
      </c>
      <c r="C2605" t="s">
        <v>4462</v>
      </c>
      <c r="D2605" s="3" t="s">
        <v>7329</v>
      </c>
      <c r="E2605" t="s">
        <v>4509</v>
      </c>
      <c r="F2605" s="3" t="s">
        <v>4510</v>
      </c>
      <c r="G2605" t="s">
        <v>19</v>
      </c>
      <c r="H2605" s="3" t="s">
        <v>4498</v>
      </c>
      <c r="I2605" t="s">
        <v>4233</v>
      </c>
      <c r="J2605" s="3" t="s">
        <v>4494</v>
      </c>
      <c r="K2605" s="4">
        <v>50</v>
      </c>
      <c r="L2605" s="5">
        <v>10.83</v>
      </c>
      <c r="M2605" s="6">
        <v>0</v>
      </c>
      <c r="N2605" s="7">
        <v>0</v>
      </c>
      <c r="O2605" t="s">
        <v>4499</v>
      </c>
      <c r="P2605" s="3" t="s">
        <v>4217</v>
      </c>
      <c r="Q2605" s="8">
        <v>9.0950000000000007E-3</v>
      </c>
    </row>
    <row r="2606" spans="1:17" hidden="1" x14ac:dyDescent="0.55000000000000004">
      <c r="A2606" s="3" t="s">
        <v>4210</v>
      </c>
      <c r="B2606" s="3" t="s">
        <v>4490</v>
      </c>
      <c r="C2606" t="s">
        <v>4462</v>
      </c>
      <c r="D2606" s="3" t="s">
        <v>7329</v>
      </c>
      <c r="E2606" t="s">
        <v>4509</v>
      </c>
      <c r="F2606" s="3" t="s">
        <v>4510</v>
      </c>
      <c r="G2606" t="s">
        <v>19</v>
      </c>
      <c r="H2606" s="3" t="s">
        <v>4500</v>
      </c>
      <c r="I2606" t="s">
        <v>3470</v>
      </c>
      <c r="J2606" s="3" t="s">
        <v>4501</v>
      </c>
      <c r="K2606" s="4">
        <v>56</v>
      </c>
      <c r="L2606" s="5">
        <v>12.15</v>
      </c>
      <c r="M2606" s="6">
        <v>0</v>
      </c>
      <c r="N2606" s="7">
        <v>0</v>
      </c>
      <c r="O2606" t="s">
        <v>4469</v>
      </c>
      <c r="P2606" s="3" t="s">
        <v>4217</v>
      </c>
      <c r="Q2606" s="8">
        <v>3.9787999999999997E-2</v>
      </c>
    </row>
    <row r="2607" spans="1:17" hidden="1" x14ac:dyDescent="0.55000000000000004">
      <c r="A2607" s="3" t="s">
        <v>4210</v>
      </c>
      <c r="B2607" s="3" t="s">
        <v>4490</v>
      </c>
      <c r="C2607" t="s">
        <v>4462</v>
      </c>
      <c r="D2607" s="3" t="s">
        <v>7329</v>
      </c>
      <c r="E2607" t="s">
        <v>4509</v>
      </c>
      <c r="F2607" s="3" t="s">
        <v>4510</v>
      </c>
      <c r="G2607" t="s">
        <v>19</v>
      </c>
      <c r="H2607" s="3" t="s">
        <v>4502</v>
      </c>
      <c r="I2607" t="s">
        <v>3691</v>
      </c>
      <c r="J2607" s="3" t="s">
        <v>4501</v>
      </c>
      <c r="K2607" s="4">
        <v>103</v>
      </c>
      <c r="L2607" s="5">
        <v>22.43</v>
      </c>
      <c r="M2607" s="6">
        <v>0</v>
      </c>
      <c r="N2607" s="7">
        <v>0</v>
      </c>
      <c r="O2607" t="s">
        <v>4503</v>
      </c>
      <c r="P2607" s="3" t="s">
        <v>4217</v>
      </c>
      <c r="Q2607" s="8">
        <v>3.9787999999999997E-2</v>
      </c>
    </row>
    <row r="2608" spans="1:17" hidden="1" x14ac:dyDescent="0.55000000000000004">
      <c r="A2608" s="3" t="s">
        <v>4210</v>
      </c>
      <c r="B2608" s="3" t="s">
        <v>4490</v>
      </c>
      <c r="C2608" t="s">
        <v>4462</v>
      </c>
      <c r="D2608" s="3" t="s">
        <v>7329</v>
      </c>
      <c r="E2608" t="s">
        <v>4509</v>
      </c>
      <c r="F2608" s="3" t="s">
        <v>4510</v>
      </c>
      <c r="G2608" t="s">
        <v>24</v>
      </c>
      <c r="H2608" s="3" t="s">
        <v>4504</v>
      </c>
      <c r="I2608" t="s">
        <v>43</v>
      </c>
      <c r="J2608" s="3" t="s">
        <v>4505</v>
      </c>
      <c r="K2608" s="4">
        <v>943</v>
      </c>
      <c r="L2608" s="5">
        <v>42.86</v>
      </c>
      <c r="M2608" s="6">
        <v>1</v>
      </c>
      <c r="N2608" s="7">
        <v>0</v>
      </c>
      <c r="O2608" t="s">
        <v>4506</v>
      </c>
      <c r="P2608" s="3" t="s">
        <v>46</v>
      </c>
      <c r="Q2608" s="8">
        <v>0.21213299999999999</v>
      </c>
    </row>
    <row r="2609" spans="1:17" hidden="1" x14ac:dyDescent="0.55000000000000004">
      <c r="A2609" s="3" t="s">
        <v>4210</v>
      </c>
      <c r="B2609" s="3" t="s">
        <v>4490</v>
      </c>
      <c r="C2609" t="s">
        <v>4462</v>
      </c>
      <c r="D2609" s="3" t="s">
        <v>7329</v>
      </c>
      <c r="E2609" t="s">
        <v>4509</v>
      </c>
      <c r="F2609" s="3" t="s">
        <v>4510</v>
      </c>
      <c r="G2609" t="s">
        <v>24</v>
      </c>
      <c r="H2609" s="3" t="s">
        <v>4507</v>
      </c>
      <c r="I2609" t="s">
        <v>48</v>
      </c>
      <c r="J2609" s="3" t="s">
        <v>4505</v>
      </c>
      <c r="K2609" s="4">
        <v>834</v>
      </c>
      <c r="L2609" s="5">
        <v>37.909999999999997</v>
      </c>
      <c r="M2609" s="6">
        <v>0</v>
      </c>
      <c r="N2609" s="7">
        <v>0</v>
      </c>
      <c r="O2609" t="s">
        <v>4508</v>
      </c>
      <c r="P2609" s="3" t="s">
        <v>23</v>
      </c>
      <c r="Q2609" s="8" t="s">
        <v>23</v>
      </c>
    </row>
    <row r="2610" spans="1:17" hidden="1" x14ac:dyDescent="0.55000000000000004">
      <c r="A2610" s="3" t="s">
        <v>4210</v>
      </c>
      <c r="B2610" s="3" t="s">
        <v>4267</v>
      </c>
      <c r="C2610" t="s">
        <v>4267</v>
      </c>
      <c r="D2610" s="3" t="s">
        <v>7329</v>
      </c>
      <c r="E2610" t="s">
        <v>4511</v>
      </c>
      <c r="F2610" s="3" t="s">
        <v>4512</v>
      </c>
      <c r="G2610" t="s">
        <v>24</v>
      </c>
      <c r="H2610" s="3" t="s">
        <v>4270</v>
      </c>
      <c r="I2610" t="s">
        <v>43</v>
      </c>
      <c r="J2610" s="3" t="s">
        <v>4271</v>
      </c>
      <c r="K2610" s="4">
        <v>792</v>
      </c>
      <c r="L2610" s="5">
        <v>36.01</v>
      </c>
      <c r="M2610" s="6">
        <v>1</v>
      </c>
      <c r="N2610" s="7">
        <v>0</v>
      </c>
      <c r="O2610" t="s">
        <v>4272</v>
      </c>
      <c r="P2610" s="3" t="s">
        <v>138</v>
      </c>
      <c r="Q2610" s="8">
        <v>0.21809000000000001</v>
      </c>
    </row>
    <row r="2611" spans="1:17" hidden="1" x14ac:dyDescent="0.55000000000000004">
      <c r="A2611" s="3" t="s">
        <v>4210</v>
      </c>
      <c r="B2611" s="3" t="s">
        <v>7379</v>
      </c>
      <c r="C2611" t="s">
        <v>4344</v>
      </c>
      <c r="D2611" s="3" t="s">
        <v>7329</v>
      </c>
      <c r="E2611" t="s">
        <v>4513</v>
      </c>
      <c r="F2611" s="3" t="s">
        <v>4514</v>
      </c>
      <c r="G2611" t="s">
        <v>24</v>
      </c>
      <c r="H2611" s="3" t="s">
        <v>4515</v>
      </c>
      <c r="I2611" t="s">
        <v>48</v>
      </c>
      <c r="J2611" s="3" t="s">
        <v>4516</v>
      </c>
      <c r="K2611" s="4">
        <v>865</v>
      </c>
      <c r="L2611" s="5">
        <v>39.340000000000003</v>
      </c>
      <c r="M2611" s="6">
        <v>0</v>
      </c>
      <c r="N2611" s="7">
        <v>0</v>
      </c>
      <c r="O2611" t="s">
        <v>4517</v>
      </c>
      <c r="P2611" s="3" t="s">
        <v>23</v>
      </c>
      <c r="Q2611" s="8" t="s">
        <v>23</v>
      </c>
    </row>
    <row r="2612" spans="1:17" hidden="1" x14ac:dyDescent="0.55000000000000004">
      <c r="A2612" s="3" t="s">
        <v>4210</v>
      </c>
      <c r="B2612" s="3" t="s">
        <v>7379</v>
      </c>
      <c r="C2612" t="s">
        <v>4344</v>
      </c>
      <c r="D2612" s="3" t="s">
        <v>7329</v>
      </c>
      <c r="E2612" t="s">
        <v>4513</v>
      </c>
      <c r="F2612" s="3" t="s">
        <v>4514</v>
      </c>
      <c r="G2612" t="s">
        <v>24</v>
      </c>
      <c r="H2612" s="3" t="s">
        <v>4518</v>
      </c>
      <c r="I2612" t="s">
        <v>43</v>
      </c>
      <c r="J2612" s="3" t="s">
        <v>4516</v>
      </c>
      <c r="K2612" s="4">
        <v>981</v>
      </c>
      <c r="L2612" s="5">
        <v>44.58</v>
      </c>
      <c r="M2612" s="6">
        <v>1</v>
      </c>
      <c r="N2612" s="7">
        <v>0</v>
      </c>
      <c r="O2612" t="s">
        <v>4519</v>
      </c>
      <c r="P2612" s="3" t="s">
        <v>46</v>
      </c>
      <c r="Q2612" s="8">
        <v>0.21213299999999999</v>
      </c>
    </row>
    <row r="2613" spans="1:17" hidden="1" x14ac:dyDescent="0.55000000000000004">
      <c r="A2613" s="3" t="s">
        <v>4210</v>
      </c>
      <c r="B2613" s="3" t="s">
        <v>7379</v>
      </c>
      <c r="C2613" t="s">
        <v>4344</v>
      </c>
      <c r="D2613" s="3" t="s">
        <v>7329</v>
      </c>
      <c r="E2613" t="s">
        <v>4520</v>
      </c>
      <c r="F2613" s="3" t="s">
        <v>4521</v>
      </c>
      <c r="G2613" t="s">
        <v>19</v>
      </c>
      <c r="H2613" s="3" t="s">
        <v>4522</v>
      </c>
      <c r="I2613" t="s">
        <v>3691</v>
      </c>
      <c r="J2613" s="3" t="s">
        <v>4523</v>
      </c>
      <c r="K2613" s="4">
        <v>84</v>
      </c>
      <c r="L2613" s="5">
        <v>18.2</v>
      </c>
      <c r="M2613" s="6">
        <v>1</v>
      </c>
      <c r="N2613" s="7">
        <v>1</v>
      </c>
      <c r="O2613" t="s">
        <v>4524</v>
      </c>
      <c r="P2613" s="3" t="s">
        <v>4217</v>
      </c>
      <c r="Q2613" s="8">
        <v>3.8075999999999999E-2</v>
      </c>
    </row>
    <row r="2614" spans="1:17" hidden="1" x14ac:dyDescent="0.55000000000000004">
      <c r="A2614" s="3" t="s">
        <v>4210</v>
      </c>
      <c r="B2614" s="3" t="s">
        <v>7379</v>
      </c>
      <c r="C2614" t="s">
        <v>4344</v>
      </c>
      <c r="D2614" s="3" t="s">
        <v>7329</v>
      </c>
      <c r="E2614" t="s">
        <v>4520</v>
      </c>
      <c r="F2614" s="3" t="s">
        <v>4521</v>
      </c>
      <c r="G2614" t="s">
        <v>24</v>
      </c>
      <c r="H2614" s="3" t="s">
        <v>4515</v>
      </c>
      <c r="I2614" t="s">
        <v>48</v>
      </c>
      <c r="J2614" s="3" t="s">
        <v>4516</v>
      </c>
      <c r="K2614" s="4">
        <v>865</v>
      </c>
      <c r="L2614" s="5">
        <v>39.340000000000003</v>
      </c>
      <c r="M2614" s="6">
        <v>0</v>
      </c>
      <c r="N2614" s="7">
        <v>1</v>
      </c>
      <c r="O2614" t="s">
        <v>4517</v>
      </c>
      <c r="P2614" s="3" t="s">
        <v>23</v>
      </c>
      <c r="Q2614" s="8" t="s">
        <v>23</v>
      </c>
    </row>
    <row r="2615" spans="1:17" hidden="1" x14ac:dyDescent="0.55000000000000004">
      <c r="A2615" s="3" t="s">
        <v>4210</v>
      </c>
      <c r="B2615" s="3" t="s">
        <v>7379</v>
      </c>
      <c r="C2615" t="s">
        <v>4344</v>
      </c>
      <c r="D2615" s="3" t="s">
        <v>7329</v>
      </c>
      <c r="E2615" t="s">
        <v>4520</v>
      </c>
      <c r="F2615" s="3" t="s">
        <v>4521</v>
      </c>
      <c r="G2615" t="s">
        <v>24</v>
      </c>
      <c r="H2615" s="3" t="s">
        <v>4518</v>
      </c>
      <c r="I2615" t="s">
        <v>43</v>
      </c>
      <c r="J2615" s="3" t="s">
        <v>4516</v>
      </c>
      <c r="K2615" s="4">
        <v>981</v>
      </c>
      <c r="L2615" s="5">
        <v>44.58</v>
      </c>
      <c r="M2615" s="6">
        <v>1</v>
      </c>
      <c r="N2615" s="7">
        <v>1</v>
      </c>
      <c r="O2615" t="s">
        <v>4519</v>
      </c>
      <c r="P2615" s="3" t="s">
        <v>46</v>
      </c>
      <c r="Q2615" s="8">
        <v>0.21213299999999999</v>
      </c>
    </row>
    <row r="2616" spans="1:17" hidden="1" x14ac:dyDescent="0.55000000000000004">
      <c r="A2616" s="3" t="s">
        <v>4210</v>
      </c>
      <c r="B2616" s="3" t="s">
        <v>4525</v>
      </c>
      <c r="C2616" t="s">
        <v>4525</v>
      </c>
      <c r="D2616" s="3" t="s">
        <v>7329</v>
      </c>
      <c r="E2616" t="s">
        <v>4526</v>
      </c>
      <c r="F2616" s="3" t="s">
        <v>4527</v>
      </c>
      <c r="G2616" t="s">
        <v>24</v>
      </c>
      <c r="H2616" s="3" t="s">
        <v>4528</v>
      </c>
      <c r="I2616" t="s">
        <v>43</v>
      </c>
      <c r="J2616" s="3" t="s">
        <v>4529</v>
      </c>
      <c r="K2616" s="4">
        <v>875</v>
      </c>
      <c r="L2616" s="5">
        <v>39.79</v>
      </c>
      <c r="M2616" s="6">
        <v>1</v>
      </c>
      <c r="N2616" s="7">
        <v>0</v>
      </c>
      <c r="O2616" t="s">
        <v>4530</v>
      </c>
      <c r="P2616" s="3" t="s">
        <v>138</v>
      </c>
      <c r="Q2616" s="8">
        <v>0.218919</v>
      </c>
    </row>
    <row r="2617" spans="1:17" hidden="1" x14ac:dyDescent="0.55000000000000004">
      <c r="A2617" s="9" t="s">
        <v>4210</v>
      </c>
      <c r="B2617" s="3" t="s">
        <v>4525</v>
      </c>
      <c r="C2617" t="s">
        <v>4525</v>
      </c>
      <c r="D2617" s="3" t="s">
        <v>7329</v>
      </c>
      <c r="E2617" t="s">
        <v>4531</v>
      </c>
      <c r="F2617" s="3" t="s">
        <v>4532</v>
      </c>
      <c r="G2617" t="s">
        <v>24</v>
      </c>
      <c r="H2617" s="3" t="s">
        <v>4528</v>
      </c>
      <c r="I2617" t="s">
        <v>43</v>
      </c>
      <c r="J2617" s="3" t="s">
        <v>4529</v>
      </c>
      <c r="K2617" s="4">
        <v>875</v>
      </c>
      <c r="L2617" s="5">
        <v>39.79</v>
      </c>
      <c r="M2617" s="6">
        <v>1</v>
      </c>
      <c r="N2617" s="7">
        <v>0</v>
      </c>
      <c r="O2617" t="s">
        <v>4530</v>
      </c>
      <c r="P2617" s="3" t="s">
        <v>138</v>
      </c>
      <c r="Q2617" s="8">
        <v>0.218919</v>
      </c>
    </row>
    <row r="2618" spans="1:17" hidden="1" x14ac:dyDescent="0.55000000000000004">
      <c r="A2618" s="3" t="s">
        <v>4533</v>
      </c>
      <c r="B2618" s="3" t="s">
        <v>4534</v>
      </c>
      <c r="C2618" t="s">
        <v>4534</v>
      </c>
      <c r="D2618" s="3" t="s">
        <v>7329</v>
      </c>
      <c r="E2618" t="s">
        <v>4535</v>
      </c>
      <c r="F2618" s="3" t="s">
        <v>4536</v>
      </c>
      <c r="G2618" t="s">
        <v>24</v>
      </c>
      <c r="H2618" s="3" t="s">
        <v>4537</v>
      </c>
      <c r="I2618" t="s">
        <v>37</v>
      </c>
      <c r="J2618" s="3" t="s">
        <v>4538</v>
      </c>
      <c r="K2618" s="4">
        <v>1131</v>
      </c>
      <c r="L2618" s="5">
        <v>51.42</v>
      </c>
      <c r="M2618" s="6">
        <v>1</v>
      </c>
      <c r="N2618" s="7">
        <v>0</v>
      </c>
      <c r="O2618" t="s">
        <v>4539</v>
      </c>
      <c r="P2618" s="3" t="s">
        <v>40</v>
      </c>
      <c r="Q2618" s="8">
        <v>0.25894899999999998</v>
      </c>
    </row>
    <row r="2619" spans="1:17" hidden="1" x14ac:dyDescent="0.55000000000000004">
      <c r="A2619" s="3" t="s">
        <v>4533</v>
      </c>
      <c r="B2619" s="3" t="s">
        <v>4534</v>
      </c>
      <c r="C2619" t="s">
        <v>4534</v>
      </c>
      <c r="D2619" s="3" t="s">
        <v>7329</v>
      </c>
      <c r="E2619" t="s">
        <v>4540</v>
      </c>
      <c r="F2619" s="3" t="s">
        <v>4541</v>
      </c>
      <c r="G2619" t="s">
        <v>24</v>
      </c>
      <c r="H2619" s="3" t="s">
        <v>4537</v>
      </c>
      <c r="I2619" t="s">
        <v>37</v>
      </c>
      <c r="J2619" s="3" t="s">
        <v>4538</v>
      </c>
      <c r="K2619" s="4">
        <v>1131</v>
      </c>
      <c r="L2619" s="5">
        <v>51.42</v>
      </c>
      <c r="M2619" s="6">
        <v>1</v>
      </c>
      <c r="N2619" s="7">
        <v>0</v>
      </c>
      <c r="O2619" t="s">
        <v>4539</v>
      </c>
      <c r="P2619" s="3" t="s">
        <v>40</v>
      </c>
      <c r="Q2619" s="8">
        <v>0.25894899999999998</v>
      </c>
    </row>
    <row r="2620" spans="1:17" hidden="1" x14ac:dyDescent="0.55000000000000004">
      <c r="A2620" s="3" t="s">
        <v>4533</v>
      </c>
      <c r="B2620" s="3" t="s">
        <v>7385</v>
      </c>
      <c r="C2620" t="s">
        <v>4534</v>
      </c>
      <c r="D2620" s="3" t="s">
        <v>7329</v>
      </c>
      <c r="E2620" t="s">
        <v>4542</v>
      </c>
      <c r="F2620" s="3" t="s">
        <v>4543</v>
      </c>
      <c r="G2620" t="s">
        <v>24</v>
      </c>
      <c r="H2620" s="3" t="s">
        <v>4537</v>
      </c>
      <c r="I2620" t="s">
        <v>37</v>
      </c>
      <c r="J2620" s="3" t="s">
        <v>4538</v>
      </c>
      <c r="K2620" s="4">
        <v>1131</v>
      </c>
      <c r="L2620" s="5">
        <v>51.42</v>
      </c>
      <c r="M2620" s="6">
        <v>1</v>
      </c>
      <c r="N2620" s="7">
        <v>0</v>
      </c>
      <c r="O2620" t="s">
        <v>4539</v>
      </c>
      <c r="P2620" s="3" t="s">
        <v>40</v>
      </c>
      <c r="Q2620" s="8">
        <v>0.25894899999999998</v>
      </c>
    </row>
    <row r="2621" spans="1:17" hidden="1" x14ac:dyDescent="0.55000000000000004">
      <c r="A2621" s="3" t="s">
        <v>4533</v>
      </c>
      <c r="B2621" s="3" t="s">
        <v>4534</v>
      </c>
      <c r="C2621" t="s">
        <v>4534</v>
      </c>
      <c r="D2621" s="3" t="s">
        <v>7329</v>
      </c>
      <c r="E2621" t="s">
        <v>4544</v>
      </c>
      <c r="F2621" s="3" t="s">
        <v>4545</v>
      </c>
      <c r="G2621" t="s">
        <v>24</v>
      </c>
      <c r="H2621" s="3" t="s">
        <v>4537</v>
      </c>
      <c r="I2621" t="s">
        <v>37</v>
      </c>
      <c r="J2621" s="3" t="s">
        <v>4538</v>
      </c>
      <c r="K2621" s="4">
        <v>1131</v>
      </c>
      <c r="L2621" s="5">
        <v>51.42</v>
      </c>
      <c r="M2621" s="6">
        <v>1</v>
      </c>
      <c r="N2621" s="7">
        <v>0</v>
      </c>
      <c r="O2621" t="s">
        <v>4539</v>
      </c>
      <c r="P2621" s="3" t="s">
        <v>40</v>
      </c>
      <c r="Q2621" s="8">
        <v>0.25894899999999998</v>
      </c>
    </row>
    <row r="2622" spans="1:17" hidden="1" x14ac:dyDescent="0.55000000000000004">
      <c r="A2622" s="9" t="s">
        <v>4533</v>
      </c>
      <c r="B2622" s="3" t="s">
        <v>7385</v>
      </c>
      <c r="C2622" t="s">
        <v>4534</v>
      </c>
      <c r="D2622" s="3" t="s">
        <v>7329</v>
      </c>
      <c r="E2622" t="s">
        <v>4546</v>
      </c>
      <c r="F2622" s="3" t="s">
        <v>4547</v>
      </c>
      <c r="G2622" t="s">
        <v>24</v>
      </c>
      <c r="H2622" s="3" t="s">
        <v>4537</v>
      </c>
      <c r="I2622" t="s">
        <v>37</v>
      </c>
      <c r="J2622" s="3" t="s">
        <v>4538</v>
      </c>
      <c r="K2622" s="4">
        <v>1131</v>
      </c>
      <c r="L2622" s="5">
        <v>51.42</v>
      </c>
      <c r="M2622" s="6">
        <v>1</v>
      </c>
      <c r="N2622" s="7">
        <v>0</v>
      </c>
      <c r="O2622" t="s">
        <v>4539</v>
      </c>
      <c r="P2622" s="3" t="s">
        <v>40</v>
      </c>
      <c r="Q2622" s="8">
        <v>0.25894899999999998</v>
      </c>
    </row>
    <row r="2623" spans="1:17" hidden="1" x14ac:dyDescent="0.55000000000000004">
      <c r="A2623" s="3" t="s">
        <v>4548</v>
      </c>
      <c r="B2623" s="3" t="s">
        <v>4549</v>
      </c>
      <c r="C2623" t="s">
        <v>4549</v>
      </c>
      <c r="D2623" s="3" t="s">
        <v>7329</v>
      </c>
      <c r="E2623" t="s">
        <v>4550</v>
      </c>
      <c r="F2623" s="3" t="s">
        <v>4551</v>
      </c>
      <c r="G2623" t="s">
        <v>19</v>
      </c>
      <c r="H2623" s="3" t="s">
        <v>4552</v>
      </c>
      <c r="I2623" t="s">
        <v>81</v>
      </c>
      <c r="J2623" s="3" t="s">
        <v>4553</v>
      </c>
      <c r="K2623" s="4">
        <v>879</v>
      </c>
      <c r="L2623" s="5">
        <v>190.98</v>
      </c>
      <c r="M2623" s="6">
        <v>1</v>
      </c>
      <c r="N2623" s="7">
        <v>1</v>
      </c>
      <c r="O2623" t="s">
        <v>4554</v>
      </c>
      <c r="P2623" s="3" t="s">
        <v>84</v>
      </c>
      <c r="Q2623" s="8">
        <v>4.1005E-2</v>
      </c>
    </row>
    <row r="2624" spans="1:17" hidden="1" x14ac:dyDescent="0.55000000000000004">
      <c r="A2624" s="3" t="s">
        <v>4548</v>
      </c>
      <c r="B2624" s="3" t="s">
        <v>4549</v>
      </c>
      <c r="C2624" t="s">
        <v>4549</v>
      </c>
      <c r="D2624" s="3" t="s">
        <v>7329</v>
      </c>
      <c r="E2624" t="s">
        <v>4550</v>
      </c>
      <c r="F2624" s="3" t="s">
        <v>4551</v>
      </c>
      <c r="G2624" t="s">
        <v>19</v>
      </c>
      <c r="H2624" s="3" t="s">
        <v>4555</v>
      </c>
      <c r="I2624" t="s">
        <v>86</v>
      </c>
      <c r="J2624" s="3" t="s">
        <v>4556</v>
      </c>
      <c r="K2624" s="4">
        <v>620</v>
      </c>
      <c r="L2624" s="5">
        <v>134.78</v>
      </c>
      <c r="M2624" s="6">
        <v>0</v>
      </c>
      <c r="N2624" s="7">
        <v>1</v>
      </c>
      <c r="O2624" t="s">
        <v>4557</v>
      </c>
      <c r="P2624" s="3" t="s">
        <v>89</v>
      </c>
      <c r="Q2624" s="8">
        <v>3.3806999999999997E-2</v>
      </c>
    </row>
    <row r="2625" spans="1:17" hidden="1" x14ac:dyDescent="0.55000000000000004">
      <c r="A2625" s="3" t="s">
        <v>4548</v>
      </c>
      <c r="B2625" s="3" t="s">
        <v>4549</v>
      </c>
      <c r="C2625" t="s">
        <v>4549</v>
      </c>
      <c r="D2625" s="3" t="s">
        <v>7329</v>
      </c>
      <c r="E2625" t="s">
        <v>4550</v>
      </c>
      <c r="F2625" s="3" t="s">
        <v>4551</v>
      </c>
      <c r="G2625" t="s">
        <v>24</v>
      </c>
      <c r="H2625" s="3" t="s">
        <v>4558</v>
      </c>
      <c r="I2625" t="s">
        <v>43</v>
      </c>
      <c r="J2625" s="3" t="s">
        <v>4559</v>
      </c>
      <c r="K2625" s="4">
        <v>711</v>
      </c>
      <c r="L2625" s="5">
        <v>32.31</v>
      </c>
      <c r="M2625" s="6">
        <v>1</v>
      </c>
      <c r="N2625" s="7">
        <v>1</v>
      </c>
      <c r="O2625" t="s">
        <v>4560</v>
      </c>
      <c r="P2625" s="3" t="s">
        <v>46</v>
      </c>
      <c r="Q2625" s="8">
        <v>0.214033</v>
      </c>
    </row>
    <row r="2626" spans="1:17" hidden="1" x14ac:dyDescent="0.55000000000000004">
      <c r="A2626" s="3" t="s">
        <v>4548</v>
      </c>
      <c r="B2626" s="3" t="s">
        <v>4549</v>
      </c>
      <c r="C2626" t="s">
        <v>4549</v>
      </c>
      <c r="D2626" s="3" t="s">
        <v>7329</v>
      </c>
      <c r="E2626" t="s">
        <v>4550</v>
      </c>
      <c r="F2626" s="3" t="s">
        <v>4551</v>
      </c>
      <c r="G2626" t="s">
        <v>24</v>
      </c>
      <c r="H2626" s="3" t="s">
        <v>4561</v>
      </c>
      <c r="I2626" t="s">
        <v>48</v>
      </c>
      <c r="J2626" s="3" t="s">
        <v>4559</v>
      </c>
      <c r="K2626" s="4">
        <v>777</v>
      </c>
      <c r="L2626" s="5">
        <v>35.32</v>
      </c>
      <c r="M2626" s="6">
        <v>0</v>
      </c>
      <c r="N2626" s="7">
        <v>1</v>
      </c>
      <c r="O2626" t="s">
        <v>4562</v>
      </c>
      <c r="P2626" s="3" t="s">
        <v>23</v>
      </c>
      <c r="Q2626" s="8" t="s">
        <v>23</v>
      </c>
    </row>
    <row r="2627" spans="1:17" hidden="1" x14ac:dyDescent="0.55000000000000004">
      <c r="A2627" s="3" t="s">
        <v>4548</v>
      </c>
      <c r="B2627" s="3" t="s">
        <v>4549</v>
      </c>
      <c r="C2627" t="s">
        <v>4549</v>
      </c>
      <c r="D2627" s="3" t="s">
        <v>7329</v>
      </c>
      <c r="E2627" t="s">
        <v>4563</v>
      </c>
      <c r="F2627" s="3" t="s">
        <v>4564</v>
      </c>
      <c r="G2627" t="s">
        <v>19</v>
      </c>
      <c r="H2627" s="3" t="s">
        <v>4552</v>
      </c>
      <c r="I2627" t="s">
        <v>81</v>
      </c>
      <c r="J2627" s="3" t="s">
        <v>4553</v>
      </c>
      <c r="K2627" s="4">
        <v>879</v>
      </c>
      <c r="L2627" s="5">
        <v>190.98</v>
      </c>
      <c r="M2627" s="6">
        <v>1</v>
      </c>
      <c r="N2627" s="7">
        <v>0</v>
      </c>
      <c r="O2627" t="s">
        <v>4554</v>
      </c>
      <c r="P2627" s="3" t="s">
        <v>84</v>
      </c>
      <c r="Q2627" s="8">
        <v>4.1005E-2</v>
      </c>
    </row>
    <row r="2628" spans="1:17" hidden="1" x14ac:dyDescent="0.55000000000000004">
      <c r="A2628" s="3" t="s">
        <v>4548</v>
      </c>
      <c r="B2628" s="3" t="s">
        <v>4549</v>
      </c>
      <c r="C2628" t="s">
        <v>4549</v>
      </c>
      <c r="D2628" s="3" t="s">
        <v>7329</v>
      </c>
      <c r="E2628" t="s">
        <v>4563</v>
      </c>
      <c r="F2628" s="3" t="s">
        <v>4564</v>
      </c>
      <c r="G2628" t="s">
        <v>19</v>
      </c>
      <c r="H2628" s="3" t="s">
        <v>4555</v>
      </c>
      <c r="I2628" t="s">
        <v>86</v>
      </c>
      <c r="J2628" s="3" t="s">
        <v>4556</v>
      </c>
      <c r="K2628" s="4">
        <v>620</v>
      </c>
      <c r="L2628" s="5">
        <v>134.78</v>
      </c>
      <c r="M2628" s="6">
        <v>0</v>
      </c>
      <c r="N2628" s="7">
        <v>0</v>
      </c>
      <c r="O2628" t="s">
        <v>4557</v>
      </c>
      <c r="P2628" s="3" t="s">
        <v>89</v>
      </c>
      <c r="Q2628" s="8">
        <v>3.3806999999999997E-2</v>
      </c>
    </row>
    <row r="2629" spans="1:17" hidden="1" x14ac:dyDescent="0.55000000000000004">
      <c r="A2629" s="3" t="s">
        <v>4548</v>
      </c>
      <c r="B2629" s="3" t="s">
        <v>4549</v>
      </c>
      <c r="C2629" t="s">
        <v>4549</v>
      </c>
      <c r="D2629" s="3" t="s">
        <v>7329</v>
      </c>
      <c r="E2629" t="s">
        <v>4563</v>
      </c>
      <c r="F2629" s="3" t="s">
        <v>4564</v>
      </c>
      <c r="G2629" t="s">
        <v>24</v>
      </c>
      <c r="H2629" s="3" t="s">
        <v>4558</v>
      </c>
      <c r="I2629" t="s">
        <v>43</v>
      </c>
      <c r="J2629" s="3" t="s">
        <v>4559</v>
      </c>
      <c r="K2629" s="4">
        <v>711</v>
      </c>
      <c r="L2629" s="5">
        <v>32.31</v>
      </c>
      <c r="M2629" s="6">
        <v>1</v>
      </c>
      <c r="N2629" s="7">
        <v>0</v>
      </c>
      <c r="O2629" t="s">
        <v>4560</v>
      </c>
      <c r="P2629" s="3" t="s">
        <v>46</v>
      </c>
      <c r="Q2629" s="8">
        <v>0.214033</v>
      </c>
    </row>
    <row r="2630" spans="1:17" hidden="1" x14ac:dyDescent="0.55000000000000004">
      <c r="A2630" s="3" t="s">
        <v>4548</v>
      </c>
      <c r="B2630" s="3" t="s">
        <v>4549</v>
      </c>
      <c r="C2630" t="s">
        <v>4549</v>
      </c>
      <c r="D2630" s="3" t="s">
        <v>7329</v>
      </c>
      <c r="E2630" t="s">
        <v>4563</v>
      </c>
      <c r="F2630" s="3" t="s">
        <v>4564</v>
      </c>
      <c r="G2630" t="s">
        <v>24</v>
      </c>
      <c r="H2630" s="3" t="s">
        <v>4561</v>
      </c>
      <c r="I2630" t="s">
        <v>48</v>
      </c>
      <c r="J2630" s="3" t="s">
        <v>4559</v>
      </c>
      <c r="K2630" s="4">
        <v>777</v>
      </c>
      <c r="L2630" s="5">
        <v>35.32</v>
      </c>
      <c r="M2630" s="6">
        <v>0</v>
      </c>
      <c r="N2630" s="7">
        <v>0</v>
      </c>
      <c r="O2630" t="s">
        <v>4562</v>
      </c>
      <c r="P2630" s="3" t="s">
        <v>23</v>
      </c>
      <c r="Q2630" s="8" t="s">
        <v>23</v>
      </c>
    </row>
    <row r="2631" spans="1:17" hidden="1" x14ac:dyDescent="0.55000000000000004">
      <c r="A2631" s="3" t="s">
        <v>4548</v>
      </c>
      <c r="B2631" s="3" t="s">
        <v>4565</v>
      </c>
      <c r="C2631" t="s">
        <v>4565</v>
      </c>
      <c r="D2631" s="3" t="s">
        <v>7329</v>
      </c>
      <c r="E2631" t="s">
        <v>4566</v>
      </c>
      <c r="F2631" s="3" t="s">
        <v>4567</v>
      </c>
      <c r="G2631" t="s">
        <v>24</v>
      </c>
      <c r="H2631" s="3" t="s">
        <v>4568</v>
      </c>
      <c r="I2631" t="s">
        <v>37</v>
      </c>
      <c r="J2631" s="3" t="s">
        <v>4569</v>
      </c>
      <c r="K2631" s="4">
        <v>1030</v>
      </c>
      <c r="L2631" s="5">
        <v>46.82</v>
      </c>
      <c r="M2631" s="6">
        <v>1</v>
      </c>
      <c r="N2631" s="7">
        <v>0</v>
      </c>
      <c r="O2631" t="s">
        <v>4570</v>
      </c>
      <c r="P2631" s="3" t="s">
        <v>40</v>
      </c>
      <c r="Q2631" s="8">
        <v>0.25779200000000002</v>
      </c>
    </row>
    <row r="2632" spans="1:17" hidden="1" x14ac:dyDescent="0.55000000000000004">
      <c r="A2632" s="3" t="s">
        <v>4548</v>
      </c>
      <c r="B2632" s="3" t="s">
        <v>4565</v>
      </c>
      <c r="C2632" t="s">
        <v>4565</v>
      </c>
      <c r="D2632" s="3" t="s">
        <v>7329</v>
      </c>
      <c r="E2632" t="s">
        <v>4566</v>
      </c>
      <c r="F2632" s="3" t="s">
        <v>4567</v>
      </c>
      <c r="G2632" t="s">
        <v>24</v>
      </c>
      <c r="H2632" s="3" t="s">
        <v>4571</v>
      </c>
      <c r="I2632" t="s">
        <v>43</v>
      </c>
      <c r="J2632" s="3" t="s">
        <v>4572</v>
      </c>
      <c r="K2632" s="4">
        <v>954</v>
      </c>
      <c r="L2632" s="5">
        <v>43.35</v>
      </c>
      <c r="M2632" s="6">
        <v>0</v>
      </c>
      <c r="N2632" s="7">
        <v>0</v>
      </c>
      <c r="O2632" t="s">
        <v>4573</v>
      </c>
      <c r="P2632" s="3" t="s">
        <v>138</v>
      </c>
      <c r="Q2632" s="8">
        <v>0.23666699999999999</v>
      </c>
    </row>
    <row r="2633" spans="1:17" hidden="1" x14ac:dyDescent="0.55000000000000004">
      <c r="A2633" s="3" t="s">
        <v>4548</v>
      </c>
      <c r="B2633" s="3" t="s">
        <v>7386</v>
      </c>
      <c r="C2633" t="s">
        <v>4565</v>
      </c>
      <c r="D2633" s="3" t="s">
        <v>7329</v>
      </c>
      <c r="E2633" t="s">
        <v>4574</v>
      </c>
      <c r="F2633" s="3" t="s">
        <v>4575</v>
      </c>
      <c r="G2633" t="s">
        <v>24</v>
      </c>
      <c r="H2633" s="3" t="s">
        <v>4568</v>
      </c>
      <c r="I2633" t="s">
        <v>37</v>
      </c>
      <c r="J2633" s="3" t="s">
        <v>4569</v>
      </c>
      <c r="K2633" s="4">
        <v>1030</v>
      </c>
      <c r="L2633" s="5">
        <v>46.82</v>
      </c>
      <c r="M2633" s="6">
        <v>1</v>
      </c>
      <c r="N2633" s="7">
        <v>0</v>
      </c>
      <c r="O2633" t="s">
        <v>4570</v>
      </c>
      <c r="P2633" s="3" t="s">
        <v>40</v>
      </c>
      <c r="Q2633" s="8">
        <v>0.25779200000000002</v>
      </c>
    </row>
    <row r="2634" spans="1:17" hidden="1" x14ac:dyDescent="0.55000000000000004">
      <c r="A2634" s="3" t="s">
        <v>4548</v>
      </c>
      <c r="B2634" s="3" t="s">
        <v>7386</v>
      </c>
      <c r="C2634" t="s">
        <v>4565</v>
      </c>
      <c r="D2634" s="3" t="s">
        <v>7329</v>
      </c>
      <c r="E2634" t="s">
        <v>4574</v>
      </c>
      <c r="F2634" s="3" t="s">
        <v>4575</v>
      </c>
      <c r="G2634" t="s">
        <v>24</v>
      </c>
      <c r="H2634" s="3" t="s">
        <v>4571</v>
      </c>
      <c r="I2634" t="s">
        <v>43</v>
      </c>
      <c r="J2634" s="3" t="s">
        <v>4572</v>
      </c>
      <c r="K2634" s="4">
        <v>954</v>
      </c>
      <c r="L2634" s="5">
        <v>43.35</v>
      </c>
      <c r="M2634" s="6">
        <v>0</v>
      </c>
      <c r="N2634" s="7">
        <v>0</v>
      </c>
      <c r="O2634" t="s">
        <v>4573</v>
      </c>
      <c r="P2634" s="3" t="s">
        <v>138</v>
      </c>
      <c r="Q2634" s="8">
        <v>0.23666699999999999</v>
      </c>
    </row>
    <row r="2635" spans="1:17" hidden="1" x14ac:dyDescent="0.55000000000000004">
      <c r="A2635" s="3" t="s">
        <v>4548</v>
      </c>
      <c r="B2635" s="3" t="s">
        <v>4565</v>
      </c>
      <c r="C2635" t="s">
        <v>4565</v>
      </c>
      <c r="D2635" s="3" t="s">
        <v>7329</v>
      </c>
      <c r="E2635" t="s">
        <v>4576</v>
      </c>
      <c r="F2635" s="3" t="s">
        <v>4577</v>
      </c>
      <c r="G2635" t="s">
        <v>24</v>
      </c>
      <c r="H2635" s="3" t="s">
        <v>4568</v>
      </c>
      <c r="I2635" t="s">
        <v>37</v>
      </c>
      <c r="J2635" s="3" t="s">
        <v>4569</v>
      </c>
      <c r="K2635" s="4">
        <v>1030</v>
      </c>
      <c r="L2635" s="5">
        <v>46.82</v>
      </c>
      <c r="M2635" s="6">
        <v>1</v>
      </c>
      <c r="N2635" s="7">
        <v>0</v>
      </c>
      <c r="O2635" t="s">
        <v>4570</v>
      </c>
      <c r="P2635" s="3" t="s">
        <v>40</v>
      </c>
      <c r="Q2635" s="8">
        <v>0.25779200000000002</v>
      </c>
    </row>
    <row r="2636" spans="1:17" hidden="1" x14ac:dyDescent="0.55000000000000004">
      <c r="A2636" s="3" t="s">
        <v>4548</v>
      </c>
      <c r="B2636" s="3" t="s">
        <v>4565</v>
      </c>
      <c r="C2636" t="s">
        <v>4565</v>
      </c>
      <c r="D2636" s="3" t="s">
        <v>7329</v>
      </c>
      <c r="E2636" t="s">
        <v>4576</v>
      </c>
      <c r="F2636" s="3" t="s">
        <v>4577</v>
      </c>
      <c r="G2636" t="s">
        <v>24</v>
      </c>
      <c r="H2636" s="3" t="s">
        <v>4571</v>
      </c>
      <c r="I2636" t="s">
        <v>43</v>
      </c>
      <c r="J2636" s="3" t="s">
        <v>4572</v>
      </c>
      <c r="K2636" s="4">
        <v>954</v>
      </c>
      <c r="L2636" s="5">
        <v>43.35</v>
      </c>
      <c r="M2636" s="6">
        <v>0</v>
      </c>
      <c r="N2636" s="7">
        <v>0</v>
      </c>
      <c r="O2636" t="s">
        <v>4573</v>
      </c>
      <c r="P2636" s="3" t="s">
        <v>138</v>
      </c>
      <c r="Q2636" s="8">
        <v>0.23666699999999999</v>
      </c>
    </row>
    <row r="2637" spans="1:17" hidden="1" x14ac:dyDescent="0.55000000000000004">
      <c r="A2637" s="3" t="s">
        <v>4548</v>
      </c>
      <c r="B2637" s="3" t="s">
        <v>4578</v>
      </c>
      <c r="C2637" t="s">
        <v>4578</v>
      </c>
      <c r="D2637" s="3" t="s">
        <v>7329</v>
      </c>
      <c r="E2637" t="s">
        <v>4579</v>
      </c>
      <c r="F2637" s="3" t="s">
        <v>4580</v>
      </c>
      <c r="G2637" t="s">
        <v>19</v>
      </c>
      <c r="H2637" s="3" t="s">
        <v>4581</v>
      </c>
      <c r="I2637" t="s">
        <v>81</v>
      </c>
      <c r="J2637" s="3" t="s">
        <v>4582</v>
      </c>
      <c r="K2637" s="4">
        <v>955</v>
      </c>
      <c r="L2637" s="5">
        <v>207.61</v>
      </c>
      <c r="M2637" s="6">
        <v>1</v>
      </c>
      <c r="N2637" s="7">
        <v>0</v>
      </c>
      <c r="O2637" t="s">
        <v>4583</v>
      </c>
      <c r="P2637" s="3" t="s">
        <v>84</v>
      </c>
      <c r="Q2637" s="8">
        <v>4.2654999999999998E-2</v>
      </c>
    </row>
    <row r="2638" spans="1:17" hidden="1" x14ac:dyDescent="0.55000000000000004">
      <c r="A2638" s="3" t="s">
        <v>4548</v>
      </c>
      <c r="B2638" s="3" t="s">
        <v>4578</v>
      </c>
      <c r="C2638" t="s">
        <v>4578</v>
      </c>
      <c r="D2638" s="3" t="s">
        <v>7329</v>
      </c>
      <c r="E2638" t="s">
        <v>4579</v>
      </c>
      <c r="F2638" s="3" t="s">
        <v>4580</v>
      </c>
      <c r="G2638" t="s">
        <v>24</v>
      </c>
      <c r="H2638" s="3" t="s">
        <v>4584</v>
      </c>
      <c r="I2638" t="s">
        <v>43</v>
      </c>
      <c r="J2638" s="3" t="s">
        <v>4585</v>
      </c>
      <c r="K2638" s="4">
        <v>803</v>
      </c>
      <c r="L2638" s="5">
        <v>36.520000000000003</v>
      </c>
      <c r="M2638" s="6">
        <v>1</v>
      </c>
      <c r="N2638" s="7">
        <v>0</v>
      </c>
      <c r="O2638" t="s">
        <v>4586</v>
      </c>
      <c r="P2638" s="3" t="s">
        <v>46</v>
      </c>
      <c r="Q2638" s="8">
        <v>0.20976700000000001</v>
      </c>
    </row>
    <row r="2639" spans="1:17" hidden="1" x14ac:dyDescent="0.55000000000000004">
      <c r="A2639" s="3" t="s">
        <v>4548</v>
      </c>
      <c r="B2639" s="3" t="s">
        <v>4578</v>
      </c>
      <c r="C2639" t="s">
        <v>4578</v>
      </c>
      <c r="D2639" s="3" t="s">
        <v>7329</v>
      </c>
      <c r="E2639" t="s">
        <v>4579</v>
      </c>
      <c r="F2639" s="3" t="s">
        <v>4580</v>
      </c>
      <c r="G2639" t="s">
        <v>24</v>
      </c>
      <c r="H2639" s="3" t="s">
        <v>4587</v>
      </c>
      <c r="I2639" t="s">
        <v>48</v>
      </c>
      <c r="J2639" s="3" t="s">
        <v>4585</v>
      </c>
      <c r="K2639" s="4">
        <v>874</v>
      </c>
      <c r="L2639" s="5">
        <v>39.71</v>
      </c>
      <c r="M2639" s="6">
        <v>0</v>
      </c>
      <c r="N2639" s="7">
        <v>0</v>
      </c>
      <c r="O2639" t="s">
        <v>4588</v>
      </c>
      <c r="P2639" s="3" t="s">
        <v>23</v>
      </c>
      <c r="Q2639" s="8" t="s">
        <v>23</v>
      </c>
    </row>
    <row r="2640" spans="1:17" hidden="1" x14ac:dyDescent="0.55000000000000004">
      <c r="A2640" s="3" t="s">
        <v>4548</v>
      </c>
      <c r="B2640" s="3" t="s">
        <v>4578</v>
      </c>
      <c r="C2640" t="s">
        <v>4578</v>
      </c>
      <c r="D2640" s="3" t="s">
        <v>7329</v>
      </c>
      <c r="E2640" t="s">
        <v>4589</v>
      </c>
      <c r="F2640" s="3" t="s">
        <v>4590</v>
      </c>
      <c r="G2640" t="s">
        <v>19</v>
      </c>
      <c r="H2640" s="3" t="s">
        <v>4581</v>
      </c>
      <c r="I2640" t="s">
        <v>81</v>
      </c>
      <c r="J2640" s="3" t="s">
        <v>4582</v>
      </c>
      <c r="K2640" s="4">
        <v>955</v>
      </c>
      <c r="L2640" s="5">
        <v>207.61</v>
      </c>
      <c r="M2640" s="6">
        <v>1</v>
      </c>
      <c r="N2640" s="7">
        <v>0</v>
      </c>
      <c r="O2640" t="s">
        <v>4583</v>
      </c>
      <c r="P2640" s="3" t="s">
        <v>84</v>
      </c>
      <c r="Q2640" s="8">
        <v>4.2654999999999998E-2</v>
      </c>
    </row>
    <row r="2641" spans="1:17" hidden="1" x14ac:dyDescent="0.55000000000000004">
      <c r="A2641" s="3" t="s">
        <v>4548</v>
      </c>
      <c r="B2641" s="3" t="s">
        <v>4578</v>
      </c>
      <c r="C2641" t="s">
        <v>4578</v>
      </c>
      <c r="D2641" s="3" t="s">
        <v>7329</v>
      </c>
      <c r="E2641" t="s">
        <v>4589</v>
      </c>
      <c r="F2641" s="3" t="s">
        <v>4590</v>
      </c>
      <c r="G2641" t="s">
        <v>24</v>
      </c>
      <c r="H2641" s="3" t="s">
        <v>4584</v>
      </c>
      <c r="I2641" t="s">
        <v>43</v>
      </c>
      <c r="J2641" s="3" t="s">
        <v>4585</v>
      </c>
      <c r="K2641" s="4">
        <v>803</v>
      </c>
      <c r="L2641" s="5">
        <v>36.520000000000003</v>
      </c>
      <c r="M2641" s="6">
        <v>1</v>
      </c>
      <c r="N2641" s="7">
        <v>0</v>
      </c>
      <c r="O2641" t="s">
        <v>4586</v>
      </c>
      <c r="P2641" s="3" t="s">
        <v>46</v>
      </c>
      <c r="Q2641" s="8">
        <v>0.20976700000000001</v>
      </c>
    </row>
    <row r="2642" spans="1:17" hidden="1" x14ac:dyDescent="0.55000000000000004">
      <c r="A2642" s="3" t="s">
        <v>4548</v>
      </c>
      <c r="B2642" s="3" t="s">
        <v>4578</v>
      </c>
      <c r="C2642" t="s">
        <v>4578</v>
      </c>
      <c r="D2642" s="3" t="s">
        <v>7329</v>
      </c>
      <c r="E2642" t="s">
        <v>4589</v>
      </c>
      <c r="F2642" s="3" t="s">
        <v>4590</v>
      </c>
      <c r="G2642" t="s">
        <v>24</v>
      </c>
      <c r="H2642" s="3" t="s">
        <v>4587</v>
      </c>
      <c r="I2642" t="s">
        <v>48</v>
      </c>
      <c r="J2642" s="3" t="s">
        <v>4585</v>
      </c>
      <c r="K2642" s="4">
        <v>874</v>
      </c>
      <c r="L2642" s="5">
        <v>39.71</v>
      </c>
      <c r="M2642" s="6">
        <v>0</v>
      </c>
      <c r="N2642" s="7">
        <v>0</v>
      </c>
      <c r="O2642" t="s">
        <v>4588</v>
      </c>
      <c r="P2642" s="3" t="s">
        <v>23</v>
      </c>
      <c r="Q2642" s="8" t="s">
        <v>23</v>
      </c>
    </row>
    <row r="2643" spans="1:17" hidden="1" x14ac:dyDescent="0.55000000000000004">
      <c r="A2643" s="3" t="s">
        <v>4548</v>
      </c>
      <c r="B2643" s="3" t="s">
        <v>4578</v>
      </c>
      <c r="C2643" t="s">
        <v>4578</v>
      </c>
      <c r="D2643" s="3" t="s">
        <v>7329</v>
      </c>
      <c r="E2643" t="s">
        <v>4591</v>
      </c>
      <c r="F2643" s="3" t="s">
        <v>4592</v>
      </c>
      <c r="G2643" t="s">
        <v>19</v>
      </c>
      <c r="H2643" s="3" t="s">
        <v>4581</v>
      </c>
      <c r="I2643" t="s">
        <v>81</v>
      </c>
      <c r="J2643" s="3" t="s">
        <v>4582</v>
      </c>
      <c r="K2643" s="4">
        <v>955</v>
      </c>
      <c r="L2643" s="5">
        <v>207.61</v>
      </c>
      <c r="M2643" s="6">
        <v>1</v>
      </c>
      <c r="N2643" s="7">
        <v>1</v>
      </c>
      <c r="O2643" t="s">
        <v>4583</v>
      </c>
      <c r="P2643" s="3" t="s">
        <v>84</v>
      </c>
      <c r="Q2643" s="8">
        <v>4.2654999999999998E-2</v>
      </c>
    </row>
    <row r="2644" spans="1:17" hidden="1" x14ac:dyDescent="0.55000000000000004">
      <c r="A2644" s="3" t="s">
        <v>4548</v>
      </c>
      <c r="B2644" s="3" t="s">
        <v>4578</v>
      </c>
      <c r="C2644" t="s">
        <v>4578</v>
      </c>
      <c r="D2644" s="3" t="s">
        <v>7329</v>
      </c>
      <c r="E2644" t="s">
        <v>4591</v>
      </c>
      <c r="F2644" s="3" t="s">
        <v>4592</v>
      </c>
      <c r="G2644" t="s">
        <v>24</v>
      </c>
      <c r="H2644" s="3" t="s">
        <v>4584</v>
      </c>
      <c r="I2644" t="s">
        <v>43</v>
      </c>
      <c r="J2644" s="3" t="s">
        <v>4585</v>
      </c>
      <c r="K2644" s="4">
        <v>803</v>
      </c>
      <c r="L2644" s="5">
        <v>36.520000000000003</v>
      </c>
      <c r="M2644" s="6">
        <v>1</v>
      </c>
      <c r="N2644" s="7">
        <v>1</v>
      </c>
      <c r="O2644" t="s">
        <v>4586</v>
      </c>
      <c r="P2644" s="3" t="s">
        <v>46</v>
      </c>
      <c r="Q2644" s="8">
        <v>0.20976700000000001</v>
      </c>
    </row>
    <row r="2645" spans="1:17" hidden="1" x14ac:dyDescent="0.55000000000000004">
      <c r="A2645" s="3" t="s">
        <v>4548</v>
      </c>
      <c r="B2645" s="3" t="s">
        <v>4578</v>
      </c>
      <c r="C2645" t="s">
        <v>4578</v>
      </c>
      <c r="D2645" s="3" t="s">
        <v>7329</v>
      </c>
      <c r="E2645" t="s">
        <v>4591</v>
      </c>
      <c r="F2645" s="3" t="s">
        <v>4592</v>
      </c>
      <c r="G2645" t="s">
        <v>24</v>
      </c>
      <c r="H2645" s="3" t="s">
        <v>4587</v>
      </c>
      <c r="I2645" t="s">
        <v>48</v>
      </c>
      <c r="J2645" s="3" t="s">
        <v>4585</v>
      </c>
      <c r="K2645" s="4">
        <v>874</v>
      </c>
      <c r="L2645" s="5">
        <v>39.71</v>
      </c>
      <c r="M2645" s="6">
        <v>0</v>
      </c>
      <c r="N2645" s="7">
        <v>1</v>
      </c>
      <c r="O2645" t="s">
        <v>4588</v>
      </c>
      <c r="P2645" s="3" t="s">
        <v>23</v>
      </c>
      <c r="Q2645" s="8" t="s">
        <v>23</v>
      </c>
    </row>
    <row r="2646" spans="1:17" hidden="1" x14ac:dyDescent="0.55000000000000004">
      <c r="A2646" s="3" t="s">
        <v>4548</v>
      </c>
      <c r="B2646" s="3" t="s">
        <v>4578</v>
      </c>
      <c r="C2646" t="s">
        <v>4578</v>
      </c>
      <c r="D2646" s="3" t="s">
        <v>7329</v>
      </c>
      <c r="E2646" t="s">
        <v>4593</v>
      </c>
      <c r="F2646" s="3" t="s">
        <v>4594</v>
      </c>
      <c r="G2646" t="s">
        <v>19</v>
      </c>
      <c r="H2646" s="3" t="s">
        <v>4581</v>
      </c>
      <c r="I2646" t="s">
        <v>81</v>
      </c>
      <c r="J2646" s="3" t="s">
        <v>4582</v>
      </c>
      <c r="K2646" s="4">
        <v>955</v>
      </c>
      <c r="L2646" s="5">
        <v>207.61</v>
      </c>
      <c r="M2646" s="6">
        <v>1</v>
      </c>
      <c r="N2646" s="7">
        <v>0</v>
      </c>
      <c r="O2646" t="s">
        <v>4583</v>
      </c>
      <c r="P2646" s="3" t="s">
        <v>84</v>
      </c>
      <c r="Q2646" s="8">
        <v>4.2654999999999998E-2</v>
      </c>
    </row>
    <row r="2647" spans="1:17" hidden="1" x14ac:dyDescent="0.55000000000000004">
      <c r="A2647" s="3" t="s">
        <v>4548</v>
      </c>
      <c r="B2647" s="3" t="s">
        <v>4578</v>
      </c>
      <c r="C2647" t="s">
        <v>4578</v>
      </c>
      <c r="D2647" s="3" t="s">
        <v>7329</v>
      </c>
      <c r="E2647" t="s">
        <v>4593</v>
      </c>
      <c r="F2647" s="3" t="s">
        <v>4594</v>
      </c>
      <c r="G2647" t="s">
        <v>24</v>
      </c>
      <c r="H2647" s="3" t="s">
        <v>4584</v>
      </c>
      <c r="I2647" t="s">
        <v>43</v>
      </c>
      <c r="J2647" s="3" t="s">
        <v>4585</v>
      </c>
      <c r="K2647" s="4">
        <v>803</v>
      </c>
      <c r="L2647" s="5">
        <v>36.520000000000003</v>
      </c>
      <c r="M2647" s="6">
        <v>1</v>
      </c>
      <c r="N2647" s="7">
        <v>0</v>
      </c>
      <c r="O2647" t="s">
        <v>4586</v>
      </c>
      <c r="P2647" s="3" t="s">
        <v>46</v>
      </c>
      <c r="Q2647" s="8">
        <v>0.20976700000000001</v>
      </c>
    </row>
    <row r="2648" spans="1:17" hidden="1" x14ac:dyDescent="0.55000000000000004">
      <c r="A2648" s="3" t="s">
        <v>4548</v>
      </c>
      <c r="B2648" s="3" t="s">
        <v>4578</v>
      </c>
      <c r="C2648" t="s">
        <v>4578</v>
      </c>
      <c r="D2648" s="3" t="s">
        <v>7329</v>
      </c>
      <c r="E2648" t="s">
        <v>4593</v>
      </c>
      <c r="F2648" s="3" t="s">
        <v>4594</v>
      </c>
      <c r="G2648" t="s">
        <v>24</v>
      </c>
      <c r="H2648" s="3" t="s">
        <v>4587</v>
      </c>
      <c r="I2648" t="s">
        <v>48</v>
      </c>
      <c r="J2648" s="3" t="s">
        <v>4585</v>
      </c>
      <c r="K2648" s="4">
        <v>874</v>
      </c>
      <c r="L2648" s="5">
        <v>39.71</v>
      </c>
      <c r="M2648" s="6">
        <v>0</v>
      </c>
      <c r="N2648" s="7">
        <v>0</v>
      </c>
      <c r="O2648" t="s">
        <v>4588</v>
      </c>
      <c r="P2648" s="3" t="s">
        <v>23</v>
      </c>
      <c r="Q2648" s="8" t="s">
        <v>23</v>
      </c>
    </row>
    <row r="2649" spans="1:17" hidden="1" x14ac:dyDescent="0.55000000000000004">
      <c r="A2649" s="3" t="s">
        <v>4548</v>
      </c>
      <c r="B2649" s="3" t="s">
        <v>4578</v>
      </c>
      <c r="C2649" t="s">
        <v>4578</v>
      </c>
      <c r="D2649" s="3" t="s">
        <v>7329</v>
      </c>
      <c r="E2649" t="s">
        <v>4595</v>
      </c>
      <c r="F2649" s="3" t="s">
        <v>4596</v>
      </c>
      <c r="G2649" t="s">
        <v>19</v>
      </c>
      <c r="H2649" s="3" t="s">
        <v>4581</v>
      </c>
      <c r="I2649" t="s">
        <v>81</v>
      </c>
      <c r="J2649" s="3" t="s">
        <v>4582</v>
      </c>
      <c r="K2649" s="4">
        <v>955</v>
      </c>
      <c r="L2649" s="5">
        <v>207.61</v>
      </c>
      <c r="M2649" s="6">
        <v>1</v>
      </c>
      <c r="N2649" s="7">
        <v>0</v>
      </c>
      <c r="O2649" t="s">
        <v>4583</v>
      </c>
      <c r="P2649" s="3" t="s">
        <v>84</v>
      </c>
      <c r="Q2649" s="8">
        <v>4.2654999999999998E-2</v>
      </c>
    </row>
    <row r="2650" spans="1:17" hidden="1" x14ac:dyDescent="0.55000000000000004">
      <c r="A2650" s="3" t="s">
        <v>4548</v>
      </c>
      <c r="B2650" s="3" t="s">
        <v>4578</v>
      </c>
      <c r="C2650" t="s">
        <v>4578</v>
      </c>
      <c r="D2650" s="3" t="s">
        <v>7329</v>
      </c>
      <c r="E2650" t="s">
        <v>4595</v>
      </c>
      <c r="F2650" s="3" t="s">
        <v>4596</v>
      </c>
      <c r="G2650" t="s">
        <v>24</v>
      </c>
      <c r="H2650" s="3" t="s">
        <v>4584</v>
      </c>
      <c r="I2650" t="s">
        <v>43</v>
      </c>
      <c r="J2650" s="3" t="s">
        <v>4585</v>
      </c>
      <c r="K2650" s="4">
        <v>803</v>
      </c>
      <c r="L2650" s="5">
        <v>36.520000000000003</v>
      </c>
      <c r="M2650" s="6">
        <v>1</v>
      </c>
      <c r="N2650" s="7">
        <v>0</v>
      </c>
      <c r="O2650" t="s">
        <v>4586</v>
      </c>
      <c r="P2650" s="3" t="s">
        <v>46</v>
      </c>
      <c r="Q2650" s="8">
        <v>0.20976700000000001</v>
      </c>
    </row>
    <row r="2651" spans="1:17" hidden="1" x14ac:dyDescent="0.55000000000000004">
      <c r="A2651" s="3" t="s">
        <v>4548</v>
      </c>
      <c r="B2651" s="3" t="s">
        <v>4578</v>
      </c>
      <c r="C2651" t="s">
        <v>4578</v>
      </c>
      <c r="D2651" s="3" t="s">
        <v>7329</v>
      </c>
      <c r="E2651" t="s">
        <v>4595</v>
      </c>
      <c r="F2651" s="3" t="s">
        <v>4596</v>
      </c>
      <c r="G2651" t="s">
        <v>24</v>
      </c>
      <c r="H2651" s="3" t="s">
        <v>4587</v>
      </c>
      <c r="I2651" t="s">
        <v>48</v>
      </c>
      <c r="J2651" s="3" t="s">
        <v>4585</v>
      </c>
      <c r="K2651" s="4">
        <v>874</v>
      </c>
      <c r="L2651" s="5">
        <v>39.71</v>
      </c>
      <c r="M2651" s="6">
        <v>0</v>
      </c>
      <c r="N2651" s="7">
        <v>0</v>
      </c>
      <c r="O2651" t="s">
        <v>4588</v>
      </c>
      <c r="P2651" s="3" t="s">
        <v>23</v>
      </c>
      <c r="Q2651" s="8" t="s">
        <v>23</v>
      </c>
    </row>
    <row r="2652" spans="1:17" hidden="1" x14ac:dyDescent="0.55000000000000004">
      <c r="A2652" s="3" t="s">
        <v>4548</v>
      </c>
      <c r="B2652" s="3" t="s">
        <v>4597</v>
      </c>
      <c r="C2652" t="s">
        <v>4597</v>
      </c>
      <c r="D2652" s="3" t="s">
        <v>7329</v>
      </c>
      <c r="E2652" t="s">
        <v>4598</v>
      </c>
      <c r="F2652" s="3" t="s">
        <v>4599</v>
      </c>
      <c r="G2652" t="s">
        <v>19</v>
      </c>
      <c r="H2652" s="3" t="s">
        <v>4600</v>
      </c>
      <c r="I2652" t="s">
        <v>81</v>
      </c>
      <c r="J2652" s="3" t="s">
        <v>4601</v>
      </c>
      <c r="K2652" s="4">
        <v>924</v>
      </c>
      <c r="L2652" s="5">
        <v>200.8</v>
      </c>
      <c r="M2652" s="6">
        <v>1</v>
      </c>
      <c r="N2652" s="7">
        <v>1</v>
      </c>
      <c r="O2652" t="s">
        <v>4602</v>
      </c>
      <c r="P2652" s="3" t="s">
        <v>84</v>
      </c>
      <c r="Q2652" s="8">
        <v>4.1943000000000001E-2</v>
      </c>
    </row>
    <row r="2653" spans="1:17" hidden="1" x14ac:dyDescent="0.55000000000000004">
      <c r="A2653" s="3" t="s">
        <v>4548</v>
      </c>
      <c r="B2653" s="3" t="s">
        <v>4597</v>
      </c>
      <c r="C2653" t="s">
        <v>4597</v>
      </c>
      <c r="D2653" s="3" t="s">
        <v>7329</v>
      </c>
      <c r="E2653" t="s">
        <v>4598</v>
      </c>
      <c r="F2653" s="3" t="s">
        <v>4599</v>
      </c>
      <c r="G2653" t="s">
        <v>19</v>
      </c>
      <c r="H2653" s="3" t="s">
        <v>4603</v>
      </c>
      <c r="I2653" t="s">
        <v>86</v>
      </c>
      <c r="J2653" s="3" t="s">
        <v>4604</v>
      </c>
      <c r="K2653" s="4">
        <v>666</v>
      </c>
      <c r="L2653" s="5">
        <v>144.72</v>
      </c>
      <c r="M2653" s="6">
        <v>0</v>
      </c>
      <c r="N2653" s="7">
        <v>1</v>
      </c>
      <c r="O2653" t="s">
        <v>4605</v>
      </c>
      <c r="P2653" s="3" t="s">
        <v>89</v>
      </c>
      <c r="Q2653" s="8">
        <v>3.7705000000000002E-2</v>
      </c>
    </row>
    <row r="2654" spans="1:17" hidden="1" x14ac:dyDescent="0.55000000000000004">
      <c r="A2654" s="3" t="s">
        <v>4548</v>
      </c>
      <c r="B2654" s="3" t="s">
        <v>4597</v>
      </c>
      <c r="C2654" t="s">
        <v>4597</v>
      </c>
      <c r="D2654" s="3" t="s">
        <v>7329</v>
      </c>
      <c r="E2654" t="s">
        <v>4598</v>
      </c>
      <c r="F2654" s="3" t="s">
        <v>4599</v>
      </c>
      <c r="G2654" t="s">
        <v>24</v>
      </c>
      <c r="H2654" s="3" t="s">
        <v>4606</v>
      </c>
      <c r="I2654" t="s">
        <v>43</v>
      </c>
      <c r="J2654" s="3" t="s">
        <v>4607</v>
      </c>
      <c r="K2654" s="4">
        <v>720</v>
      </c>
      <c r="L2654" s="5">
        <v>32.74</v>
      </c>
      <c r="M2654" s="6">
        <v>1</v>
      </c>
      <c r="N2654" s="7">
        <v>1</v>
      </c>
      <c r="O2654" t="s">
        <v>4608</v>
      </c>
      <c r="P2654" s="3" t="s">
        <v>46</v>
      </c>
      <c r="Q2654" s="8">
        <v>0.22686700000000001</v>
      </c>
    </row>
    <row r="2655" spans="1:17" hidden="1" x14ac:dyDescent="0.55000000000000004">
      <c r="A2655" s="3" t="s">
        <v>4548</v>
      </c>
      <c r="B2655" s="3" t="s">
        <v>4597</v>
      </c>
      <c r="C2655" t="s">
        <v>4597</v>
      </c>
      <c r="D2655" s="3" t="s">
        <v>7329</v>
      </c>
      <c r="E2655" t="s">
        <v>4598</v>
      </c>
      <c r="F2655" s="3" t="s">
        <v>4599</v>
      </c>
      <c r="G2655" t="s">
        <v>24</v>
      </c>
      <c r="H2655" s="3" t="s">
        <v>4609</v>
      </c>
      <c r="I2655" t="s">
        <v>48</v>
      </c>
      <c r="J2655" s="3" t="s">
        <v>4607</v>
      </c>
      <c r="K2655" s="4">
        <v>771</v>
      </c>
      <c r="L2655" s="5">
        <v>35.04</v>
      </c>
      <c r="M2655" s="6">
        <v>0</v>
      </c>
      <c r="N2655" s="7">
        <v>1</v>
      </c>
      <c r="O2655" t="s">
        <v>4610</v>
      </c>
      <c r="P2655" s="3" t="s">
        <v>23</v>
      </c>
      <c r="Q2655" s="8" t="s">
        <v>23</v>
      </c>
    </row>
    <row r="2656" spans="1:17" hidden="1" x14ac:dyDescent="0.55000000000000004">
      <c r="A2656" s="3" t="s">
        <v>4548</v>
      </c>
      <c r="B2656" s="3" t="s">
        <v>4597</v>
      </c>
      <c r="C2656" t="s">
        <v>4597</v>
      </c>
      <c r="D2656" s="3" t="s">
        <v>7329</v>
      </c>
      <c r="E2656" t="s">
        <v>4611</v>
      </c>
      <c r="F2656" s="3" t="s">
        <v>4612</v>
      </c>
      <c r="G2656" t="s">
        <v>19</v>
      </c>
      <c r="H2656" s="3" t="s">
        <v>4600</v>
      </c>
      <c r="I2656" t="s">
        <v>81</v>
      </c>
      <c r="J2656" s="3" t="s">
        <v>4601</v>
      </c>
      <c r="K2656" s="4">
        <v>924</v>
      </c>
      <c r="L2656" s="5">
        <v>200.8</v>
      </c>
      <c r="M2656" s="6">
        <v>1</v>
      </c>
      <c r="N2656" s="7">
        <v>0</v>
      </c>
      <c r="O2656" t="s">
        <v>4602</v>
      </c>
      <c r="P2656" s="3" t="s">
        <v>84</v>
      </c>
      <c r="Q2656" s="8">
        <v>4.1943000000000001E-2</v>
      </c>
    </row>
    <row r="2657" spans="1:17" hidden="1" x14ac:dyDescent="0.55000000000000004">
      <c r="A2657" s="3" t="s">
        <v>4548</v>
      </c>
      <c r="B2657" s="3" t="s">
        <v>4597</v>
      </c>
      <c r="C2657" t="s">
        <v>4597</v>
      </c>
      <c r="D2657" s="3" t="s">
        <v>7329</v>
      </c>
      <c r="E2657" t="s">
        <v>4611</v>
      </c>
      <c r="F2657" s="3" t="s">
        <v>4612</v>
      </c>
      <c r="G2657" t="s">
        <v>24</v>
      </c>
      <c r="H2657" s="3" t="s">
        <v>4606</v>
      </c>
      <c r="I2657" t="s">
        <v>43</v>
      </c>
      <c r="J2657" s="3" t="s">
        <v>4607</v>
      </c>
      <c r="K2657" s="4">
        <v>720</v>
      </c>
      <c r="L2657" s="5">
        <v>32.74</v>
      </c>
      <c r="M2657" s="6">
        <v>1</v>
      </c>
      <c r="N2657" s="7">
        <v>0</v>
      </c>
      <c r="O2657" t="s">
        <v>4608</v>
      </c>
      <c r="P2657" s="3" t="s">
        <v>46</v>
      </c>
      <c r="Q2657" s="8">
        <v>0.22686700000000001</v>
      </c>
    </row>
    <row r="2658" spans="1:17" hidden="1" x14ac:dyDescent="0.55000000000000004">
      <c r="A2658" s="3" t="s">
        <v>4548</v>
      </c>
      <c r="B2658" s="3" t="s">
        <v>4597</v>
      </c>
      <c r="C2658" t="s">
        <v>4597</v>
      </c>
      <c r="D2658" s="3" t="s">
        <v>7329</v>
      </c>
      <c r="E2658" t="s">
        <v>4611</v>
      </c>
      <c r="F2658" s="3" t="s">
        <v>4612</v>
      </c>
      <c r="G2658" t="s">
        <v>24</v>
      </c>
      <c r="H2658" s="3" t="s">
        <v>4609</v>
      </c>
      <c r="I2658" t="s">
        <v>48</v>
      </c>
      <c r="J2658" s="3" t="s">
        <v>4607</v>
      </c>
      <c r="K2658" s="4">
        <v>771</v>
      </c>
      <c r="L2658" s="5">
        <v>35.04</v>
      </c>
      <c r="M2658" s="6">
        <v>0</v>
      </c>
      <c r="N2658" s="7">
        <v>0</v>
      </c>
      <c r="O2658" t="s">
        <v>4610</v>
      </c>
      <c r="P2658" s="3" t="s">
        <v>23</v>
      </c>
      <c r="Q2658" s="8" t="s">
        <v>23</v>
      </c>
    </row>
    <row r="2659" spans="1:17" hidden="1" x14ac:dyDescent="0.55000000000000004">
      <c r="A2659" s="3" t="s">
        <v>4548</v>
      </c>
      <c r="B2659" s="3" t="s">
        <v>4597</v>
      </c>
      <c r="C2659" t="s">
        <v>4597</v>
      </c>
      <c r="D2659" s="3" t="s">
        <v>7329</v>
      </c>
      <c r="E2659" t="s">
        <v>4613</v>
      </c>
      <c r="F2659" s="3" t="s">
        <v>4614</v>
      </c>
      <c r="G2659" t="s">
        <v>19</v>
      </c>
      <c r="H2659" s="3" t="s">
        <v>4600</v>
      </c>
      <c r="I2659" t="s">
        <v>81</v>
      </c>
      <c r="J2659" s="3" t="s">
        <v>4601</v>
      </c>
      <c r="K2659" s="4">
        <v>924</v>
      </c>
      <c r="L2659" s="5">
        <v>200.8</v>
      </c>
      <c r="M2659" s="6">
        <v>1</v>
      </c>
      <c r="N2659" s="7">
        <v>0</v>
      </c>
      <c r="O2659" t="s">
        <v>4602</v>
      </c>
      <c r="P2659" s="3" t="s">
        <v>84</v>
      </c>
      <c r="Q2659" s="8">
        <v>4.1943000000000001E-2</v>
      </c>
    </row>
    <row r="2660" spans="1:17" hidden="1" x14ac:dyDescent="0.55000000000000004">
      <c r="A2660" s="3" t="s">
        <v>4548</v>
      </c>
      <c r="B2660" s="3" t="s">
        <v>4597</v>
      </c>
      <c r="C2660" t="s">
        <v>4597</v>
      </c>
      <c r="D2660" s="3" t="s">
        <v>7329</v>
      </c>
      <c r="E2660" t="s">
        <v>4613</v>
      </c>
      <c r="F2660" s="3" t="s">
        <v>4614</v>
      </c>
      <c r="G2660" t="s">
        <v>24</v>
      </c>
      <c r="H2660" s="3" t="s">
        <v>4606</v>
      </c>
      <c r="I2660" t="s">
        <v>43</v>
      </c>
      <c r="J2660" s="3" t="s">
        <v>4607</v>
      </c>
      <c r="K2660" s="4">
        <v>720</v>
      </c>
      <c r="L2660" s="5">
        <v>32.74</v>
      </c>
      <c r="M2660" s="6">
        <v>1</v>
      </c>
      <c r="N2660" s="7">
        <v>0</v>
      </c>
      <c r="O2660" t="s">
        <v>4608</v>
      </c>
      <c r="P2660" s="3" t="s">
        <v>46</v>
      </c>
      <c r="Q2660" s="8">
        <v>0.22686700000000001</v>
      </c>
    </row>
    <row r="2661" spans="1:17" hidden="1" x14ac:dyDescent="0.55000000000000004">
      <c r="A2661" s="3" t="s">
        <v>4548</v>
      </c>
      <c r="B2661" s="3" t="s">
        <v>4597</v>
      </c>
      <c r="C2661" t="s">
        <v>4597</v>
      </c>
      <c r="D2661" s="3" t="s">
        <v>7329</v>
      </c>
      <c r="E2661" t="s">
        <v>4613</v>
      </c>
      <c r="F2661" s="3" t="s">
        <v>4614</v>
      </c>
      <c r="G2661" t="s">
        <v>24</v>
      </c>
      <c r="H2661" s="3" t="s">
        <v>4609</v>
      </c>
      <c r="I2661" t="s">
        <v>48</v>
      </c>
      <c r="J2661" s="3" t="s">
        <v>4607</v>
      </c>
      <c r="K2661" s="4">
        <v>771</v>
      </c>
      <c r="L2661" s="5">
        <v>35.04</v>
      </c>
      <c r="M2661" s="6">
        <v>0</v>
      </c>
      <c r="N2661" s="7">
        <v>0</v>
      </c>
      <c r="O2661" t="s">
        <v>4610</v>
      </c>
      <c r="P2661" s="3" t="s">
        <v>23</v>
      </c>
      <c r="Q2661" s="8" t="s">
        <v>23</v>
      </c>
    </row>
    <row r="2662" spans="1:17" hidden="1" x14ac:dyDescent="0.55000000000000004">
      <c r="A2662" s="3" t="s">
        <v>4548</v>
      </c>
      <c r="B2662" s="3" t="s">
        <v>4597</v>
      </c>
      <c r="C2662" t="s">
        <v>4597</v>
      </c>
      <c r="D2662" s="3" t="s">
        <v>7329</v>
      </c>
      <c r="E2662" t="s">
        <v>4615</v>
      </c>
      <c r="F2662" s="3" t="s">
        <v>4616</v>
      </c>
      <c r="G2662" t="s">
        <v>19</v>
      </c>
      <c r="H2662" s="3" t="s">
        <v>4600</v>
      </c>
      <c r="I2662" t="s">
        <v>81</v>
      </c>
      <c r="J2662" s="3" t="s">
        <v>4601</v>
      </c>
      <c r="K2662" s="4">
        <v>924</v>
      </c>
      <c r="L2662" s="5">
        <v>200.8</v>
      </c>
      <c r="M2662" s="6">
        <v>1</v>
      </c>
      <c r="N2662" s="7">
        <v>0</v>
      </c>
      <c r="O2662" t="s">
        <v>4602</v>
      </c>
      <c r="P2662" s="3" t="s">
        <v>84</v>
      </c>
      <c r="Q2662" s="8">
        <v>4.1943000000000001E-2</v>
      </c>
    </row>
    <row r="2663" spans="1:17" hidden="1" x14ac:dyDescent="0.55000000000000004">
      <c r="A2663" s="3" t="s">
        <v>4548</v>
      </c>
      <c r="B2663" s="3" t="s">
        <v>4597</v>
      </c>
      <c r="C2663" t="s">
        <v>4597</v>
      </c>
      <c r="D2663" s="3" t="s">
        <v>7329</v>
      </c>
      <c r="E2663" t="s">
        <v>4615</v>
      </c>
      <c r="F2663" s="3" t="s">
        <v>4616</v>
      </c>
      <c r="G2663" t="s">
        <v>19</v>
      </c>
      <c r="H2663" s="3" t="s">
        <v>4603</v>
      </c>
      <c r="I2663" t="s">
        <v>86</v>
      </c>
      <c r="J2663" s="3" t="s">
        <v>4604</v>
      </c>
      <c r="K2663" s="4">
        <v>666</v>
      </c>
      <c r="L2663" s="5">
        <v>144.72</v>
      </c>
      <c r="M2663" s="6">
        <v>0</v>
      </c>
      <c r="N2663" s="7">
        <v>0</v>
      </c>
      <c r="O2663" t="s">
        <v>4605</v>
      </c>
      <c r="P2663" s="3" t="s">
        <v>89</v>
      </c>
      <c r="Q2663" s="8">
        <v>3.7705000000000002E-2</v>
      </c>
    </row>
    <row r="2664" spans="1:17" hidden="1" x14ac:dyDescent="0.55000000000000004">
      <c r="A2664" s="3" t="s">
        <v>4548</v>
      </c>
      <c r="B2664" s="3" t="s">
        <v>4597</v>
      </c>
      <c r="C2664" t="s">
        <v>4597</v>
      </c>
      <c r="D2664" s="3" t="s">
        <v>7329</v>
      </c>
      <c r="E2664" t="s">
        <v>4615</v>
      </c>
      <c r="F2664" s="3" t="s">
        <v>4616</v>
      </c>
      <c r="G2664" t="s">
        <v>24</v>
      </c>
      <c r="H2664" s="3" t="s">
        <v>4606</v>
      </c>
      <c r="I2664" t="s">
        <v>43</v>
      </c>
      <c r="J2664" s="3" t="s">
        <v>4607</v>
      </c>
      <c r="K2664" s="4">
        <v>720</v>
      </c>
      <c r="L2664" s="5">
        <v>32.74</v>
      </c>
      <c r="M2664" s="6">
        <v>1</v>
      </c>
      <c r="N2664" s="7">
        <v>0</v>
      </c>
      <c r="O2664" t="s">
        <v>4608</v>
      </c>
      <c r="P2664" s="3" t="s">
        <v>46</v>
      </c>
      <c r="Q2664" s="8">
        <v>0.22686700000000001</v>
      </c>
    </row>
    <row r="2665" spans="1:17" hidden="1" x14ac:dyDescent="0.55000000000000004">
      <c r="A2665" s="3" t="s">
        <v>4548</v>
      </c>
      <c r="B2665" s="3" t="s">
        <v>4597</v>
      </c>
      <c r="C2665" t="s">
        <v>4597</v>
      </c>
      <c r="D2665" s="3" t="s">
        <v>7329</v>
      </c>
      <c r="E2665" t="s">
        <v>4615</v>
      </c>
      <c r="F2665" s="3" t="s">
        <v>4616</v>
      </c>
      <c r="G2665" t="s">
        <v>24</v>
      </c>
      <c r="H2665" s="3" t="s">
        <v>4609</v>
      </c>
      <c r="I2665" t="s">
        <v>48</v>
      </c>
      <c r="J2665" s="3" t="s">
        <v>4607</v>
      </c>
      <c r="K2665" s="4">
        <v>771</v>
      </c>
      <c r="L2665" s="5">
        <v>35.04</v>
      </c>
      <c r="M2665" s="6">
        <v>0</v>
      </c>
      <c r="N2665" s="7">
        <v>0</v>
      </c>
      <c r="O2665" t="s">
        <v>4610</v>
      </c>
      <c r="P2665" s="3" t="s">
        <v>23</v>
      </c>
      <c r="Q2665" s="8" t="s">
        <v>23</v>
      </c>
    </row>
    <row r="2666" spans="1:17" hidden="1" x14ac:dyDescent="0.55000000000000004">
      <c r="A2666" s="3" t="s">
        <v>4548</v>
      </c>
      <c r="B2666" s="3" t="s">
        <v>4597</v>
      </c>
      <c r="C2666" t="s">
        <v>4597</v>
      </c>
      <c r="D2666" s="3" t="s">
        <v>7329</v>
      </c>
      <c r="E2666" t="s">
        <v>4617</v>
      </c>
      <c r="F2666" s="3" t="s">
        <v>4618</v>
      </c>
      <c r="G2666" t="s">
        <v>19</v>
      </c>
      <c r="H2666" s="3" t="s">
        <v>4600</v>
      </c>
      <c r="I2666" t="s">
        <v>81</v>
      </c>
      <c r="J2666" s="3" t="s">
        <v>4601</v>
      </c>
      <c r="K2666" s="4">
        <v>924</v>
      </c>
      <c r="L2666" s="5">
        <v>200.8</v>
      </c>
      <c r="M2666" s="6">
        <v>1</v>
      </c>
      <c r="N2666" s="7">
        <v>0</v>
      </c>
      <c r="O2666" t="s">
        <v>4602</v>
      </c>
      <c r="P2666" s="3" t="s">
        <v>84</v>
      </c>
      <c r="Q2666" s="8">
        <v>4.1943000000000001E-2</v>
      </c>
    </row>
    <row r="2667" spans="1:17" hidden="1" x14ac:dyDescent="0.55000000000000004">
      <c r="A2667" s="3" t="s">
        <v>4548</v>
      </c>
      <c r="B2667" s="3" t="s">
        <v>4597</v>
      </c>
      <c r="C2667" t="s">
        <v>4597</v>
      </c>
      <c r="D2667" s="3" t="s">
        <v>7329</v>
      </c>
      <c r="E2667" t="s">
        <v>4617</v>
      </c>
      <c r="F2667" s="3" t="s">
        <v>4618</v>
      </c>
      <c r="G2667" t="s">
        <v>19</v>
      </c>
      <c r="H2667" s="3" t="s">
        <v>4603</v>
      </c>
      <c r="I2667" t="s">
        <v>86</v>
      </c>
      <c r="J2667" s="3" t="s">
        <v>4604</v>
      </c>
      <c r="K2667" s="4">
        <v>666</v>
      </c>
      <c r="L2667" s="5">
        <v>144.72</v>
      </c>
      <c r="M2667" s="6">
        <v>0</v>
      </c>
      <c r="N2667" s="7">
        <v>0</v>
      </c>
      <c r="O2667" t="s">
        <v>4605</v>
      </c>
      <c r="P2667" s="3" t="s">
        <v>89</v>
      </c>
      <c r="Q2667" s="8">
        <v>3.7705000000000002E-2</v>
      </c>
    </row>
    <row r="2668" spans="1:17" hidden="1" x14ac:dyDescent="0.55000000000000004">
      <c r="A2668" s="3" t="s">
        <v>4548</v>
      </c>
      <c r="B2668" s="3" t="s">
        <v>4597</v>
      </c>
      <c r="C2668" t="s">
        <v>4597</v>
      </c>
      <c r="D2668" s="3" t="s">
        <v>7329</v>
      </c>
      <c r="E2668" t="s">
        <v>4617</v>
      </c>
      <c r="F2668" s="3" t="s">
        <v>4618</v>
      </c>
      <c r="G2668" t="s">
        <v>24</v>
      </c>
      <c r="H2668" s="3" t="s">
        <v>4606</v>
      </c>
      <c r="I2668" t="s">
        <v>43</v>
      </c>
      <c r="J2668" s="3" t="s">
        <v>4607</v>
      </c>
      <c r="K2668" s="4">
        <v>720</v>
      </c>
      <c r="L2668" s="5">
        <v>32.74</v>
      </c>
      <c r="M2668" s="6">
        <v>1</v>
      </c>
      <c r="N2668" s="7">
        <v>0</v>
      </c>
      <c r="O2668" t="s">
        <v>4608</v>
      </c>
      <c r="P2668" s="3" t="s">
        <v>46</v>
      </c>
      <c r="Q2668" s="8">
        <v>0.22686700000000001</v>
      </c>
    </row>
    <row r="2669" spans="1:17" hidden="1" x14ac:dyDescent="0.55000000000000004">
      <c r="A2669" s="3" t="s">
        <v>4548</v>
      </c>
      <c r="B2669" s="3" t="s">
        <v>4597</v>
      </c>
      <c r="C2669" t="s">
        <v>4597</v>
      </c>
      <c r="D2669" s="3" t="s">
        <v>7329</v>
      </c>
      <c r="E2669" t="s">
        <v>4617</v>
      </c>
      <c r="F2669" s="3" t="s">
        <v>4618</v>
      </c>
      <c r="G2669" t="s">
        <v>24</v>
      </c>
      <c r="H2669" s="3" t="s">
        <v>4609</v>
      </c>
      <c r="I2669" t="s">
        <v>48</v>
      </c>
      <c r="J2669" s="3" t="s">
        <v>4607</v>
      </c>
      <c r="K2669" s="4">
        <v>771</v>
      </c>
      <c r="L2669" s="5">
        <v>35.04</v>
      </c>
      <c r="M2669" s="6">
        <v>0</v>
      </c>
      <c r="N2669" s="7">
        <v>0</v>
      </c>
      <c r="O2669" t="s">
        <v>4610</v>
      </c>
      <c r="P2669" s="3" t="s">
        <v>23</v>
      </c>
      <c r="Q2669" s="8" t="s">
        <v>23</v>
      </c>
    </row>
    <row r="2670" spans="1:17" hidden="1" x14ac:dyDescent="0.55000000000000004">
      <c r="A2670" s="3" t="s">
        <v>4548</v>
      </c>
      <c r="B2670" s="3" t="s">
        <v>4597</v>
      </c>
      <c r="C2670" t="s">
        <v>4597</v>
      </c>
      <c r="D2670" s="3" t="s">
        <v>7329</v>
      </c>
      <c r="E2670" t="s">
        <v>4619</v>
      </c>
      <c r="F2670" s="3" t="s">
        <v>4620</v>
      </c>
      <c r="G2670" t="s">
        <v>19</v>
      </c>
      <c r="H2670" s="3" t="s">
        <v>4600</v>
      </c>
      <c r="I2670" t="s">
        <v>81</v>
      </c>
      <c r="J2670" s="3" t="s">
        <v>4601</v>
      </c>
      <c r="K2670" s="4">
        <v>924</v>
      </c>
      <c r="L2670" s="5">
        <v>200.8</v>
      </c>
      <c r="M2670" s="6">
        <v>1</v>
      </c>
      <c r="N2670" s="7">
        <v>0</v>
      </c>
      <c r="O2670" t="s">
        <v>4602</v>
      </c>
      <c r="P2670" s="3" t="s">
        <v>84</v>
      </c>
      <c r="Q2670" s="8">
        <v>4.1943000000000001E-2</v>
      </c>
    </row>
    <row r="2671" spans="1:17" hidden="1" x14ac:dyDescent="0.55000000000000004">
      <c r="A2671" s="3" t="s">
        <v>4548</v>
      </c>
      <c r="B2671" s="3" t="s">
        <v>4597</v>
      </c>
      <c r="C2671" t="s">
        <v>4597</v>
      </c>
      <c r="D2671" s="3" t="s">
        <v>7329</v>
      </c>
      <c r="E2671" t="s">
        <v>4619</v>
      </c>
      <c r="F2671" s="3" t="s">
        <v>4620</v>
      </c>
      <c r="G2671" t="s">
        <v>19</v>
      </c>
      <c r="H2671" s="3" t="s">
        <v>4603</v>
      </c>
      <c r="I2671" t="s">
        <v>86</v>
      </c>
      <c r="J2671" s="3" t="s">
        <v>4604</v>
      </c>
      <c r="K2671" s="4">
        <v>666</v>
      </c>
      <c r="L2671" s="5">
        <v>144.72</v>
      </c>
      <c r="M2671" s="6">
        <v>0</v>
      </c>
      <c r="N2671" s="7">
        <v>0</v>
      </c>
      <c r="O2671" t="s">
        <v>4605</v>
      </c>
      <c r="P2671" s="3" t="s">
        <v>89</v>
      </c>
      <c r="Q2671" s="8">
        <v>3.7705000000000002E-2</v>
      </c>
    </row>
    <row r="2672" spans="1:17" hidden="1" x14ac:dyDescent="0.55000000000000004">
      <c r="A2672" s="3" t="s">
        <v>4548</v>
      </c>
      <c r="B2672" s="3" t="s">
        <v>4597</v>
      </c>
      <c r="C2672" t="s">
        <v>4597</v>
      </c>
      <c r="D2672" s="3" t="s">
        <v>7329</v>
      </c>
      <c r="E2672" t="s">
        <v>4619</v>
      </c>
      <c r="F2672" s="3" t="s">
        <v>4620</v>
      </c>
      <c r="G2672" t="s">
        <v>24</v>
      </c>
      <c r="H2672" s="3" t="s">
        <v>4606</v>
      </c>
      <c r="I2672" t="s">
        <v>43</v>
      </c>
      <c r="J2672" s="3" t="s">
        <v>4607</v>
      </c>
      <c r="K2672" s="4">
        <v>720</v>
      </c>
      <c r="L2672" s="5">
        <v>32.74</v>
      </c>
      <c r="M2672" s="6">
        <v>1</v>
      </c>
      <c r="N2672" s="7">
        <v>0</v>
      </c>
      <c r="O2672" t="s">
        <v>4608</v>
      </c>
      <c r="P2672" s="3" t="s">
        <v>46</v>
      </c>
      <c r="Q2672" s="8">
        <v>0.22686700000000001</v>
      </c>
    </row>
    <row r="2673" spans="1:17" hidden="1" x14ac:dyDescent="0.55000000000000004">
      <c r="A2673" s="3" t="s">
        <v>4548</v>
      </c>
      <c r="B2673" s="3" t="s">
        <v>4597</v>
      </c>
      <c r="C2673" t="s">
        <v>4597</v>
      </c>
      <c r="D2673" s="3" t="s">
        <v>7329</v>
      </c>
      <c r="E2673" t="s">
        <v>4619</v>
      </c>
      <c r="F2673" s="3" t="s">
        <v>4620</v>
      </c>
      <c r="G2673" t="s">
        <v>24</v>
      </c>
      <c r="H2673" s="3" t="s">
        <v>4609</v>
      </c>
      <c r="I2673" t="s">
        <v>48</v>
      </c>
      <c r="J2673" s="3" t="s">
        <v>4607</v>
      </c>
      <c r="K2673" s="4">
        <v>771</v>
      </c>
      <c r="L2673" s="5">
        <v>35.04</v>
      </c>
      <c r="M2673" s="6">
        <v>0</v>
      </c>
      <c r="N2673" s="7">
        <v>0</v>
      </c>
      <c r="O2673" t="s">
        <v>4610</v>
      </c>
      <c r="P2673" s="3" t="s">
        <v>23</v>
      </c>
      <c r="Q2673" s="8" t="s">
        <v>23</v>
      </c>
    </row>
    <row r="2674" spans="1:17" hidden="1" x14ac:dyDescent="0.55000000000000004">
      <c r="A2674" s="3" t="s">
        <v>4548</v>
      </c>
      <c r="B2674" s="3" t="s">
        <v>4597</v>
      </c>
      <c r="C2674" t="s">
        <v>4597</v>
      </c>
      <c r="D2674" s="3" t="s">
        <v>7329</v>
      </c>
      <c r="E2674" t="s">
        <v>4621</v>
      </c>
      <c r="F2674" s="3" t="s">
        <v>4622</v>
      </c>
      <c r="G2674" t="s">
        <v>19</v>
      </c>
      <c r="H2674" s="3" t="s">
        <v>4600</v>
      </c>
      <c r="I2674" t="s">
        <v>81</v>
      </c>
      <c r="J2674" s="3" t="s">
        <v>4601</v>
      </c>
      <c r="K2674" s="4">
        <v>924</v>
      </c>
      <c r="L2674" s="5">
        <v>200.8</v>
      </c>
      <c r="M2674" s="6">
        <v>1</v>
      </c>
      <c r="N2674" s="7">
        <v>0</v>
      </c>
      <c r="O2674" t="s">
        <v>4602</v>
      </c>
      <c r="P2674" s="3" t="s">
        <v>84</v>
      </c>
      <c r="Q2674" s="8">
        <v>4.1943000000000001E-2</v>
      </c>
    </row>
    <row r="2675" spans="1:17" hidden="1" x14ac:dyDescent="0.55000000000000004">
      <c r="A2675" s="3" t="s">
        <v>4548</v>
      </c>
      <c r="B2675" s="3" t="s">
        <v>4597</v>
      </c>
      <c r="C2675" t="s">
        <v>4597</v>
      </c>
      <c r="D2675" s="3" t="s">
        <v>7329</v>
      </c>
      <c r="E2675" t="s">
        <v>4621</v>
      </c>
      <c r="F2675" s="3" t="s">
        <v>4622</v>
      </c>
      <c r="G2675" t="s">
        <v>24</v>
      </c>
      <c r="H2675" s="3" t="s">
        <v>4606</v>
      </c>
      <c r="I2675" t="s">
        <v>43</v>
      </c>
      <c r="J2675" s="3" t="s">
        <v>4607</v>
      </c>
      <c r="K2675" s="4">
        <v>720</v>
      </c>
      <c r="L2675" s="5">
        <v>32.74</v>
      </c>
      <c r="M2675" s="6">
        <v>1</v>
      </c>
      <c r="N2675" s="7">
        <v>0</v>
      </c>
      <c r="O2675" t="s">
        <v>4608</v>
      </c>
      <c r="P2675" s="3" t="s">
        <v>46</v>
      </c>
      <c r="Q2675" s="8">
        <v>0.22686700000000001</v>
      </c>
    </row>
    <row r="2676" spans="1:17" hidden="1" x14ac:dyDescent="0.55000000000000004">
      <c r="A2676" s="9" t="s">
        <v>4548</v>
      </c>
      <c r="B2676" s="3" t="s">
        <v>4597</v>
      </c>
      <c r="C2676" t="s">
        <v>4597</v>
      </c>
      <c r="D2676" s="3" t="s">
        <v>7329</v>
      </c>
      <c r="E2676" t="s">
        <v>4621</v>
      </c>
      <c r="F2676" s="3" t="s">
        <v>4622</v>
      </c>
      <c r="G2676" t="s">
        <v>24</v>
      </c>
      <c r="H2676" s="3" t="s">
        <v>4609</v>
      </c>
      <c r="I2676" t="s">
        <v>48</v>
      </c>
      <c r="J2676" s="3" t="s">
        <v>4607</v>
      </c>
      <c r="K2676" s="4">
        <v>771</v>
      </c>
      <c r="L2676" s="5">
        <v>35.04</v>
      </c>
      <c r="M2676" s="6">
        <v>0</v>
      </c>
      <c r="N2676" s="7">
        <v>0</v>
      </c>
      <c r="O2676" t="s">
        <v>4610</v>
      </c>
      <c r="P2676" s="3" t="s">
        <v>23</v>
      </c>
      <c r="Q2676" s="8" t="s">
        <v>23</v>
      </c>
    </row>
    <row r="2677" spans="1:17" hidden="1" x14ac:dyDescent="0.55000000000000004">
      <c r="A2677" s="3" t="s">
        <v>4623</v>
      </c>
      <c r="B2677" s="3" t="s">
        <v>4624</v>
      </c>
      <c r="C2677" t="s">
        <v>4624</v>
      </c>
      <c r="D2677" s="3" t="s">
        <v>7312</v>
      </c>
      <c r="E2677" t="s">
        <v>4625</v>
      </c>
      <c r="F2677" s="3" t="s">
        <v>4626</v>
      </c>
      <c r="G2677" t="s">
        <v>19</v>
      </c>
      <c r="H2677" s="3" t="s">
        <v>4627</v>
      </c>
      <c r="I2677" t="s">
        <v>1284</v>
      </c>
      <c r="J2677" s="3" t="s">
        <v>4628</v>
      </c>
      <c r="K2677" s="4">
        <v>596</v>
      </c>
      <c r="L2677" s="5">
        <v>129.61000000000001</v>
      </c>
      <c r="M2677" s="6">
        <v>0</v>
      </c>
      <c r="N2677" s="7">
        <v>1</v>
      </c>
      <c r="O2677" t="s">
        <v>4629</v>
      </c>
      <c r="P2677" s="3" t="s">
        <v>1287</v>
      </c>
      <c r="Q2677" s="8">
        <v>9.5305000000000001E-2</v>
      </c>
    </row>
    <row r="2678" spans="1:17" hidden="1" x14ac:dyDescent="0.55000000000000004">
      <c r="A2678" s="3" t="s">
        <v>4623</v>
      </c>
      <c r="B2678" s="3" t="s">
        <v>4624</v>
      </c>
      <c r="C2678" t="s">
        <v>4624</v>
      </c>
      <c r="D2678" s="3" t="s">
        <v>7312</v>
      </c>
      <c r="E2678" t="s">
        <v>4625</v>
      </c>
      <c r="F2678" s="3" t="s">
        <v>4626</v>
      </c>
      <c r="G2678" t="s">
        <v>19</v>
      </c>
      <c r="H2678" s="3" t="s">
        <v>4630</v>
      </c>
      <c r="I2678" t="s">
        <v>1357</v>
      </c>
      <c r="J2678" s="3" t="s">
        <v>4628</v>
      </c>
      <c r="K2678" s="4">
        <v>682</v>
      </c>
      <c r="L2678" s="5">
        <v>148.26</v>
      </c>
      <c r="M2678" s="6">
        <v>1</v>
      </c>
      <c r="N2678" s="7">
        <v>1</v>
      </c>
      <c r="O2678" t="s">
        <v>4631</v>
      </c>
      <c r="P2678" s="3" t="s">
        <v>1287</v>
      </c>
      <c r="Q2678" s="8">
        <v>9.6264000000000002E-2</v>
      </c>
    </row>
    <row r="2679" spans="1:17" hidden="1" x14ac:dyDescent="0.55000000000000004">
      <c r="A2679" s="3" t="s">
        <v>4623</v>
      </c>
      <c r="B2679" s="3" t="s">
        <v>4624</v>
      </c>
      <c r="C2679" t="s">
        <v>4624</v>
      </c>
      <c r="D2679" s="3" t="s">
        <v>7312</v>
      </c>
      <c r="E2679" t="s">
        <v>4625</v>
      </c>
      <c r="F2679" s="3" t="s">
        <v>4626</v>
      </c>
      <c r="G2679" t="s">
        <v>24</v>
      </c>
      <c r="H2679" s="3" t="s">
        <v>4632</v>
      </c>
      <c r="I2679" t="s">
        <v>52</v>
      </c>
      <c r="J2679" s="3" t="s">
        <v>4633</v>
      </c>
      <c r="K2679" s="4">
        <v>451</v>
      </c>
      <c r="L2679" s="5">
        <v>20.49</v>
      </c>
      <c r="M2679" s="6">
        <v>0</v>
      </c>
      <c r="N2679" s="7">
        <v>1</v>
      </c>
      <c r="O2679" t="s">
        <v>4634</v>
      </c>
      <c r="P2679" s="3" t="s">
        <v>55</v>
      </c>
      <c r="Q2679" s="8">
        <v>0.18254200000000001</v>
      </c>
    </row>
    <row r="2680" spans="1:17" hidden="1" x14ac:dyDescent="0.55000000000000004">
      <c r="A2680" s="3" t="s">
        <v>4623</v>
      </c>
      <c r="B2680" s="3" t="s">
        <v>4635</v>
      </c>
      <c r="C2680" t="s">
        <v>4635</v>
      </c>
      <c r="D2680" s="3" t="s">
        <v>7312</v>
      </c>
      <c r="E2680" t="s">
        <v>4636</v>
      </c>
      <c r="F2680" s="3" t="s">
        <v>4637</v>
      </c>
      <c r="G2680" t="s">
        <v>19</v>
      </c>
      <c r="H2680" s="3" t="s">
        <v>4638</v>
      </c>
      <c r="I2680" t="s">
        <v>1284</v>
      </c>
      <c r="J2680" s="3" t="s">
        <v>4639</v>
      </c>
      <c r="K2680" s="4">
        <v>458</v>
      </c>
      <c r="L2680" s="5">
        <v>99.46</v>
      </c>
      <c r="M2680" s="6">
        <v>0</v>
      </c>
      <c r="N2680" s="7">
        <v>1</v>
      </c>
      <c r="O2680" t="s">
        <v>4640</v>
      </c>
      <c r="P2680" s="3" t="s">
        <v>1287</v>
      </c>
      <c r="Q2680" s="8">
        <v>7.4220999999999995E-2</v>
      </c>
    </row>
    <row r="2681" spans="1:17" hidden="1" x14ac:dyDescent="0.55000000000000004">
      <c r="A2681" s="3" t="s">
        <v>4623</v>
      </c>
      <c r="B2681" s="3" t="s">
        <v>4635</v>
      </c>
      <c r="C2681" t="s">
        <v>4635</v>
      </c>
      <c r="D2681" s="3" t="s">
        <v>7312</v>
      </c>
      <c r="E2681" t="s">
        <v>4636</v>
      </c>
      <c r="F2681" s="3" t="s">
        <v>4637</v>
      </c>
      <c r="G2681" t="s">
        <v>19</v>
      </c>
      <c r="H2681" s="3" t="s">
        <v>4641</v>
      </c>
      <c r="I2681" t="s">
        <v>1357</v>
      </c>
      <c r="J2681" s="3" t="s">
        <v>4639</v>
      </c>
      <c r="K2681" s="4">
        <v>543</v>
      </c>
      <c r="L2681" s="5">
        <v>118.11</v>
      </c>
      <c r="M2681" s="6">
        <v>1</v>
      </c>
      <c r="N2681" s="7">
        <v>1</v>
      </c>
      <c r="O2681" t="s">
        <v>4642</v>
      </c>
      <c r="P2681" s="3" t="s">
        <v>1287</v>
      </c>
      <c r="Q2681" s="8">
        <v>7.4968999999999994E-2</v>
      </c>
    </row>
    <row r="2682" spans="1:17" hidden="1" x14ac:dyDescent="0.55000000000000004">
      <c r="A2682" s="3" t="s">
        <v>4623</v>
      </c>
      <c r="B2682" s="3" t="s">
        <v>4635</v>
      </c>
      <c r="C2682" t="s">
        <v>4635</v>
      </c>
      <c r="D2682" s="3" t="s">
        <v>7312</v>
      </c>
      <c r="E2682" t="s">
        <v>4636</v>
      </c>
      <c r="F2682" s="3" t="s">
        <v>4637</v>
      </c>
      <c r="G2682" t="s">
        <v>24</v>
      </c>
      <c r="H2682" s="3" t="s">
        <v>4643</v>
      </c>
      <c r="I2682" t="s">
        <v>52</v>
      </c>
      <c r="J2682" s="3" t="s">
        <v>4644</v>
      </c>
      <c r="K2682" s="4">
        <v>296</v>
      </c>
      <c r="L2682" s="5">
        <v>13.46</v>
      </c>
      <c r="M2682" s="6">
        <v>0</v>
      </c>
      <c r="N2682" s="7">
        <v>1</v>
      </c>
      <c r="O2682" t="s">
        <v>4645</v>
      </c>
      <c r="P2682" s="3" t="s">
        <v>55</v>
      </c>
      <c r="Q2682" s="8">
        <v>0.18099799999999999</v>
      </c>
    </row>
    <row r="2683" spans="1:17" hidden="1" x14ac:dyDescent="0.55000000000000004">
      <c r="A2683" s="3" t="s">
        <v>4623</v>
      </c>
      <c r="B2683" s="3" t="s">
        <v>4646</v>
      </c>
      <c r="C2683" t="s">
        <v>4646</v>
      </c>
      <c r="D2683" s="3" t="s">
        <v>7312</v>
      </c>
      <c r="E2683" t="s">
        <v>4647</v>
      </c>
      <c r="F2683" s="3" t="s">
        <v>4648</v>
      </c>
      <c r="G2683" t="s">
        <v>19</v>
      </c>
      <c r="H2683" s="3" t="s">
        <v>4649</v>
      </c>
      <c r="I2683" t="s">
        <v>4650</v>
      </c>
      <c r="J2683" s="3" t="s">
        <v>4651</v>
      </c>
      <c r="K2683" s="4">
        <v>87</v>
      </c>
      <c r="L2683" s="5">
        <v>18.96</v>
      </c>
      <c r="M2683" s="6">
        <v>1</v>
      </c>
      <c r="N2683" s="7">
        <v>1</v>
      </c>
      <c r="O2683" t="s">
        <v>4652</v>
      </c>
      <c r="P2683" s="3" t="s">
        <v>693</v>
      </c>
      <c r="Q2683" s="8">
        <v>2.7175999999999999E-2</v>
      </c>
    </row>
    <row r="2684" spans="1:17" hidden="1" x14ac:dyDescent="0.55000000000000004">
      <c r="A2684" s="3" t="s">
        <v>4623</v>
      </c>
      <c r="B2684" s="3" t="s">
        <v>4646</v>
      </c>
      <c r="C2684" t="s">
        <v>4646</v>
      </c>
      <c r="D2684" s="3" t="s">
        <v>7312</v>
      </c>
      <c r="E2684" t="s">
        <v>4647</v>
      </c>
      <c r="F2684" s="3" t="s">
        <v>4648</v>
      </c>
      <c r="G2684" t="s">
        <v>24</v>
      </c>
      <c r="H2684" s="3" t="s">
        <v>4653</v>
      </c>
      <c r="I2684" t="s">
        <v>52</v>
      </c>
      <c r="J2684" s="3" t="s">
        <v>4654</v>
      </c>
      <c r="K2684" s="4">
        <v>587</v>
      </c>
      <c r="L2684" s="5">
        <v>26.67</v>
      </c>
      <c r="M2684" s="6">
        <v>1</v>
      </c>
      <c r="N2684" s="7">
        <v>1</v>
      </c>
      <c r="O2684" t="s">
        <v>4655</v>
      </c>
      <c r="P2684" s="3" t="s">
        <v>55</v>
      </c>
      <c r="Q2684" s="8">
        <v>0.18389800000000001</v>
      </c>
    </row>
    <row r="2685" spans="1:17" hidden="1" x14ac:dyDescent="0.55000000000000004">
      <c r="A2685" s="3" t="s">
        <v>4623</v>
      </c>
      <c r="B2685" s="3" t="s">
        <v>4656</v>
      </c>
      <c r="C2685" t="s">
        <v>4656</v>
      </c>
      <c r="D2685" s="3" t="s">
        <v>7312</v>
      </c>
      <c r="E2685" t="s">
        <v>4657</v>
      </c>
      <c r="F2685" s="3" t="s">
        <v>4658</v>
      </c>
      <c r="G2685" t="s">
        <v>19</v>
      </c>
      <c r="H2685" s="3" t="s">
        <v>4659</v>
      </c>
      <c r="I2685" t="s">
        <v>1357</v>
      </c>
      <c r="J2685" s="3" t="s">
        <v>4660</v>
      </c>
      <c r="K2685" s="4">
        <v>553</v>
      </c>
      <c r="L2685" s="5">
        <v>120.28</v>
      </c>
      <c r="M2685" s="6">
        <v>1</v>
      </c>
      <c r="N2685" s="7">
        <v>0</v>
      </c>
      <c r="O2685" t="s">
        <v>4661</v>
      </c>
      <c r="P2685" s="3" t="s">
        <v>1287</v>
      </c>
      <c r="Q2685" s="8">
        <v>6.2632999999999994E-2</v>
      </c>
    </row>
    <row r="2686" spans="1:17" hidden="1" x14ac:dyDescent="0.55000000000000004">
      <c r="A2686" s="3" t="s">
        <v>4623</v>
      </c>
      <c r="B2686" s="3" t="s">
        <v>4656</v>
      </c>
      <c r="C2686" t="s">
        <v>4656</v>
      </c>
      <c r="D2686" s="3" t="s">
        <v>7312</v>
      </c>
      <c r="E2686" t="s">
        <v>4657</v>
      </c>
      <c r="F2686" s="3" t="s">
        <v>4658</v>
      </c>
      <c r="G2686" t="s">
        <v>19</v>
      </c>
      <c r="H2686" s="3" t="s">
        <v>4662</v>
      </c>
      <c r="I2686" t="s">
        <v>1284</v>
      </c>
      <c r="J2686" s="3" t="s">
        <v>4660</v>
      </c>
      <c r="K2686" s="4">
        <v>467</v>
      </c>
      <c r="L2686" s="5">
        <v>101.63</v>
      </c>
      <c r="M2686" s="6">
        <v>0</v>
      </c>
      <c r="N2686" s="7">
        <v>0</v>
      </c>
      <c r="O2686" t="s">
        <v>4663</v>
      </c>
      <c r="P2686" s="3" t="s">
        <v>1287</v>
      </c>
      <c r="Q2686" s="8">
        <v>6.2011999999999998E-2</v>
      </c>
    </row>
    <row r="2687" spans="1:17" hidden="1" x14ac:dyDescent="0.55000000000000004">
      <c r="A2687" s="3" t="s">
        <v>4623</v>
      </c>
      <c r="B2687" s="3" t="s">
        <v>4656</v>
      </c>
      <c r="C2687" t="s">
        <v>4656</v>
      </c>
      <c r="D2687" s="3" t="s">
        <v>7312</v>
      </c>
      <c r="E2687" t="s">
        <v>4657</v>
      </c>
      <c r="F2687" s="3" t="s">
        <v>4658</v>
      </c>
      <c r="G2687" t="s">
        <v>19</v>
      </c>
      <c r="H2687" s="3" t="s">
        <v>4664</v>
      </c>
      <c r="I2687" t="s">
        <v>1289</v>
      </c>
      <c r="J2687" s="3" t="s">
        <v>4660</v>
      </c>
      <c r="K2687" s="4">
        <v>407</v>
      </c>
      <c r="L2687" s="5">
        <v>88.57</v>
      </c>
      <c r="M2687" s="6">
        <v>0</v>
      </c>
      <c r="N2687" s="7">
        <v>0</v>
      </c>
      <c r="O2687" t="s">
        <v>4665</v>
      </c>
      <c r="P2687" s="3" t="s">
        <v>1287</v>
      </c>
      <c r="Q2687" s="8">
        <v>6.0013999999999998E-2</v>
      </c>
    </row>
    <row r="2688" spans="1:17" hidden="1" x14ac:dyDescent="0.55000000000000004">
      <c r="A2688" s="3" t="s">
        <v>4623</v>
      </c>
      <c r="B2688" s="3" t="s">
        <v>4656</v>
      </c>
      <c r="C2688" t="s">
        <v>4656</v>
      </c>
      <c r="D2688" s="3" t="s">
        <v>7312</v>
      </c>
      <c r="E2688" t="s">
        <v>4657</v>
      </c>
      <c r="F2688" s="3" t="s">
        <v>4658</v>
      </c>
      <c r="G2688" t="s">
        <v>24</v>
      </c>
      <c r="H2688" s="3" t="s">
        <v>4666</v>
      </c>
      <c r="I2688" t="s">
        <v>52</v>
      </c>
      <c r="J2688" s="3" t="s">
        <v>4667</v>
      </c>
      <c r="K2688" s="4">
        <v>246</v>
      </c>
      <c r="L2688" s="5">
        <v>11.17</v>
      </c>
      <c r="M2688" s="6">
        <v>0</v>
      </c>
      <c r="N2688" s="7">
        <v>0</v>
      </c>
      <c r="O2688" t="s">
        <v>4668</v>
      </c>
      <c r="P2688" s="3" t="s">
        <v>55</v>
      </c>
      <c r="Q2688" s="8">
        <v>0.18049599999999999</v>
      </c>
    </row>
    <row r="2689" spans="1:17" hidden="1" x14ac:dyDescent="0.55000000000000004">
      <c r="A2689" s="3" t="s">
        <v>4623</v>
      </c>
      <c r="B2689" s="3" t="s">
        <v>4656</v>
      </c>
      <c r="C2689" t="s">
        <v>4656</v>
      </c>
      <c r="D2689" s="3" t="s">
        <v>7312</v>
      </c>
      <c r="E2689" t="s">
        <v>4669</v>
      </c>
      <c r="F2689" s="3" t="s">
        <v>4670</v>
      </c>
      <c r="G2689" t="s">
        <v>19</v>
      </c>
      <c r="H2689" s="3" t="s">
        <v>4671</v>
      </c>
      <c r="I2689" t="s">
        <v>1223</v>
      </c>
      <c r="J2689" s="3" t="s">
        <v>4672</v>
      </c>
      <c r="K2689" s="4">
        <v>253</v>
      </c>
      <c r="L2689" s="5">
        <v>54.91</v>
      </c>
      <c r="M2689" s="6">
        <v>0</v>
      </c>
      <c r="N2689" s="7">
        <v>1</v>
      </c>
      <c r="O2689" t="s">
        <v>4673</v>
      </c>
      <c r="P2689" s="3" t="s">
        <v>212</v>
      </c>
      <c r="Q2689" s="8">
        <v>7.3588000000000001E-2</v>
      </c>
    </row>
    <row r="2690" spans="1:17" hidden="1" x14ac:dyDescent="0.55000000000000004">
      <c r="A2690" s="3" t="s">
        <v>4623</v>
      </c>
      <c r="B2690" s="3" t="s">
        <v>4656</v>
      </c>
      <c r="C2690" t="s">
        <v>4656</v>
      </c>
      <c r="D2690" s="3" t="s">
        <v>7312</v>
      </c>
      <c r="E2690" t="s">
        <v>4669</v>
      </c>
      <c r="F2690" s="3" t="s">
        <v>4670</v>
      </c>
      <c r="G2690" t="s">
        <v>19</v>
      </c>
      <c r="H2690" s="3" t="s">
        <v>4674</v>
      </c>
      <c r="I2690" t="s">
        <v>686</v>
      </c>
      <c r="J2690" s="3" t="s">
        <v>4672</v>
      </c>
      <c r="K2690" s="4">
        <v>550</v>
      </c>
      <c r="L2690" s="5">
        <v>119.57</v>
      </c>
      <c r="M2690" s="6">
        <v>0</v>
      </c>
      <c r="N2690" s="7">
        <v>1</v>
      </c>
      <c r="O2690" t="s">
        <v>4675</v>
      </c>
      <c r="P2690" s="3" t="s">
        <v>212</v>
      </c>
      <c r="Q2690" s="8">
        <v>7.8899999999999998E-2</v>
      </c>
    </row>
    <row r="2691" spans="1:17" hidden="1" x14ac:dyDescent="0.55000000000000004">
      <c r="A2691" s="3" t="s">
        <v>4623</v>
      </c>
      <c r="B2691" s="3" t="s">
        <v>4656</v>
      </c>
      <c r="C2691" t="s">
        <v>4656</v>
      </c>
      <c r="D2691" s="3" t="s">
        <v>7312</v>
      </c>
      <c r="E2691" t="s">
        <v>4669</v>
      </c>
      <c r="F2691" s="3" t="s">
        <v>4670</v>
      </c>
      <c r="G2691" t="s">
        <v>19</v>
      </c>
      <c r="H2691" s="3" t="s">
        <v>4676</v>
      </c>
      <c r="I2691" t="s">
        <v>1232</v>
      </c>
      <c r="J2691" s="3" t="s">
        <v>4672</v>
      </c>
      <c r="K2691" s="4">
        <v>596</v>
      </c>
      <c r="L2691" s="5">
        <v>129.61000000000001</v>
      </c>
      <c r="M2691" s="6">
        <v>1</v>
      </c>
      <c r="N2691" s="7">
        <v>1</v>
      </c>
      <c r="O2691" t="s">
        <v>4677</v>
      </c>
      <c r="P2691" s="3" t="s">
        <v>212</v>
      </c>
      <c r="Q2691" s="8">
        <v>7.8899999999999998E-2</v>
      </c>
    </row>
    <row r="2692" spans="1:17" hidden="1" x14ac:dyDescent="0.55000000000000004">
      <c r="A2692" s="3" t="s">
        <v>4623</v>
      </c>
      <c r="B2692" s="3" t="s">
        <v>4656</v>
      </c>
      <c r="C2692" t="s">
        <v>4656</v>
      </c>
      <c r="D2692" s="3" t="s">
        <v>7312</v>
      </c>
      <c r="E2692" t="s">
        <v>4669</v>
      </c>
      <c r="F2692" s="3" t="s">
        <v>4670</v>
      </c>
      <c r="G2692" t="s">
        <v>19</v>
      </c>
      <c r="H2692" s="3" t="s">
        <v>4678</v>
      </c>
      <c r="I2692" t="s">
        <v>1227</v>
      </c>
      <c r="J2692" s="3" t="s">
        <v>4672</v>
      </c>
      <c r="K2692" s="4">
        <v>261</v>
      </c>
      <c r="L2692" s="5">
        <v>56.7</v>
      </c>
      <c r="M2692" s="6">
        <v>0</v>
      </c>
      <c r="N2692" s="7">
        <v>1</v>
      </c>
      <c r="O2692" t="s">
        <v>4679</v>
      </c>
      <c r="P2692" s="3" t="s">
        <v>212</v>
      </c>
      <c r="Q2692" s="8">
        <v>7.3588000000000001E-2</v>
      </c>
    </row>
    <row r="2693" spans="1:17" hidden="1" x14ac:dyDescent="0.55000000000000004">
      <c r="A2693" s="3" t="s">
        <v>4623</v>
      </c>
      <c r="B2693" s="3" t="s">
        <v>4656</v>
      </c>
      <c r="C2693" t="s">
        <v>4656</v>
      </c>
      <c r="D2693" s="3" t="s">
        <v>7312</v>
      </c>
      <c r="E2693" t="s">
        <v>4669</v>
      </c>
      <c r="F2693" s="3" t="s">
        <v>4670</v>
      </c>
      <c r="G2693" t="s">
        <v>19</v>
      </c>
      <c r="H2693" s="3" t="s">
        <v>4680</v>
      </c>
      <c r="I2693" t="s">
        <v>1235</v>
      </c>
      <c r="J2693" s="3" t="s">
        <v>4672</v>
      </c>
      <c r="K2693" s="4">
        <v>414</v>
      </c>
      <c r="L2693" s="5">
        <v>90</v>
      </c>
      <c r="M2693" s="6">
        <v>0</v>
      </c>
      <c r="N2693" s="7">
        <v>1</v>
      </c>
      <c r="O2693" t="s">
        <v>4681</v>
      </c>
      <c r="P2693" s="3" t="s">
        <v>212</v>
      </c>
      <c r="Q2693" s="8">
        <v>8.9233000000000007E-2</v>
      </c>
    </row>
    <row r="2694" spans="1:17" hidden="1" x14ac:dyDescent="0.55000000000000004">
      <c r="A2694" s="3" t="s">
        <v>4623</v>
      </c>
      <c r="B2694" s="3" t="s">
        <v>4656</v>
      </c>
      <c r="C2694" t="s">
        <v>4656</v>
      </c>
      <c r="D2694" s="3" t="s">
        <v>7312</v>
      </c>
      <c r="E2694" t="s">
        <v>4669</v>
      </c>
      <c r="F2694" s="3" t="s">
        <v>4670</v>
      </c>
      <c r="G2694" t="s">
        <v>24</v>
      </c>
      <c r="H2694" s="3" t="s">
        <v>4666</v>
      </c>
      <c r="I2694" t="s">
        <v>52</v>
      </c>
      <c r="J2694" s="3" t="s">
        <v>4667</v>
      </c>
      <c r="K2694" s="4">
        <v>246</v>
      </c>
      <c r="L2694" s="5">
        <v>11.17</v>
      </c>
      <c r="M2694" s="6">
        <v>0</v>
      </c>
      <c r="N2694" s="7">
        <v>1</v>
      </c>
      <c r="O2694" t="s">
        <v>4668</v>
      </c>
      <c r="P2694" s="3" t="s">
        <v>55</v>
      </c>
      <c r="Q2694" s="8">
        <v>0.18049599999999999</v>
      </c>
    </row>
    <row r="2695" spans="1:17" hidden="1" x14ac:dyDescent="0.55000000000000004">
      <c r="A2695" s="3" t="s">
        <v>4623</v>
      </c>
      <c r="B2695" s="3" t="s">
        <v>4682</v>
      </c>
      <c r="C2695" t="s">
        <v>4682</v>
      </c>
      <c r="D2695" s="3" t="s">
        <v>7312</v>
      </c>
      <c r="E2695" t="s">
        <v>4683</v>
      </c>
      <c r="F2695" s="3" t="s">
        <v>4684</v>
      </c>
      <c r="G2695" t="s">
        <v>19</v>
      </c>
      <c r="H2695" s="3" t="s">
        <v>4685</v>
      </c>
      <c r="I2695" t="s">
        <v>686</v>
      </c>
      <c r="J2695" s="3" t="s">
        <v>4686</v>
      </c>
      <c r="K2695" s="4">
        <v>706</v>
      </c>
      <c r="L2695" s="5">
        <v>153.38999999999999</v>
      </c>
      <c r="M2695" s="6">
        <v>0</v>
      </c>
      <c r="N2695" s="7">
        <v>1</v>
      </c>
      <c r="O2695" t="s">
        <v>4687</v>
      </c>
      <c r="P2695" s="3" t="s">
        <v>212</v>
      </c>
      <c r="Q2695" s="8">
        <v>0.11074000000000001</v>
      </c>
    </row>
    <row r="2696" spans="1:17" hidden="1" x14ac:dyDescent="0.55000000000000004">
      <c r="A2696" s="3" t="s">
        <v>4623</v>
      </c>
      <c r="B2696" s="3" t="s">
        <v>4682</v>
      </c>
      <c r="C2696" t="s">
        <v>4682</v>
      </c>
      <c r="D2696" s="3" t="s">
        <v>7312</v>
      </c>
      <c r="E2696" t="s">
        <v>4683</v>
      </c>
      <c r="F2696" s="3" t="s">
        <v>4684</v>
      </c>
      <c r="G2696" t="s">
        <v>19</v>
      </c>
      <c r="H2696" s="3" t="s">
        <v>4688</v>
      </c>
      <c r="I2696" t="s">
        <v>1227</v>
      </c>
      <c r="J2696" s="3" t="s">
        <v>4686</v>
      </c>
      <c r="K2696" s="4">
        <v>251</v>
      </c>
      <c r="L2696" s="5">
        <v>54.61</v>
      </c>
      <c r="M2696" s="6">
        <v>0</v>
      </c>
      <c r="N2696" s="7">
        <v>1</v>
      </c>
      <c r="O2696" t="s">
        <v>4689</v>
      </c>
      <c r="P2696" s="3" t="s">
        <v>212</v>
      </c>
      <c r="Q2696" s="8">
        <v>5.1001999999999999E-2</v>
      </c>
    </row>
    <row r="2697" spans="1:17" hidden="1" x14ac:dyDescent="0.55000000000000004">
      <c r="A2697" s="3" t="s">
        <v>4623</v>
      </c>
      <c r="B2697" s="3" t="s">
        <v>4682</v>
      </c>
      <c r="C2697" t="s">
        <v>4682</v>
      </c>
      <c r="D2697" s="3" t="s">
        <v>7312</v>
      </c>
      <c r="E2697" t="s">
        <v>4683</v>
      </c>
      <c r="F2697" s="3" t="s">
        <v>4684</v>
      </c>
      <c r="G2697" t="s">
        <v>19</v>
      </c>
      <c r="H2697" s="3" t="s">
        <v>4690</v>
      </c>
      <c r="I2697" t="s">
        <v>1232</v>
      </c>
      <c r="J2697" s="3" t="s">
        <v>4686</v>
      </c>
      <c r="K2697" s="4">
        <v>752</v>
      </c>
      <c r="L2697" s="5">
        <v>163.43</v>
      </c>
      <c r="M2697" s="6">
        <v>1</v>
      </c>
      <c r="N2697" s="7">
        <v>1</v>
      </c>
      <c r="O2697" t="s">
        <v>4691</v>
      </c>
      <c r="P2697" s="3" t="s">
        <v>212</v>
      </c>
      <c r="Q2697" s="8">
        <v>0.11074000000000001</v>
      </c>
    </row>
    <row r="2698" spans="1:17" hidden="1" x14ac:dyDescent="0.55000000000000004">
      <c r="A2698" s="3" t="s">
        <v>4623</v>
      </c>
      <c r="B2698" s="3" t="s">
        <v>4682</v>
      </c>
      <c r="C2698" t="s">
        <v>4682</v>
      </c>
      <c r="D2698" s="3" t="s">
        <v>7312</v>
      </c>
      <c r="E2698" t="s">
        <v>4683</v>
      </c>
      <c r="F2698" s="3" t="s">
        <v>4684</v>
      </c>
      <c r="G2698" t="s">
        <v>19</v>
      </c>
      <c r="H2698" s="3" t="s">
        <v>4692</v>
      </c>
      <c r="I2698" t="s">
        <v>1223</v>
      </c>
      <c r="J2698" s="3" t="s">
        <v>4686</v>
      </c>
      <c r="K2698" s="4">
        <v>243</v>
      </c>
      <c r="L2698" s="5">
        <v>52.83</v>
      </c>
      <c r="M2698" s="6">
        <v>0</v>
      </c>
      <c r="N2698" s="7">
        <v>1</v>
      </c>
      <c r="O2698" t="s">
        <v>4693</v>
      </c>
      <c r="P2698" s="3" t="s">
        <v>212</v>
      </c>
      <c r="Q2698" s="8">
        <v>5.1001999999999999E-2</v>
      </c>
    </row>
    <row r="2699" spans="1:17" hidden="1" x14ac:dyDescent="0.55000000000000004">
      <c r="A2699" s="3" t="s">
        <v>4623</v>
      </c>
      <c r="B2699" s="3" t="s">
        <v>4682</v>
      </c>
      <c r="C2699" t="s">
        <v>4682</v>
      </c>
      <c r="D2699" s="3" t="s">
        <v>7312</v>
      </c>
      <c r="E2699" t="s">
        <v>4683</v>
      </c>
      <c r="F2699" s="3" t="s">
        <v>4684</v>
      </c>
      <c r="G2699" t="s">
        <v>19</v>
      </c>
      <c r="H2699" s="3" t="s">
        <v>4694</v>
      </c>
      <c r="I2699" t="s">
        <v>1235</v>
      </c>
      <c r="J2699" s="3" t="s">
        <v>4686</v>
      </c>
      <c r="K2699" s="4">
        <v>404</v>
      </c>
      <c r="L2699" s="5">
        <v>87.91</v>
      </c>
      <c r="M2699" s="6">
        <v>0</v>
      </c>
      <c r="N2699" s="7">
        <v>1</v>
      </c>
      <c r="O2699" t="s">
        <v>4695</v>
      </c>
      <c r="P2699" s="3" t="s">
        <v>212</v>
      </c>
      <c r="Q2699" s="8">
        <v>8.7613999999999997E-2</v>
      </c>
    </row>
    <row r="2700" spans="1:17" hidden="1" x14ac:dyDescent="0.55000000000000004">
      <c r="A2700" s="3" t="s">
        <v>4623</v>
      </c>
      <c r="B2700" s="3" t="s">
        <v>4682</v>
      </c>
      <c r="C2700" t="s">
        <v>4682</v>
      </c>
      <c r="D2700" s="3" t="s">
        <v>7312</v>
      </c>
      <c r="E2700" t="s">
        <v>4683</v>
      </c>
      <c r="F2700" s="3" t="s">
        <v>4684</v>
      </c>
      <c r="G2700" t="s">
        <v>24</v>
      </c>
      <c r="H2700" s="3" t="s">
        <v>4696</v>
      </c>
      <c r="I2700" t="s">
        <v>52</v>
      </c>
      <c r="J2700" s="3" t="s">
        <v>4697</v>
      </c>
      <c r="K2700" s="4">
        <v>371</v>
      </c>
      <c r="L2700" s="5">
        <v>16.89</v>
      </c>
      <c r="M2700" s="6">
        <v>0</v>
      </c>
      <c r="N2700" s="7">
        <v>1</v>
      </c>
      <c r="O2700" t="s">
        <v>4698</v>
      </c>
      <c r="P2700" s="3" t="s">
        <v>55</v>
      </c>
      <c r="Q2700" s="8">
        <v>0.18174999999999999</v>
      </c>
    </row>
    <row r="2701" spans="1:17" hidden="1" x14ac:dyDescent="0.55000000000000004">
      <c r="A2701" s="3" t="s">
        <v>4623</v>
      </c>
      <c r="B2701" s="3" t="s">
        <v>4699</v>
      </c>
      <c r="C2701" t="s">
        <v>4699</v>
      </c>
      <c r="D2701" s="3" t="s">
        <v>7312</v>
      </c>
      <c r="E2701" t="s">
        <v>4700</v>
      </c>
      <c r="F2701" s="3" t="s">
        <v>4701</v>
      </c>
      <c r="G2701" t="s">
        <v>19</v>
      </c>
      <c r="H2701" s="3" t="s">
        <v>4702</v>
      </c>
      <c r="I2701" t="s">
        <v>1284</v>
      </c>
      <c r="J2701" s="3" t="s">
        <v>4703</v>
      </c>
      <c r="K2701" s="4">
        <v>514</v>
      </c>
      <c r="L2701" s="5">
        <v>111.74</v>
      </c>
      <c r="M2701" s="6">
        <v>0</v>
      </c>
      <c r="N2701" s="7">
        <v>1</v>
      </c>
      <c r="O2701" t="s">
        <v>4704</v>
      </c>
      <c r="P2701" s="3" t="s">
        <v>1287</v>
      </c>
      <c r="Q2701" s="8">
        <v>8.6070999999999995E-2</v>
      </c>
    </row>
    <row r="2702" spans="1:17" hidden="1" x14ac:dyDescent="0.55000000000000004">
      <c r="A2702" s="3" t="s">
        <v>4623</v>
      </c>
      <c r="B2702" s="3" t="s">
        <v>4699</v>
      </c>
      <c r="C2702" t="s">
        <v>4699</v>
      </c>
      <c r="D2702" s="3" t="s">
        <v>7312</v>
      </c>
      <c r="E2702" t="s">
        <v>4700</v>
      </c>
      <c r="F2702" s="3" t="s">
        <v>4701</v>
      </c>
      <c r="G2702" t="s">
        <v>19</v>
      </c>
      <c r="H2702" s="3" t="s">
        <v>4705</v>
      </c>
      <c r="I2702" t="s">
        <v>1357</v>
      </c>
      <c r="J2702" s="3" t="s">
        <v>4703</v>
      </c>
      <c r="K2702" s="4">
        <v>600</v>
      </c>
      <c r="L2702" s="5">
        <v>130.38999999999999</v>
      </c>
      <c r="M2702" s="6">
        <v>1</v>
      </c>
      <c r="N2702" s="7">
        <v>1</v>
      </c>
      <c r="O2702" t="s">
        <v>4706</v>
      </c>
      <c r="P2702" s="3" t="s">
        <v>1287</v>
      </c>
      <c r="Q2702" s="8">
        <v>8.6938000000000001E-2</v>
      </c>
    </row>
    <row r="2703" spans="1:17" hidden="1" x14ac:dyDescent="0.55000000000000004">
      <c r="A2703" s="3" t="s">
        <v>4623</v>
      </c>
      <c r="B2703" s="3" t="s">
        <v>4699</v>
      </c>
      <c r="C2703" t="s">
        <v>4699</v>
      </c>
      <c r="D2703" s="3" t="s">
        <v>7312</v>
      </c>
      <c r="E2703" t="s">
        <v>4700</v>
      </c>
      <c r="F2703" s="3" t="s">
        <v>4701</v>
      </c>
      <c r="G2703" t="s">
        <v>24</v>
      </c>
      <c r="H2703" s="3" t="s">
        <v>4707</v>
      </c>
      <c r="I2703" t="s">
        <v>52</v>
      </c>
      <c r="J2703" s="3" t="s">
        <v>4708</v>
      </c>
      <c r="K2703" s="4">
        <v>366</v>
      </c>
      <c r="L2703" s="5">
        <v>16.63</v>
      </c>
      <c r="M2703" s="6">
        <v>0</v>
      </c>
      <c r="N2703" s="7">
        <v>1</v>
      </c>
      <c r="O2703" t="s">
        <v>4709</v>
      </c>
      <c r="P2703" s="3" t="s">
        <v>55</v>
      </c>
      <c r="Q2703" s="8">
        <v>0.18169399999999999</v>
      </c>
    </row>
    <row r="2704" spans="1:17" hidden="1" x14ac:dyDescent="0.55000000000000004">
      <c r="A2704" s="3" t="s">
        <v>4623</v>
      </c>
      <c r="B2704" s="3" t="s">
        <v>4710</v>
      </c>
      <c r="C2704" t="s">
        <v>4710</v>
      </c>
      <c r="D2704" s="3" t="s">
        <v>7312</v>
      </c>
      <c r="E2704" t="s">
        <v>4711</v>
      </c>
      <c r="F2704" s="3" t="s">
        <v>4712</v>
      </c>
      <c r="G2704" t="s">
        <v>19</v>
      </c>
      <c r="H2704" s="3" t="s">
        <v>4713</v>
      </c>
      <c r="I2704" t="s">
        <v>1284</v>
      </c>
      <c r="J2704" s="3" t="s">
        <v>4714</v>
      </c>
      <c r="K2704" s="4">
        <v>390</v>
      </c>
      <c r="L2704" s="5">
        <v>84.87</v>
      </c>
      <c r="M2704" s="6">
        <v>0</v>
      </c>
      <c r="N2704" s="7">
        <v>1</v>
      </c>
      <c r="O2704" t="s">
        <v>4715</v>
      </c>
      <c r="P2704" s="3" t="s">
        <v>1287</v>
      </c>
      <c r="Q2704" s="8">
        <v>6.2089999999999999E-2</v>
      </c>
    </row>
    <row r="2705" spans="1:17" hidden="1" x14ac:dyDescent="0.55000000000000004">
      <c r="A2705" s="3" t="s">
        <v>4623</v>
      </c>
      <c r="B2705" s="3" t="s">
        <v>4710</v>
      </c>
      <c r="C2705" t="s">
        <v>4710</v>
      </c>
      <c r="D2705" s="3" t="s">
        <v>7312</v>
      </c>
      <c r="E2705" t="s">
        <v>4711</v>
      </c>
      <c r="F2705" s="3" t="s">
        <v>4712</v>
      </c>
      <c r="G2705" t="s">
        <v>19</v>
      </c>
      <c r="H2705" s="3" t="s">
        <v>4716</v>
      </c>
      <c r="I2705" t="s">
        <v>1357</v>
      </c>
      <c r="J2705" s="3" t="s">
        <v>4714</v>
      </c>
      <c r="K2705" s="4">
        <v>476</v>
      </c>
      <c r="L2705" s="5">
        <v>103.52</v>
      </c>
      <c r="M2705" s="6">
        <v>1</v>
      </c>
      <c r="N2705" s="7">
        <v>1</v>
      </c>
      <c r="O2705" t="s">
        <v>4717</v>
      </c>
      <c r="P2705" s="3" t="s">
        <v>1287</v>
      </c>
      <c r="Q2705" s="8">
        <v>6.2716999999999995E-2</v>
      </c>
    </row>
    <row r="2706" spans="1:17" hidden="1" x14ac:dyDescent="0.55000000000000004">
      <c r="A2706" s="3" t="s">
        <v>4623</v>
      </c>
      <c r="B2706" s="3" t="s">
        <v>4710</v>
      </c>
      <c r="C2706" t="s">
        <v>4710</v>
      </c>
      <c r="D2706" s="3" t="s">
        <v>7312</v>
      </c>
      <c r="E2706" t="s">
        <v>4711</v>
      </c>
      <c r="F2706" s="3" t="s">
        <v>4712</v>
      </c>
      <c r="G2706" t="s">
        <v>19</v>
      </c>
      <c r="H2706" s="3" t="s">
        <v>4718</v>
      </c>
      <c r="I2706" t="s">
        <v>1289</v>
      </c>
      <c r="J2706" s="3" t="s">
        <v>4714</v>
      </c>
      <c r="K2706" s="4">
        <v>330</v>
      </c>
      <c r="L2706" s="5">
        <v>71.8</v>
      </c>
      <c r="M2706" s="6">
        <v>0</v>
      </c>
      <c r="N2706" s="7">
        <v>1</v>
      </c>
      <c r="O2706" t="s">
        <v>4719</v>
      </c>
      <c r="P2706" s="3" t="s">
        <v>1287</v>
      </c>
      <c r="Q2706" s="8">
        <v>6.0074000000000002E-2</v>
      </c>
    </row>
    <row r="2707" spans="1:17" hidden="1" x14ac:dyDescent="0.55000000000000004">
      <c r="A2707" s="9" t="s">
        <v>4623</v>
      </c>
      <c r="B2707" s="3" t="s">
        <v>4710</v>
      </c>
      <c r="C2707" t="s">
        <v>4710</v>
      </c>
      <c r="D2707" s="3" t="s">
        <v>7312</v>
      </c>
      <c r="E2707" t="s">
        <v>4711</v>
      </c>
      <c r="F2707" s="3" t="s">
        <v>4712</v>
      </c>
      <c r="G2707" t="s">
        <v>24</v>
      </c>
      <c r="H2707" s="3" t="s">
        <v>4720</v>
      </c>
      <c r="I2707" t="s">
        <v>52</v>
      </c>
      <c r="J2707" s="3" t="s">
        <v>4721</v>
      </c>
      <c r="K2707" s="4">
        <v>209</v>
      </c>
      <c r="L2707" s="5">
        <v>9.5</v>
      </c>
      <c r="M2707" s="6">
        <v>0</v>
      </c>
      <c r="N2707" s="7">
        <v>1</v>
      </c>
      <c r="O2707" t="s">
        <v>4722</v>
      </c>
      <c r="P2707" s="3" t="s">
        <v>55</v>
      </c>
      <c r="Q2707" s="8">
        <v>0.18012800000000001</v>
      </c>
    </row>
    <row r="2708" spans="1:17" hidden="1" x14ac:dyDescent="0.55000000000000004">
      <c r="A2708" s="3" t="s">
        <v>4723</v>
      </c>
      <c r="B2708" s="3" t="s">
        <v>1137</v>
      </c>
      <c r="C2708" t="s">
        <v>1137</v>
      </c>
      <c r="D2708" s="3" t="s">
        <v>7312</v>
      </c>
      <c r="E2708" t="s">
        <v>4724</v>
      </c>
      <c r="F2708" s="3" t="s">
        <v>4725</v>
      </c>
      <c r="G2708" t="s">
        <v>19</v>
      </c>
      <c r="H2708" s="3" t="s">
        <v>4726</v>
      </c>
      <c r="I2708" t="s">
        <v>81</v>
      </c>
      <c r="J2708" s="3" t="s">
        <v>4727</v>
      </c>
      <c r="K2708" s="4">
        <v>835</v>
      </c>
      <c r="L2708" s="5">
        <v>181.52</v>
      </c>
      <c r="M2708" s="6">
        <v>1</v>
      </c>
      <c r="N2708" s="7">
        <v>0</v>
      </c>
      <c r="O2708" t="s">
        <v>4728</v>
      </c>
      <c r="P2708" s="3" t="s">
        <v>84</v>
      </c>
      <c r="Q2708" s="8">
        <v>4.0399999999999998E-2</v>
      </c>
    </row>
    <row r="2709" spans="1:17" hidden="1" x14ac:dyDescent="0.55000000000000004">
      <c r="A2709" s="3" t="s">
        <v>4723</v>
      </c>
      <c r="B2709" s="3" t="s">
        <v>1137</v>
      </c>
      <c r="C2709" t="s">
        <v>1137</v>
      </c>
      <c r="D2709" s="3" t="s">
        <v>7312</v>
      </c>
      <c r="E2709" t="s">
        <v>4724</v>
      </c>
      <c r="F2709" s="3" t="s">
        <v>4725</v>
      </c>
      <c r="G2709" t="s">
        <v>24</v>
      </c>
      <c r="H2709" s="3" t="s">
        <v>4729</v>
      </c>
      <c r="I2709" t="s">
        <v>43</v>
      </c>
      <c r="J2709" s="3" t="s">
        <v>4730</v>
      </c>
      <c r="K2709" s="4">
        <v>550</v>
      </c>
      <c r="L2709" s="5">
        <v>24.98</v>
      </c>
      <c r="M2709" s="6">
        <v>1</v>
      </c>
      <c r="N2709" s="7">
        <v>0</v>
      </c>
      <c r="O2709" t="s">
        <v>4731</v>
      </c>
      <c r="P2709" s="3" t="s">
        <v>46</v>
      </c>
      <c r="Q2709" s="8">
        <v>0.20116700000000001</v>
      </c>
    </row>
    <row r="2710" spans="1:17" hidden="1" x14ac:dyDescent="0.55000000000000004">
      <c r="A2710" s="3" t="s">
        <v>4723</v>
      </c>
      <c r="B2710" s="3" t="s">
        <v>1137</v>
      </c>
      <c r="C2710" t="s">
        <v>1137</v>
      </c>
      <c r="D2710" s="3" t="s">
        <v>7312</v>
      </c>
      <c r="E2710" t="s">
        <v>4724</v>
      </c>
      <c r="F2710" s="3" t="s">
        <v>4725</v>
      </c>
      <c r="G2710" t="s">
        <v>24</v>
      </c>
      <c r="H2710" s="3" t="s">
        <v>4732</v>
      </c>
      <c r="I2710" t="s">
        <v>48</v>
      </c>
      <c r="J2710" s="3" t="s">
        <v>4730</v>
      </c>
      <c r="K2710" s="4">
        <v>659</v>
      </c>
      <c r="L2710" s="5">
        <v>29.94</v>
      </c>
      <c r="M2710" s="6">
        <v>0</v>
      </c>
      <c r="N2710" s="7">
        <v>0</v>
      </c>
      <c r="O2710" t="s">
        <v>4733</v>
      </c>
      <c r="P2710" s="3" t="s">
        <v>23</v>
      </c>
      <c r="Q2710" s="8" t="s">
        <v>23</v>
      </c>
    </row>
    <row r="2711" spans="1:17" hidden="1" x14ac:dyDescent="0.55000000000000004">
      <c r="A2711" s="3" t="s">
        <v>4723</v>
      </c>
      <c r="B2711" s="3" t="s">
        <v>1137</v>
      </c>
      <c r="C2711" t="s">
        <v>1137</v>
      </c>
      <c r="D2711" s="3" t="s">
        <v>7312</v>
      </c>
      <c r="E2711" t="s">
        <v>4734</v>
      </c>
      <c r="F2711" s="3" t="s">
        <v>4735</v>
      </c>
      <c r="G2711" t="s">
        <v>19</v>
      </c>
      <c r="H2711" s="3" t="s">
        <v>4726</v>
      </c>
      <c r="I2711" t="s">
        <v>81</v>
      </c>
      <c r="J2711" s="3" t="s">
        <v>4727</v>
      </c>
      <c r="K2711" s="4">
        <v>835</v>
      </c>
      <c r="L2711" s="5">
        <v>181.52</v>
      </c>
      <c r="M2711" s="6">
        <v>1</v>
      </c>
      <c r="N2711" s="7">
        <v>0</v>
      </c>
      <c r="O2711" t="s">
        <v>4728</v>
      </c>
      <c r="P2711" s="3" t="s">
        <v>84</v>
      </c>
      <c r="Q2711" s="8">
        <v>4.0399999999999998E-2</v>
      </c>
    </row>
    <row r="2712" spans="1:17" hidden="1" x14ac:dyDescent="0.55000000000000004">
      <c r="A2712" s="3" t="s">
        <v>4723</v>
      </c>
      <c r="B2712" s="3" t="s">
        <v>1137</v>
      </c>
      <c r="C2712" t="s">
        <v>1137</v>
      </c>
      <c r="D2712" s="3" t="s">
        <v>7312</v>
      </c>
      <c r="E2712" t="s">
        <v>4734</v>
      </c>
      <c r="F2712" s="3" t="s">
        <v>4735</v>
      </c>
      <c r="G2712" t="s">
        <v>19</v>
      </c>
      <c r="H2712" s="3" t="s">
        <v>4736</v>
      </c>
      <c r="I2712" t="s">
        <v>86</v>
      </c>
      <c r="J2712" s="3" t="s">
        <v>4737</v>
      </c>
      <c r="K2712" s="4">
        <v>544</v>
      </c>
      <c r="L2712" s="5">
        <v>118.35</v>
      </c>
      <c r="M2712" s="6">
        <v>0</v>
      </c>
      <c r="N2712" s="7">
        <v>0</v>
      </c>
      <c r="O2712" t="s">
        <v>4738</v>
      </c>
      <c r="P2712" s="3" t="s">
        <v>89</v>
      </c>
      <c r="Q2712" s="8">
        <v>3.9710000000000002E-2</v>
      </c>
    </row>
    <row r="2713" spans="1:17" hidden="1" x14ac:dyDescent="0.55000000000000004">
      <c r="A2713" s="3" t="s">
        <v>4723</v>
      </c>
      <c r="B2713" s="3" t="s">
        <v>1137</v>
      </c>
      <c r="C2713" t="s">
        <v>1137</v>
      </c>
      <c r="D2713" s="3" t="s">
        <v>7312</v>
      </c>
      <c r="E2713" t="s">
        <v>4734</v>
      </c>
      <c r="F2713" s="3" t="s">
        <v>4735</v>
      </c>
      <c r="G2713" t="s">
        <v>24</v>
      </c>
      <c r="H2713" s="3" t="s">
        <v>4729</v>
      </c>
      <c r="I2713" t="s">
        <v>43</v>
      </c>
      <c r="J2713" s="3" t="s">
        <v>4730</v>
      </c>
      <c r="K2713" s="4">
        <v>550</v>
      </c>
      <c r="L2713" s="5">
        <v>24.98</v>
      </c>
      <c r="M2713" s="6">
        <v>1</v>
      </c>
      <c r="N2713" s="7">
        <v>0</v>
      </c>
      <c r="O2713" t="s">
        <v>4731</v>
      </c>
      <c r="P2713" s="3" t="s">
        <v>46</v>
      </c>
      <c r="Q2713" s="8">
        <v>0.20116700000000001</v>
      </c>
    </row>
    <row r="2714" spans="1:17" hidden="1" x14ac:dyDescent="0.55000000000000004">
      <c r="A2714" s="3" t="s">
        <v>4723</v>
      </c>
      <c r="B2714" s="3" t="s">
        <v>1137</v>
      </c>
      <c r="C2714" t="s">
        <v>1137</v>
      </c>
      <c r="D2714" s="3" t="s">
        <v>7312</v>
      </c>
      <c r="E2714" t="s">
        <v>4734</v>
      </c>
      <c r="F2714" s="3" t="s">
        <v>4735</v>
      </c>
      <c r="G2714" t="s">
        <v>24</v>
      </c>
      <c r="H2714" s="3" t="s">
        <v>4732</v>
      </c>
      <c r="I2714" t="s">
        <v>48</v>
      </c>
      <c r="J2714" s="3" t="s">
        <v>4730</v>
      </c>
      <c r="K2714" s="4">
        <v>659</v>
      </c>
      <c r="L2714" s="5">
        <v>29.94</v>
      </c>
      <c r="M2714" s="6">
        <v>0</v>
      </c>
      <c r="N2714" s="7">
        <v>0</v>
      </c>
      <c r="O2714" t="s">
        <v>4733</v>
      </c>
      <c r="P2714" s="3" t="s">
        <v>23</v>
      </c>
      <c r="Q2714" s="8" t="s">
        <v>23</v>
      </c>
    </row>
    <row r="2715" spans="1:17" hidden="1" x14ac:dyDescent="0.55000000000000004">
      <c r="A2715" s="3" t="s">
        <v>4723</v>
      </c>
      <c r="B2715" s="3" t="s">
        <v>1137</v>
      </c>
      <c r="C2715" t="s">
        <v>1137</v>
      </c>
      <c r="D2715" s="3" t="s">
        <v>7312</v>
      </c>
      <c r="E2715" t="s">
        <v>4739</v>
      </c>
      <c r="F2715" s="3" t="s">
        <v>4740</v>
      </c>
      <c r="G2715" t="s">
        <v>19</v>
      </c>
      <c r="H2715" s="3" t="s">
        <v>4726</v>
      </c>
      <c r="I2715" t="s">
        <v>81</v>
      </c>
      <c r="J2715" s="3" t="s">
        <v>4727</v>
      </c>
      <c r="K2715" s="4">
        <v>835</v>
      </c>
      <c r="L2715" s="5">
        <v>181.52</v>
      </c>
      <c r="M2715" s="6">
        <v>1</v>
      </c>
      <c r="N2715" s="7">
        <v>0</v>
      </c>
      <c r="O2715" t="s">
        <v>4728</v>
      </c>
      <c r="P2715" s="3" t="s">
        <v>84</v>
      </c>
      <c r="Q2715" s="8">
        <v>4.0399999999999998E-2</v>
      </c>
    </row>
    <row r="2716" spans="1:17" hidden="1" x14ac:dyDescent="0.55000000000000004">
      <c r="A2716" s="3" t="s">
        <v>4723</v>
      </c>
      <c r="B2716" s="3" t="s">
        <v>1137</v>
      </c>
      <c r="C2716" t="s">
        <v>1137</v>
      </c>
      <c r="D2716" s="3" t="s">
        <v>7312</v>
      </c>
      <c r="E2716" t="s">
        <v>4739</v>
      </c>
      <c r="F2716" s="3" t="s">
        <v>4740</v>
      </c>
      <c r="G2716" t="s">
        <v>24</v>
      </c>
      <c r="H2716" s="3" t="s">
        <v>4729</v>
      </c>
      <c r="I2716" t="s">
        <v>43</v>
      </c>
      <c r="J2716" s="3" t="s">
        <v>4730</v>
      </c>
      <c r="K2716" s="4">
        <v>550</v>
      </c>
      <c r="L2716" s="5">
        <v>24.98</v>
      </c>
      <c r="M2716" s="6">
        <v>1</v>
      </c>
      <c r="N2716" s="7">
        <v>0</v>
      </c>
      <c r="O2716" t="s">
        <v>4731</v>
      </c>
      <c r="P2716" s="3" t="s">
        <v>46</v>
      </c>
      <c r="Q2716" s="8">
        <v>0.20116700000000001</v>
      </c>
    </row>
    <row r="2717" spans="1:17" hidden="1" x14ac:dyDescent="0.55000000000000004">
      <c r="A2717" s="3" t="s">
        <v>4723</v>
      </c>
      <c r="B2717" s="3" t="s">
        <v>1137</v>
      </c>
      <c r="C2717" t="s">
        <v>1137</v>
      </c>
      <c r="D2717" s="3" t="s">
        <v>7312</v>
      </c>
      <c r="E2717" t="s">
        <v>4739</v>
      </c>
      <c r="F2717" s="3" t="s">
        <v>4740</v>
      </c>
      <c r="G2717" t="s">
        <v>24</v>
      </c>
      <c r="H2717" s="3" t="s">
        <v>4732</v>
      </c>
      <c r="I2717" t="s">
        <v>48</v>
      </c>
      <c r="J2717" s="3" t="s">
        <v>4730</v>
      </c>
      <c r="K2717" s="4">
        <v>659</v>
      </c>
      <c r="L2717" s="5">
        <v>29.94</v>
      </c>
      <c r="M2717" s="6">
        <v>0</v>
      </c>
      <c r="N2717" s="7">
        <v>0</v>
      </c>
      <c r="O2717" t="s">
        <v>4733</v>
      </c>
      <c r="P2717" s="3" t="s">
        <v>23</v>
      </c>
      <c r="Q2717" s="8" t="s">
        <v>23</v>
      </c>
    </row>
    <row r="2718" spans="1:17" hidden="1" x14ac:dyDescent="0.55000000000000004">
      <c r="A2718" s="3" t="s">
        <v>4723</v>
      </c>
      <c r="B2718" s="3" t="s">
        <v>1137</v>
      </c>
      <c r="C2718" t="s">
        <v>1137</v>
      </c>
      <c r="D2718" s="3" t="s">
        <v>7312</v>
      </c>
      <c r="E2718" t="s">
        <v>4741</v>
      </c>
      <c r="F2718" s="3" t="s">
        <v>4742</v>
      </c>
      <c r="G2718" t="s">
        <v>19</v>
      </c>
      <c r="H2718" s="3" t="s">
        <v>4726</v>
      </c>
      <c r="I2718" t="s">
        <v>81</v>
      </c>
      <c r="J2718" s="3" t="s">
        <v>4727</v>
      </c>
      <c r="K2718" s="4">
        <v>835</v>
      </c>
      <c r="L2718" s="5">
        <v>181.52</v>
      </c>
      <c r="M2718" s="6">
        <v>1</v>
      </c>
      <c r="N2718" s="7">
        <v>0</v>
      </c>
      <c r="O2718" t="s">
        <v>4728</v>
      </c>
      <c r="P2718" s="3" t="s">
        <v>84</v>
      </c>
      <c r="Q2718" s="8">
        <v>4.0399999999999998E-2</v>
      </c>
    </row>
    <row r="2719" spans="1:17" hidden="1" x14ac:dyDescent="0.55000000000000004">
      <c r="A2719" s="3" t="s">
        <v>4723</v>
      </c>
      <c r="B2719" s="3" t="s">
        <v>1137</v>
      </c>
      <c r="C2719" t="s">
        <v>1137</v>
      </c>
      <c r="D2719" s="3" t="s">
        <v>7312</v>
      </c>
      <c r="E2719" t="s">
        <v>4741</v>
      </c>
      <c r="F2719" s="3" t="s">
        <v>4742</v>
      </c>
      <c r="G2719" t="s">
        <v>24</v>
      </c>
      <c r="H2719" s="3" t="s">
        <v>4729</v>
      </c>
      <c r="I2719" t="s">
        <v>43</v>
      </c>
      <c r="J2719" s="3" t="s">
        <v>4730</v>
      </c>
      <c r="K2719" s="4">
        <v>550</v>
      </c>
      <c r="L2719" s="5">
        <v>24.98</v>
      </c>
      <c r="M2719" s="6">
        <v>1</v>
      </c>
      <c r="N2719" s="7">
        <v>0</v>
      </c>
      <c r="O2719" t="s">
        <v>4731</v>
      </c>
      <c r="P2719" s="3" t="s">
        <v>46</v>
      </c>
      <c r="Q2719" s="8">
        <v>0.20116700000000001</v>
      </c>
    </row>
    <row r="2720" spans="1:17" hidden="1" x14ac:dyDescent="0.55000000000000004">
      <c r="A2720" s="3" t="s">
        <v>4723</v>
      </c>
      <c r="B2720" s="3" t="s">
        <v>1137</v>
      </c>
      <c r="C2720" t="s">
        <v>1137</v>
      </c>
      <c r="D2720" s="3" t="s">
        <v>7312</v>
      </c>
      <c r="E2720" t="s">
        <v>4741</v>
      </c>
      <c r="F2720" s="3" t="s">
        <v>4742</v>
      </c>
      <c r="G2720" t="s">
        <v>24</v>
      </c>
      <c r="H2720" s="3" t="s">
        <v>4732</v>
      </c>
      <c r="I2720" t="s">
        <v>48</v>
      </c>
      <c r="J2720" s="3" t="s">
        <v>4730</v>
      </c>
      <c r="K2720" s="4">
        <v>659</v>
      </c>
      <c r="L2720" s="5">
        <v>29.94</v>
      </c>
      <c r="M2720" s="6">
        <v>0</v>
      </c>
      <c r="N2720" s="7">
        <v>0</v>
      </c>
      <c r="O2720" t="s">
        <v>4733</v>
      </c>
      <c r="P2720" s="3" t="s">
        <v>23</v>
      </c>
      <c r="Q2720" s="8" t="s">
        <v>23</v>
      </c>
    </row>
    <row r="2721" spans="1:17" hidden="1" x14ac:dyDescent="0.55000000000000004">
      <c r="A2721" s="3" t="s">
        <v>4723</v>
      </c>
      <c r="B2721" s="3" t="s">
        <v>1137</v>
      </c>
      <c r="C2721" t="s">
        <v>1137</v>
      </c>
      <c r="D2721" s="3" t="s">
        <v>7312</v>
      </c>
      <c r="E2721" t="s">
        <v>4743</v>
      </c>
      <c r="F2721" s="3" t="s">
        <v>4744</v>
      </c>
      <c r="G2721" t="s">
        <v>19</v>
      </c>
      <c r="H2721" s="3" t="s">
        <v>4726</v>
      </c>
      <c r="I2721" t="s">
        <v>81</v>
      </c>
      <c r="J2721" s="3" t="s">
        <v>4727</v>
      </c>
      <c r="K2721" s="4">
        <v>835</v>
      </c>
      <c r="L2721" s="5">
        <v>181.52</v>
      </c>
      <c r="M2721" s="6">
        <v>1</v>
      </c>
      <c r="N2721" s="7">
        <v>1</v>
      </c>
      <c r="O2721" t="s">
        <v>4728</v>
      </c>
      <c r="P2721" s="3" t="s">
        <v>84</v>
      </c>
      <c r="Q2721" s="8">
        <v>4.0399999999999998E-2</v>
      </c>
    </row>
    <row r="2722" spans="1:17" hidden="1" x14ac:dyDescent="0.55000000000000004">
      <c r="A2722" s="3" t="s">
        <v>4723</v>
      </c>
      <c r="B2722" s="3" t="s">
        <v>1137</v>
      </c>
      <c r="C2722" t="s">
        <v>1137</v>
      </c>
      <c r="D2722" s="3" t="s">
        <v>7312</v>
      </c>
      <c r="E2722" t="s">
        <v>4743</v>
      </c>
      <c r="F2722" s="3" t="s">
        <v>4744</v>
      </c>
      <c r="G2722" t="s">
        <v>19</v>
      </c>
      <c r="H2722" s="3" t="s">
        <v>4736</v>
      </c>
      <c r="I2722" t="s">
        <v>86</v>
      </c>
      <c r="J2722" s="3" t="s">
        <v>4737</v>
      </c>
      <c r="K2722" s="4">
        <v>544</v>
      </c>
      <c r="L2722" s="5">
        <v>118.35</v>
      </c>
      <c r="M2722" s="6">
        <v>0</v>
      </c>
      <c r="N2722" s="7">
        <v>1</v>
      </c>
      <c r="O2722" t="s">
        <v>4738</v>
      </c>
      <c r="P2722" s="3" t="s">
        <v>89</v>
      </c>
      <c r="Q2722" s="8">
        <v>3.9710000000000002E-2</v>
      </c>
    </row>
    <row r="2723" spans="1:17" hidden="1" x14ac:dyDescent="0.55000000000000004">
      <c r="A2723" s="3" t="s">
        <v>4723</v>
      </c>
      <c r="B2723" s="3" t="s">
        <v>1137</v>
      </c>
      <c r="C2723" t="s">
        <v>1137</v>
      </c>
      <c r="D2723" s="3" t="s">
        <v>7312</v>
      </c>
      <c r="E2723" t="s">
        <v>4743</v>
      </c>
      <c r="F2723" s="3" t="s">
        <v>4744</v>
      </c>
      <c r="G2723" t="s">
        <v>24</v>
      </c>
      <c r="H2723" s="3" t="s">
        <v>4729</v>
      </c>
      <c r="I2723" t="s">
        <v>43</v>
      </c>
      <c r="J2723" s="3" t="s">
        <v>4730</v>
      </c>
      <c r="K2723" s="4">
        <v>550</v>
      </c>
      <c r="L2723" s="5">
        <v>24.98</v>
      </c>
      <c r="M2723" s="6">
        <v>1</v>
      </c>
      <c r="N2723" s="7">
        <v>1</v>
      </c>
      <c r="O2723" t="s">
        <v>4731</v>
      </c>
      <c r="P2723" s="3" t="s">
        <v>46</v>
      </c>
      <c r="Q2723" s="8">
        <v>0.20116700000000001</v>
      </c>
    </row>
    <row r="2724" spans="1:17" hidden="1" x14ac:dyDescent="0.55000000000000004">
      <c r="A2724" s="3" t="s">
        <v>4723</v>
      </c>
      <c r="B2724" s="3" t="s">
        <v>1137</v>
      </c>
      <c r="C2724" t="s">
        <v>1137</v>
      </c>
      <c r="D2724" s="3" t="s">
        <v>7312</v>
      </c>
      <c r="E2724" t="s">
        <v>4743</v>
      </c>
      <c r="F2724" s="3" t="s">
        <v>4744</v>
      </c>
      <c r="G2724" t="s">
        <v>24</v>
      </c>
      <c r="H2724" s="3" t="s">
        <v>4732</v>
      </c>
      <c r="I2724" t="s">
        <v>48</v>
      </c>
      <c r="J2724" s="3" t="s">
        <v>4730</v>
      </c>
      <c r="K2724" s="4">
        <v>659</v>
      </c>
      <c r="L2724" s="5">
        <v>29.94</v>
      </c>
      <c r="M2724" s="6">
        <v>0</v>
      </c>
      <c r="N2724" s="7">
        <v>1</v>
      </c>
      <c r="O2724" t="s">
        <v>4733</v>
      </c>
      <c r="P2724" s="3" t="s">
        <v>23</v>
      </c>
      <c r="Q2724" s="8" t="s">
        <v>23</v>
      </c>
    </row>
    <row r="2725" spans="1:17" hidden="1" x14ac:dyDescent="0.55000000000000004">
      <c r="A2725" s="3" t="s">
        <v>4723</v>
      </c>
      <c r="B2725" s="3" t="s">
        <v>4745</v>
      </c>
      <c r="C2725" t="s">
        <v>4745</v>
      </c>
      <c r="D2725" s="3" t="s">
        <v>7312</v>
      </c>
      <c r="E2725" t="s">
        <v>4746</v>
      </c>
      <c r="F2725" s="3" t="s">
        <v>4747</v>
      </c>
      <c r="G2725" t="s">
        <v>19</v>
      </c>
      <c r="H2725" s="3" t="s">
        <v>4748</v>
      </c>
      <c r="I2725" t="s">
        <v>81</v>
      </c>
      <c r="J2725" s="3" t="s">
        <v>4749</v>
      </c>
      <c r="K2725" s="4">
        <v>931</v>
      </c>
      <c r="L2725" s="5">
        <v>202.39</v>
      </c>
      <c r="M2725" s="6">
        <v>1</v>
      </c>
      <c r="N2725" s="7">
        <v>1</v>
      </c>
      <c r="O2725" t="s">
        <v>4750</v>
      </c>
      <c r="P2725" s="3" t="s">
        <v>84</v>
      </c>
      <c r="Q2725" s="8">
        <v>4.2035999999999997E-2</v>
      </c>
    </row>
    <row r="2726" spans="1:17" hidden="1" x14ac:dyDescent="0.55000000000000004">
      <c r="A2726" s="3" t="s">
        <v>4723</v>
      </c>
      <c r="B2726" s="3" t="s">
        <v>4745</v>
      </c>
      <c r="C2726" t="s">
        <v>4745</v>
      </c>
      <c r="D2726" s="3" t="s">
        <v>7312</v>
      </c>
      <c r="E2726" t="s">
        <v>4746</v>
      </c>
      <c r="F2726" s="3" t="s">
        <v>4747</v>
      </c>
      <c r="G2726" t="s">
        <v>19</v>
      </c>
      <c r="H2726" s="3" t="s">
        <v>4751</v>
      </c>
      <c r="I2726" t="s">
        <v>86</v>
      </c>
      <c r="J2726" s="3" t="s">
        <v>4752</v>
      </c>
      <c r="K2726" s="4">
        <v>642</v>
      </c>
      <c r="L2726" s="5">
        <v>139.66999999999999</v>
      </c>
      <c r="M2726" s="6">
        <v>0</v>
      </c>
      <c r="N2726" s="7">
        <v>1</v>
      </c>
      <c r="O2726" t="s">
        <v>4753</v>
      </c>
      <c r="P2726" s="3" t="s">
        <v>89</v>
      </c>
      <c r="Q2726" s="8">
        <v>4.1588E-2</v>
      </c>
    </row>
    <row r="2727" spans="1:17" hidden="1" x14ac:dyDescent="0.55000000000000004">
      <c r="A2727" s="3" t="s">
        <v>4723</v>
      </c>
      <c r="B2727" s="3" t="s">
        <v>4745</v>
      </c>
      <c r="C2727" t="s">
        <v>4745</v>
      </c>
      <c r="D2727" s="3" t="s">
        <v>7312</v>
      </c>
      <c r="E2727" t="s">
        <v>4746</v>
      </c>
      <c r="F2727" s="3" t="s">
        <v>4747</v>
      </c>
      <c r="G2727" t="s">
        <v>24</v>
      </c>
      <c r="H2727" s="3" t="s">
        <v>42</v>
      </c>
      <c r="I2727" t="s">
        <v>43</v>
      </c>
      <c r="J2727" s="3" t="s">
        <v>44</v>
      </c>
      <c r="K2727" s="4">
        <v>540</v>
      </c>
      <c r="L2727" s="5">
        <v>24.56</v>
      </c>
      <c r="M2727" s="6">
        <v>1</v>
      </c>
      <c r="N2727" s="7">
        <v>1</v>
      </c>
      <c r="O2727" t="s">
        <v>45</v>
      </c>
      <c r="P2727" s="3" t="s">
        <v>46</v>
      </c>
      <c r="Q2727" s="8">
        <v>0.19789999999999999</v>
      </c>
    </row>
    <row r="2728" spans="1:17" hidden="1" x14ac:dyDescent="0.55000000000000004">
      <c r="A2728" s="3" t="s">
        <v>4723</v>
      </c>
      <c r="B2728" s="3" t="s">
        <v>4745</v>
      </c>
      <c r="C2728" t="s">
        <v>4745</v>
      </c>
      <c r="D2728" s="3" t="s">
        <v>7312</v>
      </c>
      <c r="E2728" t="s">
        <v>4746</v>
      </c>
      <c r="F2728" s="3" t="s">
        <v>4747</v>
      </c>
      <c r="G2728" t="s">
        <v>24</v>
      </c>
      <c r="H2728" s="3" t="s">
        <v>47</v>
      </c>
      <c r="I2728" t="s">
        <v>48</v>
      </c>
      <c r="J2728" s="3" t="s">
        <v>44</v>
      </c>
      <c r="K2728" s="4">
        <v>612</v>
      </c>
      <c r="L2728" s="5">
        <v>27.82</v>
      </c>
      <c r="M2728" s="6">
        <v>0</v>
      </c>
      <c r="N2728" s="7">
        <v>1</v>
      </c>
      <c r="O2728" t="s">
        <v>49</v>
      </c>
      <c r="P2728" s="3" t="s">
        <v>23</v>
      </c>
      <c r="Q2728" s="8" t="s">
        <v>23</v>
      </c>
    </row>
    <row r="2729" spans="1:17" hidden="1" x14ac:dyDescent="0.55000000000000004">
      <c r="A2729" s="3" t="s">
        <v>4723</v>
      </c>
      <c r="B2729" s="3" t="s">
        <v>4745</v>
      </c>
      <c r="C2729" t="s">
        <v>4745</v>
      </c>
      <c r="D2729" s="3" t="s">
        <v>7312</v>
      </c>
      <c r="E2729" t="s">
        <v>4754</v>
      </c>
      <c r="F2729" s="3" t="s">
        <v>4755</v>
      </c>
      <c r="G2729" t="s">
        <v>19</v>
      </c>
      <c r="H2729" s="3" t="s">
        <v>4748</v>
      </c>
      <c r="I2729" t="s">
        <v>81</v>
      </c>
      <c r="J2729" s="3" t="s">
        <v>4749</v>
      </c>
      <c r="K2729" s="4">
        <v>931</v>
      </c>
      <c r="L2729" s="5">
        <v>202.39</v>
      </c>
      <c r="M2729" s="6">
        <v>1</v>
      </c>
      <c r="N2729" s="7">
        <v>0</v>
      </c>
      <c r="O2729" t="s">
        <v>4750</v>
      </c>
      <c r="P2729" s="3" t="s">
        <v>84</v>
      </c>
      <c r="Q2729" s="8">
        <v>4.2035999999999997E-2</v>
      </c>
    </row>
    <row r="2730" spans="1:17" hidden="1" x14ac:dyDescent="0.55000000000000004">
      <c r="A2730" s="3" t="s">
        <v>4723</v>
      </c>
      <c r="B2730" s="3" t="s">
        <v>4745</v>
      </c>
      <c r="C2730" t="s">
        <v>4745</v>
      </c>
      <c r="D2730" s="3" t="s">
        <v>7312</v>
      </c>
      <c r="E2730" t="s">
        <v>4754</v>
      </c>
      <c r="F2730" s="3" t="s">
        <v>4755</v>
      </c>
      <c r="G2730" t="s">
        <v>24</v>
      </c>
      <c r="H2730" s="3" t="s">
        <v>42</v>
      </c>
      <c r="I2730" t="s">
        <v>43</v>
      </c>
      <c r="J2730" s="3" t="s">
        <v>44</v>
      </c>
      <c r="K2730" s="4">
        <v>540</v>
      </c>
      <c r="L2730" s="5">
        <v>24.56</v>
      </c>
      <c r="M2730" s="6">
        <v>1</v>
      </c>
      <c r="N2730" s="7">
        <v>0</v>
      </c>
      <c r="O2730" t="s">
        <v>45</v>
      </c>
      <c r="P2730" s="3" t="s">
        <v>46</v>
      </c>
      <c r="Q2730" s="8">
        <v>0.19789999999999999</v>
      </c>
    </row>
    <row r="2731" spans="1:17" hidden="1" x14ac:dyDescent="0.55000000000000004">
      <c r="A2731" s="3" t="s">
        <v>4723</v>
      </c>
      <c r="B2731" s="3" t="s">
        <v>4745</v>
      </c>
      <c r="C2731" t="s">
        <v>4745</v>
      </c>
      <c r="D2731" s="3" t="s">
        <v>7312</v>
      </c>
      <c r="E2731" t="s">
        <v>4754</v>
      </c>
      <c r="F2731" s="3" t="s">
        <v>4755</v>
      </c>
      <c r="G2731" t="s">
        <v>24</v>
      </c>
      <c r="H2731" s="3" t="s">
        <v>47</v>
      </c>
      <c r="I2731" t="s">
        <v>48</v>
      </c>
      <c r="J2731" s="3" t="s">
        <v>44</v>
      </c>
      <c r="K2731" s="4">
        <v>612</v>
      </c>
      <c r="L2731" s="5">
        <v>27.82</v>
      </c>
      <c r="M2731" s="6">
        <v>0</v>
      </c>
      <c r="N2731" s="7">
        <v>0</v>
      </c>
      <c r="O2731" t="s">
        <v>49</v>
      </c>
      <c r="P2731" s="3" t="s">
        <v>23</v>
      </c>
      <c r="Q2731" s="8" t="s">
        <v>23</v>
      </c>
    </row>
    <row r="2732" spans="1:17" hidden="1" x14ac:dyDescent="0.55000000000000004">
      <c r="A2732" s="3" t="s">
        <v>4723</v>
      </c>
      <c r="B2732" s="3" t="s">
        <v>4745</v>
      </c>
      <c r="C2732" t="s">
        <v>4745</v>
      </c>
      <c r="D2732" s="3" t="s">
        <v>7312</v>
      </c>
      <c r="E2732" t="s">
        <v>4756</v>
      </c>
      <c r="F2732" s="3" t="s">
        <v>4757</v>
      </c>
      <c r="G2732" t="s">
        <v>19</v>
      </c>
      <c r="H2732" s="3" t="s">
        <v>4748</v>
      </c>
      <c r="I2732" t="s">
        <v>81</v>
      </c>
      <c r="J2732" s="3" t="s">
        <v>4749</v>
      </c>
      <c r="K2732" s="4">
        <v>931</v>
      </c>
      <c r="L2732" s="5">
        <v>202.39</v>
      </c>
      <c r="M2732" s="6">
        <v>1</v>
      </c>
      <c r="N2732" s="7">
        <v>0</v>
      </c>
      <c r="O2732" t="s">
        <v>4750</v>
      </c>
      <c r="P2732" s="3" t="s">
        <v>84</v>
      </c>
      <c r="Q2732" s="8">
        <v>4.2035999999999997E-2</v>
      </c>
    </row>
    <row r="2733" spans="1:17" hidden="1" x14ac:dyDescent="0.55000000000000004">
      <c r="A2733" s="3" t="s">
        <v>4723</v>
      </c>
      <c r="B2733" s="3" t="s">
        <v>4745</v>
      </c>
      <c r="C2733" t="s">
        <v>4745</v>
      </c>
      <c r="D2733" s="3" t="s">
        <v>7312</v>
      </c>
      <c r="E2733" t="s">
        <v>4756</v>
      </c>
      <c r="F2733" s="3" t="s">
        <v>4757</v>
      </c>
      <c r="G2733" t="s">
        <v>19</v>
      </c>
      <c r="H2733" s="3" t="s">
        <v>4751</v>
      </c>
      <c r="I2733" t="s">
        <v>86</v>
      </c>
      <c r="J2733" s="3" t="s">
        <v>4752</v>
      </c>
      <c r="K2733" s="4">
        <v>642</v>
      </c>
      <c r="L2733" s="5">
        <v>139.66999999999999</v>
      </c>
      <c r="M2733" s="6">
        <v>0</v>
      </c>
      <c r="N2733" s="7">
        <v>0</v>
      </c>
      <c r="O2733" t="s">
        <v>4753</v>
      </c>
      <c r="P2733" s="3" t="s">
        <v>89</v>
      </c>
      <c r="Q2733" s="8">
        <v>4.1588E-2</v>
      </c>
    </row>
    <row r="2734" spans="1:17" hidden="1" x14ac:dyDescent="0.55000000000000004">
      <c r="A2734" s="3" t="s">
        <v>4723</v>
      </c>
      <c r="B2734" s="3" t="s">
        <v>4745</v>
      </c>
      <c r="C2734" t="s">
        <v>4745</v>
      </c>
      <c r="D2734" s="3" t="s">
        <v>7312</v>
      </c>
      <c r="E2734" t="s">
        <v>4756</v>
      </c>
      <c r="F2734" s="3" t="s">
        <v>4757</v>
      </c>
      <c r="G2734" t="s">
        <v>24</v>
      </c>
      <c r="H2734" s="3" t="s">
        <v>42</v>
      </c>
      <c r="I2734" t="s">
        <v>43</v>
      </c>
      <c r="J2734" s="3" t="s">
        <v>44</v>
      </c>
      <c r="K2734" s="4">
        <v>540</v>
      </c>
      <c r="L2734" s="5">
        <v>24.56</v>
      </c>
      <c r="M2734" s="6">
        <v>1</v>
      </c>
      <c r="N2734" s="7">
        <v>0</v>
      </c>
      <c r="O2734" t="s">
        <v>45</v>
      </c>
      <c r="P2734" s="3" t="s">
        <v>46</v>
      </c>
      <c r="Q2734" s="8">
        <v>0.19789999999999999</v>
      </c>
    </row>
    <row r="2735" spans="1:17" hidden="1" x14ac:dyDescent="0.55000000000000004">
      <c r="A2735" s="3" t="s">
        <v>4723</v>
      </c>
      <c r="B2735" s="3" t="s">
        <v>4745</v>
      </c>
      <c r="C2735" t="s">
        <v>4745</v>
      </c>
      <c r="D2735" s="3" t="s">
        <v>7312</v>
      </c>
      <c r="E2735" t="s">
        <v>4756</v>
      </c>
      <c r="F2735" s="3" t="s">
        <v>4757</v>
      </c>
      <c r="G2735" t="s">
        <v>24</v>
      </c>
      <c r="H2735" s="3" t="s">
        <v>47</v>
      </c>
      <c r="I2735" t="s">
        <v>48</v>
      </c>
      <c r="J2735" s="3" t="s">
        <v>44</v>
      </c>
      <c r="K2735" s="4">
        <v>612</v>
      </c>
      <c r="L2735" s="5">
        <v>27.82</v>
      </c>
      <c r="M2735" s="6">
        <v>0</v>
      </c>
      <c r="N2735" s="7">
        <v>0</v>
      </c>
      <c r="O2735" t="s">
        <v>49</v>
      </c>
      <c r="P2735" s="3" t="s">
        <v>23</v>
      </c>
      <c r="Q2735" s="8" t="s">
        <v>23</v>
      </c>
    </row>
    <row r="2736" spans="1:17" hidden="1" x14ac:dyDescent="0.55000000000000004">
      <c r="A2736" s="3" t="s">
        <v>4723</v>
      </c>
      <c r="B2736" s="3" t="s">
        <v>4745</v>
      </c>
      <c r="C2736" t="s">
        <v>4745</v>
      </c>
      <c r="D2736" s="3" t="s">
        <v>7312</v>
      </c>
      <c r="E2736" t="s">
        <v>4758</v>
      </c>
      <c r="F2736" s="3" t="s">
        <v>4759</v>
      </c>
      <c r="G2736" t="s">
        <v>19</v>
      </c>
      <c r="H2736" s="3" t="s">
        <v>4748</v>
      </c>
      <c r="I2736" t="s">
        <v>81</v>
      </c>
      <c r="J2736" s="3" t="s">
        <v>4749</v>
      </c>
      <c r="K2736" s="4">
        <v>931</v>
      </c>
      <c r="L2736" s="5">
        <v>202.39</v>
      </c>
      <c r="M2736" s="6">
        <v>1</v>
      </c>
      <c r="N2736" s="7">
        <v>0</v>
      </c>
      <c r="O2736" t="s">
        <v>4750</v>
      </c>
      <c r="P2736" s="3" t="s">
        <v>84</v>
      </c>
      <c r="Q2736" s="8">
        <v>4.2035999999999997E-2</v>
      </c>
    </row>
    <row r="2737" spans="1:17" hidden="1" x14ac:dyDescent="0.55000000000000004">
      <c r="A2737" s="3" t="s">
        <v>4723</v>
      </c>
      <c r="B2737" s="3" t="s">
        <v>4745</v>
      </c>
      <c r="C2737" t="s">
        <v>4745</v>
      </c>
      <c r="D2737" s="3" t="s">
        <v>7312</v>
      </c>
      <c r="E2737" t="s">
        <v>4758</v>
      </c>
      <c r="F2737" s="3" t="s">
        <v>4759</v>
      </c>
      <c r="G2737" t="s">
        <v>19</v>
      </c>
      <c r="H2737" s="3" t="s">
        <v>4751</v>
      </c>
      <c r="I2737" t="s">
        <v>86</v>
      </c>
      <c r="J2737" s="3" t="s">
        <v>4752</v>
      </c>
      <c r="K2737" s="4">
        <v>642</v>
      </c>
      <c r="L2737" s="5">
        <v>139.66999999999999</v>
      </c>
      <c r="M2737" s="6">
        <v>0</v>
      </c>
      <c r="N2737" s="7">
        <v>0</v>
      </c>
      <c r="O2737" t="s">
        <v>4753</v>
      </c>
      <c r="P2737" s="3" t="s">
        <v>89</v>
      </c>
      <c r="Q2737" s="8">
        <v>4.1588E-2</v>
      </c>
    </row>
    <row r="2738" spans="1:17" hidden="1" x14ac:dyDescent="0.55000000000000004">
      <c r="A2738" s="3" t="s">
        <v>4723</v>
      </c>
      <c r="B2738" s="3" t="s">
        <v>4745</v>
      </c>
      <c r="C2738" t="s">
        <v>4745</v>
      </c>
      <c r="D2738" s="3" t="s">
        <v>7312</v>
      </c>
      <c r="E2738" t="s">
        <v>4758</v>
      </c>
      <c r="F2738" s="3" t="s">
        <v>4759</v>
      </c>
      <c r="G2738" t="s">
        <v>24</v>
      </c>
      <c r="H2738" s="3" t="s">
        <v>42</v>
      </c>
      <c r="I2738" t="s">
        <v>43</v>
      </c>
      <c r="J2738" s="3" t="s">
        <v>44</v>
      </c>
      <c r="K2738" s="4">
        <v>540</v>
      </c>
      <c r="L2738" s="5">
        <v>24.56</v>
      </c>
      <c r="M2738" s="6">
        <v>1</v>
      </c>
      <c r="N2738" s="7">
        <v>0</v>
      </c>
      <c r="O2738" t="s">
        <v>45</v>
      </c>
      <c r="P2738" s="3" t="s">
        <v>46</v>
      </c>
      <c r="Q2738" s="8">
        <v>0.19789999999999999</v>
      </c>
    </row>
    <row r="2739" spans="1:17" hidden="1" x14ac:dyDescent="0.55000000000000004">
      <c r="A2739" s="3" t="s">
        <v>4723</v>
      </c>
      <c r="B2739" s="3" t="s">
        <v>4745</v>
      </c>
      <c r="C2739" t="s">
        <v>4745</v>
      </c>
      <c r="D2739" s="3" t="s">
        <v>7312</v>
      </c>
      <c r="E2739" t="s">
        <v>4758</v>
      </c>
      <c r="F2739" s="3" t="s">
        <v>4759</v>
      </c>
      <c r="G2739" t="s">
        <v>24</v>
      </c>
      <c r="H2739" s="3" t="s">
        <v>47</v>
      </c>
      <c r="I2739" t="s">
        <v>48</v>
      </c>
      <c r="J2739" s="3" t="s">
        <v>44</v>
      </c>
      <c r="K2739" s="4">
        <v>612</v>
      </c>
      <c r="L2739" s="5">
        <v>27.82</v>
      </c>
      <c r="M2739" s="6">
        <v>0</v>
      </c>
      <c r="N2739" s="7">
        <v>0</v>
      </c>
      <c r="O2739" t="s">
        <v>49</v>
      </c>
      <c r="P2739" s="3" t="s">
        <v>23</v>
      </c>
      <c r="Q2739" s="8" t="s">
        <v>23</v>
      </c>
    </row>
    <row r="2740" spans="1:17" hidden="1" x14ac:dyDescent="0.55000000000000004">
      <c r="A2740" s="3" t="s">
        <v>4723</v>
      </c>
      <c r="B2740" s="3" t="s">
        <v>4745</v>
      </c>
      <c r="C2740" t="s">
        <v>4745</v>
      </c>
      <c r="D2740" s="3" t="s">
        <v>7312</v>
      </c>
      <c r="E2740" t="s">
        <v>4760</v>
      </c>
      <c r="F2740" s="3" t="s">
        <v>4761</v>
      </c>
      <c r="G2740" t="s">
        <v>19</v>
      </c>
      <c r="H2740" s="3" t="s">
        <v>4748</v>
      </c>
      <c r="I2740" t="s">
        <v>81</v>
      </c>
      <c r="J2740" s="3" t="s">
        <v>4749</v>
      </c>
      <c r="K2740" s="4">
        <v>931</v>
      </c>
      <c r="L2740" s="5">
        <v>202.39</v>
      </c>
      <c r="M2740" s="6">
        <v>1</v>
      </c>
      <c r="N2740" s="7">
        <v>0</v>
      </c>
      <c r="O2740" t="s">
        <v>4750</v>
      </c>
      <c r="P2740" s="3" t="s">
        <v>84</v>
      </c>
      <c r="Q2740" s="8">
        <v>4.2035999999999997E-2</v>
      </c>
    </row>
    <row r="2741" spans="1:17" hidden="1" x14ac:dyDescent="0.55000000000000004">
      <c r="A2741" s="3" t="s">
        <v>4723</v>
      </c>
      <c r="B2741" s="3" t="s">
        <v>4745</v>
      </c>
      <c r="C2741" t="s">
        <v>4745</v>
      </c>
      <c r="D2741" s="3" t="s">
        <v>7312</v>
      </c>
      <c r="E2741" t="s">
        <v>4760</v>
      </c>
      <c r="F2741" s="3" t="s">
        <v>4761</v>
      </c>
      <c r="G2741" t="s">
        <v>19</v>
      </c>
      <c r="H2741" s="3" t="s">
        <v>4751</v>
      </c>
      <c r="I2741" t="s">
        <v>86</v>
      </c>
      <c r="J2741" s="3" t="s">
        <v>4752</v>
      </c>
      <c r="K2741" s="4">
        <v>642</v>
      </c>
      <c r="L2741" s="5">
        <v>139.66999999999999</v>
      </c>
      <c r="M2741" s="6">
        <v>0</v>
      </c>
      <c r="N2741" s="7">
        <v>0</v>
      </c>
      <c r="O2741" t="s">
        <v>4753</v>
      </c>
      <c r="P2741" s="3" t="s">
        <v>89</v>
      </c>
      <c r="Q2741" s="8">
        <v>4.1588E-2</v>
      </c>
    </row>
    <row r="2742" spans="1:17" hidden="1" x14ac:dyDescent="0.55000000000000004">
      <c r="A2742" s="3" t="s">
        <v>4723</v>
      </c>
      <c r="B2742" s="3" t="s">
        <v>4745</v>
      </c>
      <c r="C2742" t="s">
        <v>4745</v>
      </c>
      <c r="D2742" s="3" t="s">
        <v>7312</v>
      </c>
      <c r="E2742" t="s">
        <v>4760</v>
      </c>
      <c r="F2742" s="3" t="s">
        <v>4761</v>
      </c>
      <c r="G2742" t="s">
        <v>24</v>
      </c>
      <c r="H2742" s="3" t="s">
        <v>42</v>
      </c>
      <c r="I2742" t="s">
        <v>43</v>
      </c>
      <c r="J2742" s="3" t="s">
        <v>44</v>
      </c>
      <c r="K2742" s="4">
        <v>540</v>
      </c>
      <c r="L2742" s="5">
        <v>24.56</v>
      </c>
      <c r="M2742" s="6">
        <v>1</v>
      </c>
      <c r="N2742" s="7">
        <v>0</v>
      </c>
      <c r="O2742" t="s">
        <v>45</v>
      </c>
      <c r="P2742" s="3" t="s">
        <v>46</v>
      </c>
      <c r="Q2742" s="8">
        <v>0.19789999999999999</v>
      </c>
    </row>
    <row r="2743" spans="1:17" hidden="1" x14ac:dyDescent="0.55000000000000004">
      <c r="A2743" s="3" t="s">
        <v>4723</v>
      </c>
      <c r="B2743" s="3" t="s">
        <v>4745</v>
      </c>
      <c r="C2743" t="s">
        <v>4745</v>
      </c>
      <c r="D2743" s="3" t="s">
        <v>7312</v>
      </c>
      <c r="E2743" t="s">
        <v>4760</v>
      </c>
      <c r="F2743" s="3" t="s">
        <v>4761</v>
      </c>
      <c r="G2743" t="s">
        <v>24</v>
      </c>
      <c r="H2743" s="3" t="s">
        <v>47</v>
      </c>
      <c r="I2743" t="s">
        <v>48</v>
      </c>
      <c r="J2743" s="3" t="s">
        <v>44</v>
      </c>
      <c r="K2743" s="4">
        <v>612</v>
      </c>
      <c r="L2743" s="5">
        <v>27.82</v>
      </c>
      <c r="M2743" s="6">
        <v>0</v>
      </c>
      <c r="N2743" s="7">
        <v>0</v>
      </c>
      <c r="O2743" t="s">
        <v>49</v>
      </c>
      <c r="P2743" s="3" t="s">
        <v>23</v>
      </c>
      <c r="Q2743" s="8" t="s">
        <v>23</v>
      </c>
    </row>
    <row r="2744" spans="1:17" hidden="1" x14ac:dyDescent="0.55000000000000004">
      <c r="A2744" s="3" t="s">
        <v>4723</v>
      </c>
      <c r="B2744" s="3" t="s">
        <v>4745</v>
      </c>
      <c r="C2744" t="s">
        <v>4745</v>
      </c>
      <c r="D2744" s="3" t="s">
        <v>7312</v>
      </c>
      <c r="E2744" t="s">
        <v>4762</v>
      </c>
      <c r="F2744" s="3" t="s">
        <v>4763</v>
      </c>
      <c r="G2744" t="s">
        <v>19</v>
      </c>
      <c r="H2744" s="3" t="s">
        <v>4748</v>
      </c>
      <c r="I2744" t="s">
        <v>81</v>
      </c>
      <c r="J2744" s="3" t="s">
        <v>4749</v>
      </c>
      <c r="K2744" s="4">
        <v>931</v>
      </c>
      <c r="L2744" s="5">
        <v>202.39</v>
      </c>
      <c r="M2744" s="6">
        <v>1</v>
      </c>
      <c r="N2744" s="7">
        <v>0</v>
      </c>
      <c r="O2744" t="s">
        <v>4750</v>
      </c>
      <c r="P2744" s="3" t="s">
        <v>84</v>
      </c>
      <c r="Q2744" s="8">
        <v>4.2035999999999997E-2</v>
      </c>
    </row>
    <row r="2745" spans="1:17" hidden="1" x14ac:dyDescent="0.55000000000000004">
      <c r="A2745" s="3" t="s">
        <v>4723</v>
      </c>
      <c r="B2745" s="3" t="s">
        <v>4745</v>
      </c>
      <c r="C2745" t="s">
        <v>4745</v>
      </c>
      <c r="D2745" s="3" t="s">
        <v>7312</v>
      </c>
      <c r="E2745" t="s">
        <v>4762</v>
      </c>
      <c r="F2745" s="3" t="s">
        <v>4763</v>
      </c>
      <c r="G2745" t="s">
        <v>19</v>
      </c>
      <c r="H2745" s="3" t="s">
        <v>4751</v>
      </c>
      <c r="I2745" t="s">
        <v>86</v>
      </c>
      <c r="J2745" s="3" t="s">
        <v>4752</v>
      </c>
      <c r="K2745" s="4">
        <v>642</v>
      </c>
      <c r="L2745" s="5">
        <v>139.66999999999999</v>
      </c>
      <c r="M2745" s="6">
        <v>0</v>
      </c>
      <c r="N2745" s="7">
        <v>0</v>
      </c>
      <c r="O2745" t="s">
        <v>4753</v>
      </c>
      <c r="P2745" s="3" t="s">
        <v>89</v>
      </c>
      <c r="Q2745" s="8">
        <v>4.1588E-2</v>
      </c>
    </row>
    <row r="2746" spans="1:17" hidden="1" x14ac:dyDescent="0.55000000000000004">
      <c r="A2746" s="3" t="s">
        <v>4723</v>
      </c>
      <c r="B2746" s="3" t="s">
        <v>4745</v>
      </c>
      <c r="C2746" t="s">
        <v>4745</v>
      </c>
      <c r="D2746" s="3" t="s">
        <v>7312</v>
      </c>
      <c r="E2746" t="s">
        <v>4762</v>
      </c>
      <c r="F2746" s="3" t="s">
        <v>4763</v>
      </c>
      <c r="G2746" t="s">
        <v>24</v>
      </c>
      <c r="H2746" s="3" t="s">
        <v>42</v>
      </c>
      <c r="I2746" t="s">
        <v>43</v>
      </c>
      <c r="J2746" s="3" t="s">
        <v>44</v>
      </c>
      <c r="K2746" s="4">
        <v>540</v>
      </c>
      <c r="L2746" s="5">
        <v>24.56</v>
      </c>
      <c r="M2746" s="6">
        <v>1</v>
      </c>
      <c r="N2746" s="7">
        <v>0</v>
      </c>
      <c r="O2746" t="s">
        <v>45</v>
      </c>
      <c r="P2746" s="3" t="s">
        <v>46</v>
      </c>
      <c r="Q2746" s="8">
        <v>0.19789999999999999</v>
      </c>
    </row>
    <row r="2747" spans="1:17" hidden="1" x14ac:dyDescent="0.55000000000000004">
      <c r="A2747" s="3" t="s">
        <v>4723</v>
      </c>
      <c r="B2747" s="3" t="s">
        <v>4745</v>
      </c>
      <c r="C2747" t="s">
        <v>4745</v>
      </c>
      <c r="D2747" s="3" t="s">
        <v>7312</v>
      </c>
      <c r="E2747" t="s">
        <v>4762</v>
      </c>
      <c r="F2747" s="3" t="s">
        <v>4763</v>
      </c>
      <c r="G2747" t="s">
        <v>24</v>
      </c>
      <c r="H2747" s="3" t="s">
        <v>47</v>
      </c>
      <c r="I2747" t="s">
        <v>48</v>
      </c>
      <c r="J2747" s="3" t="s">
        <v>44</v>
      </c>
      <c r="K2747" s="4">
        <v>612</v>
      </c>
      <c r="L2747" s="5">
        <v>27.82</v>
      </c>
      <c r="M2747" s="6">
        <v>0</v>
      </c>
      <c r="N2747" s="7">
        <v>0</v>
      </c>
      <c r="O2747" t="s">
        <v>49</v>
      </c>
      <c r="P2747" s="3" t="s">
        <v>23</v>
      </c>
      <c r="Q2747" s="8" t="s">
        <v>23</v>
      </c>
    </row>
    <row r="2748" spans="1:17" hidden="1" x14ac:dyDescent="0.55000000000000004">
      <c r="A2748" s="3" t="s">
        <v>4723</v>
      </c>
      <c r="B2748" s="3" t="s">
        <v>4745</v>
      </c>
      <c r="C2748" t="s">
        <v>4745</v>
      </c>
      <c r="D2748" s="3" t="s">
        <v>7312</v>
      </c>
      <c r="E2748" t="s">
        <v>4764</v>
      </c>
      <c r="F2748" s="3" t="s">
        <v>4765</v>
      </c>
      <c r="G2748" t="s">
        <v>19</v>
      </c>
      <c r="H2748" s="3" t="s">
        <v>4748</v>
      </c>
      <c r="I2748" t="s">
        <v>81</v>
      </c>
      <c r="J2748" s="3" t="s">
        <v>4749</v>
      </c>
      <c r="K2748" s="4">
        <v>931</v>
      </c>
      <c r="L2748" s="5">
        <v>202.39</v>
      </c>
      <c r="M2748" s="6">
        <v>1</v>
      </c>
      <c r="N2748" s="7">
        <v>0</v>
      </c>
      <c r="O2748" t="s">
        <v>4750</v>
      </c>
      <c r="P2748" s="3" t="s">
        <v>84</v>
      </c>
      <c r="Q2748" s="8">
        <v>4.2035999999999997E-2</v>
      </c>
    </row>
    <row r="2749" spans="1:17" hidden="1" x14ac:dyDescent="0.55000000000000004">
      <c r="A2749" s="3" t="s">
        <v>4723</v>
      </c>
      <c r="B2749" s="3" t="s">
        <v>4745</v>
      </c>
      <c r="C2749" t="s">
        <v>4745</v>
      </c>
      <c r="D2749" s="3" t="s">
        <v>7312</v>
      </c>
      <c r="E2749" t="s">
        <v>4764</v>
      </c>
      <c r="F2749" s="3" t="s">
        <v>4765</v>
      </c>
      <c r="G2749" t="s">
        <v>19</v>
      </c>
      <c r="H2749" s="3" t="s">
        <v>4751</v>
      </c>
      <c r="I2749" t="s">
        <v>86</v>
      </c>
      <c r="J2749" s="3" t="s">
        <v>4752</v>
      </c>
      <c r="K2749" s="4">
        <v>642</v>
      </c>
      <c r="L2749" s="5">
        <v>139.66999999999999</v>
      </c>
      <c r="M2749" s="6">
        <v>0</v>
      </c>
      <c r="N2749" s="7">
        <v>0</v>
      </c>
      <c r="O2749" t="s">
        <v>4753</v>
      </c>
      <c r="P2749" s="3" t="s">
        <v>89</v>
      </c>
      <c r="Q2749" s="8">
        <v>4.1588E-2</v>
      </c>
    </row>
    <row r="2750" spans="1:17" hidden="1" x14ac:dyDescent="0.55000000000000004">
      <c r="A2750" s="3" t="s">
        <v>4723</v>
      </c>
      <c r="B2750" s="3" t="s">
        <v>4745</v>
      </c>
      <c r="C2750" t="s">
        <v>4745</v>
      </c>
      <c r="D2750" s="3" t="s">
        <v>7312</v>
      </c>
      <c r="E2750" t="s">
        <v>4764</v>
      </c>
      <c r="F2750" s="3" t="s">
        <v>4765</v>
      </c>
      <c r="G2750" t="s">
        <v>24</v>
      </c>
      <c r="H2750" s="3" t="s">
        <v>42</v>
      </c>
      <c r="I2750" t="s">
        <v>43</v>
      </c>
      <c r="J2750" s="3" t="s">
        <v>44</v>
      </c>
      <c r="K2750" s="4">
        <v>540</v>
      </c>
      <c r="L2750" s="5">
        <v>24.56</v>
      </c>
      <c r="M2750" s="6">
        <v>1</v>
      </c>
      <c r="N2750" s="7">
        <v>0</v>
      </c>
      <c r="O2750" t="s">
        <v>45</v>
      </c>
      <c r="P2750" s="3" t="s">
        <v>46</v>
      </c>
      <c r="Q2750" s="8">
        <v>0.19789999999999999</v>
      </c>
    </row>
    <row r="2751" spans="1:17" hidden="1" x14ac:dyDescent="0.55000000000000004">
      <c r="A2751" s="3" t="s">
        <v>4723</v>
      </c>
      <c r="B2751" s="3" t="s">
        <v>4745</v>
      </c>
      <c r="C2751" t="s">
        <v>4745</v>
      </c>
      <c r="D2751" s="3" t="s">
        <v>7312</v>
      </c>
      <c r="E2751" t="s">
        <v>4764</v>
      </c>
      <c r="F2751" s="3" t="s">
        <v>4765</v>
      </c>
      <c r="G2751" t="s">
        <v>24</v>
      </c>
      <c r="H2751" s="3" t="s">
        <v>47</v>
      </c>
      <c r="I2751" t="s">
        <v>48</v>
      </c>
      <c r="J2751" s="3" t="s">
        <v>44</v>
      </c>
      <c r="K2751" s="4">
        <v>612</v>
      </c>
      <c r="L2751" s="5">
        <v>27.82</v>
      </c>
      <c r="M2751" s="6">
        <v>0</v>
      </c>
      <c r="N2751" s="7">
        <v>0</v>
      </c>
      <c r="O2751" t="s">
        <v>49</v>
      </c>
      <c r="P2751" s="3" t="s">
        <v>23</v>
      </c>
      <c r="Q2751" s="8" t="s">
        <v>23</v>
      </c>
    </row>
    <row r="2752" spans="1:17" hidden="1" x14ac:dyDescent="0.55000000000000004">
      <c r="A2752" s="3" t="s">
        <v>4723</v>
      </c>
      <c r="B2752" s="3" t="s">
        <v>264</v>
      </c>
      <c r="C2752" t="s">
        <v>264</v>
      </c>
      <c r="D2752" s="3" t="s">
        <v>7312</v>
      </c>
      <c r="E2752" t="s">
        <v>4766</v>
      </c>
      <c r="F2752" s="3" t="s">
        <v>4767</v>
      </c>
      <c r="G2752" t="s">
        <v>19</v>
      </c>
      <c r="H2752" s="3" t="s">
        <v>4768</v>
      </c>
      <c r="I2752" t="s">
        <v>246</v>
      </c>
      <c r="J2752" s="3" t="s">
        <v>4769</v>
      </c>
      <c r="K2752" s="4">
        <v>605</v>
      </c>
      <c r="L2752" s="5">
        <v>131.43</v>
      </c>
      <c r="M2752" s="6">
        <v>1</v>
      </c>
      <c r="N2752" s="7">
        <v>0</v>
      </c>
      <c r="O2752" t="s">
        <v>4770</v>
      </c>
      <c r="P2752" s="3" t="s">
        <v>249</v>
      </c>
      <c r="Q2752" s="8">
        <v>8.0463999999999994E-2</v>
      </c>
    </row>
    <row r="2753" spans="1:17" hidden="1" x14ac:dyDescent="0.55000000000000004">
      <c r="A2753" s="3" t="s">
        <v>4723</v>
      </c>
      <c r="B2753" s="3" t="s">
        <v>264</v>
      </c>
      <c r="C2753" t="s">
        <v>264</v>
      </c>
      <c r="D2753" s="3" t="s">
        <v>7312</v>
      </c>
      <c r="E2753" t="s">
        <v>4766</v>
      </c>
      <c r="F2753" s="3" t="s">
        <v>4767</v>
      </c>
      <c r="G2753" t="s">
        <v>24</v>
      </c>
      <c r="H2753" s="3" t="s">
        <v>4771</v>
      </c>
      <c r="I2753" t="s">
        <v>52</v>
      </c>
      <c r="J2753" s="3" t="s">
        <v>4772</v>
      </c>
      <c r="K2753" s="4">
        <v>527</v>
      </c>
      <c r="L2753" s="5">
        <v>23.95</v>
      </c>
      <c r="M2753" s="6">
        <v>1</v>
      </c>
      <c r="N2753" s="7">
        <v>0</v>
      </c>
      <c r="O2753" t="s">
        <v>4773</v>
      </c>
      <c r="P2753" s="3" t="s">
        <v>55</v>
      </c>
      <c r="Q2753" s="8">
        <v>0.21742</v>
      </c>
    </row>
    <row r="2754" spans="1:17" hidden="1" x14ac:dyDescent="0.55000000000000004">
      <c r="A2754" s="3" t="s">
        <v>4723</v>
      </c>
      <c r="B2754" s="3" t="s">
        <v>264</v>
      </c>
      <c r="C2754" t="s">
        <v>264</v>
      </c>
      <c r="D2754" s="3" t="s">
        <v>7312</v>
      </c>
      <c r="E2754" t="s">
        <v>4766</v>
      </c>
      <c r="F2754" s="3" t="s">
        <v>4767</v>
      </c>
      <c r="G2754" t="s">
        <v>24</v>
      </c>
      <c r="H2754" s="3" t="s">
        <v>4774</v>
      </c>
      <c r="I2754" t="s">
        <v>37</v>
      </c>
      <c r="J2754" s="3" t="s">
        <v>4775</v>
      </c>
      <c r="K2754" s="4">
        <v>668</v>
      </c>
      <c r="L2754" s="5">
        <v>30.38</v>
      </c>
      <c r="M2754" s="6">
        <v>0</v>
      </c>
      <c r="N2754" s="7">
        <v>0</v>
      </c>
      <c r="O2754" t="s">
        <v>4776</v>
      </c>
      <c r="P2754" s="3" t="s">
        <v>40</v>
      </c>
      <c r="Q2754" s="8">
        <v>0.18471199999999999</v>
      </c>
    </row>
    <row r="2755" spans="1:17" hidden="1" x14ac:dyDescent="0.55000000000000004">
      <c r="A2755" s="3" t="s">
        <v>4723</v>
      </c>
      <c r="B2755" s="3" t="s">
        <v>264</v>
      </c>
      <c r="C2755" t="s">
        <v>264</v>
      </c>
      <c r="D2755" s="3" t="s">
        <v>7312</v>
      </c>
      <c r="E2755" t="s">
        <v>4777</v>
      </c>
      <c r="F2755" s="3" t="s">
        <v>4778</v>
      </c>
      <c r="G2755" t="s">
        <v>19</v>
      </c>
      <c r="H2755" s="3" t="s">
        <v>4768</v>
      </c>
      <c r="I2755" t="s">
        <v>246</v>
      </c>
      <c r="J2755" s="3" t="s">
        <v>4769</v>
      </c>
      <c r="K2755" s="4">
        <v>605</v>
      </c>
      <c r="L2755" s="5">
        <v>131.43</v>
      </c>
      <c r="M2755" s="6">
        <v>1</v>
      </c>
      <c r="N2755" s="7">
        <v>1</v>
      </c>
      <c r="O2755" t="s">
        <v>4770</v>
      </c>
      <c r="P2755" s="3" t="s">
        <v>249</v>
      </c>
      <c r="Q2755" s="8">
        <v>8.0463999999999994E-2</v>
      </c>
    </row>
    <row r="2756" spans="1:17" hidden="1" x14ac:dyDescent="0.55000000000000004">
      <c r="A2756" s="3" t="s">
        <v>4723</v>
      </c>
      <c r="B2756" s="3" t="s">
        <v>264</v>
      </c>
      <c r="C2756" t="s">
        <v>264</v>
      </c>
      <c r="D2756" s="3" t="s">
        <v>7312</v>
      </c>
      <c r="E2756" t="s">
        <v>4777</v>
      </c>
      <c r="F2756" s="3" t="s">
        <v>4778</v>
      </c>
      <c r="G2756" t="s">
        <v>24</v>
      </c>
      <c r="H2756" s="3" t="s">
        <v>4771</v>
      </c>
      <c r="I2756" t="s">
        <v>52</v>
      </c>
      <c r="J2756" s="3" t="s">
        <v>4772</v>
      </c>
      <c r="K2756" s="4">
        <v>527</v>
      </c>
      <c r="L2756" s="5">
        <v>23.95</v>
      </c>
      <c r="M2756" s="6">
        <v>1</v>
      </c>
      <c r="N2756" s="7">
        <v>1</v>
      </c>
      <c r="O2756" t="s">
        <v>4773</v>
      </c>
      <c r="P2756" s="3" t="s">
        <v>55</v>
      </c>
      <c r="Q2756" s="8">
        <v>0.21742</v>
      </c>
    </row>
    <row r="2757" spans="1:17" hidden="1" x14ac:dyDescent="0.55000000000000004">
      <c r="A2757" s="3" t="s">
        <v>4723</v>
      </c>
      <c r="B2757" s="3" t="s">
        <v>264</v>
      </c>
      <c r="C2757" t="s">
        <v>264</v>
      </c>
      <c r="D2757" s="3" t="s">
        <v>7312</v>
      </c>
      <c r="E2757" t="s">
        <v>4777</v>
      </c>
      <c r="F2757" s="3" t="s">
        <v>4778</v>
      </c>
      <c r="G2757" t="s">
        <v>24</v>
      </c>
      <c r="H2757" s="3" t="s">
        <v>4774</v>
      </c>
      <c r="I2757" t="s">
        <v>37</v>
      </c>
      <c r="J2757" s="3" t="s">
        <v>4775</v>
      </c>
      <c r="K2757" s="4">
        <v>668</v>
      </c>
      <c r="L2757" s="5">
        <v>30.38</v>
      </c>
      <c r="M2757" s="6">
        <v>0</v>
      </c>
      <c r="N2757" s="7">
        <v>1</v>
      </c>
      <c r="O2757" t="s">
        <v>4776</v>
      </c>
      <c r="P2757" s="3" t="s">
        <v>40</v>
      </c>
      <c r="Q2757" s="8">
        <v>0.18471199999999999</v>
      </c>
    </row>
    <row r="2758" spans="1:17" hidden="1" x14ac:dyDescent="0.55000000000000004">
      <c r="A2758" s="3" t="s">
        <v>4723</v>
      </c>
      <c r="B2758" s="3" t="s">
        <v>264</v>
      </c>
      <c r="C2758" t="s">
        <v>264</v>
      </c>
      <c r="D2758" s="3" t="s">
        <v>7312</v>
      </c>
      <c r="E2758" t="s">
        <v>4779</v>
      </c>
      <c r="F2758" s="3" t="s">
        <v>4780</v>
      </c>
      <c r="G2758" t="s">
        <v>24</v>
      </c>
      <c r="H2758" s="3" t="s">
        <v>4771</v>
      </c>
      <c r="I2758" t="s">
        <v>52</v>
      </c>
      <c r="J2758" s="3" t="s">
        <v>4772</v>
      </c>
      <c r="K2758" s="4">
        <v>527</v>
      </c>
      <c r="L2758" s="5">
        <v>23.95</v>
      </c>
      <c r="M2758" s="6">
        <v>1</v>
      </c>
      <c r="N2758" s="7">
        <v>0</v>
      </c>
      <c r="O2758" t="s">
        <v>4773</v>
      </c>
      <c r="P2758" s="3" t="s">
        <v>55</v>
      </c>
      <c r="Q2758" s="8">
        <v>0.21742</v>
      </c>
    </row>
    <row r="2759" spans="1:17" hidden="1" x14ac:dyDescent="0.55000000000000004">
      <c r="A2759" s="3" t="s">
        <v>4723</v>
      </c>
      <c r="B2759" s="3" t="s">
        <v>264</v>
      </c>
      <c r="C2759" t="s">
        <v>264</v>
      </c>
      <c r="D2759" s="3" t="s">
        <v>7312</v>
      </c>
      <c r="E2759" t="s">
        <v>4779</v>
      </c>
      <c r="F2759" s="3" t="s">
        <v>4780</v>
      </c>
      <c r="G2759" t="s">
        <v>24</v>
      </c>
      <c r="H2759" s="3" t="s">
        <v>4774</v>
      </c>
      <c r="I2759" t="s">
        <v>37</v>
      </c>
      <c r="J2759" s="3" t="s">
        <v>4775</v>
      </c>
      <c r="K2759" s="4">
        <v>668</v>
      </c>
      <c r="L2759" s="5">
        <v>30.38</v>
      </c>
      <c r="M2759" s="6">
        <v>0</v>
      </c>
      <c r="N2759" s="7">
        <v>0</v>
      </c>
      <c r="O2759" t="s">
        <v>4776</v>
      </c>
      <c r="P2759" s="3" t="s">
        <v>40</v>
      </c>
      <c r="Q2759" s="8">
        <v>0.18471199999999999</v>
      </c>
    </row>
    <row r="2760" spans="1:17" hidden="1" x14ac:dyDescent="0.55000000000000004">
      <c r="A2760" s="3" t="s">
        <v>4723</v>
      </c>
      <c r="B2760" s="3" t="s">
        <v>264</v>
      </c>
      <c r="C2760" t="s">
        <v>264</v>
      </c>
      <c r="D2760" s="3" t="s">
        <v>7312</v>
      </c>
      <c r="E2760" t="s">
        <v>4781</v>
      </c>
      <c r="F2760" s="3" t="s">
        <v>4782</v>
      </c>
      <c r="G2760" t="s">
        <v>24</v>
      </c>
      <c r="H2760" s="3" t="s">
        <v>4771</v>
      </c>
      <c r="I2760" t="s">
        <v>52</v>
      </c>
      <c r="J2760" s="3" t="s">
        <v>4772</v>
      </c>
      <c r="K2760" s="4">
        <v>527</v>
      </c>
      <c r="L2760" s="5">
        <v>23.95</v>
      </c>
      <c r="M2760" s="6">
        <v>1</v>
      </c>
      <c r="N2760" s="7">
        <v>0</v>
      </c>
      <c r="O2760" t="s">
        <v>4773</v>
      </c>
      <c r="P2760" s="3" t="s">
        <v>55</v>
      </c>
      <c r="Q2760" s="8">
        <v>0.21742</v>
      </c>
    </row>
    <row r="2761" spans="1:17" hidden="1" x14ac:dyDescent="0.55000000000000004">
      <c r="A2761" s="3" t="s">
        <v>4723</v>
      </c>
      <c r="B2761" s="3" t="s">
        <v>264</v>
      </c>
      <c r="C2761" t="s">
        <v>264</v>
      </c>
      <c r="D2761" s="3" t="s">
        <v>7312</v>
      </c>
      <c r="E2761" t="s">
        <v>4781</v>
      </c>
      <c r="F2761" s="3" t="s">
        <v>4782</v>
      </c>
      <c r="G2761" t="s">
        <v>24</v>
      </c>
      <c r="H2761" s="3" t="s">
        <v>4774</v>
      </c>
      <c r="I2761" t="s">
        <v>37</v>
      </c>
      <c r="J2761" s="3" t="s">
        <v>4775</v>
      </c>
      <c r="K2761" s="4">
        <v>668</v>
      </c>
      <c r="L2761" s="5">
        <v>30.38</v>
      </c>
      <c r="M2761" s="6">
        <v>0</v>
      </c>
      <c r="N2761" s="7">
        <v>0</v>
      </c>
      <c r="O2761" t="s">
        <v>4776</v>
      </c>
      <c r="P2761" s="3" t="s">
        <v>40</v>
      </c>
      <c r="Q2761" s="8">
        <v>0.18471199999999999</v>
      </c>
    </row>
    <row r="2762" spans="1:17" hidden="1" x14ac:dyDescent="0.55000000000000004">
      <c r="A2762" s="3" t="s">
        <v>4723</v>
      </c>
      <c r="B2762" s="3" t="s">
        <v>4783</v>
      </c>
      <c r="C2762" t="s">
        <v>4783</v>
      </c>
      <c r="D2762" s="3" t="s">
        <v>7312</v>
      </c>
      <c r="E2762" t="s">
        <v>4784</v>
      </c>
      <c r="F2762" s="3" t="s">
        <v>4785</v>
      </c>
      <c r="G2762" t="s">
        <v>19</v>
      </c>
      <c r="H2762" s="3" t="s">
        <v>4786</v>
      </c>
      <c r="I2762" t="s">
        <v>81</v>
      </c>
      <c r="J2762" s="3" t="s">
        <v>4787</v>
      </c>
      <c r="K2762" s="4">
        <v>959</v>
      </c>
      <c r="L2762" s="5">
        <v>208.48</v>
      </c>
      <c r="M2762" s="6">
        <v>1</v>
      </c>
      <c r="N2762" s="7">
        <v>0</v>
      </c>
      <c r="O2762" t="s">
        <v>4788</v>
      </c>
      <c r="P2762" s="3" t="s">
        <v>84</v>
      </c>
      <c r="Q2762" s="8">
        <v>4.2654999999999998E-2</v>
      </c>
    </row>
    <row r="2763" spans="1:17" hidden="1" x14ac:dyDescent="0.55000000000000004">
      <c r="A2763" s="3" t="s">
        <v>4723</v>
      </c>
      <c r="B2763" s="3" t="s">
        <v>4783</v>
      </c>
      <c r="C2763" t="s">
        <v>4783</v>
      </c>
      <c r="D2763" s="3" t="s">
        <v>7312</v>
      </c>
      <c r="E2763" t="s">
        <v>4784</v>
      </c>
      <c r="F2763" s="3" t="s">
        <v>4785</v>
      </c>
      <c r="G2763" t="s">
        <v>24</v>
      </c>
      <c r="H2763" s="3" t="s">
        <v>4789</v>
      </c>
      <c r="I2763" t="s">
        <v>37</v>
      </c>
      <c r="J2763" s="3" t="s">
        <v>4790</v>
      </c>
      <c r="K2763" s="4">
        <v>555</v>
      </c>
      <c r="L2763" s="5">
        <v>25.21</v>
      </c>
      <c r="M2763" s="6">
        <v>1</v>
      </c>
      <c r="N2763" s="7">
        <v>0</v>
      </c>
      <c r="O2763" t="s">
        <v>4791</v>
      </c>
      <c r="P2763" s="3" t="s">
        <v>40</v>
      </c>
      <c r="Q2763" s="8">
        <v>0.18357599999999999</v>
      </c>
    </row>
    <row r="2764" spans="1:17" hidden="1" x14ac:dyDescent="0.55000000000000004">
      <c r="A2764" s="3" t="s">
        <v>4723</v>
      </c>
      <c r="B2764" s="3" t="s">
        <v>4783</v>
      </c>
      <c r="C2764" t="s">
        <v>4783</v>
      </c>
      <c r="D2764" s="3" t="s">
        <v>7312</v>
      </c>
      <c r="E2764" t="s">
        <v>4784</v>
      </c>
      <c r="F2764" s="3" t="s">
        <v>4785</v>
      </c>
      <c r="G2764" t="s">
        <v>24</v>
      </c>
      <c r="H2764" s="3" t="s">
        <v>4792</v>
      </c>
      <c r="I2764" t="s">
        <v>105</v>
      </c>
      <c r="J2764" s="3" t="s">
        <v>4790</v>
      </c>
      <c r="K2764" s="4">
        <v>265</v>
      </c>
      <c r="L2764" s="5">
        <v>0</v>
      </c>
      <c r="M2764" s="6">
        <v>0</v>
      </c>
      <c r="N2764" s="7">
        <v>0</v>
      </c>
      <c r="O2764" t="s">
        <v>23</v>
      </c>
      <c r="P2764" s="3" t="s">
        <v>23</v>
      </c>
      <c r="Q2764" s="8" t="s">
        <v>23</v>
      </c>
    </row>
    <row r="2765" spans="1:17" hidden="1" x14ac:dyDescent="0.55000000000000004">
      <c r="A2765" s="3" t="s">
        <v>4723</v>
      </c>
      <c r="B2765" s="3" t="s">
        <v>4783</v>
      </c>
      <c r="C2765" t="s">
        <v>4783</v>
      </c>
      <c r="D2765" s="3" t="s">
        <v>7312</v>
      </c>
      <c r="E2765" t="s">
        <v>4784</v>
      </c>
      <c r="F2765" s="3" t="s">
        <v>4785</v>
      </c>
      <c r="G2765" t="s">
        <v>24</v>
      </c>
      <c r="H2765" s="3" t="s">
        <v>4793</v>
      </c>
      <c r="I2765" t="s">
        <v>37</v>
      </c>
      <c r="J2765" s="3" t="s">
        <v>4790</v>
      </c>
      <c r="K2765" s="4">
        <v>414</v>
      </c>
      <c r="L2765" s="5">
        <v>0</v>
      </c>
      <c r="M2765" s="6">
        <v>0</v>
      </c>
      <c r="N2765" s="7">
        <v>0</v>
      </c>
      <c r="O2765" t="s">
        <v>23</v>
      </c>
      <c r="P2765" s="3" t="s">
        <v>23</v>
      </c>
      <c r="Q2765" s="8" t="s">
        <v>23</v>
      </c>
    </row>
    <row r="2766" spans="1:17" hidden="1" x14ac:dyDescent="0.55000000000000004">
      <c r="A2766" s="3" t="s">
        <v>4723</v>
      </c>
      <c r="B2766" s="3" t="s">
        <v>4783</v>
      </c>
      <c r="C2766" t="s">
        <v>4783</v>
      </c>
      <c r="D2766" s="3" t="s">
        <v>7312</v>
      </c>
      <c r="E2766" t="s">
        <v>4794</v>
      </c>
      <c r="F2766" s="3" t="s">
        <v>4795</v>
      </c>
      <c r="G2766" t="s">
        <v>19</v>
      </c>
      <c r="H2766" s="3" t="s">
        <v>4796</v>
      </c>
      <c r="I2766" t="s">
        <v>81</v>
      </c>
      <c r="J2766" s="3" t="s">
        <v>4797</v>
      </c>
      <c r="K2766" s="4">
        <v>964</v>
      </c>
      <c r="L2766" s="5">
        <v>209.54</v>
      </c>
      <c r="M2766" s="6">
        <v>1</v>
      </c>
      <c r="N2766" s="7">
        <v>0</v>
      </c>
      <c r="O2766" t="s">
        <v>4798</v>
      </c>
      <c r="P2766" s="3" t="s">
        <v>84</v>
      </c>
      <c r="Q2766" s="8">
        <v>4.2654999999999998E-2</v>
      </c>
    </row>
    <row r="2767" spans="1:17" hidden="1" x14ac:dyDescent="0.55000000000000004">
      <c r="A2767" s="3" t="s">
        <v>4723</v>
      </c>
      <c r="B2767" s="3" t="s">
        <v>4783</v>
      </c>
      <c r="C2767" t="s">
        <v>4783</v>
      </c>
      <c r="D2767" s="3" t="s">
        <v>7312</v>
      </c>
      <c r="E2767" t="s">
        <v>4794</v>
      </c>
      <c r="F2767" s="3" t="s">
        <v>4795</v>
      </c>
      <c r="G2767" t="s">
        <v>24</v>
      </c>
      <c r="H2767" s="3" t="s">
        <v>4789</v>
      </c>
      <c r="I2767" t="s">
        <v>37</v>
      </c>
      <c r="J2767" s="3" t="s">
        <v>4790</v>
      </c>
      <c r="K2767" s="4">
        <v>555</v>
      </c>
      <c r="L2767" s="5">
        <v>25.21</v>
      </c>
      <c r="M2767" s="6">
        <v>1</v>
      </c>
      <c r="N2767" s="7">
        <v>0</v>
      </c>
      <c r="O2767" t="s">
        <v>4791</v>
      </c>
      <c r="P2767" s="3" t="s">
        <v>40</v>
      </c>
      <c r="Q2767" s="8">
        <v>0.18357599999999999</v>
      </c>
    </row>
    <row r="2768" spans="1:17" hidden="1" x14ac:dyDescent="0.55000000000000004">
      <c r="A2768" s="3" t="s">
        <v>4723</v>
      </c>
      <c r="B2768" s="3" t="s">
        <v>4783</v>
      </c>
      <c r="C2768" t="s">
        <v>4783</v>
      </c>
      <c r="D2768" s="3" t="s">
        <v>7312</v>
      </c>
      <c r="E2768" t="s">
        <v>4794</v>
      </c>
      <c r="F2768" s="3" t="s">
        <v>4795</v>
      </c>
      <c r="G2768" t="s">
        <v>24</v>
      </c>
      <c r="H2768" s="3" t="s">
        <v>4792</v>
      </c>
      <c r="I2768" t="s">
        <v>105</v>
      </c>
      <c r="J2768" s="3" t="s">
        <v>4790</v>
      </c>
      <c r="K2768" s="4">
        <v>265</v>
      </c>
      <c r="L2768" s="5">
        <v>0</v>
      </c>
      <c r="M2768" s="6">
        <v>0</v>
      </c>
      <c r="N2768" s="7">
        <v>0</v>
      </c>
      <c r="O2768" t="s">
        <v>23</v>
      </c>
      <c r="P2768" s="3" t="s">
        <v>23</v>
      </c>
      <c r="Q2768" s="8" t="s">
        <v>23</v>
      </c>
    </row>
    <row r="2769" spans="1:17" hidden="1" x14ac:dyDescent="0.55000000000000004">
      <c r="A2769" s="3" t="s">
        <v>4723</v>
      </c>
      <c r="B2769" s="3" t="s">
        <v>4783</v>
      </c>
      <c r="C2769" t="s">
        <v>4783</v>
      </c>
      <c r="D2769" s="3" t="s">
        <v>7312</v>
      </c>
      <c r="E2769" t="s">
        <v>4794</v>
      </c>
      <c r="F2769" s="3" t="s">
        <v>4795</v>
      </c>
      <c r="G2769" t="s">
        <v>24</v>
      </c>
      <c r="H2769" s="3" t="s">
        <v>4793</v>
      </c>
      <c r="I2769" t="s">
        <v>37</v>
      </c>
      <c r="J2769" s="3" t="s">
        <v>4790</v>
      </c>
      <c r="K2769" s="4">
        <v>414</v>
      </c>
      <c r="L2769" s="5">
        <v>0</v>
      </c>
      <c r="M2769" s="6">
        <v>0</v>
      </c>
      <c r="N2769" s="7">
        <v>0</v>
      </c>
      <c r="O2769" t="s">
        <v>23</v>
      </c>
      <c r="P2769" s="3" t="s">
        <v>23</v>
      </c>
      <c r="Q2769" s="8" t="s">
        <v>23</v>
      </c>
    </row>
    <row r="2770" spans="1:17" hidden="1" x14ac:dyDescent="0.55000000000000004">
      <c r="A2770" s="3" t="s">
        <v>4723</v>
      </c>
      <c r="B2770" s="3" t="s">
        <v>4783</v>
      </c>
      <c r="C2770" t="s">
        <v>4783</v>
      </c>
      <c r="D2770" s="3" t="s">
        <v>7312</v>
      </c>
      <c r="E2770" t="s">
        <v>4799</v>
      </c>
      <c r="F2770" s="3" t="s">
        <v>4800</v>
      </c>
      <c r="G2770" t="s">
        <v>19</v>
      </c>
      <c r="H2770" s="3" t="s">
        <v>4786</v>
      </c>
      <c r="I2770" t="s">
        <v>81</v>
      </c>
      <c r="J2770" s="3" t="s">
        <v>4787</v>
      </c>
      <c r="K2770" s="4">
        <v>959</v>
      </c>
      <c r="L2770" s="5">
        <v>208.48</v>
      </c>
      <c r="M2770" s="6">
        <v>1</v>
      </c>
      <c r="N2770" s="7">
        <v>0</v>
      </c>
      <c r="O2770" t="s">
        <v>4788</v>
      </c>
      <c r="P2770" s="3" t="s">
        <v>84</v>
      </c>
      <c r="Q2770" s="8">
        <v>4.2654999999999998E-2</v>
      </c>
    </row>
    <row r="2771" spans="1:17" hidden="1" x14ac:dyDescent="0.55000000000000004">
      <c r="A2771" s="3" t="s">
        <v>4723</v>
      </c>
      <c r="B2771" s="3" t="s">
        <v>4783</v>
      </c>
      <c r="C2771" t="s">
        <v>4783</v>
      </c>
      <c r="D2771" s="3" t="s">
        <v>7312</v>
      </c>
      <c r="E2771" t="s">
        <v>4799</v>
      </c>
      <c r="F2771" s="3" t="s">
        <v>4800</v>
      </c>
      <c r="G2771" t="s">
        <v>24</v>
      </c>
      <c r="H2771" s="3" t="s">
        <v>4789</v>
      </c>
      <c r="I2771" t="s">
        <v>37</v>
      </c>
      <c r="J2771" s="3" t="s">
        <v>4790</v>
      </c>
      <c r="K2771" s="4">
        <v>555</v>
      </c>
      <c r="L2771" s="5">
        <v>25.21</v>
      </c>
      <c r="M2771" s="6">
        <v>1</v>
      </c>
      <c r="N2771" s="7">
        <v>0</v>
      </c>
      <c r="O2771" t="s">
        <v>4791</v>
      </c>
      <c r="P2771" s="3" t="s">
        <v>40</v>
      </c>
      <c r="Q2771" s="8">
        <v>0.18357599999999999</v>
      </c>
    </row>
    <row r="2772" spans="1:17" hidden="1" x14ac:dyDescent="0.55000000000000004">
      <c r="A2772" s="3" t="s">
        <v>4723</v>
      </c>
      <c r="B2772" s="3" t="s">
        <v>4783</v>
      </c>
      <c r="C2772" t="s">
        <v>4783</v>
      </c>
      <c r="D2772" s="3" t="s">
        <v>7312</v>
      </c>
      <c r="E2772" t="s">
        <v>4799</v>
      </c>
      <c r="F2772" s="3" t="s">
        <v>4800</v>
      </c>
      <c r="G2772" t="s">
        <v>24</v>
      </c>
      <c r="H2772" s="3" t="s">
        <v>4792</v>
      </c>
      <c r="I2772" t="s">
        <v>105</v>
      </c>
      <c r="J2772" s="3" t="s">
        <v>4790</v>
      </c>
      <c r="K2772" s="4">
        <v>265</v>
      </c>
      <c r="L2772" s="5">
        <v>0</v>
      </c>
      <c r="M2772" s="6">
        <v>0</v>
      </c>
      <c r="N2772" s="7">
        <v>0</v>
      </c>
      <c r="O2772" t="s">
        <v>23</v>
      </c>
      <c r="P2772" s="3" t="s">
        <v>23</v>
      </c>
      <c r="Q2772" s="8" t="s">
        <v>23</v>
      </c>
    </row>
    <row r="2773" spans="1:17" hidden="1" x14ac:dyDescent="0.55000000000000004">
      <c r="A2773" s="3" t="s">
        <v>4723</v>
      </c>
      <c r="B2773" s="3" t="s">
        <v>4783</v>
      </c>
      <c r="C2773" t="s">
        <v>4783</v>
      </c>
      <c r="D2773" s="3" t="s">
        <v>7312</v>
      </c>
      <c r="E2773" t="s">
        <v>4799</v>
      </c>
      <c r="F2773" s="3" t="s">
        <v>4800</v>
      </c>
      <c r="G2773" t="s">
        <v>24</v>
      </c>
      <c r="H2773" s="3" t="s">
        <v>4793</v>
      </c>
      <c r="I2773" t="s">
        <v>37</v>
      </c>
      <c r="J2773" s="3" t="s">
        <v>4790</v>
      </c>
      <c r="K2773" s="4">
        <v>414</v>
      </c>
      <c r="L2773" s="5">
        <v>0</v>
      </c>
      <c r="M2773" s="6">
        <v>0</v>
      </c>
      <c r="N2773" s="7">
        <v>0</v>
      </c>
      <c r="O2773" t="s">
        <v>23</v>
      </c>
      <c r="P2773" s="3" t="s">
        <v>23</v>
      </c>
      <c r="Q2773" s="8" t="s">
        <v>23</v>
      </c>
    </row>
    <row r="2774" spans="1:17" hidden="1" x14ac:dyDescent="0.55000000000000004">
      <c r="A2774" s="3" t="s">
        <v>4723</v>
      </c>
      <c r="B2774" s="3" t="s">
        <v>4783</v>
      </c>
      <c r="C2774" t="s">
        <v>4783</v>
      </c>
      <c r="D2774" s="3" t="s">
        <v>7312</v>
      </c>
      <c r="E2774" t="s">
        <v>4801</v>
      </c>
      <c r="F2774" s="3" t="s">
        <v>4802</v>
      </c>
      <c r="G2774" t="s">
        <v>19</v>
      </c>
      <c r="H2774" s="3" t="s">
        <v>4786</v>
      </c>
      <c r="I2774" t="s">
        <v>81</v>
      </c>
      <c r="J2774" s="3" t="s">
        <v>4787</v>
      </c>
      <c r="K2774" s="4">
        <v>959</v>
      </c>
      <c r="L2774" s="5">
        <v>208.48</v>
      </c>
      <c r="M2774" s="6">
        <v>1</v>
      </c>
      <c r="N2774" s="7">
        <v>0</v>
      </c>
      <c r="O2774" t="s">
        <v>4788</v>
      </c>
      <c r="P2774" s="3" t="s">
        <v>84</v>
      </c>
      <c r="Q2774" s="8">
        <v>4.2654999999999998E-2</v>
      </c>
    </row>
    <row r="2775" spans="1:17" hidden="1" x14ac:dyDescent="0.55000000000000004">
      <c r="A2775" s="3" t="s">
        <v>4723</v>
      </c>
      <c r="B2775" s="3" t="s">
        <v>4783</v>
      </c>
      <c r="C2775" t="s">
        <v>4783</v>
      </c>
      <c r="D2775" s="3" t="s">
        <v>7312</v>
      </c>
      <c r="E2775" t="s">
        <v>4801</v>
      </c>
      <c r="F2775" s="3" t="s">
        <v>4802</v>
      </c>
      <c r="G2775" t="s">
        <v>24</v>
      </c>
      <c r="H2775" s="3" t="s">
        <v>4789</v>
      </c>
      <c r="I2775" t="s">
        <v>37</v>
      </c>
      <c r="J2775" s="3" t="s">
        <v>4790</v>
      </c>
      <c r="K2775" s="4">
        <v>555</v>
      </c>
      <c r="L2775" s="5">
        <v>25.21</v>
      </c>
      <c r="M2775" s="6">
        <v>1</v>
      </c>
      <c r="N2775" s="7">
        <v>0</v>
      </c>
      <c r="O2775" t="s">
        <v>4791</v>
      </c>
      <c r="P2775" s="3" t="s">
        <v>40</v>
      </c>
      <c r="Q2775" s="8">
        <v>0.18357599999999999</v>
      </c>
    </row>
    <row r="2776" spans="1:17" hidden="1" x14ac:dyDescent="0.55000000000000004">
      <c r="A2776" s="3" t="s">
        <v>4723</v>
      </c>
      <c r="B2776" s="3" t="s">
        <v>4783</v>
      </c>
      <c r="C2776" t="s">
        <v>4783</v>
      </c>
      <c r="D2776" s="3" t="s">
        <v>7312</v>
      </c>
      <c r="E2776" t="s">
        <v>4801</v>
      </c>
      <c r="F2776" s="3" t="s">
        <v>4802</v>
      </c>
      <c r="G2776" t="s">
        <v>24</v>
      </c>
      <c r="H2776" s="3" t="s">
        <v>4792</v>
      </c>
      <c r="I2776" t="s">
        <v>105</v>
      </c>
      <c r="J2776" s="3" t="s">
        <v>4790</v>
      </c>
      <c r="K2776" s="4">
        <v>265</v>
      </c>
      <c r="L2776" s="5">
        <v>0</v>
      </c>
      <c r="M2776" s="6">
        <v>0</v>
      </c>
      <c r="N2776" s="7">
        <v>0</v>
      </c>
      <c r="O2776" t="s">
        <v>23</v>
      </c>
      <c r="P2776" s="3" t="s">
        <v>23</v>
      </c>
      <c r="Q2776" s="8" t="s">
        <v>23</v>
      </c>
    </row>
    <row r="2777" spans="1:17" hidden="1" x14ac:dyDescent="0.55000000000000004">
      <c r="A2777" s="3" t="s">
        <v>4723</v>
      </c>
      <c r="B2777" s="3" t="s">
        <v>4783</v>
      </c>
      <c r="C2777" t="s">
        <v>4783</v>
      </c>
      <c r="D2777" s="3" t="s">
        <v>7312</v>
      </c>
      <c r="E2777" t="s">
        <v>4801</v>
      </c>
      <c r="F2777" s="3" t="s">
        <v>4802</v>
      </c>
      <c r="G2777" t="s">
        <v>24</v>
      </c>
      <c r="H2777" s="3" t="s">
        <v>4793</v>
      </c>
      <c r="I2777" t="s">
        <v>37</v>
      </c>
      <c r="J2777" s="3" t="s">
        <v>4790</v>
      </c>
      <c r="K2777" s="4">
        <v>414</v>
      </c>
      <c r="L2777" s="5">
        <v>0</v>
      </c>
      <c r="M2777" s="6">
        <v>0</v>
      </c>
      <c r="N2777" s="7">
        <v>0</v>
      </c>
      <c r="O2777" t="s">
        <v>23</v>
      </c>
      <c r="P2777" s="3" t="s">
        <v>23</v>
      </c>
      <c r="Q2777" s="8" t="s">
        <v>23</v>
      </c>
    </row>
    <row r="2778" spans="1:17" hidden="1" x14ac:dyDescent="0.55000000000000004">
      <c r="A2778" s="3" t="s">
        <v>4723</v>
      </c>
      <c r="B2778" s="3" t="s">
        <v>4783</v>
      </c>
      <c r="C2778" t="s">
        <v>4783</v>
      </c>
      <c r="D2778" s="3" t="s">
        <v>7312</v>
      </c>
      <c r="E2778" t="s">
        <v>4803</v>
      </c>
      <c r="F2778" s="3" t="s">
        <v>4804</v>
      </c>
      <c r="G2778" t="s">
        <v>19</v>
      </c>
      <c r="H2778" s="3" t="s">
        <v>4786</v>
      </c>
      <c r="I2778" t="s">
        <v>81</v>
      </c>
      <c r="J2778" s="3" t="s">
        <v>4787</v>
      </c>
      <c r="K2778" s="4">
        <v>959</v>
      </c>
      <c r="L2778" s="5">
        <v>208.48</v>
      </c>
      <c r="M2778" s="6">
        <v>1</v>
      </c>
      <c r="N2778" s="7">
        <v>0</v>
      </c>
      <c r="O2778" t="s">
        <v>4788</v>
      </c>
      <c r="P2778" s="3" t="s">
        <v>84</v>
      </c>
      <c r="Q2778" s="8">
        <v>4.2654999999999998E-2</v>
      </c>
    </row>
    <row r="2779" spans="1:17" hidden="1" x14ac:dyDescent="0.55000000000000004">
      <c r="A2779" s="3" t="s">
        <v>4723</v>
      </c>
      <c r="B2779" s="3" t="s">
        <v>4783</v>
      </c>
      <c r="C2779" t="s">
        <v>4783</v>
      </c>
      <c r="D2779" s="3" t="s">
        <v>7312</v>
      </c>
      <c r="E2779" t="s">
        <v>4803</v>
      </c>
      <c r="F2779" s="3" t="s">
        <v>4804</v>
      </c>
      <c r="G2779" t="s">
        <v>24</v>
      </c>
      <c r="H2779" s="3" t="s">
        <v>4789</v>
      </c>
      <c r="I2779" t="s">
        <v>37</v>
      </c>
      <c r="J2779" s="3" t="s">
        <v>4790</v>
      </c>
      <c r="K2779" s="4">
        <v>555</v>
      </c>
      <c r="L2779" s="5">
        <v>25.21</v>
      </c>
      <c r="M2779" s="6">
        <v>1</v>
      </c>
      <c r="N2779" s="7">
        <v>0</v>
      </c>
      <c r="O2779" t="s">
        <v>4791</v>
      </c>
      <c r="P2779" s="3" t="s">
        <v>40</v>
      </c>
      <c r="Q2779" s="8">
        <v>0.18357599999999999</v>
      </c>
    </row>
    <row r="2780" spans="1:17" hidden="1" x14ac:dyDescent="0.55000000000000004">
      <c r="A2780" s="3" t="s">
        <v>4723</v>
      </c>
      <c r="B2780" s="3" t="s">
        <v>4783</v>
      </c>
      <c r="C2780" t="s">
        <v>4783</v>
      </c>
      <c r="D2780" s="3" t="s">
        <v>7312</v>
      </c>
      <c r="E2780" t="s">
        <v>4803</v>
      </c>
      <c r="F2780" s="3" t="s">
        <v>4804</v>
      </c>
      <c r="G2780" t="s">
        <v>24</v>
      </c>
      <c r="H2780" s="3" t="s">
        <v>4792</v>
      </c>
      <c r="I2780" t="s">
        <v>105</v>
      </c>
      <c r="J2780" s="3" t="s">
        <v>4790</v>
      </c>
      <c r="K2780" s="4">
        <v>265</v>
      </c>
      <c r="L2780" s="5">
        <v>0</v>
      </c>
      <c r="M2780" s="6">
        <v>0</v>
      </c>
      <c r="N2780" s="7">
        <v>0</v>
      </c>
      <c r="O2780" t="s">
        <v>23</v>
      </c>
      <c r="P2780" s="3" t="s">
        <v>23</v>
      </c>
      <c r="Q2780" s="8" t="s">
        <v>23</v>
      </c>
    </row>
    <row r="2781" spans="1:17" hidden="1" x14ac:dyDescent="0.55000000000000004">
      <c r="A2781" s="3" t="s">
        <v>4723</v>
      </c>
      <c r="B2781" s="3" t="s">
        <v>4783</v>
      </c>
      <c r="C2781" t="s">
        <v>4783</v>
      </c>
      <c r="D2781" s="3" t="s">
        <v>7312</v>
      </c>
      <c r="E2781" t="s">
        <v>4803</v>
      </c>
      <c r="F2781" s="3" t="s">
        <v>4804</v>
      </c>
      <c r="G2781" t="s">
        <v>24</v>
      </c>
      <c r="H2781" s="3" t="s">
        <v>4793</v>
      </c>
      <c r="I2781" t="s">
        <v>37</v>
      </c>
      <c r="J2781" s="3" t="s">
        <v>4790</v>
      </c>
      <c r="K2781" s="4">
        <v>414</v>
      </c>
      <c r="L2781" s="5">
        <v>0</v>
      </c>
      <c r="M2781" s="6">
        <v>0</v>
      </c>
      <c r="N2781" s="7">
        <v>0</v>
      </c>
      <c r="O2781" t="s">
        <v>23</v>
      </c>
      <c r="P2781" s="3" t="s">
        <v>23</v>
      </c>
      <c r="Q2781" s="8" t="s">
        <v>23</v>
      </c>
    </row>
    <row r="2782" spans="1:17" hidden="1" x14ac:dyDescent="0.55000000000000004">
      <c r="A2782" s="3" t="s">
        <v>4723</v>
      </c>
      <c r="B2782" s="3" t="s">
        <v>4783</v>
      </c>
      <c r="C2782" t="s">
        <v>4783</v>
      </c>
      <c r="D2782" s="3" t="s">
        <v>7312</v>
      </c>
      <c r="E2782" t="s">
        <v>4805</v>
      </c>
      <c r="F2782" s="3" t="s">
        <v>4806</v>
      </c>
      <c r="G2782" t="s">
        <v>19</v>
      </c>
      <c r="H2782" s="3" t="s">
        <v>4796</v>
      </c>
      <c r="I2782" t="s">
        <v>81</v>
      </c>
      <c r="J2782" s="3" t="s">
        <v>4797</v>
      </c>
      <c r="K2782" s="4">
        <v>964</v>
      </c>
      <c r="L2782" s="5">
        <v>209.54</v>
      </c>
      <c r="M2782" s="6">
        <v>1</v>
      </c>
      <c r="N2782" s="7">
        <v>0</v>
      </c>
      <c r="O2782" t="s">
        <v>4798</v>
      </c>
      <c r="P2782" s="3" t="s">
        <v>84</v>
      </c>
      <c r="Q2782" s="8">
        <v>4.2654999999999998E-2</v>
      </c>
    </row>
    <row r="2783" spans="1:17" hidden="1" x14ac:dyDescent="0.55000000000000004">
      <c r="A2783" s="3" t="s">
        <v>4723</v>
      </c>
      <c r="B2783" s="3" t="s">
        <v>4783</v>
      </c>
      <c r="C2783" t="s">
        <v>4783</v>
      </c>
      <c r="D2783" s="3" t="s">
        <v>7312</v>
      </c>
      <c r="E2783" t="s">
        <v>4805</v>
      </c>
      <c r="F2783" s="3" t="s">
        <v>4806</v>
      </c>
      <c r="G2783" t="s">
        <v>24</v>
      </c>
      <c r="H2783" s="3" t="s">
        <v>4789</v>
      </c>
      <c r="I2783" t="s">
        <v>37</v>
      </c>
      <c r="J2783" s="3" t="s">
        <v>4790</v>
      </c>
      <c r="K2783" s="4">
        <v>555</v>
      </c>
      <c r="L2783" s="5">
        <v>25.21</v>
      </c>
      <c r="M2783" s="6">
        <v>1</v>
      </c>
      <c r="N2783" s="7">
        <v>0</v>
      </c>
      <c r="O2783" t="s">
        <v>4791</v>
      </c>
      <c r="P2783" s="3" t="s">
        <v>40</v>
      </c>
      <c r="Q2783" s="8">
        <v>0.18357599999999999</v>
      </c>
    </row>
    <row r="2784" spans="1:17" hidden="1" x14ac:dyDescent="0.55000000000000004">
      <c r="A2784" s="3" t="s">
        <v>4723</v>
      </c>
      <c r="B2784" s="3" t="s">
        <v>4783</v>
      </c>
      <c r="C2784" t="s">
        <v>4783</v>
      </c>
      <c r="D2784" s="3" t="s">
        <v>7312</v>
      </c>
      <c r="E2784" t="s">
        <v>4805</v>
      </c>
      <c r="F2784" s="3" t="s">
        <v>4806</v>
      </c>
      <c r="G2784" t="s">
        <v>24</v>
      </c>
      <c r="H2784" s="3" t="s">
        <v>4792</v>
      </c>
      <c r="I2784" t="s">
        <v>105</v>
      </c>
      <c r="J2784" s="3" t="s">
        <v>4790</v>
      </c>
      <c r="K2784" s="4">
        <v>265</v>
      </c>
      <c r="L2784" s="5">
        <v>0</v>
      </c>
      <c r="M2784" s="6">
        <v>0</v>
      </c>
      <c r="N2784" s="7">
        <v>0</v>
      </c>
      <c r="O2784" t="s">
        <v>23</v>
      </c>
      <c r="P2784" s="3" t="s">
        <v>23</v>
      </c>
      <c r="Q2784" s="8" t="s">
        <v>23</v>
      </c>
    </row>
    <row r="2785" spans="1:17" hidden="1" x14ac:dyDescent="0.55000000000000004">
      <c r="A2785" s="3" t="s">
        <v>4723</v>
      </c>
      <c r="B2785" s="3" t="s">
        <v>4783</v>
      </c>
      <c r="C2785" t="s">
        <v>4783</v>
      </c>
      <c r="D2785" s="3" t="s">
        <v>7312</v>
      </c>
      <c r="E2785" t="s">
        <v>4805</v>
      </c>
      <c r="F2785" s="3" t="s">
        <v>4806</v>
      </c>
      <c r="G2785" t="s">
        <v>24</v>
      </c>
      <c r="H2785" s="3" t="s">
        <v>4793</v>
      </c>
      <c r="I2785" t="s">
        <v>37</v>
      </c>
      <c r="J2785" s="3" t="s">
        <v>4790</v>
      </c>
      <c r="K2785" s="4">
        <v>414</v>
      </c>
      <c r="L2785" s="5">
        <v>0</v>
      </c>
      <c r="M2785" s="6">
        <v>0</v>
      </c>
      <c r="N2785" s="7">
        <v>0</v>
      </c>
      <c r="O2785" t="s">
        <v>23</v>
      </c>
      <c r="P2785" s="3" t="s">
        <v>23</v>
      </c>
      <c r="Q2785" s="8" t="s">
        <v>23</v>
      </c>
    </row>
    <row r="2786" spans="1:17" hidden="1" x14ac:dyDescent="0.55000000000000004">
      <c r="A2786" s="3" t="s">
        <v>4723</v>
      </c>
      <c r="B2786" s="3" t="s">
        <v>4783</v>
      </c>
      <c r="C2786" t="s">
        <v>4783</v>
      </c>
      <c r="D2786" s="3" t="s">
        <v>7312</v>
      </c>
      <c r="E2786" t="s">
        <v>4807</v>
      </c>
      <c r="F2786" s="3" t="s">
        <v>4808</v>
      </c>
      <c r="G2786" t="s">
        <v>19</v>
      </c>
      <c r="H2786" s="3" t="s">
        <v>4796</v>
      </c>
      <c r="I2786" t="s">
        <v>81</v>
      </c>
      <c r="J2786" s="3" t="s">
        <v>4797</v>
      </c>
      <c r="K2786" s="4">
        <v>964</v>
      </c>
      <c r="L2786" s="5">
        <v>209.54</v>
      </c>
      <c r="M2786" s="6">
        <v>1</v>
      </c>
      <c r="N2786" s="7">
        <v>0</v>
      </c>
      <c r="O2786" t="s">
        <v>4798</v>
      </c>
      <c r="P2786" s="3" t="s">
        <v>84</v>
      </c>
      <c r="Q2786" s="8">
        <v>4.2654999999999998E-2</v>
      </c>
    </row>
    <row r="2787" spans="1:17" hidden="1" x14ac:dyDescent="0.55000000000000004">
      <c r="A2787" s="3" t="s">
        <v>4723</v>
      </c>
      <c r="B2787" s="3" t="s">
        <v>4783</v>
      </c>
      <c r="C2787" t="s">
        <v>4783</v>
      </c>
      <c r="D2787" s="3" t="s">
        <v>7312</v>
      </c>
      <c r="E2787" t="s">
        <v>4807</v>
      </c>
      <c r="F2787" s="3" t="s">
        <v>4808</v>
      </c>
      <c r="G2787" t="s">
        <v>24</v>
      </c>
      <c r="H2787" s="3" t="s">
        <v>4789</v>
      </c>
      <c r="I2787" t="s">
        <v>37</v>
      </c>
      <c r="J2787" s="3" t="s">
        <v>4790</v>
      </c>
      <c r="K2787" s="4">
        <v>555</v>
      </c>
      <c r="L2787" s="5">
        <v>25.21</v>
      </c>
      <c r="M2787" s="6">
        <v>1</v>
      </c>
      <c r="N2787" s="7">
        <v>0</v>
      </c>
      <c r="O2787" t="s">
        <v>4791</v>
      </c>
      <c r="P2787" s="3" t="s">
        <v>40</v>
      </c>
      <c r="Q2787" s="8">
        <v>0.18357599999999999</v>
      </c>
    </row>
    <row r="2788" spans="1:17" hidden="1" x14ac:dyDescent="0.55000000000000004">
      <c r="A2788" s="3" t="s">
        <v>4723</v>
      </c>
      <c r="B2788" s="3" t="s">
        <v>4783</v>
      </c>
      <c r="C2788" t="s">
        <v>4783</v>
      </c>
      <c r="D2788" s="3" t="s">
        <v>7312</v>
      </c>
      <c r="E2788" t="s">
        <v>4807</v>
      </c>
      <c r="F2788" s="3" t="s">
        <v>4808</v>
      </c>
      <c r="G2788" t="s">
        <v>24</v>
      </c>
      <c r="H2788" s="3" t="s">
        <v>4792</v>
      </c>
      <c r="I2788" t="s">
        <v>105</v>
      </c>
      <c r="J2788" s="3" t="s">
        <v>4790</v>
      </c>
      <c r="K2788" s="4">
        <v>265</v>
      </c>
      <c r="L2788" s="5">
        <v>0</v>
      </c>
      <c r="M2788" s="6">
        <v>0</v>
      </c>
      <c r="N2788" s="7">
        <v>0</v>
      </c>
      <c r="O2788" t="s">
        <v>23</v>
      </c>
      <c r="P2788" s="3" t="s">
        <v>23</v>
      </c>
      <c r="Q2788" s="8" t="s">
        <v>23</v>
      </c>
    </row>
    <row r="2789" spans="1:17" hidden="1" x14ac:dyDescent="0.55000000000000004">
      <c r="A2789" s="3" t="s">
        <v>4723</v>
      </c>
      <c r="B2789" s="3" t="s">
        <v>4783</v>
      </c>
      <c r="C2789" t="s">
        <v>4783</v>
      </c>
      <c r="D2789" s="3" t="s">
        <v>7312</v>
      </c>
      <c r="E2789" t="s">
        <v>4807</v>
      </c>
      <c r="F2789" s="3" t="s">
        <v>4808</v>
      </c>
      <c r="G2789" t="s">
        <v>24</v>
      </c>
      <c r="H2789" s="3" t="s">
        <v>4793</v>
      </c>
      <c r="I2789" t="s">
        <v>37</v>
      </c>
      <c r="J2789" s="3" t="s">
        <v>4790</v>
      </c>
      <c r="K2789" s="4">
        <v>414</v>
      </c>
      <c r="L2789" s="5">
        <v>0</v>
      </c>
      <c r="M2789" s="6">
        <v>0</v>
      </c>
      <c r="N2789" s="7">
        <v>0</v>
      </c>
      <c r="O2789" t="s">
        <v>23</v>
      </c>
      <c r="P2789" s="3" t="s">
        <v>23</v>
      </c>
      <c r="Q2789" s="8" t="s">
        <v>23</v>
      </c>
    </row>
    <row r="2790" spans="1:17" hidden="1" x14ac:dyDescent="0.55000000000000004">
      <c r="A2790" s="3" t="s">
        <v>4723</v>
      </c>
      <c r="B2790" s="3" t="s">
        <v>4783</v>
      </c>
      <c r="C2790" t="s">
        <v>4783</v>
      </c>
      <c r="D2790" s="3" t="s">
        <v>7312</v>
      </c>
      <c r="E2790" t="s">
        <v>4809</v>
      </c>
      <c r="F2790" s="3" t="s">
        <v>4810</v>
      </c>
      <c r="G2790" t="s">
        <v>19</v>
      </c>
      <c r="H2790" s="3" t="s">
        <v>4796</v>
      </c>
      <c r="I2790" t="s">
        <v>81</v>
      </c>
      <c r="J2790" s="3" t="s">
        <v>4797</v>
      </c>
      <c r="K2790" s="4">
        <v>964</v>
      </c>
      <c r="L2790" s="5">
        <v>209.54</v>
      </c>
      <c r="M2790" s="6">
        <v>1</v>
      </c>
      <c r="N2790" s="7">
        <v>0</v>
      </c>
      <c r="O2790" t="s">
        <v>4798</v>
      </c>
      <c r="P2790" s="3" t="s">
        <v>84</v>
      </c>
      <c r="Q2790" s="8">
        <v>4.2654999999999998E-2</v>
      </c>
    </row>
    <row r="2791" spans="1:17" hidden="1" x14ac:dyDescent="0.55000000000000004">
      <c r="A2791" s="3" t="s">
        <v>4723</v>
      </c>
      <c r="B2791" s="3" t="s">
        <v>4783</v>
      </c>
      <c r="C2791" t="s">
        <v>4783</v>
      </c>
      <c r="D2791" s="3" t="s">
        <v>7312</v>
      </c>
      <c r="E2791" t="s">
        <v>4809</v>
      </c>
      <c r="F2791" s="3" t="s">
        <v>4810</v>
      </c>
      <c r="G2791" t="s">
        <v>24</v>
      </c>
      <c r="H2791" s="3" t="s">
        <v>4789</v>
      </c>
      <c r="I2791" t="s">
        <v>37</v>
      </c>
      <c r="J2791" s="3" t="s">
        <v>4790</v>
      </c>
      <c r="K2791" s="4">
        <v>555</v>
      </c>
      <c r="L2791" s="5">
        <v>25.21</v>
      </c>
      <c r="M2791" s="6">
        <v>1</v>
      </c>
      <c r="N2791" s="7">
        <v>0</v>
      </c>
      <c r="O2791" t="s">
        <v>4791</v>
      </c>
      <c r="P2791" s="3" t="s">
        <v>40</v>
      </c>
      <c r="Q2791" s="8">
        <v>0.18357599999999999</v>
      </c>
    </row>
    <row r="2792" spans="1:17" hidden="1" x14ac:dyDescent="0.55000000000000004">
      <c r="A2792" s="3" t="s">
        <v>4723</v>
      </c>
      <c r="B2792" s="3" t="s">
        <v>4783</v>
      </c>
      <c r="C2792" t="s">
        <v>4783</v>
      </c>
      <c r="D2792" s="3" t="s">
        <v>7312</v>
      </c>
      <c r="E2792" t="s">
        <v>4809</v>
      </c>
      <c r="F2792" s="3" t="s">
        <v>4810</v>
      </c>
      <c r="G2792" t="s">
        <v>24</v>
      </c>
      <c r="H2792" s="3" t="s">
        <v>4792</v>
      </c>
      <c r="I2792" t="s">
        <v>105</v>
      </c>
      <c r="J2792" s="3" t="s">
        <v>4790</v>
      </c>
      <c r="K2792" s="4">
        <v>265</v>
      </c>
      <c r="L2792" s="5">
        <v>0</v>
      </c>
      <c r="M2792" s="6">
        <v>0</v>
      </c>
      <c r="N2792" s="7">
        <v>0</v>
      </c>
      <c r="O2792" t="s">
        <v>23</v>
      </c>
      <c r="P2792" s="3" t="s">
        <v>23</v>
      </c>
      <c r="Q2792" s="8" t="s">
        <v>23</v>
      </c>
    </row>
    <row r="2793" spans="1:17" hidden="1" x14ac:dyDescent="0.55000000000000004">
      <c r="A2793" s="3" t="s">
        <v>4723</v>
      </c>
      <c r="B2793" s="3" t="s">
        <v>4783</v>
      </c>
      <c r="C2793" t="s">
        <v>4783</v>
      </c>
      <c r="D2793" s="3" t="s">
        <v>7312</v>
      </c>
      <c r="E2793" t="s">
        <v>4809</v>
      </c>
      <c r="F2793" s="3" t="s">
        <v>4810</v>
      </c>
      <c r="G2793" t="s">
        <v>24</v>
      </c>
      <c r="H2793" s="3" t="s">
        <v>4793</v>
      </c>
      <c r="I2793" t="s">
        <v>37</v>
      </c>
      <c r="J2793" s="3" t="s">
        <v>4790</v>
      </c>
      <c r="K2793" s="4">
        <v>414</v>
      </c>
      <c r="L2793" s="5">
        <v>0</v>
      </c>
      <c r="M2793" s="6">
        <v>0</v>
      </c>
      <c r="N2793" s="7">
        <v>0</v>
      </c>
      <c r="O2793" t="s">
        <v>23</v>
      </c>
      <c r="P2793" s="3" t="s">
        <v>23</v>
      </c>
      <c r="Q2793" s="8" t="s">
        <v>23</v>
      </c>
    </row>
    <row r="2794" spans="1:17" hidden="1" x14ac:dyDescent="0.55000000000000004">
      <c r="A2794" s="3" t="s">
        <v>4723</v>
      </c>
      <c r="B2794" s="3" t="s">
        <v>4783</v>
      </c>
      <c r="C2794" t="s">
        <v>4783</v>
      </c>
      <c r="D2794" s="3" t="s">
        <v>7312</v>
      </c>
      <c r="E2794" t="s">
        <v>4811</v>
      </c>
      <c r="F2794" s="3" t="s">
        <v>4812</v>
      </c>
      <c r="G2794" t="s">
        <v>19</v>
      </c>
      <c r="H2794" s="3" t="s">
        <v>4796</v>
      </c>
      <c r="I2794" t="s">
        <v>81</v>
      </c>
      <c r="J2794" s="3" t="s">
        <v>4797</v>
      </c>
      <c r="K2794" s="4">
        <v>964</v>
      </c>
      <c r="L2794" s="5">
        <v>209.54</v>
      </c>
      <c r="M2794" s="6">
        <v>1</v>
      </c>
      <c r="N2794" s="7">
        <v>1</v>
      </c>
      <c r="O2794" t="s">
        <v>4798</v>
      </c>
      <c r="P2794" s="3" t="s">
        <v>84</v>
      </c>
      <c r="Q2794" s="8">
        <v>4.2654999999999998E-2</v>
      </c>
    </row>
    <row r="2795" spans="1:17" hidden="1" x14ac:dyDescent="0.55000000000000004">
      <c r="A2795" s="3" t="s">
        <v>4723</v>
      </c>
      <c r="B2795" s="3" t="s">
        <v>4783</v>
      </c>
      <c r="C2795" t="s">
        <v>4783</v>
      </c>
      <c r="D2795" s="3" t="s">
        <v>7312</v>
      </c>
      <c r="E2795" t="s">
        <v>4811</v>
      </c>
      <c r="F2795" s="3" t="s">
        <v>4812</v>
      </c>
      <c r="G2795" t="s">
        <v>24</v>
      </c>
      <c r="H2795" s="3" t="s">
        <v>4789</v>
      </c>
      <c r="I2795" t="s">
        <v>37</v>
      </c>
      <c r="J2795" s="3" t="s">
        <v>4790</v>
      </c>
      <c r="K2795" s="4">
        <v>555</v>
      </c>
      <c r="L2795" s="5">
        <v>25.21</v>
      </c>
      <c r="M2795" s="6">
        <v>1</v>
      </c>
      <c r="N2795" s="7">
        <v>1</v>
      </c>
      <c r="O2795" t="s">
        <v>4791</v>
      </c>
      <c r="P2795" s="3" t="s">
        <v>40</v>
      </c>
      <c r="Q2795" s="8">
        <v>0.18357599999999999</v>
      </c>
    </row>
    <row r="2796" spans="1:17" hidden="1" x14ac:dyDescent="0.55000000000000004">
      <c r="A2796" s="3" t="s">
        <v>4723</v>
      </c>
      <c r="B2796" s="3" t="s">
        <v>4783</v>
      </c>
      <c r="C2796" t="s">
        <v>4783</v>
      </c>
      <c r="D2796" s="3" t="s">
        <v>7312</v>
      </c>
      <c r="E2796" t="s">
        <v>4811</v>
      </c>
      <c r="F2796" s="3" t="s">
        <v>4812</v>
      </c>
      <c r="G2796" t="s">
        <v>24</v>
      </c>
      <c r="H2796" s="3" t="s">
        <v>4792</v>
      </c>
      <c r="I2796" t="s">
        <v>105</v>
      </c>
      <c r="J2796" s="3" t="s">
        <v>4790</v>
      </c>
      <c r="K2796" s="4">
        <v>265</v>
      </c>
      <c r="L2796" s="5">
        <v>0</v>
      </c>
      <c r="M2796" s="6">
        <v>0</v>
      </c>
      <c r="N2796" s="7">
        <v>1</v>
      </c>
      <c r="O2796" t="s">
        <v>23</v>
      </c>
      <c r="P2796" s="3" t="s">
        <v>23</v>
      </c>
      <c r="Q2796" s="8" t="s">
        <v>23</v>
      </c>
    </row>
    <row r="2797" spans="1:17" hidden="1" x14ac:dyDescent="0.55000000000000004">
      <c r="A2797" s="3" t="s">
        <v>4723</v>
      </c>
      <c r="B2797" s="3" t="s">
        <v>4783</v>
      </c>
      <c r="C2797" t="s">
        <v>4783</v>
      </c>
      <c r="D2797" s="3" t="s">
        <v>7312</v>
      </c>
      <c r="E2797" t="s">
        <v>4811</v>
      </c>
      <c r="F2797" s="3" t="s">
        <v>4812</v>
      </c>
      <c r="G2797" t="s">
        <v>24</v>
      </c>
      <c r="H2797" s="3" t="s">
        <v>4793</v>
      </c>
      <c r="I2797" t="s">
        <v>37</v>
      </c>
      <c r="J2797" s="3" t="s">
        <v>4790</v>
      </c>
      <c r="K2797" s="4">
        <v>414</v>
      </c>
      <c r="L2797" s="5">
        <v>0</v>
      </c>
      <c r="M2797" s="6">
        <v>0</v>
      </c>
      <c r="N2797" s="7">
        <v>1</v>
      </c>
      <c r="O2797" t="s">
        <v>23</v>
      </c>
      <c r="P2797" s="3" t="s">
        <v>23</v>
      </c>
      <c r="Q2797" s="8" t="s">
        <v>23</v>
      </c>
    </row>
    <row r="2798" spans="1:17" hidden="1" x14ac:dyDescent="0.55000000000000004">
      <c r="A2798" s="3" t="s">
        <v>4723</v>
      </c>
      <c r="B2798" s="3" t="s">
        <v>4783</v>
      </c>
      <c r="C2798" t="s">
        <v>4783</v>
      </c>
      <c r="D2798" s="3" t="s">
        <v>7312</v>
      </c>
      <c r="E2798" t="s">
        <v>4813</v>
      </c>
      <c r="F2798" s="3" t="s">
        <v>4814</v>
      </c>
      <c r="G2798" t="s">
        <v>19</v>
      </c>
      <c r="H2798" s="3" t="s">
        <v>4796</v>
      </c>
      <c r="I2798" t="s">
        <v>81</v>
      </c>
      <c r="J2798" s="3" t="s">
        <v>4797</v>
      </c>
      <c r="K2798" s="4">
        <v>964</v>
      </c>
      <c r="L2798" s="5">
        <v>209.54</v>
      </c>
      <c r="M2798" s="6">
        <v>1</v>
      </c>
      <c r="N2798" s="7">
        <v>0</v>
      </c>
      <c r="O2798" t="s">
        <v>4798</v>
      </c>
      <c r="P2798" s="3" t="s">
        <v>84</v>
      </c>
      <c r="Q2798" s="8">
        <v>4.2654999999999998E-2</v>
      </c>
    </row>
    <row r="2799" spans="1:17" hidden="1" x14ac:dyDescent="0.55000000000000004">
      <c r="A2799" s="3" t="s">
        <v>4723</v>
      </c>
      <c r="B2799" s="3" t="s">
        <v>4783</v>
      </c>
      <c r="C2799" t="s">
        <v>4783</v>
      </c>
      <c r="D2799" s="3" t="s">
        <v>7312</v>
      </c>
      <c r="E2799" t="s">
        <v>4813</v>
      </c>
      <c r="F2799" s="3" t="s">
        <v>4814</v>
      </c>
      <c r="G2799" t="s">
        <v>24</v>
      </c>
      <c r="H2799" s="3" t="s">
        <v>4789</v>
      </c>
      <c r="I2799" t="s">
        <v>37</v>
      </c>
      <c r="J2799" s="3" t="s">
        <v>4790</v>
      </c>
      <c r="K2799" s="4">
        <v>555</v>
      </c>
      <c r="L2799" s="5">
        <v>25.21</v>
      </c>
      <c r="M2799" s="6">
        <v>1</v>
      </c>
      <c r="N2799" s="7">
        <v>0</v>
      </c>
      <c r="O2799" t="s">
        <v>4791</v>
      </c>
      <c r="P2799" s="3" t="s">
        <v>40</v>
      </c>
      <c r="Q2799" s="8">
        <v>0.18357599999999999</v>
      </c>
    </row>
    <row r="2800" spans="1:17" hidden="1" x14ac:dyDescent="0.55000000000000004">
      <c r="A2800" s="3" t="s">
        <v>4723</v>
      </c>
      <c r="B2800" s="3" t="s">
        <v>4783</v>
      </c>
      <c r="C2800" t="s">
        <v>4783</v>
      </c>
      <c r="D2800" s="3" t="s">
        <v>7312</v>
      </c>
      <c r="E2800" t="s">
        <v>4813</v>
      </c>
      <c r="F2800" s="3" t="s">
        <v>4814</v>
      </c>
      <c r="G2800" t="s">
        <v>24</v>
      </c>
      <c r="H2800" s="3" t="s">
        <v>4792</v>
      </c>
      <c r="I2800" t="s">
        <v>105</v>
      </c>
      <c r="J2800" s="3" t="s">
        <v>4790</v>
      </c>
      <c r="K2800" s="4">
        <v>265</v>
      </c>
      <c r="L2800" s="5">
        <v>0</v>
      </c>
      <c r="M2800" s="6">
        <v>0</v>
      </c>
      <c r="N2800" s="7">
        <v>0</v>
      </c>
      <c r="O2800" t="s">
        <v>23</v>
      </c>
      <c r="P2800" s="3" t="s">
        <v>23</v>
      </c>
      <c r="Q2800" s="8" t="s">
        <v>23</v>
      </c>
    </row>
    <row r="2801" spans="1:17" hidden="1" x14ac:dyDescent="0.55000000000000004">
      <c r="A2801" s="9" t="s">
        <v>4723</v>
      </c>
      <c r="B2801" s="3" t="s">
        <v>4783</v>
      </c>
      <c r="C2801" t="s">
        <v>4783</v>
      </c>
      <c r="D2801" s="3" t="s">
        <v>7312</v>
      </c>
      <c r="E2801" t="s">
        <v>4813</v>
      </c>
      <c r="F2801" s="3" t="s">
        <v>4814</v>
      </c>
      <c r="G2801" t="s">
        <v>24</v>
      </c>
      <c r="H2801" s="3" t="s">
        <v>4793</v>
      </c>
      <c r="I2801" t="s">
        <v>37</v>
      </c>
      <c r="J2801" s="3" t="s">
        <v>4790</v>
      </c>
      <c r="K2801" s="4">
        <v>414</v>
      </c>
      <c r="L2801" s="5">
        <v>0</v>
      </c>
      <c r="M2801" s="6">
        <v>0</v>
      </c>
      <c r="N2801" s="7">
        <v>0</v>
      </c>
      <c r="O2801" t="s">
        <v>23</v>
      </c>
      <c r="P2801" s="3" t="s">
        <v>23</v>
      </c>
      <c r="Q2801" s="8" t="s">
        <v>23</v>
      </c>
    </row>
    <row r="2802" spans="1:17" hidden="1" x14ac:dyDescent="0.55000000000000004">
      <c r="A2802" s="3" t="s">
        <v>4815</v>
      </c>
      <c r="B2802" s="3" t="s">
        <v>4816</v>
      </c>
      <c r="C2802" t="s">
        <v>4817</v>
      </c>
      <c r="D2802" s="3" t="s">
        <v>7314</v>
      </c>
      <c r="E2802" t="s">
        <v>4818</v>
      </c>
      <c r="F2802" s="3" t="s">
        <v>4819</v>
      </c>
      <c r="G2802" t="s">
        <v>19</v>
      </c>
      <c r="H2802" s="3" t="s">
        <v>4820</v>
      </c>
      <c r="I2802" t="s">
        <v>4821</v>
      </c>
      <c r="J2802" s="3" t="s">
        <v>4822</v>
      </c>
      <c r="K2802" s="4">
        <v>151</v>
      </c>
      <c r="L2802" s="5">
        <v>32.83</v>
      </c>
      <c r="M2802" s="6">
        <v>1</v>
      </c>
      <c r="N2802" s="7">
        <v>1</v>
      </c>
      <c r="O2802" t="s">
        <v>4823</v>
      </c>
      <c r="P2802" s="3" t="s">
        <v>4824</v>
      </c>
      <c r="Q2802" s="8">
        <v>2.8223999999999999E-2</v>
      </c>
    </row>
    <row r="2803" spans="1:17" hidden="1" x14ac:dyDescent="0.55000000000000004">
      <c r="A2803" s="3" t="s">
        <v>4815</v>
      </c>
      <c r="B2803" s="3" t="s">
        <v>4816</v>
      </c>
      <c r="C2803" t="s">
        <v>4817</v>
      </c>
      <c r="D2803" s="3" t="s">
        <v>7314</v>
      </c>
      <c r="E2803" t="s">
        <v>4818</v>
      </c>
      <c r="F2803" s="3" t="s">
        <v>4819</v>
      </c>
      <c r="G2803" t="s">
        <v>24</v>
      </c>
      <c r="H2803" s="3" t="s">
        <v>4825</v>
      </c>
      <c r="I2803" t="s">
        <v>52</v>
      </c>
      <c r="J2803" s="3" t="s">
        <v>4826</v>
      </c>
      <c r="K2803" s="4">
        <v>834</v>
      </c>
      <c r="L2803" s="5">
        <v>37.9</v>
      </c>
      <c r="M2803" s="6">
        <v>1</v>
      </c>
      <c r="N2803" s="7">
        <v>1</v>
      </c>
      <c r="O2803" t="s">
        <v>4827</v>
      </c>
      <c r="P2803" s="3" t="s">
        <v>55</v>
      </c>
      <c r="Q2803" s="8">
        <v>0.218504</v>
      </c>
    </row>
    <row r="2804" spans="1:17" hidden="1" x14ac:dyDescent="0.55000000000000004">
      <c r="A2804" s="3" t="s">
        <v>4815</v>
      </c>
      <c r="B2804" s="3" t="s">
        <v>7388</v>
      </c>
      <c r="C2804" t="s">
        <v>4828</v>
      </c>
      <c r="D2804" s="3" t="s">
        <v>7314</v>
      </c>
      <c r="E2804" t="s">
        <v>4829</v>
      </c>
      <c r="F2804" s="3" t="s">
        <v>4830</v>
      </c>
      <c r="G2804" t="s">
        <v>19</v>
      </c>
      <c r="H2804" s="3" t="s">
        <v>4831</v>
      </c>
      <c r="I2804" t="s">
        <v>66</v>
      </c>
      <c r="J2804" s="3" t="s">
        <v>4832</v>
      </c>
      <c r="K2804" s="4">
        <v>434</v>
      </c>
      <c r="L2804" s="5">
        <v>94</v>
      </c>
      <c r="M2804" s="6">
        <v>1</v>
      </c>
      <c r="N2804" s="7">
        <v>1</v>
      </c>
      <c r="O2804" t="s">
        <v>4833</v>
      </c>
      <c r="P2804" s="3" t="s">
        <v>64</v>
      </c>
      <c r="Q2804" s="8">
        <v>0.10306899999999999</v>
      </c>
    </row>
    <row r="2805" spans="1:17" hidden="1" x14ac:dyDescent="0.55000000000000004">
      <c r="A2805" s="3" t="s">
        <v>4815</v>
      </c>
      <c r="B2805" s="3" t="s">
        <v>7388</v>
      </c>
      <c r="C2805" t="s">
        <v>4828</v>
      </c>
      <c r="D2805" s="3" t="s">
        <v>7314</v>
      </c>
      <c r="E2805" t="s">
        <v>4829</v>
      </c>
      <c r="F2805" s="3" t="s">
        <v>4830</v>
      </c>
      <c r="G2805" t="s">
        <v>24</v>
      </c>
      <c r="H2805" s="3" t="s">
        <v>4834</v>
      </c>
      <c r="I2805" t="s">
        <v>52</v>
      </c>
      <c r="J2805" s="3" t="s">
        <v>4835</v>
      </c>
      <c r="K2805" s="4">
        <v>882</v>
      </c>
      <c r="L2805" s="5">
        <v>40.08</v>
      </c>
      <c r="M2805" s="6">
        <v>1</v>
      </c>
      <c r="N2805" s="7">
        <v>1</v>
      </c>
      <c r="O2805" t="s">
        <v>4836</v>
      </c>
      <c r="P2805" s="3" t="s">
        <v>55</v>
      </c>
      <c r="Q2805" s="8">
        <v>0.21898300000000001</v>
      </c>
    </row>
    <row r="2806" spans="1:17" hidden="1" x14ac:dyDescent="0.55000000000000004">
      <c r="A2806" s="3" t="s">
        <v>4815</v>
      </c>
      <c r="B2806" s="3" t="s">
        <v>7388</v>
      </c>
      <c r="C2806" t="s">
        <v>4828</v>
      </c>
      <c r="D2806" s="3" t="s">
        <v>7314</v>
      </c>
      <c r="E2806" t="s">
        <v>4829</v>
      </c>
      <c r="F2806" s="3" t="s">
        <v>4830</v>
      </c>
      <c r="G2806" t="s">
        <v>24</v>
      </c>
      <c r="H2806" s="3" t="s">
        <v>4837</v>
      </c>
      <c r="I2806" t="s">
        <v>26</v>
      </c>
      <c r="J2806" s="3" t="s">
        <v>4838</v>
      </c>
      <c r="K2806" s="4">
        <v>876</v>
      </c>
      <c r="L2806" s="5">
        <v>39.82</v>
      </c>
      <c r="M2806" s="6">
        <v>0</v>
      </c>
      <c r="N2806" s="7">
        <v>1</v>
      </c>
      <c r="O2806" t="s">
        <v>4839</v>
      </c>
      <c r="P2806" s="3" t="s">
        <v>29</v>
      </c>
      <c r="Q2806" s="8">
        <v>0.2455</v>
      </c>
    </row>
    <row r="2807" spans="1:17" hidden="1" x14ac:dyDescent="0.55000000000000004">
      <c r="A2807" s="3" t="s">
        <v>4815</v>
      </c>
      <c r="B2807" s="3" t="s">
        <v>4828</v>
      </c>
      <c r="C2807" t="s">
        <v>4828</v>
      </c>
      <c r="D2807" s="3" t="s">
        <v>7314</v>
      </c>
      <c r="E2807" t="s">
        <v>4840</v>
      </c>
      <c r="F2807" s="3" t="s">
        <v>4841</v>
      </c>
      <c r="G2807" t="s">
        <v>24</v>
      </c>
      <c r="H2807" s="3" t="s">
        <v>4834</v>
      </c>
      <c r="I2807" t="s">
        <v>52</v>
      </c>
      <c r="J2807" s="3" t="s">
        <v>4835</v>
      </c>
      <c r="K2807" s="4">
        <v>882</v>
      </c>
      <c r="L2807" s="5">
        <v>40.08</v>
      </c>
      <c r="M2807" s="6">
        <v>1</v>
      </c>
      <c r="N2807" s="7">
        <v>0</v>
      </c>
      <c r="O2807" t="s">
        <v>4836</v>
      </c>
      <c r="P2807" s="3" t="s">
        <v>55</v>
      </c>
      <c r="Q2807" s="8">
        <v>0.21898300000000001</v>
      </c>
    </row>
    <row r="2808" spans="1:17" hidden="1" x14ac:dyDescent="0.55000000000000004">
      <c r="A2808" s="3" t="s">
        <v>4815</v>
      </c>
      <c r="B2808" s="3" t="s">
        <v>4828</v>
      </c>
      <c r="C2808" t="s">
        <v>4828</v>
      </c>
      <c r="D2808" s="3" t="s">
        <v>7314</v>
      </c>
      <c r="E2808" t="s">
        <v>4840</v>
      </c>
      <c r="F2808" s="3" t="s">
        <v>4841</v>
      </c>
      <c r="G2808" t="s">
        <v>24</v>
      </c>
      <c r="H2808" s="3" t="s">
        <v>4837</v>
      </c>
      <c r="I2808" t="s">
        <v>26</v>
      </c>
      <c r="J2808" s="3" t="s">
        <v>4838</v>
      </c>
      <c r="K2808" s="4">
        <v>876</v>
      </c>
      <c r="L2808" s="5">
        <v>39.82</v>
      </c>
      <c r="M2808" s="6">
        <v>0</v>
      </c>
      <c r="N2808" s="7">
        <v>0</v>
      </c>
      <c r="O2808" t="s">
        <v>4839</v>
      </c>
      <c r="P2808" s="3" t="s">
        <v>29</v>
      </c>
      <c r="Q2808" s="8">
        <v>0.2455</v>
      </c>
    </row>
    <row r="2809" spans="1:17" hidden="1" x14ac:dyDescent="0.55000000000000004">
      <c r="A2809" s="3" t="s">
        <v>4815</v>
      </c>
      <c r="B2809" s="3" t="s">
        <v>4842</v>
      </c>
      <c r="C2809" t="s">
        <v>4971</v>
      </c>
      <c r="D2809" s="3" t="s">
        <v>7314</v>
      </c>
      <c r="E2809" t="s">
        <v>4843</v>
      </c>
      <c r="F2809" s="3" t="s">
        <v>4844</v>
      </c>
      <c r="G2809" t="s">
        <v>19</v>
      </c>
      <c r="H2809" s="3" t="s">
        <v>4845</v>
      </c>
      <c r="I2809" t="s">
        <v>66</v>
      </c>
      <c r="J2809" s="3" t="s">
        <v>4846</v>
      </c>
      <c r="K2809" s="4">
        <v>175</v>
      </c>
      <c r="L2809" s="5">
        <v>37.96</v>
      </c>
      <c r="M2809" s="6">
        <v>0</v>
      </c>
      <c r="N2809" s="7">
        <v>1</v>
      </c>
      <c r="O2809" t="s">
        <v>4847</v>
      </c>
      <c r="P2809" s="3" t="s">
        <v>64</v>
      </c>
      <c r="Q2809" s="8">
        <v>6.3376000000000002E-2</v>
      </c>
    </row>
    <row r="2810" spans="1:17" hidden="1" x14ac:dyDescent="0.55000000000000004">
      <c r="A2810" s="3" t="s">
        <v>4815</v>
      </c>
      <c r="B2810" s="3" t="s">
        <v>4842</v>
      </c>
      <c r="C2810" t="s">
        <v>4971</v>
      </c>
      <c r="D2810" s="3" t="s">
        <v>7314</v>
      </c>
      <c r="E2810" t="s">
        <v>4843</v>
      </c>
      <c r="F2810" s="3" t="s">
        <v>4844</v>
      </c>
      <c r="G2810" t="s">
        <v>19</v>
      </c>
      <c r="H2810" s="3" t="s">
        <v>4848</v>
      </c>
      <c r="I2810" t="s">
        <v>209</v>
      </c>
      <c r="J2810" s="3" t="s">
        <v>4849</v>
      </c>
      <c r="K2810" s="4">
        <v>272</v>
      </c>
      <c r="L2810" s="5">
        <v>59.15</v>
      </c>
      <c r="M2810" s="6">
        <v>1</v>
      </c>
      <c r="N2810" s="7">
        <v>1</v>
      </c>
      <c r="O2810" t="s">
        <v>4850</v>
      </c>
      <c r="P2810" s="3" t="s">
        <v>4851</v>
      </c>
      <c r="Q2810" s="8">
        <v>5.5633000000000002E-2</v>
      </c>
    </row>
    <row r="2811" spans="1:17" hidden="1" x14ac:dyDescent="0.55000000000000004">
      <c r="A2811" s="3" t="s">
        <v>4815</v>
      </c>
      <c r="B2811" s="3" t="s">
        <v>4842</v>
      </c>
      <c r="C2811" t="s">
        <v>4971</v>
      </c>
      <c r="D2811" s="3" t="s">
        <v>7314</v>
      </c>
      <c r="E2811" t="s">
        <v>4843</v>
      </c>
      <c r="F2811" s="3" t="s">
        <v>4844</v>
      </c>
      <c r="G2811" t="s">
        <v>24</v>
      </c>
      <c r="H2811" s="3" t="s">
        <v>4852</v>
      </c>
      <c r="I2811" t="s">
        <v>52</v>
      </c>
      <c r="J2811" s="3" t="s">
        <v>4853</v>
      </c>
      <c r="K2811" s="4">
        <v>606</v>
      </c>
      <c r="L2811" s="5">
        <v>0</v>
      </c>
      <c r="M2811" s="6">
        <v>0</v>
      </c>
      <c r="N2811" s="7">
        <v>1</v>
      </c>
      <c r="O2811" t="s">
        <v>23</v>
      </c>
      <c r="P2811" s="3" t="s">
        <v>23</v>
      </c>
      <c r="Q2811" s="8" t="s">
        <v>23</v>
      </c>
    </row>
    <row r="2812" spans="1:17" hidden="1" x14ac:dyDescent="0.55000000000000004">
      <c r="A2812" s="3" t="s">
        <v>4815</v>
      </c>
      <c r="B2812" s="3" t="s">
        <v>4842</v>
      </c>
      <c r="C2812" t="s">
        <v>4971</v>
      </c>
      <c r="D2812" s="3" t="s">
        <v>7314</v>
      </c>
      <c r="E2812" t="s">
        <v>4843</v>
      </c>
      <c r="F2812" s="3" t="s">
        <v>4844</v>
      </c>
      <c r="G2812" t="s">
        <v>24</v>
      </c>
      <c r="H2812" s="3" t="s">
        <v>4854</v>
      </c>
      <c r="I2812" t="s">
        <v>296</v>
      </c>
      <c r="J2812" s="3" t="s">
        <v>4853</v>
      </c>
      <c r="K2812" s="4">
        <v>555</v>
      </c>
      <c r="L2812" s="5">
        <v>0</v>
      </c>
      <c r="M2812" s="6">
        <v>0</v>
      </c>
      <c r="N2812" s="7">
        <v>1</v>
      </c>
      <c r="O2812" t="s">
        <v>23</v>
      </c>
      <c r="P2812" s="3" t="s">
        <v>23</v>
      </c>
      <c r="Q2812" s="8" t="s">
        <v>23</v>
      </c>
    </row>
    <row r="2813" spans="1:17" hidden="1" x14ac:dyDescent="0.55000000000000004">
      <c r="A2813" s="3" t="s">
        <v>4815</v>
      </c>
      <c r="B2813" s="3" t="s">
        <v>4842</v>
      </c>
      <c r="C2813" t="s">
        <v>4971</v>
      </c>
      <c r="D2813" s="3" t="s">
        <v>7314</v>
      </c>
      <c r="E2813" t="s">
        <v>4843</v>
      </c>
      <c r="F2813" s="3" t="s">
        <v>4844</v>
      </c>
      <c r="G2813" t="s">
        <v>24</v>
      </c>
      <c r="H2813" s="3" t="s">
        <v>4855</v>
      </c>
      <c r="I2813" t="s">
        <v>304</v>
      </c>
      <c r="J2813" s="3" t="s">
        <v>4853</v>
      </c>
      <c r="K2813" s="4">
        <v>847</v>
      </c>
      <c r="L2813" s="5">
        <v>0</v>
      </c>
      <c r="M2813" s="6">
        <v>0</v>
      </c>
      <c r="N2813" s="7">
        <v>1</v>
      </c>
      <c r="O2813" t="s">
        <v>23</v>
      </c>
      <c r="P2813" s="3" t="s">
        <v>23</v>
      </c>
      <c r="Q2813" s="8" t="s">
        <v>23</v>
      </c>
    </row>
    <row r="2814" spans="1:17" hidden="1" x14ac:dyDescent="0.55000000000000004">
      <c r="A2814" s="3" t="s">
        <v>4815</v>
      </c>
      <c r="B2814" s="3" t="s">
        <v>4842</v>
      </c>
      <c r="C2814" t="s">
        <v>4971</v>
      </c>
      <c r="D2814" s="3" t="s">
        <v>7314</v>
      </c>
      <c r="E2814" t="s">
        <v>4843</v>
      </c>
      <c r="F2814" s="3" t="s">
        <v>4844</v>
      </c>
      <c r="G2814" t="s">
        <v>24</v>
      </c>
      <c r="H2814" s="3" t="s">
        <v>4856</v>
      </c>
      <c r="I2814" t="s">
        <v>298</v>
      </c>
      <c r="J2814" s="3" t="s">
        <v>4853</v>
      </c>
      <c r="K2814" s="4">
        <v>732</v>
      </c>
      <c r="L2814" s="5">
        <v>0</v>
      </c>
      <c r="M2814" s="6">
        <v>0</v>
      </c>
      <c r="N2814" s="7">
        <v>1</v>
      </c>
      <c r="O2814" t="s">
        <v>23</v>
      </c>
      <c r="P2814" s="3" t="s">
        <v>23</v>
      </c>
      <c r="Q2814" s="8" t="s">
        <v>23</v>
      </c>
    </row>
    <row r="2815" spans="1:17" hidden="1" x14ac:dyDescent="0.55000000000000004">
      <c r="A2815" s="3" t="s">
        <v>4815</v>
      </c>
      <c r="B2815" s="3" t="s">
        <v>4842</v>
      </c>
      <c r="C2815" t="s">
        <v>4971</v>
      </c>
      <c r="D2815" s="3" t="s">
        <v>7314</v>
      </c>
      <c r="E2815" t="s">
        <v>4843</v>
      </c>
      <c r="F2815" s="3" t="s">
        <v>4844</v>
      </c>
      <c r="G2815" t="s">
        <v>24</v>
      </c>
      <c r="H2815" s="3" t="s">
        <v>4857</v>
      </c>
      <c r="I2815" t="s">
        <v>300</v>
      </c>
      <c r="J2815" s="3" t="s">
        <v>4853</v>
      </c>
      <c r="K2815" s="4">
        <v>758</v>
      </c>
      <c r="L2815" s="5">
        <v>0</v>
      </c>
      <c r="M2815" s="6">
        <v>0</v>
      </c>
      <c r="N2815" s="7">
        <v>1</v>
      </c>
      <c r="O2815" t="s">
        <v>23</v>
      </c>
      <c r="P2815" s="3" t="s">
        <v>23</v>
      </c>
      <c r="Q2815" s="8" t="s">
        <v>23</v>
      </c>
    </row>
    <row r="2816" spans="1:17" hidden="1" x14ac:dyDescent="0.55000000000000004">
      <c r="A2816" s="3" t="s">
        <v>4815</v>
      </c>
      <c r="B2816" s="3" t="s">
        <v>4842</v>
      </c>
      <c r="C2816" t="s">
        <v>4971</v>
      </c>
      <c r="D2816" s="3" t="s">
        <v>7314</v>
      </c>
      <c r="E2816" t="s">
        <v>4843</v>
      </c>
      <c r="F2816" s="3" t="s">
        <v>4844</v>
      </c>
      <c r="G2816" t="s">
        <v>24</v>
      </c>
      <c r="H2816" s="3" t="s">
        <v>4858</v>
      </c>
      <c r="I2816" t="s">
        <v>302</v>
      </c>
      <c r="J2816" s="3" t="s">
        <v>4853</v>
      </c>
      <c r="K2816" s="4">
        <v>903</v>
      </c>
      <c r="L2816" s="5">
        <v>0</v>
      </c>
      <c r="M2816" s="6">
        <v>0</v>
      </c>
      <c r="N2816" s="7">
        <v>1</v>
      </c>
      <c r="O2816" t="s">
        <v>23</v>
      </c>
      <c r="P2816" s="3" t="s">
        <v>23</v>
      </c>
      <c r="Q2816" s="8" t="s">
        <v>23</v>
      </c>
    </row>
    <row r="2817" spans="1:17" hidden="1" x14ac:dyDescent="0.55000000000000004">
      <c r="A2817" s="3" t="s">
        <v>4815</v>
      </c>
      <c r="B2817" s="3" t="s">
        <v>4842</v>
      </c>
      <c r="C2817" t="s">
        <v>4971</v>
      </c>
      <c r="D2817" s="3" t="s">
        <v>7314</v>
      </c>
      <c r="E2817" t="s">
        <v>4843</v>
      </c>
      <c r="F2817" s="3" t="s">
        <v>4844</v>
      </c>
      <c r="G2817" t="s">
        <v>24</v>
      </c>
      <c r="H2817" s="3" t="s">
        <v>4859</v>
      </c>
      <c r="I2817" t="s">
        <v>26</v>
      </c>
      <c r="J2817" s="3" t="s">
        <v>4860</v>
      </c>
      <c r="K2817" s="4">
        <v>734</v>
      </c>
      <c r="L2817" s="5">
        <v>33.36</v>
      </c>
      <c r="M2817" s="6">
        <v>1</v>
      </c>
      <c r="N2817" s="7">
        <v>1</v>
      </c>
      <c r="O2817" t="s">
        <v>4861</v>
      </c>
      <c r="P2817" s="3" t="s">
        <v>76</v>
      </c>
      <c r="Q2817" s="8">
        <v>0.192167</v>
      </c>
    </row>
    <row r="2818" spans="1:17" hidden="1" x14ac:dyDescent="0.55000000000000004">
      <c r="A2818" s="3" t="s">
        <v>4815</v>
      </c>
      <c r="B2818" s="3" t="s">
        <v>4842</v>
      </c>
      <c r="C2818" t="s">
        <v>4971</v>
      </c>
      <c r="D2818" s="3" t="s">
        <v>7314</v>
      </c>
      <c r="E2818" t="s">
        <v>4843</v>
      </c>
      <c r="F2818" s="3" t="s">
        <v>4844</v>
      </c>
      <c r="G2818" t="s">
        <v>24</v>
      </c>
      <c r="H2818" s="3" t="s">
        <v>4862</v>
      </c>
      <c r="I2818" t="s">
        <v>218</v>
      </c>
      <c r="J2818" s="3" t="s">
        <v>4860</v>
      </c>
      <c r="K2818" s="4">
        <v>1131</v>
      </c>
      <c r="L2818" s="5">
        <v>51.4</v>
      </c>
      <c r="M2818" s="6">
        <v>0</v>
      </c>
      <c r="N2818" s="7">
        <v>1</v>
      </c>
      <c r="O2818" t="s">
        <v>4863</v>
      </c>
      <c r="P2818" s="3" t="s">
        <v>23</v>
      </c>
      <c r="Q2818" s="8" t="s">
        <v>23</v>
      </c>
    </row>
    <row r="2819" spans="1:17" hidden="1" x14ac:dyDescent="0.55000000000000004">
      <c r="A2819" s="3" t="s">
        <v>4815</v>
      </c>
      <c r="B2819" s="3" t="s">
        <v>4842</v>
      </c>
      <c r="C2819" t="s">
        <v>4971</v>
      </c>
      <c r="D2819" s="3" t="s">
        <v>7314</v>
      </c>
      <c r="E2819" t="s">
        <v>4843</v>
      </c>
      <c r="F2819" s="3" t="s">
        <v>4844</v>
      </c>
      <c r="G2819" t="s">
        <v>24</v>
      </c>
      <c r="H2819" s="3" t="s">
        <v>4864</v>
      </c>
      <c r="I2819" t="s">
        <v>309</v>
      </c>
      <c r="J2819" s="3" t="s">
        <v>4865</v>
      </c>
      <c r="K2819" s="4">
        <v>734</v>
      </c>
      <c r="L2819" s="5">
        <v>0</v>
      </c>
      <c r="M2819" s="6">
        <v>0</v>
      </c>
      <c r="N2819" s="7">
        <v>1</v>
      </c>
      <c r="O2819" t="s">
        <v>23</v>
      </c>
      <c r="P2819" s="3" t="s">
        <v>23</v>
      </c>
      <c r="Q2819" s="8" t="s">
        <v>23</v>
      </c>
    </row>
    <row r="2820" spans="1:17" hidden="1" x14ac:dyDescent="0.55000000000000004">
      <c r="A2820" s="3" t="s">
        <v>4815</v>
      </c>
      <c r="B2820" s="3" t="s">
        <v>4842</v>
      </c>
      <c r="C2820" t="s">
        <v>4971</v>
      </c>
      <c r="D2820" s="3" t="s">
        <v>7314</v>
      </c>
      <c r="E2820" t="s">
        <v>4843</v>
      </c>
      <c r="F2820" s="3" t="s">
        <v>4844</v>
      </c>
      <c r="G2820" t="s">
        <v>24</v>
      </c>
      <c r="H2820" s="3" t="s">
        <v>4866</v>
      </c>
      <c r="I2820" t="s">
        <v>218</v>
      </c>
      <c r="J2820" s="3" t="s">
        <v>4865</v>
      </c>
      <c r="K2820" s="4">
        <v>845</v>
      </c>
      <c r="L2820" s="5">
        <v>0</v>
      </c>
      <c r="M2820" s="6">
        <v>0</v>
      </c>
      <c r="N2820" s="7">
        <v>1</v>
      </c>
      <c r="O2820" t="s">
        <v>23</v>
      </c>
      <c r="P2820" s="3" t="s">
        <v>23</v>
      </c>
      <c r="Q2820" s="8" t="s">
        <v>23</v>
      </c>
    </row>
    <row r="2821" spans="1:17" hidden="1" x14ac:dyDescent="0.55000000000000004">
      <c r="A2821" s="3" t="s">
        <v>4815</v>
      </c>
      <c r="B2821" s="3" t="s">
        <v>4842</v>
      </c>
      <c r="C2821" t="s">
        <v>4971</v>
      </c>
      <c r="D2821" s="3" t="s">
        <v>7314</v>
      </c>
      <c r="E2821" t="s">
        <v>4843</v>
      </c>
      <c r="F2821" s="3" t="s">
        <v>4844</v>
      </c>
      <c r="G2821" t="s">
        <v>24</v>
      </c>
      <c r="H2821" s="3" t="s">
        <v>4867</v>
      </c>
      <c r="I2821" t="s">
        <v>317</v>
      </c>
      <c r="J2821" s="3" t="s">
        <v>4865</v>
      </c>
      <c r="K2821" s="4">
        <v>738</v>
      </c>
      <c r="L2821" s="5">
        <v>0</v>
      </c>
      <c r="M2821" s="6">
        <v>0</v>
      </c>
      <c r="N2821" s="7">
        <v>1</v>
      </c>
      <c r="O2821" t="s">
        <v>23</v>
      </c>
      <c r="P2821" s="3" t="s">
        <v>23</v>
      </c>
      <c r="Q2821" s="8" t="s">
        <v>23</v>
      </c>
    </row>
    <row r="2822" spans="1:17" hidden="1" x14ac:dyDescent="0.55000000000000004">
      <c r="A2822" s="3" t="s">
        <v>4815</v>
      </c>
      <c r="B2822" s="3" t="s">
        <v>4842</v>
      </c>
      <c r="C2822" t="s">
        <v>4971</v>
      </c>
      <c r="D2822" s="3" t="s">
        <v>7314</v>
      </c>
      <c r="E2822" t="s">
        <v>4843</v>
      </c>
      <c r="F2822" s="3" t="s">
        <v>4844</v>
      </c>
      <c r="G2822" t="s">
        <v>24</v>
      </c>
      <c r="H2822" s="3" t="s">
        <v>4868</v>
      </c>
      <c r="I2822" t="s">
        <v>313</v>
      </c>
      <c r="J2822" s="3" t="s">
        <v>4865</v>
      </c>
      <c r="K2822" s="4">
        <v>912</v>
      </c>
      <c r="L2822" s="5">
        <v>0</v>
      </c>
      <c r="M2822" s="6">
        <v>0</v>
      </c>
      <c r="N2822" s="7">
        <v>1</v>
      </c>
      <c r="O2822" t="s">
        <v>23</v>
      </c>
      <c r="P2822" s="3" t="s">
        <v>23</v>
      </c>
      <c r="Q2822" s="8" t="s">
        <v>23</v>
      </c>
    </row>
    <row r="2823" spans="1:17" hidden="1" x14ac:dyDescent="0.55000000000000004">
      <c r="A2823" s="3" t="s">
        <v>4815</v>
      </c>
      <c r="B2823" s="3" t="s">
        <v>4842</v>
      </c>
      <c r="C2823" t="s">
        <v>4971</v>
      </c>
      <c r="D2823" s="3" t="s">
        <v>7314</v>
      </c>
      <c r="E2823" t="s">
        <v>4843</v>
      </c>
      <c r="F2823" s="3" t="s">
        <v>4844</v>
      </c>
      <c r="G2823" t="s">
        <v>24</v>
      </c>
      <c r="H2823" s="3" t="s">
        <v>4869</v>
      </c>
      <c r="I2823" t="s">
        <v>315</v>
      </c>
      <c r="J2823" s="3" t="s">
        <v>4865</v>
      </c>
      <c r="K2823" s="4">
        <v>598</v>
      </c>
      <c r="L2823" s="5">
        <v>0</v>
      </c>
      <c r="M2823" s="6">
        <v>0</v>
      </c>
      <c r="N2823" s="7">
        <v>1</v>
      </c>
      <c r="O2823" t="s">
        <v>23</v>
      </c>
      <c r="P2823" s="3" t="s">
        <v>23</v>
      </c>
      <c r="Q2823" s="8" t="s">
        <v>23</v>
      </c>
    </row>
    <row r="2824" spans="1:17" hidden="1" x14ac:dyDescent="0.55000000000000004">
      <c r="A2824" s="3" t="s">
        <v>4815</v>
      </c>
      <c r="B2824" s="3" t="s">
        <v>4870</v>
      </c>
      <c r="C2824" t="s">
        <v>4870</v>
      </c>
      <c r="D2824" s="3" t="s">
        <v>7314</v>
      </c>
      <c r="E2824" t="s">
        <v>4871</v>
      </c>
      <c r="F2824" s="3" t="s">
        <v>4872</v>
      </c>
      <c r="G2824" t="s">
        <v>19</v>
      </c>
      <c r="H2824" s="3" t="s">
        <v>4873</v>
      </c>
      <c r="I2824" t="s">
        <v>4821</v>
      </c>
      <c r="J2824" s="3" t="s">
        <v>4874</v>
      </c>
      <c r="K2824" s="4">
        <v>50</v>
      </c>
      <c r="L2824" s="5">
        <v>10.89</v>
      </c>
      <c r="M2824" s="6">
        <v>1</v>
      </c>
      <c r="N2824" s="7">
        <v>0</v>
      </c>
      <c r="O2824" t="s">
        <v>4875</v>
      </c>
      <c r="P2824" s="3" t="s">
        <v>4824</v>
      </c>
      <c r="Q2824" s="8">
        <v>9.2169999999999995E-3</v>
      </c>
    </row>
    <row r="2825" spans="1:17" hidden="1" x14ac:dyDescent="0.55000000000000004">
      <c r="A2825" s="3" t="s">
        <v>4815</v>
      </c>
      <c r="B2825" s="3" t="s">
        <v>4870</v>
      </c>
      <c r="C2825" t="s">
        <v>4870</v>
      </c>
      <c r="D2825" s="3" t="s">
        <v>7314</v>
      </c>
      <c r="E2825" t="s">
        <v>4871</v>
      </c>
      <c r="F2825" s="3" t="s">
        <v>4872</v>
      </c>
      <c r="G2825" t="s">
        <v>24</v>
      </c>
      <c r="H2825" s="3" t="s">
        <v>4876</v>
      </c>
      <c r="I2825" t="s">
        <v>26</v>
      </c>
      <c r="J2825" s="3" t="s">
        <v>4877</v>
      </c>
      <c r="K2825" s="4">
        <v>734</v>
      </c>
      <c r="L2825" s="5">
        <v>33.36</v>
      </c>
      <c r="M2825" s="6">
        <v>1</v>
      </c>
      <c r="N2825" s="7">
        <v>0</v>
      </c>
      <c r="O2825" t="s">
        <v>4878</v>
      </c>
      <c r="P2825" s="3" t="s">
        <v>76</v>
      </c>
      <c r="Q2825" s="8">
        <v>0.23799999999999999</v>
      </c>
    </row>
    <row r="2826" spans="1:17" hidden="1" x14ac:dyDescent="0.55000000000000004">
      <c r="A2826" s="3" t="s">
        <v>4815</v>
      </c>
      <c r="B2826" s="3" t="s">
        <v>4870</v>
      </c>
      <c r="C2826" t="s">
        <v>4870</v>
      </c>
      <c r="D2826" s="3" t="s">
        <v>7314</v>
      </c>
      <c r="E2826" t="s">
        <v>4871</v>
      </c>
      <c r="F2826" s="3" t="s">
        <v>4872</v>
      </c>
      <c r="G2826" t="s">
        <v>24</v>
      </c>
      <c r="H2826" s="3" t="s">
        <v>4879</v>
      </c>
      <c r="I2826" t="s">
        <v>218</v>
      </c>
      <c r="J2826" s="3" t="s">
        <v>4877</v>
      </c>
      <c r="K2826" s="4">
        <v>1207</v>
      </c>
      <c r="L2826" s="5">
        <v>54.87</v>
      </c>
      <c r="M2826" s="6">
        <v>0</v>
      </c>
      <c r="N2826" s="7">
        <v>0</v>
      </c>
      <c r="O2826" t="s">
        <v>4880</v>
      </c>
      <c r="P2826" s="3" t="s">
        <v>23</v>
      </c>
      <c r="Q2826" s="8" t="s">
        <v>23</v>
      </c>
    </row>
    <row r="2827" spans="1:17" hidden="1" x14ac:dyDescent="0.55000000000000004">
      <c r="A2827" s="3" t="s">
        <v>4815</v>
      </c>
      <c r="B2827" s="3" t="s">
        <v>4870</v>
      </c>
      <c r="C2827" t="s">
        <v>4870</v>
      </c>
      <c r="D2827" s="3" t="s">
        <v>7314</v>
      </c>
      <c r="E2827" t="s">
        <v>4881</v>
      </c>
      <c r="F2827" s="3" t="s">
        <v>4882</v>
      </c>
      <c r="G2827" t="s">
        <v>19</v>
      </c>
      <c r="H2827" s="3" t="s">
        <v>4873</v>
      </c>
      <c r="I2827" t="s">
        <v>4821</v>
      </c>
      <c r="J2827" s="3" t="s">
        <v>4874</v>
      </c>
      <c r="K2827" s="4">
        <v>50</v>
      </c>
      <c r="L2827" s="5">
        <v>10.89</v>
      </c>
      <c r="M2827" s="6">
        <v>0</v>
      </c>
      <c r="N2827" s="7">
        <v>1</v>
      </c>
      <c r="O2827" t="s">
        <v>4875</v>
      </c>
      <c r="P2827" s="3" t="s">
        <v>4824</v>
      </c>
      <c r="Q2827" s="8">
        <v>9.2169999999999995E-3</v>
      </c>
    </row>
    <row r="2828" spans="1:17" hidden="1" x14ac:dyDescent="0.55000000000000004">
      <c r="A2828" s="3" t="s">
        <v>4815</v>
      </c>
      <c r="B2828" s="3" t="s">
        <v>4870</v>
      </c>
      <c r="C2828" t="s">
        <v>4870</v>
      </c>
      <c r="D2828" s="3" t="s">
        <v>7314</v>
      </c>
      <c r="E2828" t="s">
        <v>4881</v>
      </c>
      <c r="F2828" s="3" t="s">
        <v>4882</v>
      </c>
      <c r="G2828" t="s">
        <v>19</v>
      </c>
      <c r="H2828" s="3" t="s">
        <v>4883</v>
      </c>
      <c r="I2828" t="s">
        <v>1617</v>
      </c>
      <c r="J2828" s="3" t="s">
        <v>4884</v>
      </c>
      <c r="K2828" s="4">
        <v>47</v>
      </c>
      <c r="L2828" s="5">
        <v>10.130000000000001</v>
      </c>
      <c r="M2828" s="6">
        <v>1</v>
      </c>
      <c r="N2828" s="7">
        <v>1</v>
      </c>
      <c r="O2828" t="s">
        <v>4885</v>
      </c>
      <c r="P2828" s="3" t="s">
        <v>4886</v>
      </c>
      <c r="Q2828" s="8">
        <v>8.4239999999999992E-3</v>
      </c>
    </row>
    <row r="2829" spans="1:17" hidden="1" x14ac:dyDescent="0.55000000000000004">
      <c r="A2829" s="3" t="s">
        <v>4815</v>
      </c>
      <c r="B2829" s="3" t="s">
        <v>4870</v>
      </c>
      <c r="C2829" t="s">
        <v>4870</v>
      </c>
      <c r="D2829" s="3" t="s">
        <v>7314</v>
      </c>
      <c r="E2829" t="s">
        <v>4881</v>
      </c>
      <c r="F2829" s="3" t="s">
        <v>4882</v>
      </c>
      <c r="G2829" t="s">
        <v>24</v>
      </c>
      <c r="H2829" s="3" t="s">
        <v>4876</v>
      </c>
      <c r="I2829" t="s">
        <v>26</v>
      </c>
      <c r="J2829" s="3" t="s">
        <v>4877</v>
      </c>
      <c r="K2829" s="4">
        <v>734</v>
      </c>
      <c r="L2829" s="5">
        <v>33.36</v>
      </c>
      <c r="M2829" s="6">
        <v>1</v>
      </c>
      <c r="N2829" s="7">
        <v>1</v>
      </c>
      <c r="O2829" t="s">
        <v>4878</v>
      </c>
      <c r="P2829" s="3" t="s">
        <v>76</v>
      </c>
      <c r="Q2829" s="8">
        <v>0.23799999999999999</v>
      </c>
    </row>
    <row r="2830" spans="1:17" hidden="1" x14ac:dyDescent="0.55000000000000004">
      <c r="A2830" s="3" t="s">
        <v>4815</v>
      </c>
      <c r="B2830" s="3" t="s">
        <v>4870</v>
      </c>
      <c r="C2830" t="s">
        <v>4870</v>
      </c>
      <c r="D2830" s="3" t="s">
        <v>7314</v>
      </c>
      <c r="E2830" t="s">
        <v>4881</v>
      </c>
      <c r="F2830" s="3" t="s">
        <v>4882</v>
      </c>
      <c r="G2830" t="s">
        <v>24</v>
      </c>
      <c r="H2830" s="3" t="s">
        <v>4879</v>
      </c>
      <c r="I2830" t="s">
        <v>218</v>
      </c>
      <c r="J2830" s="3" t="s">
        <v>4877</v>
      </c>
      <c r="K2830" s="4">
        <v>1207</v>
      </c>
      <c r="L2830" s="5">
        <v>54.87</v>
      </c>
      <c r="M2830" s="6">
        <v>0</v>
      </c>
      <c r="N2830" s="7">
        <v>1</v>
      </c>
      <c r="O2830" t="s">
        <v>4880</v>
      </c>
      <c r="P2830" s="3" t="s">
        <v>23</v>
      </c>
      <c r="Q2830" s="8" t="s">
        <v>23</v>
      </c>
    </row>
    <row r="2831" spans="1:17" hidden="1" x14ac:dyDescent="0.55000000000000004">
      <c r="A2831" s="3" t="s">
        <v>4815</v>
      </c>
      <c r="B2831" s="3" t="s">
        <v>4887</v>
      </c>
      <c r="C2831" t="s">
        <v>4887</v>
      </c>
      <c r="D2831" s="3" t="s">
        <v>7314</v>
      </c>
      <c r="E2831" t="s">
        <v>4888</v>
      </c>
      <c r="F2831" s="3" t="s">
        <v>4889</v>
      </c>
      <c r="G2831" t="s">
        <v>24</v>
      </c>
      <c r="H2831" s="3" t="s">
        <v>4890</v>
      </c>
      <c r="I2831" t="s">
        <v>26</v>
      </c>
      <c r="J2831" s="3" t="s">
        <v>4891</v>
      </c>
      <c r="K2831" s="4">
        <v>913</v>
      </c>
      <c r="L2831" s="5">
        <v>41.5</v>
      </c>
      <c r="M2831" s="6">
        <v>1</v>
      </c>
      <c r="N2831" s="7">
        <v>0</v>
      </c>
      <c r="O2831" t="s">
        <v>4892</v>
      </c>
      <c r="P2831" s="3" t="s">
        <v>76</v>
      </c>
      <c r="Q2831" s="8">
        <v>0.20050000000000001</v>
      </c>
    </row>
    <row r="2832" spans="1:17" hidden="1" x14ac:dyDescent="0.55000000000000004">
      <c r="A2832" s="3" t="s">
        <v>4815</v>
      </c>
      <c r="B2832" s="3" t="s">
        <v>4893</v>
      </c>
      <c r="C2832" t="s">
        <v>4893</v>
      </c>
      <c r="D2832" s="3" t="s">
        <v>7314</v>
      </c>
      <c r="E2832" t="s">
        <v>4894</v>
      </c>
      <c r="F2832" s="3" t="s">
        <v>4895</v>
      </c>
      <c r="G2832" t="s">
        <v>24</v>
      </c>
      <c r="H2832" s="3" t="s">
        <v>4896</v>
      </c>
      <c r="I2832" t="s">
        <v>52</v>
      </c>
      <c r="J2832" s="3" t="s">
        <v>4897</v>
      </c>
      <c r="K2832" s="4">
        <v>1058</v>
      </c>
      <c r="L2832" s="5">
        <v>48.09</v>
      </c>
      <c r="M2832" s="6">
        <v>1</v>
      </c>
      <c r="N2832" s="7">
        <v>0</v>
      </c>
      <c r="O2832" t="s">
        <v>4898</v>
      </c>
      <c r="P2832" s="3" t="s">
        <v>55</v>
      </c>
      <c r="Q2832" s="8">
        <v>0.25811200000000001</v>
      </c>
    </row>
    <row r="2833" spans="1:17" hidden="1" x14ac:dyDescent="0.55000000000000004">
      <c r="A2833" s="3" t="s">
        <v>4815</v>
      </c>
      <c r="B2833" s="3" t="s">
        <v>4893</v>
      </c>
      <c r="C2833" t="s">
        <v>4893</v>
      </c>
      <c r="D2833" s="3" t="s">
        <v>7314</v>
      </c>
      <c r="E2833" t="s">
        <v>4894</v>
      </c>
      <c r="F2833" s="3" t="s">
        <v>4895</v>
      </c>
      <c r="G2833" t="s">
        <v>24</v>
      </c>
      <c r="H2833" s="3" t="s">
        <v>4899</v>
      </c>
      <c r="I2833" t="s">
        <v>26</v>
      </c>
      <c r="J2833" s="3" t="s">
        <v>4900</v>
      </c>
      <c r="K2833" s="4">
        <v>1046</v>
      </c>
      <c r="L2833" s="5">
        <v>47.55</v>
      </c>
      <c r="M2833" s="6">
        <v>0</v>
      </c>
      <c r="N2833" s="7">
        <v>0</v>
      </c>
      <c r="O2833" t="s">
        <v>4901</v>
      </c>
      <c r="P2833" s="3" t="s">
        <v>29</v>
      </c>
      <c r="Q2833" s="8">
        <v>0.25116699999999997</v>
      </c>
    </row>
    <row r="2834" spans="1:17" hidden="1" x14ac:dyDescent="0.55000000000000004">
      <c r="A2834" s="3" t="s">
        <v>4815</v>
      </c>
      <c r="B2834" s="3" t="s">
        <v>7392</v>
      </c>
      <c r="C2834" t="s">
        <v>4893</v>
      </c>
      <c r="D2834" s="3" t="s">
        <v>7314</v>
      </c>
      <c r="E2834" t="s">
        <v>4902</v>
      </c>
      <c r="F2834" s="3" t="s">
        <v>4903</v>
      </c>
      <c r="G2834" t="s">
        <v>19</v>
      </c>
      <c r="H2834" s="3" t="s">
        <v>4904</v>
      </c>
      <c r="I2834" t="s">
        <v>246</v>
      </c>
      <c r="J2834" s="3" t="s">
        <v>4905</v>
      </c>
      <c r="K2834" s="4">
        <v>102</v>
      </c>
      <c r="L2834" s="5">
        <v>22.17</v>
      </c>
      <c r="M2834" s="6">
        <v>1</v>
      </c>
      <c r="N2834" s="7">
        <v>1</v>
      </c>
      <c r="O2834" t="s">
        <v>4906</v>
      </c>
      <c r="P2834" s="3" t="s">
        <v>4907</v>
      </c>
      <c r="Q2834" s="8">
        <v>2.7098000000000001E-2</v>
      </c>
    </row>
    <row r="2835" spans="1:17" hidden="1" x14ac:dyDescent="0.55000000000000004">
      <c r="A2835" s="3" t="s">
        <v>4815</v>
      </c>
      <c r="B2835" s="3" t="s">
        <v>7392</v>
      </c>
      <c r="C2835" t="s">
        <v>4893</v>
      </c>
      <c r="D2835" s="3" t="s">
        <v>7314</v>
      </c>
      <c r="E2835" t="s">
        <v>4902</v>
      </c>
      <c r="F2835" s="3" t="s">
        <v>4903</v>
      </c>
      <c r="G2835" t="s">
        <v>24</v>
      </c>
      <c r="H2835" s="3" t="s">
        <v>4896</v>
      </c>
      <c r="I2835" t="s">
        <v>52</v>
      </c>
      <c r="J2835" s="3" t="s">
        <v>4897</v>
      </c>
      <c r="K2835" s="4">
        <v>1058</v>
      </c>
      <c r="L2835" s="5">
        <v>48.09</v>
      </c>
      <c r="M2835" s="6">
        <v>1</v>
      </c>
      <c r="N2835" s="7">
        <v>1</v>
      </c>
      <c r="O2835" t="s">
        <v>4898</v>
      </c>
      <c r="P2835" s="3" t="s">
        <v>55</v>
      </c>
      <c r="Q2835" s="8">
        <v>0.25811200000000001</v>
      </c>
    </row>
    <row r="2836" spans="1:17" hidden="1" x14ac:dyDescent="0.55000000000000004">
      <c r="A2836" s="3" t="s">
        <v>4815</v>
      </c>
      <c r="B2836" s="3" t="s">
        <v>7392</v>
      </c>
      <c r="C2836" t="s">
        <v>4893</v>
      </c>
      <c r="D2836" s="3" t="s">
        <v>7314</v>
      </c>
      <c r="E2836" t="s">
        <v>4902</v>
      </c>
      <c r="F2836" s="3" t="s">
        <v>4903</v>
      </c>
      <c r="G2836" t="s">
        <v>24</v>
      </c>
      <c r="H2836" s="3" t="s">
        <v>4899</v>
      </c>
      <c r="I2836" t="s">
        <v>26</v>
      </c>
      <c r="J2836" s="3" t="s">
        <v>4900</v>
      </c>
      <c r="K2836" s="4">
        <v>1046</v>
      </c>
      <c r="L2836" s="5">
        <v>47.55</v>
      </c>
      <c r="M2836" s="6">
        <v>0</v>
      </c>
      <c r="N2836" s="7">
        <v>1</v>
      </c>
      <c r="O2836" t="s">
        <v>4901</v>
      </c>
      <c r="P2836" s="3" t="s">
        <v>29</v>
      </c>
      <c r="Q2836" s="8">
        <v>0.25116699999999997</v>
      </c>
    </row>
    <row r="2837" spans="1:17" hidden="1" x14ac:dyDescent="0.55000000000000004">
      <c r="A2837" s="3" t="s">
        <v>4815</v>
      </c>
      <c r="B2837" s="3" t="s">
        <v>4908</v>
      </c>
      <c r="C2837" t="s">
        <v>5293</v>
      </c>
      <c r="D2837" s="3" t="s">
        <v>7314</v>
      </c>
      <c r="E2837" t="s">
        <v>4909</v>
      </c>
      <c r="F2837" s="3" t="s">
        <v>4910</v>
      </c>
      <c r="G2837" t="s">
        <v>24</v>
      </c>
      <c r="H2837" s="3" t="s">
        <v>4911</v>
      </c>
      <c r="I2837" t="s">
        <v>26</v>
      </c>
      <c r="J2837" s="3" t="s">
        <v>4912</v>
      </c>
      <c r="K2837" s="4">
        <v>598</v>
      </c>
      <c r="L2837" s="5">
        <v>27.17</v>
      </c>
      <c r="M2837" s="6">
        <v>1</v>
      </c>
      <c r="N2837" s="7">
        <v>0</v>
      </c>
      <c r="O2837" t="s">
        <v>4913</v>
      </c>
      <c r="P2837" s="3" t="s">
        <v>29</v>
      </c>
      <c r="Q2837" s="8">
        <v>0.218357</v>
      </c>
    </row>
    <row r="2838" spans="1:17" hidden="1" x14ac:dyDescent="0.55000000000000004">
      <c r="A2838" s="3" t="s">
        <v>4815</v>
      </c>
      <c r="B2838" s="3" t="s">
        <v>4914</v>
      </c>
      <c r="C2838" t="s">
        <v>4914</v>
      </c>
      <c r="D2838" s="3" t="s">
        <v>7314</v>
      </c>
      <c r="E2838" t="s">
        <v>4915</v>
      </c>
      <c r="F2838" s="3" t="s">
        <v>4916</v>
      </c>
      <c r="G2838" t="s">
        <v>24</v>
      </c>
      <c r="H2838" s="3" t="s">
        <v>4917</v>
      </c>
      <c r="I2838" t="s">
        <v>26</v>
      </c>
      <c r="J2838" s="3" t="s">
        <v>4918</v>
      </c>
      <c r="K2838" s="4">
        <v>637</v>
      </c>
      <c r="L2838" s="5">
        <v>28.96</v>
      </c>
      <c r="M2838" s="6">
        <v>1</v>
      </c>
      <c r="N2838" s="7">
        <v>0</v>
      </c>
      <c r="O2838" t="s">
        <v>4919</v>
      </c>
      <c r="P2838" s="3" t="s">
        <v>76</v>
      </c>
      <c r="Q2838" s="8">
        <v>0.2455</v>
      </c>
    </row>
    <row r="2839" spans="1:17" hidden="1" x14ac:dyDescent="0.55000000000000004">
      <c r="A2839" s="3" t="s">
        <v>4815</v>
      </c>
      <c r="B2839" s="3" t="s">
        <v>4920</v>
      </c>
      <c r="C2839" t="s">
        <v>4920</v>
      </c>
      <c r="D2839" s="3" t="s">
        <v>7314</v>
      </c>
      <c r="E2839" t="s">
        <v>4921</v>
      </c>
      <c r="F2839" s="3" t="s">
        <v>4922</v>
      </c>
      <c r="G2839" t="s">
        <v>24</v>
      </c>
      <c r="H2839" s="3" t="s">
        <v>51</v>
      </c>
      <c r="I2839" t="s">
        <v>52</v>
      </c>
      <c r="J2839" s="3" t="s">
        <v>53</v>
      </c>
      <c r="K2839" s="4">
        <v>1438</v>
      </c>
      <c r="L2839" s="5">
        <v>65.349999999999994</v>
      </c>
      <c r="M2839" s="6">
        <v>1</v>
      </c>
      <c r="N2839" s="7">
        <v>0</v>
      </c>
      <c r="O2839" t="s">
        <v>54</v>
      </c>
      <c r="P2839" s="3" t="s">
        <v>55</v>
      </c>
      <c r="Q2839" s="8">
        <v>0.29234300000000002</v>
      </c>
    </row>
    <row r="2840" spans="1:17" hidden="1" x14ac:dyDescent="0.55000000000000004">
      <c r="A2840" s="3" t="s">
        <v>4815</v>
      </c>
      <c r="B2840" s="3" t="s">
        <v>4920</v>
      </c>
      <c r="C2840" t="s">
        <v>4920</v>
      </c>
      <c r="D2840" s="3" t="s">
        <v>7314</v>
      </c>
      <c r="E2840" t="s">
        <v>4921</v>
      </c>
      <c r="F2840" s="3" t="s">
        <v>4922</v>
      </c>
      <c r="G2840" t="s">
        <v>24</v>
      </c>
      <c r="H2840" s="3" t="s">
        <v>56</v>
      </c>
      <c r="I2840" t="s">
        <v>26</v>
      </c>
      <c r="J2840" s="3" t="s">
        <v>57</v>
      </c>
      <c r="K2840" s="4">
        <v>1267</v>
      </c>
      <c r="L2840" s="5">
        <v>57.59</v>
      </c>
      <c r="M2840" s="6">
        <v>0</v>
      </c>
      <c r="N2840" s="7">
        <v>0</v>
      </c>
      <c r="O2840" t="s">
        <v>58</v>
      </c>
      <c r="P2840" s="3" t="s">
        <v>29</v>
      </c>
      <c r="Q2840" s="8">
        <v>0.26050000000000001</v>
      </c>
    </row>
    <row r="2841" spans="1:17" hidden="1" x14ac:dyDescent="0.55000000000000004">
      <c r="A2841" s="3" t="s">
        <v>4815</v>
      </c>
      <c r="B2841" s="3" t="s">
        <v>4920</v>
      </c>
      <c r="C2841" t="s">
        <v>4920</v>
      </c>
      <c r="D2841" s="3" t="s">
        <v>7314</v>
      </c>
      <c r="E2841" t="s">
        <v>4923</v>
      </c>
      <c r="F2841" s="3" t="s">
        <v>4924</v>
      </c>
      <c r="G2841" t="s">
        <v>24</v>
      </c>
      <c r="H2841" s="3" t="s">
        <v>51</v>
      </c>
      <c r="I2841" t="s">
        <v>52</v>
      </c>
      <c r="J2841" s="3" t="s">
        <v>53</v>
      </c>
      <c r="K2841" s="4">
        <v>1438</v>
      </c>
      <c r="L2841" s="5">
        <v>65.349999999999994</v>
      </c>
      <c r="M2841" s="6">
        <v>1</v>
      </c>
      <c r="N2841" s="7">
        <v>0</v>
      </c>
      <c r="O2841" t="s">
        <v>54</v>
      </c>
      <c r="P2841" s="3" t="s">
        <v>55</v>
      </c>
      <c r="Q2841" s="8">
        <v>0.29234300000000002</v>
      </c>
    </row>
    <row r="2842" spans="1:17" hidden="1" x14ac:dyDescent="0.55000000000000004">
      <c r="A2842" s="3" t="s">
        <v>4815</v>
      </c>
      <c r="B2842" s="3" t="s">
        <v>4920</v>
      </c>
      <c r="C2842" t="s">
        <v>4920</v>
      </c>
      <c r="D2842" s="3" t="s">
        <v>7314</v>
      </c>
      <c r="E2842" t="s">
        <v>4923</v>
      </c>
      <c r="F2842" s="3" t="s">
        <v>4924</v>
      </c>
      <c r="G2842" t="s">
        <v>24</v>
      </c>
      <c r="H2842" s="3" t="s">
        <v>56</v>
      </c>
      <c r="I2842" t="s">
        <v>26</v>
      </c>
      <c r="J2842" s="3" t="s">
        <v>57</v>
      </c>
      <c r="K2842" s="4">
        <v>1267</v>
      </c>
      <c r="L2842" s="5">
        <v>57.59</v>
      </c>
      <c r="M2842" s="6">
        <v>0</v>
      </c>
      <c r="N2842" s="7">
        <v>0</v>
      </c>
      <c r="O2842" t="s">
        <v>58</v>
      </c>
      <c r="P2842" s="3" t="s">
        <v>29</v>
      </c>
      <c r="Q2842" s="8">
        <v>0.26050000000000001</v>
      </c>
    </row>
    <row r="2843" spans="1:17" hidden="1" x14ac:dyDescent="0.55000000000000004">
      <c r="A2843" s="3" t="s">
        <v>4815</v>
      </c>
      <c r="B2843" s="3" t="s">
        <v>4925</v>
      </c>
      <c r="C2843" t="s">
        <v>4925</v>
      </c>
      <c r="D2843" s="3" t="s">
        <v>7314</v>
      </c>
      <c r="E2843" t="s">
        <v>4926</v>
      </c>
      <c r="F2843" s="3" t="s">
        <v>4927</v>
      </c>
      <c r="G2843" t="s">
        <v>19</v>
      </c>
      <c r="H2843" s="3" t="s">
        <v>4928</v>
      </c>
      <c r="I2843" t="s">
        <v>4929</v>
      </c>
      <c r="J2843" s="3" t="s">
        <v>4930</v>
      </c>
      <c r="K2843" s="4">
        <v>104</v>
      </c>
      <c r="L2843" s="5">
        <v>22.5</v>
      </c>
      <c r="M2843" s="6">
        <v>1</v>
      </c>
      <c r="N2843" s="7">
        <v>0</v>
      </c>
      <c r="O2843" t="s">
        <v>4931</v>
      </c>
      <c r="P2843" s="3" t="s">
        <v>1610</v>
      </c>
      <c r="Q2843" s="8">
        <v>5.0048000000000002E-2</v>
      </c>
    </row>
    <row r="2844" spans="1:17" hidden="1" x14ac:dyDescent="0.55000000000000004">
      <c r="A2844" s="3" t="s">
        <v>4815</v>
      </c>
      <c r="B2844" s="3" t="s">
        <v>4925</v>
      </c>
      <c r="C2844" t="s">
        <v>4925</v>
      </c>
      <c r="D2844" s="3" t="s">
        <v>7314</v>
      </c>
      <c r="E2844" t="s">
        <v>4926</v>
      </c>
      <c r="F2844" s="3" t="s">
        <v>4927</v>
      </c>
      <c r="G2844" t="s">
        <v>24</v>
      </c>
      <c r="H2844" s="3" t="s">
        <v>4932</v>
      </c>
      <c r="I2844" t="s">
        <v>26</v>
      </c>
      <c r="J2844" s="3" t="s">
        <v>4933</v>
      </c>
      <c r="K2844" s="4">
        <v>729</v>
      </c>
      <c r="L2844" s="5">
        <v>33.15</v>
      </c>
      <c r="M2844" s="6">
        <v>1</v>
      </c>
      <c r="N2844" s="7">
        <v>0</v>
      </c>
      <c r="O2844" t="s">
        <v>4934</v>
      </c>
      <c r="P2844" s="3" t="s">
        <v>29</v>
      </c>
      <c r="Q2844" s="8">
        <v>0.25737100000000002</v>
      </c>
    </row>
    <row r="2845" spans="1:17" hidden="1" x14ac:dyDescent="0.55000000000000004">
      <c r="A2845" s="3" t="s">
        <v>4815</v>
      </c>
      <c r="B2845" s="3" t="s">
        <v>7389</v>
      </c>
      <c r="C2845" t="s">
        <v>4887</v>
      </c>
      <c r="D2845" s="3" t="s">
        <v>7314</v>
      </c>
      <c r="E2845" t="s">
        <v>4935</v>
      </c>
      <c r="F2845" s="3" t="s">
        <v>4936</v>
      </c>
      <c r="G2845" t="s">
        <v>24</v>
      </c>
      <c r="H2845" s="3" t="s">
        <v>4937</v>
      </c>
      <c r="I2845" t="s">
        <v>26</v>
      </c>
      <c r="J2845" s="3" t="s">
        <v>4938</v>
      </c>
      <c r="K2845" s="4">
        <v>928</v>
      </c>
      <c r="L2845" s="5">
        <v>42.18</v>
      </c>
      <c r="M2845" s="6">
        <v>1</v>
      </c>
      <c r="N2845" s="7">
        <v>0</v>
      </c>
      <c r="O2845" t="s">
        <v>4939</v>
      </c>
      <c r="P2845" s="3" t="s">
        <v>76</v>
      </c>
      <c r="Q2845" s="8">
        <v>0.20050000000000001</v>
      </c>
    </row>
    <row r="2846" spans="1:17" hidden="1" x14ac:dyDescent="0.55000000000000004">
      <c r="A2846" s="3" t="s">
        <v>4815</v>
      </c>
      <c r="B2846" s="3" t="s">
        <v>4940</v>
      </c>
      <c r="C2846" t="s">
        <v>4940</v>
      </c>
      <c r="D2846" s="3" t="s">
        <v>7314</v>
      </c>
      <c r="E2846" t="s">
        <v>4941</v>
      </c>
      <c r="F2846" s="3" t="s">
        <v>4942</v>
      </c>
      <c r="G2846" t="s">
        <v>19</v>
      </c>
      <c r="H2846" s="3" t="s">
        <v>4943</v>
      </c>
      <c r="I2846" t="s">
        <v>4113</v>
      </c>
      <c r="J2846" s="3" t="s">
        <v>4944</v>
      </c>
      <c r="K2846" s="4">
        <v>250</v>
      </c>
      <c r="L2846" s="5">
        <v>54.39</v>
      </c>
      <c r="M2846" s="6">
        <v>1</v>
      </c>
      <c r="N2846" s="7">
        <v>1</v>
      </c>
      <c r="O2846" t="s">
        <v>4945</v>
      </c>
      <c r="P2846" s="3" t="s">
        <v>1610</v>
      </c>
      <c r="Q2846" s="8">
        <v>5.0048000000000002E-2</v>
      </c>
    </row>
    <row r="2847" spans="1:17" hidden="1" x14ac:dyDescent="0.55000000000000004">
      <c r="A2847" s="3" t="s">
        <v>4815</v>
      </c>
      <c r="B2847" s="3" t="s">
        <v>4940</v>
      </c>
      <c r="C2847" t="s">
        <v>4940</v>
      </c>
      <c r="D2847" s="3" t="s">
        <v>7314</v>
      </c>
      <c r="E2847" t="s">
        <v>4941</v>
      </c>
      <c r="F2847" s="3" t="s">
        <v>4942</v>
      </c>
      <c r="G2847" t="s">
        <v>19</v>
      </c>
      <c r="H2847" s="3" t="s">
        <v>23</v>
      </c>
      <c r="I2847" t="s">
        <v>67</v>
      </c>
      <c r="J2847" s="3" t="s">
        <v>4946</v>
      </c>
      <c r="K2847" s="4" t="s">
        <v>23</v>
      </c>
      <c r="L2847" s="5" t="s">
        <v>23</v>
      </c>
      <c r="M2847" s="6">
        <v>0</v>
      </c>
      <c r="N2847" s="7">
        <v>1</v>
      </c>
      <c r="O2847" t="s">
        <v>23</v>
      </c>
      <c r="P2847" s="3" t="s">
        <v>23</v>
      </c>
      <c r="Q2847" s="8" t="s">
        <v>23</v>
      </c>
    </row>
    <row r="2848" spans="1:17" hidden="1" x14ac:dyDescent="0.55000000000000004">
      <c r="A2848" s="3" t="s">
        <v>4815</v>
      </c>
      <c r="B2848" s="3" t="s">
        <v>4940</v>
      </c>
      <c r="C2848" t="s">
        <v>4940</v>
      </c>
      <c r="D2848" s="3" t="s">
        <v>7314</v>
      </c>
      <c r="E2848" t="s">
        <v>4941</v>
      </c>
      <c r="F2848" s="3" t="s">
        <v>4942</v>
      </c>
      <c r="G2848" t="s">
        <v>24</v>
      </c>
      <c r="H2848" s="3" t="s">
        <v>4852</v>
      </c>
      <c r="I2848" t="s">
        <v>52</v>
      </c>
      <c r="J2848" s="3" t="s">
        <v>4853</v>
      </c>
      <c r="K2848" s="4">
        <v>606</v>
      </c>
      <c r="L2848" s="5">
        <v>0</v>
      </c>
      <c r="M2848" s="6">
        <v>0</v>
      </c>
      <c r="N2848" s="7">
        <v>1</v>
      </c>
      <c r="O2848" t="s">
        <v>23</v>
      </c>
      <c r="P2848" s="3" t="s">
        <v>23</v>
      </c>
      <c r="Q2848" s="8" t="s">
        <v>23</v>
      </c>
    </row>
    <row r="2849" spans="1:17" hidden="1" x14ac:dyDescent="0.55000000000000004">
      <c r="A2849" s="3" t="s">
        <v>4815</v>
      </c>
      <c r="B2849" s="3" t="s">
        <v>4940</v>
      </c>
      <c r="C2849" t="s">
        <v>4940</v>
      </c>
      <c r="D2849" s="3" t="s">
        <v>7314</v>
      </c>
      <c r="E2849" t="s">
        <v>4941</v>
      </c>
      <c r="F2849" s="3" t="s">
        <v>4942</v>
      </c>
      <c r="G2849" t="s">
        <v>24</v>
      </c>
      <c r="H2849" s="3" t="s">
        <v>4854</v>
      </c>
      <c r="I2849" t="s">
        <v>296</v>
      </c>
      <c r="J2849" s="3" t="s">
        <v>4853</v>
      </c>
      <c r="K2849" s="4">
        <v>555</v>
      </c>
      <c r="L2849" s="5">
        <v>0</v>
      </c>
      <c r="M2849" s="6">
        <v>0</v>
      </c>
      <c r="N2849" s="7">
        <v>1</v>
      </c>
      <c r="O2849" t="s">
        <v>23</v>
      </c>
      <c r="P2849" s="3" t="s">
        <v>23</v>
      </c>
      <c r="Q2849" s="8" t="s">
        <v>23</v>
      </c>
    </row>
    <row r="2850" spans="1:17" hidden="1" x14ac:dyDescent="0.55000000000000004">
      <c r="A2850" s="3" t="s">
        <v>4815</v>
      </c>
      <c r="B2850" s="3" t="s">
        <v>4940</v>
      </c>
      <c r="C2850" t="s">
        <v>4940</v>
      </c>
      <c r="D2850" s="3" t="s">
        <v>7314</v>
      </c>
      <c r="E2850" t="s">
        <v>4941</v>
      </c>
      <c r="F2850" s="3" t="s">
        <v>4942</v>
      </c>
      <c r="G2850" t="s">
        <v>24</v>
      </c>
      <c r="H2850" s="3" t="s">
        <v>4855</v>
      </c>
      <c r="I2850" t="s">
        <v>304</v>
      </c>
      <c r="J2850" s="3" t="s">
        <v>4853</v>
      </c>
      <c r="K2850" s="4">
        <v>847</v>
      </c>
      <c r="L2850" s="5">
        <v>0</v>
      </c>
      <c r="M2850" s="6">
        <v>0</v>
      </c>
      <c r="N2850" s="7">
        <v>1</v>
      </c>
      <c r="O2850" t="s">
        <v>23</v>
      </c>
      <c r="P2850" s="3" t="s">
        <v>23</v>
      </c>
      <c r="Q2850" s="8" t="s">
        <v>23</v>
      </c>
    </row>
    <row r="2851" spans="1:17" hidden="1" x14ac:dyDescent="0.55000000000000004">
      <c r="A2851" s="3" t="s">
        <v>4815</v>
      </c>
      <c r="B2851" s="3" t="s">
        <v>4940</v>
      </c>
      <c r="C2851" t="s">
        <v>4940</v>
      </c>
      <c r="D2851" s="3" t="s">
        <v>7314</v>
      </c>
      <c r="E2851" t="s">
        <v>4941</v>
      </c>
      <c r="F2851" s="3" t="s">
        <v>4942</v>
      </c>
      <c r="G2851" t="s">
        <v>24</v>
      </c>
      <c r="H2851" s="3" t="s">
        <v>4856</v>
      </c>
      <c r="I2851" t="s">
        <v>298</v>
      </c>
      <c r="J2851" s="3" t="s">
        <v>4853</v>
      </c>
      <c r="K2851" s="4">
        <v>732</v>
      </c>
      <c r="L2851" s="5">
        <v>0</v>
      </c>
      <c r="M2851" s="6">
        <v>0</v>
      </c>
      <c r="N2851" s="7">
        <v>1</v>
      </c>
      <c r="O2851" t="s">
        <v>23</v>
      </c>
      <c r="P2851" s="3" t="s">
        <v>23</v>
      </c>
      <c r="Q2851" s="8" t="s">
        <v>23</v>
      </c>
    </row>
    <row r="2852" spans="1:17" hidden="1" x14ac:dyDescent="0.55000000000000004">
      <c r="A2852" s="3" t="s">
        <v>4815</v>
      </c>
      <c r="B2852" s="3" t="s">
        <v>4940</v>
      </c>
      <c r="C2852" t="s">
        <v>4940</v>
      </c>
      <c r="D2852" s="3" t="s">
        <v>7314</v>
      </c>
      <c r="E2852" t="s">
        <v>4941</v>
      </c>
      <c r="F2852" s="3" t="s">
        <v>4942</v>
      </c>
      <c r="G2852" t="s">
        <v>24</v>
      </c>
      <c r="H2852" s="3" t="s">
        <v>4857</v>
      </c>
      <c r="I2852" t="s">
        <v>300</v>
      </c>
      <c r="J2852" s="3" t="s">
        <v>4853</v>
      </c>
      <c r="K2852" s="4">
        <v>758</v>
      </c>
      <c r="L2852" s="5">
        <v>0</v>
      </c>
      <c r="M2852" s="6">
        <v>0</v>
      </c>
      <c r="N2852" s="7">
        <v>1</v>
      </c>
      <c r="O2852" t="s">
        <v>23</v>
      </c>
      <c r="P2852" s="3" t="s">
        <v>23</v>
      </c>
      <c r="Q2852" s="8" t="s">
        <v>23</v>
      </c>
    </row>
    <row r="2853" spans="1:17" hidden="1" x14ac:dyDescent="0.55000000000000004">
      <c r="A2853" s="3" t="s">
        <v>4815</v>
      </c>
      <c r="B2853" s="3" t="s">
        <v>4940</v>
      </c>
      <c r="C2853" t="s">
        <v>4940</v>
      </c>
      <c r="D2853" s="3" t="s">
        <v>7314</v>
      </c>
      <c r="E2853" t="s">
        <v>4941</v>
      </c>
      <c r="F2853" s="3" t="s">
        <v>4942</v>
      </c>
      <c r="G2853" t="s">
        <v>24</v>
      </c>
      <c r="H2853" s="3" t="s">
        <v>4858</v>
      </c>
      <c r="I2853" t="s">
        <v>302</v>
      </c>
      <c r="J2853" s="3" t="s">
        <v>4853</v>
      </c>
      <c r="K2853" s="4">
        <v>903</v>
      </c>
      <c r="L2853" s="5">
        <v>0</v>
      </c>
      <c r="M2853" s="6">
        <v>0</v>
      </c>
      <c r="N2853" s="7">
        <v>1</v>
      </c>
      <c r="O2853" t="s">
        <v>23</v>
      </c>
      <c r="P2853" s="3" t="s">
        <v>23</v>
      </c>
      <c r="Q2853" s="8" t="s">
        <v>23</v>
      </c>
    </row>
    <row r="2854" spans="1:17" hidden="1" x14ac:dyDescent="0.55000000000000004">
      <c r="A2854" s="3" t="s">
        <v>4815</v>
      </c>
      <c r="B2854" s="3" t="s">
        <v>4940</v>
      </c>
      <c r="C2854" t="s">
        <v>4940</v>
      </c>
      <c r="D2854" s="3" t="s">
        <v>7314</v>
      </c>
      <c r="E2854" t="s">
        <v>4941</v>
      </c>
      <c r="F2854" s="3" t="s">
        <v>4942</v>
      </c>
      <c r="G2854" t="s">
        <v>24</v>
      </c>
      <c r="H2854" s="3" t="s">
        <v>4947</v>
      </c>
      <c r="I2854" t="s">
        <v>309</v>
      </c>
      <c r="J2854" s="3" t="s">
        <v>4948</v>
      </c>
      <c r="K2854" s="4">
        <v>910</v>
      </c>
      <c r="L2854" s="5">
        <v>41.36</v>
      </c>
      <c r="M2854" s="6">
        <v>1</v>
      </c>
      <c r="N2854" s="7">
        <v>1</v>
      </c>
      <c r="O2854" t="s">
        <v>4949</v>
      </c>
      <c r="P2854" s="3" t="s">
        <v>76</v>
      </c>
      <c r="Q2854" s="8">
        <v>0.23283300000000001</v>
      </c>
    </row>
    <row r="2855" spans="1:17" hidden="1" x14ac:dyDescent="0.55000000000000004">
      <c r="A2855" s="3" t="s">
        <v>4815</v>
      </c>
      <c r="B2855" s="3" t="s">
        <v>4940</v>
      </c>
      <c r="C2855" t="s">
        <v>4940</v>
      </c>
      <c r="D2855" s="3" t="s">
        <v>7314</v>
      </c>
      <c r="E2855" t="s">
        <v>4941</v>
      </c>
      <c r="F2855" s="3" t="s">
        <v>4942</v>
      </c>
      <c r="G2855" t="s">
        <v>24</v>
      </c>
      <c r="H2855" s="3" t="s">
        <v>4950</v>
      </c>
      <c r="I2855" t="s">
        <v>218</v>
      </c>
      <c r="J2855" s="3" t="s">
        <v>4948</v>
      </c>
      <c r="K2855" s="4">
        <v>1043</v>
      </c>
      <c r="L2855" s="5">
        <v>47.42</v>
      </c>
      <c r="M2855" s="6">
        <v>0</v>
      </c>
      <c r="N2855" s="7">
        <v>1</v>
      </c>
      <c r="O2855" t="s">
        <v>4951</v>
      </c>
      <c r="P2855" s="3" t="s">
        <v>23</v>
      </c>
      <c r="Q2855" s="8" t="s">
        <v>23</v>
      </c>
    </row>
    <row r="2856" spans="1:17" hidden="1" x14ac:dyDescent="0.55000000000000004">
      <c r="A2856" s="3" t="s">
        <v>4815</v>
      </c>
      <c r="B2856" s="3" t="s">
        <v>4940</v>
      </c>
      <c r="C2856" t="s">
        <v>4940</v>
      </c>
      <c r="D2856" s="3" t="s">
        <v>7314</v>
      </c>
      <c r="E2856" t="s">
        <v>4941</v>
      </c>
      <c r="F2856" s="3" t="s">
        <v>4942</v>
      </c>
      <c r="G2856" t="s">
        <v>24</v>
      </c>
      <c r="H2856" s="3" t="s">
        <v>4864</v>
      </c>
      <c r="I2856" t="s">
        <v>309</v>
      </c>
      <c r="J2856" s="3" t="s">
        <v>4865</v>
      </c>
      <c r="K2856" s="4">
        <v>734</v>
      </c>
      <c r="L2856" s="5">
        <v>0</v>
      </c>
      <c r="M2856" s="6">
        <v>0</v>
      </c>
      <c r="N2856" s="7">
        <v>1</v>
      </c>
      <c r="O2856" t="s">
        <v>23</v>
      </c>
      <c r="P2856" s="3" t="s">
        <v>23</v>
      </c>
      <c r="Q2856" s="8" t="s">
        <v>23</v>
      </c>
    </row>
    <row r="2857" spans="1:17" hidden="1" x14ac:dyDescent="0.55000000000000004">
      <c r="A2857" s="3" t="s">
        <v>4815</v>
      </c>
      <c r="B2857" s="3" t="s">
        <v>4940</v>
      </c>
      <c r="C2857" t="s">
        <v>4940</v>
      </c>
      <c r="D2857" s="3" t="s">
        <v>7314</v>
      </c>
      <c r="E2857" t="s">
        <v>4941</v>
      </c>
      <c r="F2857" s="3" t="s">
        <v>4942</v>
      </c>
      <c r="G2857" t="s">
        <v>24</v>
      </c>
      <c r="H2857" s="3" t="s">
        <v>4866</v>
      </c>
      <c r="I2857" t="s">
        <v>218</v>
      </c>
      <c r="J2857" s="3" t="s">
        <v>4865</v>
      </c>
      <c r="K2857" s="4">
        <v>845</v>
      </c>
      <c r="L2857" s="5">
        <v>0</v>
      </c>
      <c r="M2857" s="6">
        <v>0</v>
      </c>
      <c r="N2857" s="7">
        <v>1</v>
      </c>
      <c r="O2857" t="s">
        <v>23</v>
      </c>
      <c r="P2857" s="3" t="s">
        <v>23</v>
      </c>
      <c r="Q2857" s="8" t="s">
        <v>23</v>
      </c>
    </row>
    <row r="2858" spans="1:17" hidden="1" x14ac:dyDescent="0.55000000000000004">
      <c r="A2858" s="3" t="s">
        <v>4815</v>
      </c>
      <c r="B2858" s="3" t="s">
        <v>4940</v>
      </c>
      <c r="C2858" t="s">
        <v>4940</v>
      </c>
      <c r="D2858" s="3" t="s">
        <v>7314</v>
      </c>
      <c r="E2858" t="s">
        <v>4941</v>
      </c>
      <c r="F2858" s="3" t="s">
        <v>4942</v>
      </c>
      <c r="G2858" t="s">
        <v>24</v>
      </c>
      <c r="H2858" s="3" t="s">
        <v>4867</v>
      </c>
      <c r="I2858" t="s">
        <v>317</v>
      </c>
      <c r="J2858" s="3" t="s">
        <v>4865</v>
      </c>
      <c r="K2858" s="4">
        <v>738</v>
      </c>
      <c r="L2858" s="5">
        <v>0</v>
      </c>
      <c r="M2858" s="6">
        <v>0</v>
      </c>
      <c r="N2858" s="7">
        <v>1</v>
      </c>
      <c r="O2858" t="s">
        <v>23</v>
      </c>
      <c r="P2858" s="3" t="s">
        <v>23</v>
      </c>
      <c r="Q2858" s="8" t="s">
        <v>23</v>
      </c>
    </row>
    <row r="2859" spans="1:17" hidden="1" x14ac:dyDescent="0.55000000000000004">
      <c r="A2859" s="3" t="s">
        <v>4815</v>
      </c>
      <c r="B2859" s="3" t="s">
        <v>4940</v>
      </c>
      <c r="C2859" t="s">
        <v>4940</v>
      </c>
      <c r="D2859" s="3" t="s">
        <v>7314</v>
      </c>
      <c r="E2859" t="s">
        <v>4941</v>
      </c>
      <c r="F2859" s="3" t="s">
        <v>4942</v>
      </c>
      <c r="G2859" t="s">
        <v>24</v>
      </c>
      <c r="H2859" s="3" t="s">
        <v>4868</v>
      </c>
      <c r="I2859" t="s">
        <v>313</v>
      </c>
      <c r="J2859" s="3" t="s">
        <v>4865</v>
      </c>
      <c r="K2859" s="4">
        <v>912</v>
      </c>
      <c r="L2859" s="5">
        <v>0</v>
      </c>
      <c r="M2859" s="6">
        <v>0</v>
      </c>
      <c r="N2859" s="7">
        <v>1</v>
      </c>
      <c r="O2859" t="s">
        <v>23</v>
      </c>
      <c r="P2859" s="3" t="s">
        <v>23</v>
      </c>
      <c r="Q2859" s="8" t="s">
        <v>23</v>
      </c>
    </row>
    <row r="2860" spans="1:17" hidden="1" x14ac:dyDescent="0.55000000000000004">
      <c r="A2860" s="3" t="s">
        <v>4815</v>
      </c>
      <c r="B2860" s="3" t="s">
        <v>4940</v>
      </c>
      <c r="C2860" t="s">
        <v>4940</v>
      </c>
      <c r="D2860" s="3" t="s">
        <v>7314</v>
      </c>
      <c r="E2860" t="s">
        <v>4941</v>
      </c>
      <c r="F2860" s="3" t="s">
        <v>4942</v>
      </c>
      <c r="G2860" t="s">
        <v>24</v>
      </c>
      <c r="H2860" s="3" t="s">
        <v>4869</v>
      </c>
      <c r="I2860" t="s">
        <v>315</v>
      </c>
      <c r="J2860" s="3" t="s">
        <v>4865</v>
      </c>
      <c r="K2860" s="4">
        <v>598</v>
      </c>
      <c r="L2860" s="5">
        <v>0</v>
      </c>
      <c r="M2860" s="6">
        <v>0</v>
      </c>
      <c r="N2860" s="7">
        <v>1</v>
      </c>
      <c r="O2860" t="s">
        <v>23</v>
      </c>
      <c r="P2860" s="3" t="s">
        <v>23</v>
      </c>
      <c r="Q2860" s="8" t="s">
        <v>23</v>
      </c>
    </row>
    <row r="2861" spans="1:17" hidden="1" x14ac:dyDescent="0.55000000000000004">
      <c r="A2861" s="3" t="s">
        <v>4815</v>
      </c>
      <c r="B2861" s="3" t="s">
        <v>4952</v>
      </c>
      <c r="C2861" t="s">
        <v>4952</v>
      </c>
      <c r="D2861" s="3" t="s">
        <v>7314</v>
      </c>
      <c r="E2861" t="s">
        <v>4953</v>
      </c>
      <c r="F2861" s="3" t="s">
        <v>4954</v>
      </c>
      <c r="G2861" t="s">
        <v>24</v>
      </c>
      <c r="H2861" s="3" t="s">
        <v>4955</v>
      </c>
      <c r="I2861" t="s">
        <v>52</v>
      </c>
      <c r="J2861" s="3" t="s">
        <v>4956</v>
      </c>
      <c r="K2861" s="4">
        <v>901</v>
      </c>
      <c r="L2861" s="5">
        <v>40.950000000000003</v>
      </c>
      <c r="M2861" s="6">
        <v>1</v>
      </c>
      <c r="N2861" s="7">
        <v>0</v>
      </c>
      <c r="O2861" t="s">
        <v>4957</v>
      </c>
      <c r="P2861" s="3" t="s">
        <v>55</v>
      </c>
      <c r="Q2861" s="8">
        <v>0.21917500000000001</v>
      </c>
    </row>
    <row r="2862" spans="1:17" hidden="1" x14ac:dyDescent="0.55000000000000004">
      <c r="A2862" s="3" t="s">
        <v>4815</v>
      </c>
      <c r="B2862" s="3" t="s">
        <v>4958</v>
      </c>
      <c r="C2862" t="s">
        <v>4958</v>
      </c>
      <c r="D2862" s="3" t="s">
        <v>7314</v>
      </c>
      <c r="E2862" t="s">
        <v>4959</v>
      </c>
      <c r="F2862" s="3" t="s">
        <v>4960</v>
      </c>
      <c r="G2862" t="s">
        <v>24</v>
      </c>
      <c r="H2862" s="3" t="s">
        <v>4961</v>
      </c>
      <c r="I2862" t="s">
        <v>52</v>
      </c>
      <c r="J2862" s="3" t="s">
        <v>4962</v>
      </c>
      <c r="K2862" s="4">
        <v>1265</v>
      </c>
      <c r="L2862" s="5">
        <v>57.48</v>
      </c>
      <c r="M2862" s="6">
        <v>1</v>
      </c>
      <c r="N2862" s="7">
        <v>0</v>
      </c>
      <c r="O2862" t="s">
        <v>4963</v>
      </c>
      <c r="P2862" s="3" t="s">
        <v>55</v>
      </c>
      <c r="Q2862" s="8">
        <v>0.26047399999999998</v>
      </c>
    </row>
    <row r="2863" spans="1:17" hidden="1" x14ac:dyDescent="0.55000000000000004">
      <c r="A2863" s="3" t="s">
        <v>4815</v>
      </c>
      <c r="B2863" s="3" t="s">
        <v>4958</v>
      </c>
      <c r="C2863" t="s">
        <v>4958</v>
      </c>
      <c r="D2863" s="3" t="s">
        <v>7314</v>
      </c>
      <c r="E2863" t="s">
        <v>4959</v>
      </c>
      <c r="F2863" s="3" t="s">
        <v>4960</v>
      </c>
      <c r="G2863" t="s">
        <v>24</v>
      </c>
      <c r="H2863" s="3" t="s">
        <v>4964</v>
      </c>
      <c r="I2863" t="s">
        <v>26</v>
      </c>
      <c r="J2863" s="3" t="s">
        <v>4965</v>
      </c>
      <c r="K2863" s="4">
        <v>1127</v>
      </c>
      <c r="L2863" s="5">
        <v>51.23</v>
      </c>
      <c r="M2863" s="6">
        <v>0</v>
      </c>
      <c r="N2863" s="7">
        <v>0</v>
      </c>
      <c r="O2863" t="s">
        <v>4966</v>
      </c>
      <c r="P2863" s="3" t="s">
        <v>29</v>
      </c>
      <c r="Q2863" s="8">
        <v>0.25766699999999998</v>
      </c>
    </row>
    <row r="2864" spans="1:17" hidden="1" x14ac:dyDescent="0.55000000000000004">
      <c r="A2864" s="3" t="s">
        <v>4815</v>
      </c>
      <c r="B2864" s="3" t="s">
        <v>4958</v>
      </c>
      <c r="C2864" t="s">
        <v>4958</v>
      </c>
      <c r="D2864" s="3" t="s">
        <v>7314</v>
      </c>
      <c r="E2864" t="s">
        <v>4967</v>
      </c>
      <c r="F2864" s="3" t="s">
        <v>4968</v>
      </c>
      <c r="G2864" t="s">
        <v>24</v>
      </c>
      <c r="H2864" s="3" t="s">
        <v>4961</v>
      </c>
      <c r="I2864" t="s">
        <v>52</v>
      </c>
      <c r="J2864" s="3" t="s">
        <v>4962</v>
      </c>
      <c r="K2864" s="4">
        <v>1265</v>
      </c>
      <c r="L2864" s="5">
        <v>57.48</v>
      </c>
      <c r="M2864" s="6">
        <v>1</v>
      </c>
      <c r="N2864" s="7">
        <v>0</v>
      </c>
      <c r="O2864" t="s">
        <v>4963</v>
      </c>
      <c r="P2864" s="3" t="s">
        <v>55</v>
      </c>
      <c r="Q2864" s="8">
        <v>0.26047399999999998</v>
      </c>
    </row>
    <row r="2865" spans="1:17" hidden="1" x14ac:dyDescent="0.55000000000000004">
      <c r="A2865" s="3" t="s">
        <v>4815</v>
      </c>
      <c r="B2865" s="3" t="s">
        <v>4958</v>
      </c>
      <c r="C2865" t="s">
        <v>4958</v>
      </c>
      <c r="D2865" s="3" t="s">
        <v>7314</v>
      </c>
      <c r="E2865" t="s">
        <v>4967</v>
      </c>
      <c r="F2865" s="3" t="s">
        <v>4968</v>
      </c>
      <c r="G2865" t="s">
        <v>24</v>
      </c>
      <c r="H2865" s="3" t="s">
        <v>4964</v>
      </c>
      <c r="I2865" t="s">
        <v>26</v>
      </c>
      <c r="J2865" s="3" t="s">
        <v>4965</v>
      </c>
      <c r="K2865" s="4">
        <v>1127</v>
      </c>
      <c r="L2865" s="5">
        <v>51.23</v>
      </c>
      <c r="M2865" s="6">
        <v>0</v>
      </c>
      <c r="N2865" s="7">
        <v>0</v>
      </c>
      <c r="O2865" t="s">
        <v>4966</v>
      </c>
      <c r="P2865" s="3" t="s">
        <v>29</v>
      </c>
      <c r="Q2865" s="8">
        <v>0.25766699999999998</v>
      </c>
    </row>
    <row r="2866" spans="1:17" hidden="1" x14ac:dyDescent="0.55000000000000004">
      <c r="A2866" s="3" t="s">
        <v>4815</v>
      </c>
      <c r="B2866" s="3" t="s">
        <v>4958</v>
      </c>
      <c r="C2866" t="s">
        <v>4958</v>
      </c>
      <c r="D2866" s="3" t="s">
        <v>7314</v>
      </c>
      <c r="E2866" t="s">
        <v>4969</v>
      </c>
      <c r="F2866" s="3" t="s">
        <v>4970</v>
      </c>
      <c r="G2866" t="s">
        <v>24</v>
      </c>
      <c r="H2866" s="3" t="s">
        <v>4961</v>
      </c>
      <c r="I2866" t="s">
        <v>52</v>
      </c>
      <c r="J2866" s="3" t="s">
        <v>4962</v>
      </c>
      <c r="K2866" s="4">
        <v>1265</v>
      </c>
      <c r="L2866" s="5">
        <v>57.48</v>
      </c>
      <c r="M2866" s="6">
        <v>1</v>
      </c>
      <c r="N2866" s="7">
        <v>0</v>
      </c>
      <c r="O2866" t="s">
        <v>4963</v>
      </c>
      <c r="P2866" s="3" t="s">
        <v>55</v>
      </c>
      <c r="Q2866" s="8">
        <v>0.26047399999999998</v>
      </c>
    </row>
    <row r="2867" spans="1:17" hidden="1" x14ac:dyDescent="0.55000000000000004">
      <c r="A2867" s="3" t="s">
        <v>4815</v>
      </c>
      <c r="B2867" s="3" t="s">
        <v>4958</v>
      </c>
      <c r="C2867" t="s">
        <v>4958</v>
      </c>
      <c r="D2867" s="3" t="s">
        <v>7314</v>
      </c>
      <c r="E2867" t="s">
        <v>4969</v>
      </c>
      <c r="F2867" s="3" t="s">
        <v>4970</v>
      </c>
      <c r="G2867" t="s">
        <v>24</v>
      </c>
      <c r="H2867" s="3" t="s">
        <v>4964</v>
      </c>
      <c r="I2867" t="s">
        <v>26</v>
      </c>
      <c r="J2867" s="3" t="s">
        <v>4965</v>
      </c>
      <c r="K2867" s="4">
        <v>1127</v>
      </c>
      <c r="L2867" s="5">
        <v>51.23</v>
      </c>
      <c r="M2867" s="6">
        <v>0</v>
      </c>
      <c r="N2867" s="7">
        <v>0</v>
      </c>
      <c r="O2867" t="s">
        <v>4966</v>
      </c>
      <c r="P2867" s="3" t="s">
        <v>29</v>
      </c>
      <c r="Q2867" s="8">
        <v>0.25766699999999998</v>
      </c>
    </row>
    <row r="2868" spans="1:17" hidden="1" x14ac:dyDescent="0.55000000000000004">
      <c r="A2868" s="3" t="s">
        <v>4815</v>
      </c>
      <c r="B2868" s="3" t="s">
        <v>4971</v>
      </c>
      <c r="C2868" t="s">
        <v>4971</v>
      </c>
      <c r="D2868" s="3" t="s">
        <v>7314</v>
      </c>
      <c r="E2868" t="s">
        <v>4972</v>
      </c>
      <c r="F2868" s="3" t="s">
        <v>4973</v>
      </c>
      <c r="G2868" t="s">
        <v>19</v>
      </c>
      <c r="H2868" s="3" t="s">
        <v>4974</v>
      </c>
      <c r="I2868" t="s">
        <v>4929</v>
      </c>
      <c r="J2868" s="3" t="s">
        <v>4975</v>
      </c>
      <c r="K2868" s="4">
        <v>290</v>
      </c>
      <c r="L2868" s="5">
        <v>63.09</v>
      </c>
      <c r="M2868" s="6">
        <v>1</v>
      </c>
      <c r="N2868" s="7">
        <v>0</v>
      </c>
      <c r="O2868" t="s">
        <v>23</v>
      </c>
      <c r="P2868" s="3" t="s">
        <v>23</v>
      </c>
      <c r="Q2868" s="8" t="s">
        <v>23</v>
      </c>
    </row>
    <row r="2869" spans="1:17" hidden="1" x14ac:dyDescent="0.55000000000000004">
      <c r="A2869" s="3" t="s">
        <v>4815</v>
      </c>
      <c r="B2869" s="3" t="s">
        <v>4971</v>
      </c>
      <c r="C2869" t="s">
        <v>4971</v>
      </c>
      <c r="D2869" s="3" t="s">
        <v>7314</v>
      </c>
      <c r="E2869" t="s">
        <v>4972</v>
      </c>
      <c r="F2869" s="3" t="s">
        <v>4973</v>
      </c>
      <c r="G2869" t="s">
        <v>19</v>
      </c>
      <c r="H2869" s="3" t="s">
        <v>4976</v>
      </c>
      <c r="I2869" t="s">
        <v>66</v>
      </c>
      <c r="J2869" s="3" t="s">
        <v>4977</v>
      </c>
      <c r="K2869" s="4">
        <v>296</v>
      </c>
      <c r="L2869" s="5">
        <v>64.39</v>
      </c>
      <c r="M2869" s="6">
        <v>0</v>
      </c>
      <c r="N2869" s="7">
        <v>0</v>
      </c>
      <c r="O2869" t="s">
        <v>4978</v>
      </c>
      <c r="P2869" s="3" t="s">
        <v>64</v>
      </c>
      <c r="Q2869" s="8">
        <v>6.2267000000000003E-2</v>
      </c>
    </row>
    <row r="2870" spans="1:17" hidden="1" x14ac:dyDescent="0.55000000000000004">
      <c r="A2870" s="3" t="s">
        <v>4815</v>
      </c>
      <c r="B2870" s="3" t="s">
        <v>4971</v>
      </c>
      <c r="C2870" t="s">
        <v>4971</v>
      </c>
      <c r="D2870" s="3" t="s">
        <v>7314</v>
      </c>
      <c r="E2870" t="s">
        <v>4972</v>
      </c>
      <c r="F2870" s="3" t="s">
        <v>4973</v>
      </c>
      <c r="G2870" t="s">
        <v>19</v>
      </c>
      <c r="H2870" s="3" t="s">
        <v>4979</v>
      </c>
      <c r="I2870" t="s">
        <v>209</v>
      </c>
      <c r="J2870" s="3" t="s">
        <v>4980</v>
      </c>
      <c r="K2870" s="4">
        <v>260</v>
      </c>
      <c r="L2870" s="5">
        <v>56.59</v>
      </c>
      <c r="M2870" s="6">
        <v>0</v>
      </c>
      <c r="N2870" s="7">
        <v>0</v>
      </c>
      <c r="O2870" t="s">
        <v>4981</v>
      </c>
      <c r="P2870" s="3" t="s">
        <v>4851</v>
      </c>
      <c r="Q2870" s="8">
        <v>5.5355000000000001E-2</v>
      </c>
    </row>
    <row r="2871" spans="1:17" hidden="1" x14ac:dyDescent="0.55000000000000004">
      <c r="A2871" s="3" t="s">
        <v>4815</v>
      </c>
      <c r="B2871" s="3" t="s">
        <v>4971</v>
      </c>
      <c r="C2871" t="s">
        <v>4971</v>
      </c>
      <c r="D2871" s="3" t="s">
        <v>7314</v>
      </c>
      <c r="E2871" t="s">
        <v>4972</v>
      </c>
      <c r="F2871" s="3" t="s">
        <v>4973</v>
      </c>
      <c r="G2871" t="s">
        <v>24</v>
      </c>
      <c r="H2871" s="3" t="s">
        <v>4852</v>
      </c>
      <c r="I2871" t="s">
        <v>52</v>
      </c>
      <c r="J2871" s="3" t="s">
        <v>4853</v>
      </c>
      <c r="K2871" s="4">
        <v>606</v>
      </c>
      <c r="L2871" s="5">
        <v>0</v>
      </c>
      <c r="M2871" s="6">
        <v>0</v>
      </c>
      <c r="N2871" s="7">
        <v>0</v>
      </c>
      <c r="O2871" t="s">
        <v>23</v>
      </c>
      <c r="P2871" s="3" t="s">
        <v>23</v>
      </c>
      <c r="Q2871" s="8" t="s">
        <v>23</v>
      </c>
    </row>
    <row r="2872" spans="1:17" hidden="1" x14ac:dyDescent="0.55000000000000004">
      <c r="A2872" s="3" t="s">
        <v>4815</v>
      </c>
      <c r="B2872" s="3" t="s">
        <v>4971</v>
      </c>
      <c r="C2872" t="s">
        <v>4971</v>
      </c>
      <c r="D2872" s="3" t="s">
        <v>7314</v>
      </c>
      <c r="E2872" t="s">
        <v>4972</v>
      </c>
      <c r="F2872" s="3" t="s">
        <v>4973</v>
      </c>
      <c r="G2872" t="s">
        <v>24</v>
      </c>
      <c r="H2872" s="3" t="s">
        <v>4854</v>
      </c>
      <c r="I2872" t="s">
        <v>296</v>
      </c>
      <c r="J2872" s="3" t="s">
        <v>4853</v>
      </c>
      <c r="K2872" s="4">
        <v>555</v>
      </c>
      <c r="L2872" s="5">
        <v>0</v>
      </c>
      <c r="M2872" s="6">
        <v>0</v>
      </c>
      <c r="N2872" s="7">
        <v>0</v>
      </c>
      <c r="O2872" t="s">
        <v>23</v>
      </c>
      <c r="P2872" s="3" t="s">
        <v>23</v>
      </c>
      <c r="Q2872" s="8" t="s">
        <v>23</v>
      </c>
    </row>
    <row r="2873" spans="1:17" hidden="1" x14ac:dyDescent="0.55000000000000004">
      <c r="A2873" s="3" t="s">
        <v>4815</v>
      </c>
      <c r="B2873" s="3" t="s">
        <v>4971</v>
      </c>
      <c r="C2873" t="s">
        <v>4971</v>
      </c>
      <c r="D2873" s="3" t="s">
        <v>7314</v>
      </c>
      <c r="E2873" t="s">
        <v>4972</v>
      </c>
      <c r="F2873" s="3" t="s">
        <v>4973</v>
      </c>
      <c r="G2873" t="s">
        <v>24</v>
      </c>
      <c r="H2873" s="3" t="s">
        <v>4855</v>
      </c>
      <c r="I2873" t="s">
        <v>304</v>
      </c>
      <c r="J2873" s="3" t="s">
        <v>4853</v>
      </c>
      <c r="K2873" s="4">
        <v>847</v>
      </c>
      <c r="L2873" s="5">
        <v>0</v>
      </c>
      <c r="M2873" s="6">
        <v>0</v>
      </c>
      <c r="N2873" s="7">
        <v>0</v>
      </c>
      <c r="O2873" t="s">
        <v>23</v>
      </c>
      <c r="P2873" s="3" t="s">
        <v>23</v>
      </c>
      <c r="Q2873" s="8" t="s">
        <v>23</v>
      </c>
    </row>
    <row r="2874" spans="1:17" hidden="1" x14ac:dyDescent="0.55000000000000004">
      <c r="A2874" s="3" t="s">
        <v>4815</v>
      </c>
      <c r="B2874" s="3" t="s">
        <v>4971</v>
      </c>
      <c r="C2874" t="s">
        <v>4971</v>
      </c>
      <c r="D2874" s="3" t="s">
        <v>7314</v>
      </c>
      <c r="E2874" t="s">
        <v>4972</v>
      </c>
      <c r="F2874" s="3" t="s">
        <v>4973</v>
      </c>
      <c r="G2874" t="s">
        <v>24</v>
      </c>
      <c r="H2874" s="3" t="s">
        <v>4856</v>
      </c>
      <c r="I2874" t="s">
        <v>298</v>
      </c>
      <c r="J2874" s="3" t="s">
        <v>4853</v>
      </c>
      <c r="K2874" s="4">
        <v>732</v>
      </c>
      <c r="L2874" s="5">
        <v>0</v>
      </c>
      <c r="M2874" s="6">
        <v>0</v>
      </c>
      <c r="N2874" s="7">
        <v>0</v>
      </c>
      <c r="O2874" t="s">
        <v>23</v>
      </c>
      <c r="P2874" s="3" t="s">
        <v>23</v>
      </c>
      <c r="Q2874" s="8" t="s">
        <v>23</v>
      </c>
    </row>
    <row r="2875" spans="1:17" hidden="1" x14ac:dyDescent="0.55000000000000004">
      <c r="A2875" s="3" t="s">
        <v>4815</v>
      </c>
      <c r="B2875" s="3" t="s">
        <v>4971</v>
      </c>
      <c r="C2875" t="s">
        <v>4971</v>
      </c>
      <c r="D2875" s="3" t="s">
        <v>7314</v>
      </c>
      <c r="E2875" t="s">
        <v>4972</v>
      </c>
      <c r="F2875" s="3" t="s">
        <v>4973</v>
      </c>
      <c r="G2875" t="s">
        <v>24</v>
      </c>
      <c r="H2875" s="3" t="s">
        <v>4857</v>
      </c>
      <c r="I2875" t="s">
        <v>300</v>
      </c>
      <c r="J2875" s="3" t="s">
        <v>4853</v>
      </c>
      <c r="K2875" s="4">
        <v>758</v>
      </c>
      <c r="L2875" s="5">
        <v>0</v>
      </c>
      <c r="M2875" s="6">
        <v>0</v>
      </c>
      <c r="N2875" s="7">
        <v>0</v>
      </c>
      <c r="O2875" t="s">
        <v>23</v>
      </c>
      <c r="P2875" s="3" t="s">
        <v>23</v>
      </c>
      <c r="Q2875" s="8" t="s">
        <v>23</v>
      </c>
    </row>
    <row r="2876" spans="1:17" hidden="1" x14ac:dyDescent="0.55000000000000004">
      <c r="A2876" s="3" t="s">
        <v>4815</v>
      </c>
      <c r="B2876" s="3" t="s">
        <v>4971</v>
      </c>
      <c r="C2876" t="s">
        <v>4971</v>
      </c>
      <c r="D2876" s="3" t="s">
        <v>7314</v>
      </c>
      <c r="E2876" t="s">
        <v>4972</v>
      </c>
      <c r="F2876" s="3" t="s">
        <v>4973</v>
      </c>
      <c r="G2876" t="s">
        <v>24</v>
      </c>
      <c r="H2876" s="3" t="s">
        <v>4858</v>
      </c>
      <c r="I2876" t="s">
        <v>302</v>
      </c>
      <c r="J2876" s="3" t="s">
        <v>4853</v>
      </c>
      <c r="K2876" s="4">
        <v>903</v>
      </c>
      <c r="L2876" s="5">
        <v>0</v>
      </c>
      <c r="M2876" s="6">
        <v>0</v>
      </c>
      <c r="N2876" s="7">
        <v>0</v>
      </c>
      <c r="O2876" t="s">
        <v>23</v>
      </c>
      <c r="P2876" s="3" t="s">
        <v>23</v>
      </c>
      <c r="Q2876" s="8" t="s">
        <v>23</v>
      </c>
    </row>
    <row r="2877" spans="1:17" hidden="1" x14ac:dyDescent="0.55000000000000004">
      <c r="A2877" s="3" t="s">
        <v>4815</v>
      </c>
      <c r="B2877" s="3" t="s">
        <v>4971</v>
      </c>
      <c r="C2877" t="s">
        <v>4971</v>
      </c>
      <c r="D2877" s="3" t="s">
        <v>7314</v>
      </c>
      <c r="E2877" t="s">
        <v>4972</v>
      </c>
      <c r="F2877" s="3" t="s">
        <v>4973</v>
      </c>
      <c r="G2877" t="s">
        <v>24</v>
      </c>
      <c r="H2877" s="3" t="s">
        <v>4982</v>
      </c>
      <c r="I2877" t="s">
        <v>26</v>
      </c>
      <c r="J2877" s="3" t="s">
        <v>4983</v>
      </c>
      <c r="K2877" s="4">
        <v>802</v>
      </c>
      <c r="L2877" s="5">
        <v>36.450000000000003</v>
      </c>
      <c r="M2877" s="6">
        <v>1</v>
      </c>
      <c r="N2877" s="7">
        <v>0</v>
      </c>
      <c r="O2877" t="s">
        <v>4984</v>
      </c>
      <c r="P2877" s="3" t="s">
        <v>29</v>
      </c>
      <c r="Q2877" s="8">
        <v>0.21818599999999999</v>
      </c>
    </row>
    <row r="2878" spans="1:17" hidden="1" x14ac:dyDescent="0.55000000000000004">
      <c r="A2878" s="3" t="s">
        <v>4815</v>
      </c>
      <c r="B2878" s="3" t="s">
        <v>4971</v>
      </c>
      <c r="C2878" t="s">
        <v>4971</v>
      </c>
      <c r="D2878" s="3" t="s">
        <v>7314</v>
      </c>
      <c r="E2878" t="s">
        <v>4972</v>
      </c>
      <c r="F2878" s="3" t="s">
        <v>4973</v>
      </c>
      <c r="G2878" t="s">
        <v>24</v>
      </c>
      <c r="H2878" s="3" t="s">
        <v>4864</v>
      </c>
      <c r="I2878" t="s">
        <v>309</v>
      </c>
      <c r="J2878" s="3" t="s">
        <v>4865</v>
      </c>
      <c r="K2878" s="4">
        <v>734</v>
      </c>
      <c r="L2878" s="5">
        <v>0</v>
      </c>
      <c r="M2878" s="6">
        <v>0</v>
      </c>
      <c r="N2878" s="7">
        <v>0</v>
      </c>
      <c r="O2878" t="s">
        <v>23</v>
      </c>
      <c r="P2878" s="3" t="s">
        <v>23</v>
      </c>
      <c r="Q2878" s="8" t="s">
        <v>23</v>
      </c>
    </row>
    <row r="2879" spans="1:17" hidden="1" x14ac:dyDescent="0.55000000000000004">
      <c r="A2879" s="3" t="s">
        <v>4815</v>
      </c>
      <c r="B2879" s="3" t="s">
        <v>4971</v>
      </c>
      <c r="C2879" t="s">
        <v>4971</v>
      </c>
      <c r="D2879" s="3" t="s">
        <v>7314</v>
      </c>
      <c r="E2879" t="s">
        <v>4972</v>
      </c>
      <c r="F2879" s="3" t="s">
        <v>4973</v>
      </c>
      <c r="G2879" t="s">
        <v>24</v>
      </c>
      <c r="H2879" s="3" t="s">
        <v>4866</v>
      </c>
      <c r="I2879" t="s">
        <v>218</v>
      </c>
      <c r="J2879" s="3" t="s">
        <v>4865</v>
      </c>
      <c r="K2879" s="4">
        <v>845</v>
      </c>
      <c r="L2879" s="5">
        <v>0</v>
      </c>
      <c r="M2879" s="6">
        <v>0</v>
      </c>
      <c r="N2879" s="7">
        <v>0</v>
      </c>
      <c r="O2879" t="s">
        <v>23</v>
      </c>
      <c r="P2879" s="3" t="s">
        <v>23</v>
      </c>
      <c r="Q2879" s="8" t="s">
        <v>23</v>
      </c>
    </row>
    <row r="2880" spans="1:17" hidden="1" x14ac:dyDescent="0.55000000000000004">
      <c r="A2880" s="3" t="s">
        <v>4815</v>
      </c>
      <c r="B2880" s="3" t="s">
        <v>4971</v>
      </c>
      <c r="C2880" t="s">
        <v>4971</v>
      </c>
      <c r="D2880" s="3" t="s">
        <v>7314</v>
      </c>
      <c r="E2880" t="s">
        <v>4972</v>
      </c>
      <c r="F2880" s="3" t="s">
        <v>4973</v>
      </c>
      <c r="G2880" t="s">
        <v>24</v>
      </c>
      <c r="H2880" s="3" t="s">
        <v>4867</v>
      </c>
      <c r="I2880" t="s">
        <v>317</v>
      </c>
      <c r="J2880" s="3" t="s">
        <v>4865</v>
      </c>
      <c r="K2880" s="4">
        <v>738</v>
      </c>
      <c r="L2880" s="5">
        <v>0</v>
      </c>
      <c r="M2880" s="6">
        <v>0</v>
      </c>
      <c r="N2880" s="7">
        <v>0</v>
      </c>
      <c r="O2880" t="s">
        <v>23</v>
      </c>
      <c r="P2880" s="3" t="s">
        <v>23</v>
      </c>
      <c r="Q2880" s="8" t="s">
        <v>23</v>
      </c>
    </row>
    <row r="2881" spans="1:17" hidden="1" x14ac:dyDescent="0.55000000000000004">
      <c r="A2881" s="3" t="s">
        <v>4815</v>
      </c>
      <c r="B2881" s="3" t="s">
        <v>4971</v>
      </c>
      <c r="C2881" t="s">
        <v>4971</v>
      </c>
      <c r="D2881" s="3" t="s">
        <v>7314</v>
      </c>
      <c r="E2881" t="s">
        <v>4972</v>
      </c>
      <c r="F2881" s="3" t="s">
        <v>4973</v>
      </c>
      <c r="G2881" t="s">
        <v>24</v>
      </c>
      <c r="H2881" s="3" t="s">
        <v>4868</v>
      </c>
      <c r="I2881" t="s">
        <v>313</v>
      </c>
      <c r="J2881" s="3" t="s">
        <v>4865</v>
      </c>
      <c r="K2881" s="4">
        <v>912</v>
      </c>
      <c r="L2881" s="5">
        <v>0</v>
      </c>
      <c r="M2881" s="6">
        <v>0</v>
      </c>
      <c r="N2881" s="7">
        <v>0</v>
      </c>
      <c r="O2881" t="s">
        <v>23</v>
      </c>
      <c r="P2881" s="3" t="s">
        <v>23</v>
      </c>
      <c r="Q2881" s="8" t="s">
        <v>23</v>
      </c>
    </row>
    <row r="2882" spans="1:17" hidden="1" x14ac:dyDescent="0.55000000000000004">
      <c r="A2882" s="3" t="s">
        <v>4815</v>
      </c>
      <c r="B2882" s="3" t="s">
        <v>4971</v>
      </c>
      <c r="C2882" t="s">
        <v>4971</v>
      </c>
      <c r="D2882" s="3" t="s">
        <v>7314</v>
      </c>
      <c r="E2882" t="s">
        <v>4972</v>
      </c>
      <c r="F2882" s="3" t="s">
        <v>4973</v>
      </c>
      <c r="G2882" t="s">
        <v>24</v>
      </c>
      <c r="H2882" s="3" t="s">
        <v>4869</v>
      </c>
      <c r="I2882" t="s">
        <v>315</v>
      </c>
      <c r="J2882" s="3" t="s">
        <v>4865</v>
      </c>
      <c r="K2882" s="4">
        <v>598</v>
      </c>
      <c r="L2882" s="5">
        <v>0</v>
      </c>
      <c r="M2882" s="6">
        <v>0</v>
      </c>
      <c r="N2882" s="7">
        <v>0</v>
      </c>
      <c r="O2882" t="s">
        <v>23</v>
      </c>
      <c r="P2882" s="3" t="s">
        <v>23</v>
      </c>
      <c r="Q2882" s="8" t="s">
        <v>23</v>
      </c>
    </row>
    <row r="2883" spans="1:17" hidden="1" x14ac:dyDescent="0.55000000000000004">
      <c r="A2883" s="3" t="s">
        <v>4815</v>
      </c>
      <c r="B2883" s="3" t="s">
        <v>4971</v>
      </c>
      <c r="C2883" t="s">
        <v>4971</v>
      </c>
      <c r="D2883" s="3" t="s">
        <v>7314</v>
      </c>
      <c r="E2883" t="s">
        <v>4985</v>
      </c>
      <c r="F2883" s="3" t="s">
        <v>4986</v>
      </c>
      <c r="G2883" t="s">
        <v>19</v>
      </c>
      <c r="H2883" s="3" t="s">
        <v>4974</v>
      </c>
      <c r="I2883" t="s">
        <v>4929</v>
      </c>
      <c r="J2883" s="3" t="s">
        <v>4975</v>
      </c>
      <c r="K2883" s="4">
        <v>290</v>
      </c>
      <c r="L2883" s="5">
        <v>63.09</v>
      </c>
      <c r="M2883" s="6">
        <v>1</v>
      </c>
      <c r="N2883" s="7">
        <v>0</v>
      </c>
      <c r="O2883" t="s">
        <v>23</v>
      </c>
      <c r="P2883" s="3" t="s">
        <v>23</v>
      </c>
      <c r="Q2883" s="8" t="s">
        <v>23</v>
      </c>
    </row>
    <row r="2884" spans="1:17" hidden="1" x14ac:dyDescent="0.55000000000000004">
      <c r="A2884" s="3" t="s">
        <v>4815</v>
      </c>
      <c r="B2884" s="3" t="s">
        <v>4971</v>
      </c>
      <c r="C2884" t="s">
        <v>4971</v>
      </c>
      <c r="D2884" s="3" t="s">
        <v>7314</v>
      </c>
      <c r="E2884" t="s">
        <v>4985</v>
      </c>
      <c r="F2884" s="3" t="s">
        <v>4986</v>
      </c>
      <c r="G2884" t="s">
        <v>24</v>
      </c>
      <c r="H2884" s="3" t="s">
        <v>4852</v>
      </c>
      <c r="I2884" t="s">
        <v>52</v>
      </c>
      <c r="J2884" s="3" t="s">
        <v>4853</v>
      </c>
      <c r="K2884" s="4">
        <v>606</v>
      </c>
      <c r="L2884" s="5">
        <v>0</v>
      </c>
      <c r="M2884" s="6">
        <v>0</v>
      </c>
      <c r="N2884" s="7">
        <v>0</v>
      </c>
      <c r="O2884" t="s">
        <v>23</v>
      </c>
      <c r="P2884" s="3" t="s">
        <v>23</v>
      </c>
      <c r="Q2884" s="8" t="s">
        <v>23</v>
      </c>
    </row>
    <row r="2885" spans="1:17" hidden="1" x14ac:dyDescent="0.55000000000000004">
      <c r="A2885" s="3" t="s">
        <v>4815</v>
      </c>
      <c r="B2885" s="3" t="s">
        <v>4971</v>
      </c>
      <c r="C2885" t="s">
        <v>4971</v>
      </c>
      <c r="D2885" s="3" t="s">
        <v>7314</v>
      </c>
      <c r="E2885" t="s">
        <v>4985</v>
      </c>
      <c r="F2885" s="3" t="s">
        <v>4986</v>
      </c>
      <c r="G2885" t="s">
        <v>24</v>
      </c>
      <c r="H2885" s="3" t="s">
        <v>4854</v>
      </c>
      <c r="I2885" t="s">
        <v>296</v>
      </c>
      <c r="J2885" s="3" t="s">
        <v>4853</v>
      </c>
      <c r="K2885" s="4">
        <v>555</v>
      </c>
      <c r="L2885" s="5">
        <v>0</v>
      </c>
      <c r="M2885" s="6">
        <v>0</v>
      </c>
      <c r="N2885" s="7">
        <v>0</v>
      </c>
      <c r="O2885" t="s">
        <v>23</v>
      </c>
      <c r="P2885" s="3" t="s">
        <v>23</v>
      </c>
      <c r="Q2885" s="8" t="s">
        <v>23</v>
      </c>
    </row>
    <row r="2886" spans="1:17" hidden="1" x14ac:dyDescent="0.55000000000000004">
      <c r="A2886" s="3" t="s">
        <v>4815</v>
      </c>
      <c r="B2886" s="3" t="s">
        <v>4971</v>
      </c>
      <c r="C2886" t="s">
        <v>4971</v>
      </c>
      <c r="D2886" s="3" t="s">
        <v>7314</v>
      </c>
      <c r="E2886" t="s">
        <v>4985</v>
      </c>
      <c r="F2886" s="3" t="s">
        <v>4986</v>
      </c>
      <c r="G2886" t="s">
        <v>24</v>
      </c>
      <c r="H2886" s="3" t="s">
        <v>4855</v>
      </c>
      <c r="I2886" t="s">
        <v>304</v>
      </c>
      <c r="J2886" s="3" t="s">
        <v>4853</v>
      </c>
      <c r="K2886" s="4">
        <v>847</v>
      </c>
      <c r="L2886" s="5">
        <v>0</v>
      </c>
      <c r="M2886" s="6">
        <v>0</v>
      </c>
      <c r="N2886" s="7">
        <v>0</v>
      </c>
      <c r="O2886" t="s">
        <v>23</v>
      </c>
      <c r="P2886" s="3" t="s">
        <v>23</v>
      </c>
      <c r="Q2886" s="8" t="s">
        <v>23</v>
      </c>
    </row>
    <row r="2887" spans="1:17" hidden="1" x14ac:dyDescent="0.55000000000000004">
      <c r="A2887" s="3" t="s">
        <v>4815</v>
      </c>
      <c r="B2887" s="3" t="s">
        <v>4971</v>
      </c>
      <c r="C2887" t="s">
        <v>4971</v>
      </c>
      <c r="D2887" s="3" t="s">
        <v>7314</v>
      </c>
      <c r="E2887" t="s">
        <v>4985</v>
      </c>
      <c r="F2887" s="3" t="s">
        <v>4986</v>
      </c>
      <c r="G2887" t="s">
        <v>24</v>
      </c>
      <c r="H2887" s="3" t="s">
        <v>4856</v>
      </c>
      <c r="I2887" t="s">
        <v>298</v>
      </c>
      <c r="J2887" s="3" t="s">
        <v>4853</v>
      </c>
      <c r="K2887" s="4">
        <v>732</v>
      </c>
      <c r="L2887" s="5">
        <v>0</v>
      </c>
      <c r="M2887" s="6">
        <v>0</v>
      </c>
      <c r="N2887" s="7">
        <v>0</v>
      </c>
      <c r="O2887" t="s">
        <v>23</v>
      </c>
      <c r="P2887" s="3" t="s">
        <v>23</v>
      </c>
      <c r="Q2887" s="8" t="s">
        <v>23</v>
      </c>
    </row>
    <row r="2888" spans="1:17" hidden="1" x14ac:dyDescent="0.55000000000000004">
      <c r="A2888" s="3" t="s">
        <v>4815</v>
      </c>
      <c r="B2888" s="3" t="s">
        <v>4971</v>
      </c>
      <c r="C2888" t="s">
        <v>4971</v>
      </c>
      <c r="D2888" s="3" t="s">
        <v>7314</v>
      </c>
      <c r="E2888" t="s">
        <v>4985</v>
      </c>
      <c r="F2888" s="3" t="s">
        <v>4986</v>
      </c>
      <c r="G2888" t="s">
        <v>24</v>
      </c>
      <c r="H2888" s="3" t="s">
        <v>4857</v>
      </c>
      <c r="I2888" t="s">
        <v>300</v>
      </c>
      <c r="J2888" s="3" t="s">
        <v>4853</v>
      </c>
      <c r="K2888" s="4">
        <v>758</v>
      </c>
      <c r="L2888" s="5">
        <v>0</v>
      </c>
      <c r="M2888" s="6">
        <v>0</v>
      </c>
      <c r="N2888" s="7">
        <v>0</v>
      </c>
      <c r="O2888" t="s">
        <v>23</v>
      </c>
      <c r="P2888" s="3" t="s">
        <v>23</v>
      </c>
      <c r="Q2888" s="8" t="s">
        <v>23</v>
      </c>
    </row>
    <row r="2889" spans="1:17" hidden="1" x14ac:dyDescent="0.55000000000000004">
      <c r="A2889" s="3" t="s">
        <v>4815</v>
      </c>
      <c r="B2889" s="3" t="s">
        <v>4971</v>
      </c>
      <c r="C2889" t="s">
        <v>4971</v>
      </c>
      <c r="D2889" s="3" t="s">
        <v>7314</v>
      </c>
      <c r="E2889" t="s">
        <v>4985</v>
      </c>
      <c r="F2889" s="3" t="s">
        <v>4986</v>
      </c>
      <c r="G2889" t="s">
        <v>24</v>
      </c>
      <c r="H2889" s="3" t="s">
        <v>4858</v>
      </c>
      <c r="I2889" t="s">
        <v>302</v>
      </c>
      <c r="J2889" s="3" t="s">
        <v>4853</v>
      </c>
      <c r="K2889" s="4">
        <v>903</v>
      </c>
      <c r="L2889" s="5">
        <v>0</v>
      </c>
      <c r="M2889" s="6">
        <v>0</v>
      </c>
      <c r="N2889" s="7">
        <v>0</v>
      </c>
      <c r="O2889" t="s">
        <v>23</v>
      </c>
      <c r="P2889" s="3" t="s">
        <v>23</v>
      </c>
      <c r="Q2889" s="8" t="s">
        <v>23</v>
      </c>
    </row>
    <row r="2890" spans="1:17" hidden="1" x14ac:dyDescent="0.55000000000000004">
      <c r="A2890" s="3" t="s">
        <v>4815</v>
      </c>
      <c r="B2890" s="3" t="s">
        <v>4971</v>
      </c>
      <c r="C2890" t="s">
        <v>4971</v>
      </c>
      <c r="D2890" s="3" t="s">
        <v>7314</v>
      </c>
      <c r="E2890" t="s">
        <v>4985</v>
      </c>
      <c r="F2890" s="3" t="s">
        <v>4986</v>
      </c>
      <c r="G2890" t="s">
        <v>24</v>
      </c>
      <c r="H2890" s="3" t="s">
        <v>4982</v>
      </c>
      <c r="I2890" t="s">
        <v>26</v>
      </c>
      <c r="J2890" s="3" t="s">
        <v>4983</v>
      </c>
      <c r="K2890" s="4">
        <v>802</v>
      </c>
      <c r="L2890" s="5">
        <v>36.450000000000003</v>
      </c>
      <c r="M2890" s="6">
        <v>1</v>
      </c>
      <c r="N2890" s="7">
        <v>0</v>
      </c>
      <c r="O2890" t="s">
        <v>4984</v>
      </c>
      <c r="P2890" s="3" t="s">
        <v>29</v>
      </c>
      <c r="Q2890" s="8">
        <v>0.21818599999999999</v>
      </c>
    </row>
    <row r="2891" spans="1:17" hidden="1" x14ac:dyDescent="0.55000000000000004">
      <c r="A2891" s="3" t="s">
        <v>4815</v>
      </c>
      <c r="B2891" s="3" t="s">
        <v>4971</v>
      </c>
      <c r="C2891" t="s">
        <v>4971</v>
      </c>
      <c r="D2891" s="3" t="s">
        <v>7314</v>
      </c>
      <c r="E2891" t="s">
        <v>4985</v>
      </c>
      <c r="F2891" s="3" t="s">
        <v>4986</v>
      </c>
      <c r="G2891" t="s">
        <v>24</v>
      </c>
      <c r="H2891" s="3" t="s">
        <v>4864</v>
      </c>
      <c r="I2891" t="s">
        <v>309</v>
      </c>
      <c r="J2891" s="3" t="s">
        <v>4865</v>
      </c>
      <c r="K2891" s="4">
        <v>734</v>
      </c>
      <c r="L2891" s="5">
        <v>0</v>
      </c>
      <c r="M2891" s="6">
        <v>0</v>
      </c>
      <c r="N2891" s="7">
        <v>0</v>
      </c>
      <c r="O2891" t="s">
        <v>23</v>
      </c>
      <c r="P2891" s="3" t="s">
        <v>23</v>
      </c>
      <c r="Q2891" s="8" t="s">
        <v>23</v>
      </c>
    </row>
    <row r="2892" spans="1:17" hidden="1" x14ac:dyDescent="0.55000000000000004">
      <c r="A2892" s="3" t="s">
        <v>4815</v>
      </c>
      <c r="B2892" s="3" t="s">
        <v>4971</v>
      </c>
      <c r="C2892" t="s">
        <v>4971</v>
      </c>
      <c r="D2892" s="3" t="s">
        <v>7314</v>
      </c>
      <c r="E2892" t="s">
        <v>4985</v>
      </c>
      <c r="F2892" s="3" t="s">
        <v>4986</v>
      </c>
      <c r="G2892" t="s">
        <v>24</v>
      </c>
      <c r="H2892" s="3" t="s">
        <v>4866</v>
      </c>
      <c r="I2892" t="s">
        <v>218</v>
      </c>
      <c r="J2892" s="3" t="s">
        <v>4865</v>
      </c>
      <c r="K2892" s="4">
        <v>845</v>
      </c>
      <c r="L2892" s="5">
        <v>0</v>
      </c>
      <c r="M2892" s="6">
        <v>0</v>
      </c>
      <c r="N2892" s="7">
        <v>0</v>
      </c>
      <c r="O2892" t="s">
        <v>23</v>
      </c>
      <c r="P2892" s="3" t="s">
        <v>23</v>
      </c>
      <c r="Q2892" s="8" t="s">
        <v>23</v>
      </c>
    </row>
    <row r="2893" spans="1:17" hidden="1" x14ac:dyDescent="0.55000000000000004">
      <c r="A2893" s="3" t="s">
        <v>4815</v>
      </c>
      <c r="B2893" s="3" t="s">
        <v>4971</v>
      </c>
      <c r="C2893" t="s">
        <v>4971</v>
      </c>
      <c r="D2893" s="3" t="s">
        <v>7314</v>
      </c>
      <c r="E2893" t="s">
        <v>4985</v>
      </c>
      <c r="F2893" s="3" t="s">
        <v>4986</v>
      </c>
      <c r="G2893" t="s">
        <v>24</v>
      </c>
      <c r="H2893" s="3" t="s">
        <v>4867</v>
      </c>
      <c r="I2893" t="s">
        <v>317</v>
      </c>
      <c r="J2893" s="3" t="s">
        <v>4865</v>
      </c>
      <c r="K2893" s="4">
        <v>738</v>
      </c>
      <c r="L2893" s="5">
        <v>0</v>
      </c>
      <c r="M2893" s="6">
        <v>0</v>
      </c>
      <c r="N2893" s="7">
        <v>0</v>
      </c>
      <c r="O2893" t="s">
        <v>23</v>
      </c>
      <c r="P2893" s="3" t="s">
        <v>23</v>
      </c>
      <c r="Q2893" s="8" t="s">
        <v>23</v>
      </c>
    </row>
    <row r="2894" spans="1:17" hidden="1" x14ac:dyDescent="0.55000000000000004">
      <c r="A2894" s="3" t="s">
        <v>4815</v>
      </c>
      <c r="B2894" s="3" t="s">
        <v>4971</v>
      </c>
      <c r="C2894" t="s">
        <v>4971</v>
      </c>
      <c r="D2894" s="3" t="s">
        <v>7314</v>
      </c>
      <c r="E2894" t="s">
        <v>4985</v>
      </c>
      <c r="F2894" s="3" t="s">
        <v>4986</v>
      </c>
      <c r="G2894" t="s">
        <v>24</v>
      </c>
      <c r="H2894" s="3" t="s">
        <v>4868</v>
      </c>
      <c r="I2894" t="s">
        <v>313</v>
      </c>
      <c r="J2894" s="3" t="s">
        <v>4865</v>
      </c>
      <c r="K2894" s="4">
        <v>912</v>
      </c>
      <c r="L2894" s="5">
        <v>0</v>
      </c>
      <c r="M2894" s="6">
        <v>0</v>
      </c>
      <c r="N2894" s="7">
        <v>0</v>
      </c>
      <c r="O2894" t="s">
        <v>23</v>
      </c>
      <c r="P2894" s="3" t="s">
        <v>23</v>
      </c>
      <c r="Q2894" s="8" t="s">
        <v>23</v>
      </c>
    </row>
    <row r="2895" spans="1:17" hidden="1" x14ac:dyDescent="0.55000000000000004">
      <c r="A2895" s="3" t="s">
        <v>4815</v>
      </c>
      <c r="B2895" s="3" t="s">
        <v>4971</v>
      </c>
      <c r="C2895" t="s">
        <v>4971</v>
      </c>
      <c r="D2895" s="3" t="s">
        <v>7314</v>
      </c>
      <c r="E2895" t="s">
        <v>4985</v>
      </c>
      <c r="F2895" s="3" t="s">
        <v>4986</v>
      </c>
      <c r="G2895" t="s">
        <v>24</v>
      </c>
      <c r="H2895" s="3" t="s">
        <v>4869</v>
      </c>
      <c r="I2895" t="s">
        <v>315</v>
      </c>
      <c r="J2895" s="3" t="s">
        <v>4865</v>
      </c>
      <c r="K2895" s="4">
        <v>598</v>
      </c>
      <c r="L2895" s="5">
        <v>0</v>
      </c>
      <c r="M2895" s="6">
        <v>0</v>
      </c>
      <c r="N2895" s="7">
        <v>0</v>
      </c>
      <c r="O2895" t="s">
        <v>23</v>
      </c>
      <c r="P2895" s="3" t="s">
        <v>23</v>
      </c>
      <c r="Q2895" s="8" t="s">
        <v>23</v>
      </c>
    </row>
    <row r="2896" spans="1:17" hidden="1" x14ac:dyDescent="0.55000000000000004">
      <c r="A2896" s="3" t="s">
        <v>4815</v>
      </c>
      <c r="B2896" s="3" t="s">
        <v>4987</v>
      </c>
      <c r="C2896" t="s">
        <v>4988</v>
      </c>
      <c r="D2896" s="3" t="s">
        <v>7314</v>
      </c>
      <c r="E2896" t="s">
        <v>4989</v>
      </c>
      <c r="F2896" s="3" t="s">
        <v>4990</v>
      </c>
      <c r="G2896" t="s">
        <v>24</v>
      </c>
      <c r="H2896" s="3" t="s">
        <v>4991</v>
      </c>
      <c r="I2896" t="s">
        <v>52</v>
      </c>
      <c r="J2896" s="3" t="s">
        <v>4992</v>
      </c>
      <c r="K2896" s="4">
        <v>838</v>
      </c>
      <c r="L2896" s="5">
        <v>0</v>
      </c>
      <c r="M2896" s="6">
        <v>0</v>
      </c>
      <c r="N2896" s="7">
        <v>0</v>
      </c>
      <c r="O2896" t="s">
        <v>23</v>
      </c>
      <c r="P2896" s="3" t="s">
        <v>23</v>
      </c>
      <c r="Q2896" s="8" t="s">
        <v>23</v>
      </c>
    </row>
    <row r="2897" spans="1:17" hidden="1" x14ac:dyDescent="0.55000000000000004">
      <c r="A2897" s="3" t="s">
        <v>4815</v>
      </c>
      <c r="B2897" s="3" t="s">
        <v>4987</v>
      </c>
      <c r="C2897" t="s">
        <v>4988</v>
      </c>
      <c r="D2897" s="3" t="s">
        <v>7314</v>
      </c>
      <c r="E2897" t="s">
        <v>4989</v>
      </c>
      <c r="F2897" s="3" t="s">
        <v>4990</v>
      </c>
      <c r="G2897" t="s">
        <v>24</v>
      </c>
      <c r="H2897" s="3" t="s">
        <v>4993</v>
      </c>
      <c r="I2897" t="s">
        <v>296</v>
      </c>
      <c r="J2897" s="3" t="s">
        <v>4992</v>
      </c>
      <c r="K2897" s="4">
        <v>810</v>
      </c>
      <c r="L2897" s="5">
        <v>0</v>
      </c>
      <c r="M2897" s="6">
        <v>0</v>
      </c>
      <c r="N2897" s="7">
        <v>0</v>
      </c>
      <c r="O2897" t="s">
        <v>23</v>
      </c>
      <c r="P2897" s="3" t="s">
        <v>23</v>
      </c>
      <c r="Q2897" s="8" t="s">
        <v>23</v>
      </c>
    </row>
    <row r="2898" spans="1:17" hidden="1" x14ac:dyDescent="0.55000000000000004">
      <c r="A2898" s="3" t="s">
        <v>4815</v>
      </c>
      <c r="B2898" s="3" t="s">
        <v>4987</v>
      </c>
      <c r="C2898" t="s">
        <v>4988</v>
      </c>
      <c r="D2898" s="3" t="s">
        <v>7314</v>
      </c>
      <c r="E2898" t="s">
        <v>4989</v>
      </c>
      <c r="F2898" s="3" t="s">
        <v>4990</v>
      </c>
      <c r="G2898" t="s">
        <v>24</v>
      </c>
      <c r="H2898" s="3" t="s">
        <v>4994</v>
      </c>
      <c r="I2898" t="s">
        <v>298</v>
      </c>
      <c r="J2898" s="3" t="s">
        <v>4992</v>
      </c>
      <c r="K2898" s="4">
        <v>901</v>
      </c>
      <c r="L2898" s="5">
        <v>0</v>
      </c>
      <c r="M2898" s="6">
        <v>0</v>
      </c>
      <c r="N2898" s="7">
        <v>0</v>
      </c>
      <c r="O2898" t="s">
        <v>23</v>
      </c>
      <c r="P2898" s="3" t="s">
        <v>23</v>
      </c>
      <c r="Q2898" s="8" t="s">
        <v>23</v>
      </c>
    </row>
    <row r="2899" spans="1:17" hidden="1" x14ac:dyDescent="0.55000000000000004">
      <c r="A2899" s="3" t="s">
        <v>4815</v>
      </c>
      <c r="B2899" s="3" t="s">
        <v>4987</v>
      </c>
      <c r="C2899" t="s">
        <v>4988</v>
      </c>
      <c r="D2899" s="3" t="s">
        <v>7314</v>
      </c>
      <c r="E2899" t="s">
        <v>4989</v>
      </c>
      <c r="F2899" s="3" t="s">
        <v>4990</v>
      </c>
      <c r="G2899" t="s">
        <v>24</v>
      </c>
      <c r="H2899" s="3" t="s">
        <v>4995</v>
      </c>
      <c r="I2899" t="s">
        <v>304</v>
      </c>
      <c r="J2899" s="3" t="s">
        <v>4992</v>
      </c>
      <c r="K2899" s="4">
        <v>986</v>
      </c>
      <c r="L2899" s="5">
        <v>0</v>
      </c>
      <c r="M2899" s="6">
        <v>0</v>
      </c>
      <c r="N2899" s="7">
        <v>0</v>
      </c>
      <c r="O2899" t="s">
        <v>23</v>
      </c>
      <c r="P2899" s="3" t="s">
        <v>23</v>
      </c>
      <c r="Q2899" s="8" t="s">
        <v>23</v>
      </c>
    </row>
    <row r="2900" spans="1:17" hidden="1" x14ac:dyDescent="0.55000000000000004">
      <c r="A2900" s="3" t="s">
        <v>4815</v>
      </c>
      <c r="B2900" s="3" t="s">
        <v>4987</v>
      </c>
      <c r="C2900" t="s">
        <v>4988</v>
      </c>
      <c r="D2900" s="3" t="s">
        <v>7314</v>
      </c>
      <c r="E2900" t="s">
        <v>4989</v>
      </c>
      <c r="F2900" s="3" t="s">
        <v>4990</v>
      </c>
      <c r="G2900" t="s">
        <v>24</v>
      </c>
      <c r="H2900" s="3" t="s">
        <v>4996</v>
      </c>
      <c r="I2900" t="s">
        <v>300</v>
      </c>
      <c r="J2900" s="3" t="s">
        <v>4992</v>
      </c>
      <c r="K2900" s="4">
        <v>1002</v>
      </c>
      <c r="L2900" s="5">
        <v>0</v>
      </c>
      <c r="M2900" s="6">
        <v>0</v>
      </c>
      <c r="N2900" s="7">
        <v>0</v>
      </c>
      <c r="O2900" t="s">
        <v>23</v>
      </c>
      <c r="P2900" s="3" t="s">
        <v>23</v>
      </c>
      <c r="Q2900" s="8" t="s">
        <v>23</v>
      </c>
    </row>
    <row r="2901" spans="1:17" hidden="1" x14ac:dyDescent="0.55000000000000004">
      <c r="A2901" s="3" t="s">
        <v>4815</v>
      </c>
      <c r="B2901" s="3" t="s">
        <v>4987</v>
      </c>
      <c r="C2901" t="s">
        <v>4988</v>
      </c>
      <c r="D2901" s="3" t="s">
        <v>7314</v>
      </c>
      <c r="E2901" t="s">
        <v>4989</v>
      </c>
      <c r="F2901" s="3" t="s">
        <v>4990</v>
      </c>
      <c r="G2901" t="s">
        <v>24</v>
      </c>
      <c r="H2901" s="3" t="s">
        <v>4997</v>
      </c>
      <c r="I2901" t="s">
        <v>302</v>
      </c>
      <c r="J2901" s="3" t="s">
        <v>4992</v>
      </c>
      <c r="K2901" s="4">
        <v>1118</v>
      </c>
      <c r="L2901" s="5">
        <v>0</v>
      </c>
      <c r="M2901" s="6">
        <v>0</v>
      </c>
      <c r="N2901" s="7">
        <v>0</v>
      </c>
      <c r="O2901" t="s">
        <v>23</v>
      </c>
      <c r="P2901" s="3" t="s">
        <v>23</v>
      </c>
      <c r="Q2901" s="8" t="s">
        <v>23</v>
      </c>
    </row>
    <row r="2902" spans="1:17" hidden="1" x14ac:dyDescent="0.55000000000000004">
      <c r="A2902" s="3" t="s">
        <v>4815</v>
      </c>
      <c r="B2902" s="3" t="s">
        <v>4987</v>
      </c>
      <c r="C2902" t="s">
        <v>4988</v>
      </c>
      <c r="D2902" s="3" t="s">
        <v>7314</v>
      </c>
      <c r="E2902" t="s">
        <v>4989</v>
      </c>
      <c r="F2902" s="3" t="s">
        <v>4990</v>
      </c>
      <c r="G2902" t="s">
        <v>24</v>
      </c>
      <c r="H2902" s="3" t="s">
        <v>4998</v>
      </c>
      <c r="I2902" t="s">
        <v>26</v>
      </c>
      <c r="J2902" s="3" t="s">
        <v>4999</v>
      </c>
      <c r="K2902" s="4">
        <v>976</v>
      </c>
      <c r="L2902" s="5">
        <v>44.36</v>
      </c>
      <c r="M2902" s="6">
        <v>0</v>
      </c>
      <c r="N2902" s="7">
        <v>0</v>
      </c>
      <c r="O2902" t="s">
        <v>5000</v>
      </c>
      <c r="P2902" s="3" t="s">
        <v>76</v>
      </c>
      <c r="Q2902" s="8">
        <v>0.25116699999999997</v>
      </c>
    </row>
    <row r="2903" spans="1:17" hidden="1" x14ac:dyDescent="0.55000000000000004">
      <c r="A2903" s="3" t="s">
        <v>4815</v>
      </c>
      <c r="B2903" s="3" t="s">
        <v>4987</v>
      </c>
      <c r="C2903" t="s">
        <v>4988</v>
      </c>
      <c r="D2903" s="3" t="s">
        <v>7314</v>
      </c>
      <c r="E2903" t="s">
        <v>4989</v>
      </c>
      <c r="F2903" s="3" t="s">
        <v>4990</v>
      </c>
      <c r="G2903" t="s">
        <v>24</v>
      </c>
      <c r="H2903" s="3" t="s">
        <v>5001</v>
      </c>
      <c r="I2903" t="s">
        <v>26</v>
      </c>
      <c r="J2903" s="3" t="s">
        <v>5002</v>
      </c>
      <c r="K2903" s="4">
        <v>992</v>
      </c>
      <c r="L2903" s="5">
        <v>45.09</v>
      </c>
      <c r="M2903" s="6">
        <v>1</v>
      </c>
      <c r="N2903" s="7">
        <v>0</v>
      </c>
      <c r="O2903" t="s">
        <v>5003</v>
      </c>
      <c r="P2903" s="3" t="s">
        <v>29</v>
      </c>
      <c r="Q2903" s="8">
        <v>0.25116699999999997</v>
      </c>
    </row>
    <row r="2904" spans="1:17" hidden="1" x14ac:dyDescent="0.55000000000000004">
      <c r="A2904" s="3" t="s">
        <v>4815</v>
      </c>
      <c r="B2904" s="3" t="s">
        <v>4987</v>
      </c>
      <c r="C2904" t="s">
        <v>4988</v>
      </c>
      <c r="D2904" s="3" t="s">
        <v>7314</v>
      </c>
      <c r="E2904" t="s">
        <v>4989</v>
      </c>
      <c r="F2904" s="3" t="s">
        <v>4990</v>
      </c>
      <c r="G2904" t="s">
        <v>24</v>
      </c>
      <c r="H2904" s="3" t="s">
        <v>5004</v>
      </c>
      <c r="I2904" t="s">
        <v>309</v>
      </c>
      <c r="J2904" s="3" t="s">
        <v>4999</v>
      </c>
      <c r="K2904" s="4">
        <v>910</v>
      </c>
      <c r="L2904" s="5">
        <v>0</v>
      </c>
      <c r="M2904" s="6">
        <v>0</v>
      </c>
      <c r="N2904" s="7">
        <v>0</v>
      </c>
      <c r="O2904" t="s">
        <v>23</v>
      </c>
      <c r="P2904" s="3" t="s">
        <v>23</v>
      </c>
      <c r="Q2904" s="8" t="s">
        <v>23</v>
      </c>
    </row>
    <row r="2905" spans="1:17" hidden="1" x14ac:dyDescent="0.55000000000000004">
      <c r="A2905" s="3" t="s">
        <v>4815</v>
      </c>
      <c r="B2905" s="3" t="s">
        <v>4987</v>
      </c>
      <c r="C2905" t="s">
        <v>4988</v>
      </c>
      <c r="D2905" s="3" t="s">
        <v>7314</v>
      </c>
      <c r="E2905" t="s">
        <v>4989</v>
      </c>
      <c r="F2905" s="3" t="s">
        <v>4990</v>
      </c>
      <c r="G2905" t="s">
        <v>24</v>
      </c>
      <c r="H2905" s="3" t="s">
        <v>5005</v>
      </c>
      <c r="I2905" t="s">
        <v>218</v>
      </c>
      <c r="J2905" s="3" t="s">
        <v>4999</v>
      </c>
      <c r="K2905" s="4">
        <v>983</v>
      </c>
      <c r="L2905" s="5">
        <v>0</v>
      </c>
      <c r="M2905" s="6">
        <v>0</v>
      </c>
      <c r="N2905" s="7">
        <v>0</v>
      </c>
      <c r="O2905" t="s">
        <v>5006</v>
      </c>
      <c r="P2905" s="3" t="s">
        <v>23</v>
      </c>
      <c r="Q2905" s="8" t="s">
        <v>23</v>
      </c>
    </row>
    <row r="2906" spans="1:17" hidden="1" x14ac:dyDescent="0.55000000000000004">
      <c r="A2906" s="3" t="s">
        <v>4815</v>
      </c>
      <c r="B2906" s="3" t="s">
        <v>4987</v>
      </c>
      <c r="C2906" t="s">
        <v>4988</v>
      </c>
      <c r="D2906" s="3" t="s">
        <v>7314</v>
      </c>
      <c r="E2906" t="s">
        <v>4989</v>
      </c>
      <c r="F2906" s="3" t="s">
        <v>4990</v>
      </c>
      <c r="G2906" t="s">
        <v>24</v>
      </c>
      <c r="H2906" s="3" t="s">
        <v>5007</v>
      </c>
      <c r="I2906" t="s">
        <v>313</v>
      </c>
      <c r="J2906" s="3" t="s">
        <v>4999</v>
      </c>
      <c r="K2906" s="4">
        <v>1109</v>
      </c>
      <c r="L2906" s="5">
        <v>0</v>
      </c>
      <c r="M2906" s="6">
        <v>0</v>
      </c>
      <c r="N2906" s="7">
        <v>0</v>
      </c>
      <c r="O2906" t="s">
        <v>23</v>
      </c>
      <c r="P2906" s="3" t="s">
        <v>23</v>
      </c>
      <c r="Q2906" s="8" t="s">
        <v>23</v>
      </c>
    </row>
    <row r="2907" spans="1:17" hidden="1" x14ac:dyDescent="0.55000000000000004">
      <c r="A2907" s="3" t="s">
        <v>4815</v>
      </c>
      <c r="B2907" s="3" t="s">
        <v>4987</v>
      </c>
      <c r="C2907" t="s">
        <v>4988</v>
      </c>
      <c r="D2907" s="3" t="s">
        <v>7314</v>
      </c>
      <c r="E2907" t="s">
        <v>4989</v>
      </c>
      <c r="F2907" s="3" t="s">
        <v>4990</v>
      </c>
      <c r="G2907" t="s">
        <v>24</v>
      </c>
      <c r="H2907" s="3" t="s">
        <v>5008</v>
      </c>
      <c r="I2907" t="s">
        <v>315</v>
      </c>
      <c r="J2907" s="3" t="s">
        <v>4999</v>
      </c>
      <c r="K2907" s="4">
        <v>824</v>
      </c>
      <c r="L2907" s="5">
        <v>0</v>
      </c>
      <c r="M2907" s="6">
        <v>0</v>
      </c>
      <c r="N2907" s="7">
        <v>0</v>
      </c>
      <c r="O2907" t="s">
        <v>23</v>
      </c>
      <c r="P2907" s="3" t="s">
        <v>23</v>
      </c>
      <c r="Q2907" s="8" t="s">
        <v>23</v>
      </c>
    </row>
    <row r="2908" spans="1:17" hidden="1" x14ac:dyDescent="0.55000000000000004">
      <c r="A2908" s="3" t="s">
        <v>4815</v>
      </c>
      <c r="B2908" s="3" t="s">
        <v>4987</v>
      </c>
      <c r="C2908" t="s">
        <v>4988</v>
      </c>
      <c r="D2908" s="3" t="s">
        <v>7314</v>
      </c>
      <c r="E2908" t="s">
        <v>4989</v>
      </c>
      <c r="F2908" s="3" t="s">
        <v>4990</v>
      </c>
      <c r="G2908" t="s">
        <v>24</v>
      </c>
      <c r="H2908" s="3" t="s">
        <v>5009</v>
      </c>
      <c r="I2908" t="s">
        <v>317</v>
      </c>
      <c r="J2908" s="3" t="s">
        <v>4999</v>
      </c>
      <c r="K2908" s="4">
        <v>942</v>
      </c>
      <c r="L2908" s="5">
        <v>0</v>
      </c>
      <c r="M2908" s="6">
        <v>0</v>
      </c>
      <c r="N2908" s="7">
        <v>0</v>
      </c>
      <c r="O2908" t="s">
        <v>23</v>
      </c>
      <c r="P2908" s="3" t="s">
        <v>23</v>
      </c>
      <c r="Q2908" s="8" t="s">
        <v>23</v>
      </c>
    </row>
    <row r="2909" spans="1:17" hidden="1" x14ac:dyDescent="0.55000000000000004">
      <c r="A2909" s="3" t="s">
        <v>4815</v>
      </c>
      <c r="B2909" s="3" t="s">
        <v>5010</v>
      </c>
      <c r="C2909" t="s">
        <v>5016</v>
      </c>
      <c r="D2909" s="3" t="s">
        <v>7314</v>
      </c>
      <c r="E2909" t="s">
        <v>5011</v>
      </c>
      <c r="F2909" s="3" t="s">
        <v>5012</v>
      </c>
      <c r="G2909" t="s">
        <v>24</v>
      </c>
      <c r="H2909" s="3" t="s">
        <v>5013</v>
      </c>
      <c r="I2909" t="s">
        <v>26</v>
      </c>
      <c r="J2909" s="3" t="s">
        <v>5014</v>
      </c>
      <c r="K2909" s="4">
        <v>1269</v>
      </c>
      <c r="L2909" s="5">
        <v>57.68</v>
      </c>
      <c r="M2909" s="6">
        <v>1</v>
      </c>
      <c r="N2909" s="7">
        <v>0</v>
      </c>
      <c r="O2909" t="s">
        <v>5015</v>
      </c>
      <c r="P2909" s="3" t="s">
        <v>29</v>
      </c>
      <c r="Q2909" s="8">
        <v>0.26050000000000001</v>
      </c>
    </row>
    <row r="2910" spans="1:17" hidden="1" x14ac:dyDescent="0.55000000000000004">
      <c r="A2910" s="3" t="s">
        <v>4815</v>
      </c>
      <c r="B2910" s="3" t="s">
        <v>5016</v>
      </c>
      <c r="C2910" t="s">
        <v>5016</v>
      </c>
      <c r="D2910" s="3" t="s">
        <v>7314</v>
      </c>
      <c r="E2910" t="s">
        <v>5017</v>
      </c>
      <c r="F2910" s="3" t="s">
        <v>5018</v>
      </c>
      <c r="G2910" t="s">
        <v>24</v>
      </c>
      <c r="H2910" s="3" t="s">
        <v>5013</v>
      </c>
      <c r="I2910" t="s">
        <v>26</v>
      </c>
      <c r="J2910" s="3" t="s">
        <v>5014</v>
      </c>
      <c r="K2910" s="4">
        <v>1269</v>
      </c>
      <c r="L2910" s="5">
        <v>57.68</v>
      </c>
      <c r="M2910" s="6">
        <v>1</v>
      </c>
      <c r="N2910" s="7">
        <v>0</v>
      </c>
      <c r="O2910" t="s">
        <v>5015</v>
      </c>
      <c r="P2910" s="3" t="s">
        <v>29</v>
      </c>
      <c r="Q2910" s="8">
        <v>0.26050000000000001</v>
      </c>
    </row>
    <row r="2911" spans="1:17" hidden="1" x14ac:dyDescent="0.55000000000000004">
      <c r="A2911" s="3" t="s">
        <v>4815</v>
      </c>
      <c r="B2911" s="3" t="s">
        <v>5019</v>
      </c>
      <c r="C2911" t="s">
        <v>5019</v>
      </c>
      <c r="D2911" s="3" t="s">
        <v>7314</v>
      </c>
      <c r="E2911" t="s">
        <v>5020</v>
      </c>
      <c r="F2911" s="3" t="s">
        <v>5021</v>
      </c>
      <c r="G2911" t="s">
        <v>24</v>
      </c>
      <c r="H2911" s="3" t="s">
        <v>5022</v>
      </c>
      <c r="I2911" t="s">
        <v>26</v>
      </c>
      <c r="J2911" s="3" t="s">
        <v>5023</v>
      </c>
      <c r="K2911" s="4">
        <v>1132</v>
      </c>
      <c r="L2911" s="5">
        <v>51.45</v>
      </c>
      <c r="M2911" s="6">
        <v>1</v>
      </c>
      <c r="N2911" s="7">
        <v>0</v>
      </c>
      <c r="O2911" t="s">
        <v>5024</v>
      </c>
      <c r="P2911" s="3" t="s">
        <v>76</v>
      </c>
      <c r="Q2911" s="8">
        <v>0.2555</v>
      </c>
    </row>
    <row r="2912" spans="1:17" hidden="1" x14ac:dyDescent="0.55000000000000004">
      <c r="A2912" s="3" t="s">
        <v>4815</v>
      </c>
      <c r="B2912" s="3" t="s">
        <v>5019</v>
      </c>
      <c r="C2912" t="s">
        <v>5019</v>
      </c>
      <c r="D2912" s="3" t="s">
        <v>7314</v>
      </c>
      <c r="E2912" t="s">
        <v>5020</v>
      </c>
      <c r="F2912" s="3" t="s">
        <v>5021</v>
      </c>
      <c r="G2912" t="s">
        <v>24</v>
      </c>
      <c r="H2912" s="3" t="s">
        <v>5025</v>
      </c>
      <c r="I2912" t="s">
        <v>218</v>
      </c>
      <c r="J2912" s="3" t="s">
        <v>5023</v>
      </c>
      <c r="K2912" s="4">
        <v>1660</v>
      </c>
      <c r="L2912" s="5">
        <v>75.44</v>
      </c>
      <c r="M2912" s="6">
        <v>0</v>
      </c>
      <c r="N2912" s="7">
        <v>0</v>
      </c>
      <c r="O2912" t="s">
        <v>5026</v>
      </c>
      <c r="P2912" s="3" t="s">
        <v>23</v>
      </c>
      <c r="Q2912" s="8" t="s">
        <v>23</v>
      </c>
    </row>
    <row r="2913" spans="1:17" hidden="1" x14ac:dyDescent="0.55000000000000004">
      <c r="A2913" s="3" t="s">
        <v>4815</v>
      </c>
      <c r="B2913" s="3" t="s">
        <v>5019</v>
      </c>
      <c r="C2913" t="s">
        <v>5019</v>
      </c>
      <c r="D2913" s="3" t="s">
        <v>7314</v>
      </c>
      <c r="E2913" t="s">
        <v>5027</v>
      </c>
      <c r="F2913" s="3" t="s">
        <v>5028</v>
      </c>
      <c r="G2913" t="s">
        <v>24</v>
      </c>
      <c r="H2913" s="3" t="s">
        <v>5022</v>
      </c>
      <c r="I2913" t="s">
        <v>26</v>
      </c>
      <c r="J2913" s="3" t="s">
        <v>5023</v>
      </c>
      <c r="K2913" s="4">
        <v>1132</v>
      </c>
      <c r="L2913" s="5">
        <v>51.45</v>
      </c>
      <c r="M2913" s="6">
        <v>1</v>
      </c>
      <c r="N2913" s="7">
        <v>0</v>
      </c>
      <c r="O2913" t="s">
        <v>5024</v>
      </c>
      <c r="P2913" s="3" t="s">
        <v>76</v>
      </c>
      <c r="Q2913" s="8">
        <v>0.2555</v>
      </c>
    </row>
    <row r="2914" spans="1:17" hidden="1" x14ac:dyDescent="0.55000000000000004">
      <c r="A2914" s="3" t="s">
        <v>4815</v>
      </c>
      <c r="B2914" s="3" t="s">
        <v>5019</v>
      </c>
      <c r="C2914" t="s">
        <v>5019</v>
      </c>
      <c r="D2914" s="3" t="s">
        <v>7314</v>
      </c>
      <c r="E2914" t="s">
        <v>5027</v>
      </c>
      <c r="F2914" s="3" t="s">
        <v>5028</v>
      </c>
      <c r="G2914" t="s">
        <v>24</v>
      </c>
      <c r="H2914" s="3" t="s">
        <v>5025</v>
      </c>
      <c r="I2914" t="s">
        <v>218</v>
      </c>
      <c r="J2914" s="3" t="s">
        <v>5023</v>
      </c>
      <c r="K2914" s="4">
        <v>1660</v>
      </c>
      <c r="L2914" s="5">
        <v>75.44</v>
      </c>
      <c r="M2914" s="6">
        <v>0</v>
      </c>
      <c r="N2914" s="7">
        <v>0</v>
      </c>
      <c r="O2914" t="s">
        <v>5026</v>
      </c>
      <c r="P2914" s="3" t="s">
        <v>23</v>
      </c>
      <c r="Q2914" s="8" t="s">
        <v>23</v>
      </c>
    </row>
    <row r="2915" spans="1:17" hidden="1" x14ac:dyDescent="0.55000000000000004">
      <c r="A2915" s="3" t="s">
        <v>4815</v>
      </c>
      <c r="B2915" s="3" t="s">
        <v>5019</v>
      </c>
      <c r="C2915" t="s">
        <v>5019</v>
      </c>
      <c r="D2915" s="3" t="s">
        <v>7314</v>
      </c>
      <c r="E2915" t="s">
        <v>5029</v>
      </c>
      <c r="F2915" s="3" t="s">
        <v>5030</v>
      </c>
      <c r="G2915" t="s">
        <v>24</v>
      </c>
      <c r="H2915" s="3" t="s">
        <v>5022</v>
      </c>
      <c r="I2915" t="s">
        <v>26</v>
      </c>
      <c r="J2915" s="3" t="s">
        <v>5023</v>
      </c>
      <c r="K2915" s="4">
        <v>1132</v>
      </c>
      <c r="L2915" s="5">
        <v>51.45</v>
      </c>
      <c r="M2915" s="6">
        <v>1</v>
      </c>
      <c r="N2915" s="7">
        <v>0</v>
      </c>
      <c r="O2915" t="s">
        <v>5024</v>
      </c>
      <c r="P2915" s="3" t="s">
        <v>76</v>
      </c>
      <c r="Q2915" s="8">
        <v>0.2555</v>
      </c>
    </row>
    <row r="2916" spans="1:17" hidden="1" x14ac:dyDescent="0.55000000000000004">
      <c r="A2916" s="3" t="s">
        <v>4815</v>
      </c>
      <c r="B2916" s="3" t="s">
        <v>5019</v>
      </c>
      <c r="C2916" t="s">
        <v>5019</v>
      </c>
      <c r="D2916" s="3" t="s">
        <v>7314</v>
      </c>
      <c r="E2916" t="s">
        <v>5029</v>
      </c>
      <c r="F2916" s="3" t="s">
        <v>5030</v>
      </c>
      <c r="G2916" t="s">
        <v>24</v>
      </c>
      <c r="H2916" s="3" t="s">
        <v>5025</v>
      </c>
      <c r="I2916" t="s">
        <v>218</v>
      </c>
      <c r="J2916" s="3" t="s">
        <v>5023</v>
      </c>
      <c r="K2916" s="4">
        <v>1660</v>
      </c>
      <c r="L2916" s="5">
        <v>75.44</v>
      </c>
      <c r="M2916" s="6">
        <v>0</v>
      </c>
      <c r="N2916" s="7">
        <v>0</v>
      </c>
      <c r="O2916" t="s">
        <v>5026</v>
      </c>
      <c r="P2916" s="3" t="s">
        <v>23</v>
      </c>
      <c r="Q2916" s="8" t="s">
        <v>23</v>
      </c>
    </row>
    <row r="2917" spans="1:17" hidden="1" x14ac:dyDescent="0.55000000000000004">
      <c r="A2917" s="3" t="s">
        <v>4815</v>
      </c>
      <c r="B2917" s="3" t="s">
        <v>5019</v>
      </c>
      <c r="C2917" t="s">
        <v>5019</v>
      </c>
      <c r="D2917" s="3" t="s">
        <v>7314</v>
      </c>
      <c r="E2917" t="s">
        <v>5031</v>
      </c>
      <c r="F2917" s="3" t="s">
        <v>5032</v>
      </c>
      <c r="G2917" t="s">
        <v>19</v>
      </c>
      <c r="H2917" s="3" t="s">
        <v>5033</v>
      </c>
      <c r="I2917" t="s">
        <v>3551</v>
      </c>
      <c r="J2917" s="3" t="s">
        <v>5034</v>
      </c>
      <c r="K2917" s="4">
        <v>751</v>
      </c>
      <c r="L2917" s="5">
        <v>163.30000000000001</v>
      </c>
      <c r="M2917" s="6">
        <v>1</v>
      </c>
      <c r="N2917" s="7">
        <v>1</v>
      </c>
      <c r="O2917" t="s">
        <v>5035</v>
      </c>
      <c r="P2917" s="3" t="s">
        <v>64</v>
      </c>
      <c r="Q2917" s="8">
        <v>0.12095499999999999</v>
      </c>
    </row>
    <row r="2918" spans="1:17" hidden="1" x14ac:dyDescent="0.55000000000000004">
      <c r="A2918" s="3" t="s">
        <v>4815</v>
      </c>
      <c r="B2918" s="3" t="s">
        <v>5019</v>
      </c>
      <c r="C2918" t="s">
        <v>5019</v>
      </c>
      <c r="D2918" s="3" t="s">
        <v>7314</v>
      </c>
      <c r="E2918" t="s">
        <v>5031</v>
      </c>
      <c r="F2918" s="3" t="s">
        <v>5032</v>
      </c>
      <c r="G2918" t="s">
        <v>19</v>
      </c>
      <c r="H2918" s="3" t="s">
        <v>5036</v>
      </c>
      <c r="I2918" t="s">
        <v>66</v>
      </c>
      <c r="J2918" s="3" t="s">
        <v>5037</v>
      </c>
      <c r="K2918" s="4">
        <v>828</v>
      </c>
      <c r="L2918" s="5">
        <v>180.11</v>
      </c>
      <c r="M2918" s="6">
        <v>0</v>
      </c>
      <c r="N2918" s="7">
        <v>1</v>
      </c>
      <c r="O2918" t="s">
        <v>5038</v>
      </c>
      <c r="P2918" s="3" t="s">
        <v>64</v>
      </c>
      <c r="Q2918" s="8">
        <v>0.11988600000000001</v>
      </c>
    </row>
    <row r="2919" spans="1:17" hidden="1" x14ac:dyDescent="0.55000000000000004">
      <c r="A2919" s="3" t="s">
        <v>4815</v>
      </c>
      <c r="B2919" s="3" t="s">
        <v>5019</v>
      </c>
      <c r="C2919" t="s">
        <v>5019</v>
      </c>
      <c r="D2919" s="3" t="s">
        <v>7314</v>
      </c>
      <c r="E2919" t="s">
        <v>5031</v>
      </c>
      <c r="F2919" s="3" t="s">
        <v>5032</v>
      </c>
      <c r="G2919" t="s">
        <v>19</v>
      </c>
      <c r="H2919" s="3" t="s">
        <v>23</v>
      </c>
      <c r="I2919" t="s">
        <v>67</v>
      </c>
      <c r="J2919" s="3" t="s">
        <v>5039</v>
      </c>
      <c r="K2919" s="4" t="s">
        <v>23</v>
      </c>
      <c r="L2919" s="5" t="s">
        <v>23</v>
      </c>
      <c r="M2919" s="6">
        <v>0</v>
      </c>
      <c r="N2919" s="7">
        <v>1</v>
      </c>
      <c r="O2919" t="s">
        <v>23</v>
      </c>
      <c r="P2919" s="3" t="s">
        <v>23</v>
      </c>
      <c r="Q2919" s="8" t="s">
        <v>23</v>
      </c>
    </row>
    <row r="2920" spans="1:17" hidden="1" x14ac:dyDescent="0.55000000000000004">
      <c r="A2920" s="3" t="s">
        <v>4815</v>
      </c>
      <c r="B2920" s="3" t="s">
        <v>5019</v>
      </c>
      <c r="C2920" t="s">
        <v>5019</v>
      </c>
      <c r="D2920" s="3" t="s">
        <v>7314</v>
      </c>
      <c r="E2920" t="s">
        <v>5031</v>
      </c>
      <c r="F2920" s="3" t="s">
        <v>5032</v>
      </c>
      <c r="G2920" t="s">
        <v>19</v>
      </c>
      <c r="H2920" s="3" t="s">
        <v>23</v>
      </c>
      <c r="I2920" t="s">
        <v>67</v>
      </c>
      <c r="J2920" s="3" t="s">
        <v>5040</v>
      </c>
      <c r="K2920" s="4" t="s">
        <v>23</v>
      </c>
      <c r="L2920" s="5" t="s">
        <v>23</v>
      </c>
      <c r="M2920" s="6">
        <v>0</v>
      </c>
      <c r="N2920" s="7">
        <v>1</v>
      </c>
      <c r="O2920" t="s">
        <v>23</v>
      </c>
      <c r="P2920" s="3" t="s">
        <v>23</v>
      </c>
      <c r="Q2920" s="8" t="s">
        <v>23</v>
      </c>
    </row>
    <row r="2921" spans="1:17" hidden="1" x14ac:dyDescent="0.55000000000000004">
      <c r="A2921" s="3" t="s">
        <v>4815</v>
      </c>
      <c r="B2921" s="3" t="s">
        <v>5019</v>
      </c>
      <c r="C2921" t="s">
        <v>5019</v>
      </c>
      <c r="D2921" s="3" t="s">
        <v>7314</v>
      </c>
      <c r="E2921" t="s">
        <v>5031</v>
      </c>
      <c r="F2921" s="3" t="s">
        <v>5032</v>
      </c>
      <c r="G2921" t="s">
        <v>24</v>
      </c>
      <c r="H2921" s="3" t="s">
        <v>5022</v>
      </c>
      <c r="I2921" t="s">
        <v>26</v>
      </c>
      <c r="J2921" s="3" t="s">
        <v>5023</v>
      </c>
      <c r="K2921" s="4">
        <v>1132</v>
      </c>
      <c r="L2921" s="5">
        <v>51.45</v>
      </c>
      <c r="M2921" s="6">
        <v>1</v>
      </c>
      <c r="N2921" s="7">
        <v>1</v>
      </c>
      <c r="O2921" t="s">
        <v>5024</v>
      </c>
      <c r="P2921" s="3" t="s">
        <v>76</v>
      </c>
      <c r="Q2921" s="8">
        <v>0.2555</v>
      </c>
    </row>
    <row r="2922" spans="1:17" hidden="1" x14ac:dyDescent="0.55000000000000004">
      <c r="A2922" s="3" t="s">
        <v>4815</v>
      </c>
      <c r="B2922" s="3" t="s">
        <v>5019</v>
      </c>
      <c r="C2922" t="s">
        <v>5019</v>
      </c>
      <c r="D2922" s="3" t="s">
        <v>7314</v>
      </c>
      <c r="E2922" t="s">
        <v>5031</v>
      </c>
      <c r="F2922" s="3" t="s">
        <v>5032</v>
      </c>
      <c r="G2922" t="s">
        <v>24</v>
      </c>
      <c r="H2922" s="3" t="s">
        <v>5025</v>
      </c>
      <c r="I2922" t="s">
        <v>218</v>
      </c>
      <c r="J2922" s="3" t="s">
        <v>5023</v>
      </c>
      <c r="K2922" s="4">
        <v>1660</v>
      </c>
      <c r="L2922" s="5">
        <v>75.44</v>
      </c>
      <c r="M2922" s="6">
        <v>0</v>
      </c>
      <c r="N2922" s="7">
        <v>1</v>
      </c>
      <c r="O2922" t="s">
        <v>5026</v>
      </c>
      <c r="P2922" s="3" t="s">
        <v>23</v>
      </c>
      <c r="Q2922" s="8" t="s">
        <v>23</v>
      </c>
    </row>
    <row r="2923" spans="1:17" hidden="1" x14ac:dyDescent="0.55000000000000004">
      <c r="A2923" s="3" t="s">
        <v>4815</v>
      </c>
      <c r="B2923" s="3" t="s">
        <v>5041</v>
      </c>
      <c r="C2923" t="s">
        <v>4971</v>
      </c>
      <c r="D2923" s="3" t="s">
        <v>7314</v>
      </c>
      <c r="E2923" t="s">
        <v>5042</v>
      </c>
      <c r="F2923" s="3" t="s">
        <v>5043</v>
      </c>
      <c r="G2923" t="s">
        <v>19</v>
      </c>
      <c r="H2923" s="3" t="s">
        <v>5044</v>
      </c>
      <c r="I2923" t="s">
        <v>4929</v>
      </c>
      <c r="J2923" s="3" t="s">
        <v>5045</v>
      </c>
      <c r="K2923" s="4">
        <v>274</v>
      </c>
      <c r="L2923" s="5">
        <v>59.63</v>
      </c>
      <c r="M2923" s="6">
        <v>1</v>
      </c>
      <c r="N2923" s="7">
        <v>1</v>
      </c>
      <c r="O2923" t="s">
        <v>5046</v>
      </c>
      <c r="P2923" s="3" t="s">
        <v>1610</v>
      </c>
      <c r="Q2923" s="8">
        <v>5.5856999999999997E-2</v>
      </c>
    </row>
    <row r="2924" spans="1:17" hidden="1" x14ac:dyDescent="0.55000000000000004">
      <c r="A2924" s="3" t="s">
        <v>4815</v>
      </c>
      <c r="B2924" s="3" t="s">
        <v>5041</v>
      </c>
      <c r="C2924" t="s">
        <v>4971</v>
      </c>
      <c r="D2924" s="3" t="s">
        <v>7314</v>
      </c>
      <c r="E2924" t="s">
        <v>5042</v>
      </c>
      <c r="F2924" s="3" t="s">
        <v>5043</v>
      </c>
      <c r="G2924" t="s">
        <v>24</v>
      </c>
      <c r="H2924" s="3" t="s">
        <v>4852</v>
      </c>
      <c r="I2924" t="s">
        <v>52</v>
      </c>
      <c r="J2924" s="3" t="s">
        <v>4853</v>
      </c>
      <c r="K2924" s="4">
        <v>606</v>
      </c>
      <c r="L2924" s="5">
        <v>0</v>
      </c>
      <c r="M2924" s="6">
        <v>0</v>
      </c>
      <c r="N2924" s="7">
        <v>1</v>
      </c>
      <c r="O2924" t="s">
        <v>23</v>
      </c>
      <c r="P2924" s="3" t="s">
        <v>23</v>
      </c>
      <c r="Q2924" s="8" t="s">
        <v>23</v>
      </c>
    </row>
    <row r="2925" spans="1:17" hidden="1" x14ac:dyDescent="0.55000000000000004">
      <c r="A2925" s="3" t="s">
        <v>4815</v>
      </c>
      <c r="B2925" s="3" t="s">
        <v>5041</v>
      </c>
      <c r="C2925" t="s">
        <v>4971</v>
      </c>
      <c r="D2925" s="3" t="s">
        <v>7314</v>
      </c>
      <c r="E2925" t="s">
        <v>5042</v>
      </c>
      <c r="F2925" s="3" t="s">
        <v>5043</v>
      </c>
      <c r="G2925" t="s">
        <v>24</v>
      </c>
      <c r="H2925" s="3" t="s">
        <v>4854</v>
      </c>
      <c r="I2925" t="s">
        <v>296</v>
      </c>
      <c r="J2925" s="3" t="s">
        <v>4853</v>
      </c>
      <c r="K2925" s="4">
        <v>555</v>
      </c>
      <c r="L2925" s="5">
        <v>0</v>
      </c>
      <c r="M2925" s="6">
        <v>0</v>
      </c>
      <c r="N2925" s="7">
        <v>1</v>
      </c>
      <c r="O2925" t="s">
        <v>23</v>
      </c>
      <c r="P2925" s="3" t="s">
        <v>23</v>
      </c>
      <c r="Q2925" s="8" t="s">
        <v>23</v>
      </c>
    </row>
    <row r="2926" spans="1:17" hidden="1" x14ac:dyDescent="0.55000000000000004">
      <c r="A2926" s="3" t="s">
        <v>4815</v>
      </c>
      <c r="B2926" s="3" t="s">
        <v>5041</v>
      </c>
      <c r="C2926" t="s">
        <v>4971</v>
      </c>
      <c r="D2926" s="3" t="s">
        <v>7314</v>
      </c>
      <c r="E2926" t="s">
        <v>5042</v>
      </c>
      <c r="F2926" s="3" t="s">
        <v>5043</v>
      </c>
      <c r="G2926" t="s">
        <v>24</v>
      </c>
      <c r="H2926" s="3" t="s">
        <v>4855</v>
      </c>
      <c r="I2926" t="s">
        <v>304</v>
      </c>
      <c r="J2926" s="3" t="s">
        <v>4853</v>
      </c>
      <c r="K2926" s="4">
        <v>847</v>
      </c>
      <c r="L2926" s="5">
        <v>0</v>
      </c>
      <c r="M2926" s="6">
        <v>0</v>
      </c>
      <c r="N2926" s="7">
        <v>1</v>
      </c>
      <c r="O2926" t="s">
        <v>23</v>
      </c>
      <c r="P2926" s="3" t="s">
        <v>23</v>
      </c>
      <c r="Q2926" s="8" t="s">
        <v>23</v>
      </c>
    </row>
    <row r="2927" spans="1:17" hidden="1" x14ac:dyDescent="0.55000000000000004">
      <c r="A2927" s="3" t="s">
        <v>4815</v>
      </c>
      <c r="B2927" s="3" t="s">
        <v>5041</v>
      </c>
      <c r="C2927" t="s">
        <v>4971</v>
      </c>
      <c r="D2927" s="3" t="s">
        <v>7314</v>
      </c>
      <c r="E2927" t="s">
        <v>5042</v>
      </c>
      <c r="F2927" s="3" t="s">
        <v>5043</v>
      </c>
      <c r="G2927" t="s">
        <v>24</v>
      </c>
      <c r="H2927" s="3" t="s">
        <v>4856</v>
      </c>
      <c r="I2927" t="s">
        <v>298</v>
      </c>
      <c r="J2927" s="3" t="s">
        <v>4853</v>
      </c>
      <c r="K2927" s="4">
        <v>732</v>
      </c>
      <c r="L2927" s="5">
        <v>0</v>
      </c>
      <c r="M2927" s="6">
        <v>0</v>
      </c>
      <c r="N2927" s="7">
        <v>1</v>
      </c>
      <c r="O2927" t="s">
        <v>23</v>
      </c>
      <c r="P2927" s="3" t="s">
        <v>23</v>
      </c>
      <c r="Q2927" s="8" t="s">
        <v>23</v>
      </c>
    </row>
    <row r="2928" spans="1:17" hidden="1" x14ac:dyDescent="0.55000000000000004">
      <c r="A2928" s="3" t="s">
        <v>4815</v>
      </c>
      <c r="B2928" s="3" t="s">
        <v>5041</v>
      </c>
      <c r="C2928" t="s">
        <v>4971</v>
      </c>
      <c r="D2928" s="3" t="s">
        <v>7314</v>
      </c>
      <c r="E2928" t="s">
        <v>5042</v>
      </c>
      <c r="F2928" s="3" t="s">
        <v>5043</v>
      </c>
      <c r="G2928" t="s">
        <v>24</v>
      </c>
      <c r="H2928" s="3" t="s">
        <v>4857</v>
      </c>
      <c r="I2928" t="s">
        <v>300</v>
      </c>
      <c r="J2928" s="3" t="s">
        <v>4853</v>
      </c>
      <c r="K2928" s="4">
        <v>758</v>
      </c>
      <c r="L2928" s="5">
        <v>0</v>
      </c>
      <c r="M2928" s="6">
        <v>0</v>
      </c>
      <c r="N2928" s="7">
        <v>1</v>
      </c>
      <c r="O2928" t="s">
        <v>23</v>
      </c>
      <c r="P2928" s="3" t="s">
        <v>23</v>
      </c>
      <c r="Q2928" s="8" t="s">
        <v>23</v>
      </c>
    </row>
    <row r="2929" spans="1:17" hidden="1" x14ac:dyDescent="0.55000000000000004">
      <c r="A2929" s="3" t="s">
        <v>4815</v>
      </c>
      <c r="B2929" s="3" t="s">
        <v>5041</v>
      </c>
      <c r="C2929" t="s">
        <v>4971</v>
      </c>
      <c r="D2929" s="3" t="s">
        <v>7314</v>
      </c>
      <c r="E2929" t="s">
        <v>5042</v>
      </c>
      <c r="F2929" s="3" t="s">
        <v>5043</v>
      </c>
      <c r="G2929" t="s">
        <v>24</v>
      </c>
      <c r="H2929" s="3" t="s">
        <v>4858</v>
      </c>
      <c r="I2929" t="s">
        <v>302</v>
      </c>
      <c r="J2929" s="3" t="s">
        <v>4853</v>
      </c>
      <c r="K2929" s="4">
        <v>903</v>
      </c>
      <c r="L2929" s="5">
        <v>0</v>
      </c>
      <c r="M2929" s="6">
        <v>0</v>
      </c>
      <c r="N2929" s="7">
        <v>1</v>
      </c>
      <c r="O2929" t="s">
        <v>23</v>
      </c>
      <c r="P2929" s="3" t="s">
        <v>23</v>
      </c>
      <c r="Q2929" s="8" t="s">
        <v>23</v>
      </c>
    </row>
    <row r="2930" spans="1:17" hidden="1" x14ac:dyDescent="0.55000000000000004">
      <c r="A2930" s="3" t="s">
        <v>4815</v>
      </c>
      <c r="B2930" s="3" t="s">
        <v>5041</v>
      </c>
      <c r="C2930" t="s">
        <v>4971</v>
      </c>
      <c r="D2930" s="3" t="s">
        <v>7314</v>
      </c>
      <c r="E2930" t="s">
        <v>5042</v>
      </c>
      <c r="F2930" s="3" t="s">
        <v>5043</v>
      </c>
      <c r="G2930" t="s">
        <v>24</v>
      </c>
      <c r="H2930" s="3" t="s">
        <v>5047</v>
      </c>
      <c r="I2930" t="s">
        <v>26</v>
      </c>
      <c r="J2930" s="3" t="s">
        <v>5048</v>
      </c>
      <c r="K2930" s="4">
        <v>802</v>
      </c>
      <c r="L2930" s="5">
        <v>36.44</v>
      </c>
      <c r="M2930" s="6">
        <v>1</v>
      </c>
      <c r="N2930" s="7">
        <v>1</v>
      </c>
      <c r="O2930" t="s">
        <v>5049</v>
      </c>
      <c r="P2930" s="3" t="s">
        <v>76</v>
      </c>
      <c r="Q2930" s="8">
        <v>0.192167</v>
      </c>
    </row>
    <row r="2931" spans="1:17" hidden="1" x14ac:dyDescent="0.55000000000000004">
      <c r="A2931" s="3" t="s">
        <v>4815</v>
      </c>
      <c r="B2931" s="3" t="s">
        <v>5041</v>
      </c>
      <c r="C2931" t="s">
        <v>4971</v>
      </c>
      <c r="D2931" s="3" t="s">
        <v>7314</v>
      </c>
      <c r="E2931" t="s">
        <v>5042</v>
      </c>
      <c r="F2931" s="3" t="s">
        <v>5043</v>
      </c>
      <c r="G2931" t="s">
        <v>24</v>
      </c>
      <c r="H2931" s="3" t="s">
        <v>5050</v>
      </c>
      <c r="I2931" t="s">
        <v>218</v>
      </c>
      <c r="J2931" s="3" t="s">
        <v>5048</v>
      </c>
      <c r="K2931" s="4">
        <v>1100</v>
      </c>
      <c r="L2931" s="5">
        <v>50</v>
      </c>
      <c r="M2931" s="6">
        <v>0</v>
      </c>
      <c r="N2931" s="7">
        <v>1</v>
      </c>
      <c r="O2931" t="s">
        <v>5051</v>
      </c>
      <c r="P2931" s="3" t="s">
        <v>23</v>
      </c>
      <c r="Q2931" s="8" t="s">
        <v>23</v>
      </c>
    </row>
    <row r="2932" spans="1:17" hidden="1" x14ac:dyDescent="0.55000000000000004">
      <c r="A2932" s="3" t="s">
        <v>4815</v>
      </c>
      <c r="B2932" s="3" t="s">
        <v>5041</v>
      </c>
      <c r="C2932" t="s">
        <v>4971</v>
      </c>
      <c r="D2932" s="3" t="s">
        <v>7314</v>
      </c>
      <c r="E2932" t="s">
        <v>5042</v>
      </c>
      <c r="F2932" s="3" t="s">
        <v>5043</v>
      </c>
      <c r="G2932" t="s">
        <v>24</v>
      </c>
      <c r="H2932" s="3" t="s">
        <v>4864</v>
      </c>
      <c r="I2932" t="s">
        <v>309</v>
      </c>
      <c r="J2932" s="3" t="s">
        <v>4865</v>
      </c>
      <c r="K2932" s="4">
        <v>734</v>
      </c>
      <c r="L2932" s="5">
        <v>0</v>
      </c>
      <c r="M2932" s="6">
        <v>0</v>
      </c>
      <c r="N2932" s="7">
        <v>1</v>
      </c>
      <c r="O2932" t="s">
        <v>23</v>
      </c>
      <c r="P2932" s="3" t="s">
        <v>23</v>
      </c>
      <c r="Q2932" s="8" t="s">
        <v>23</v>
      </c>
    </row>
    <row r="2933" spans="1:17" hidden="1" x14ac:dyDescent="0.55000000000000004">
      <c r="A2933" s="3" t="s">
        <v>4815</v>
      </c>
      <c r="B2933" s="3" t="s">
        <v>5041</v>
      </c>
      <c r="C2933" t="s">
        <v>4971</v>
      </c>
      <c r="D2933" s="3" t="s">
        <v>7314</v>
      </c>
      <c r="E2933" t="s">
        <v>5042</v>
      </c>
      <c r="F2933" s="3" t="s">
        <v>5043</v>
      </c>
      <c r="G2933" t="s">
        <v>24</v>
      </c>
      <c r="H2933" s="3" t="s">
        <v>4866</v>
      </c>
      <c r="I2933" t="s">
        <v>218</v>
      </c>
      <c r="J2933" s="3" t="s">
        <v>4865</v>
      </c>
      <c r="K2933" s="4">
        <v>845</v>
      </c>
      <c r="L2933" s="5">
        <v>0</v>
      </c>
      <c r="M2933" s="6">
        <v>0</v>
      </c>
      <c r="N2933" s="7">
        <v>1</v>
      </c>
      <c r="O2933" t="s">
        <v>23</v>
      </c>
      <c r="P2933" s="3" t="s">
        <v>23</v>
      </c>
      <c r="Q2933" s="8" t="s">
        <v>23</v>
      </c>
    </row>
    <row r="2934" spans="1:17" hidden="1" x14ac:dyDescent="0.55000000000000004">
      <c r="A2934" s="3" t="s">
        <v>4815</v>
      </c>
      <c r="B2934" s="3" t="s">
        <v>5041</v>
      </c>
      <c r="C2934" t="s">
        <v>4971</v>
      </c>
      <c r="D2934" s="3" t="s">
        <v>7314</v>
      </c>
      <c r="E2934" t="s">
        <v>5042</v>
      </c>
      <c r="F2934" s="3" t="s">
        <v>5043</v>
      </c>
      <c r="G2934" t="s">
        <v>24</v>
      </c>
      <c r="H2934" s="3" t="s">
        <v>4867</v>
      </c>
      <c r="I2934" t="s">
        <v>317</v>
      </c>
      <c r="J2934" s="3" t="s">
        <v>4865</v>
      </c>
      <c r="K2934" s="4">
        <v>738</v>
      </c>
      <c r="L2934" s="5">
        <v>0</v>
      </c>
      <c r="M2934" s="6">
        <v>0</v>
      </c>
      <c r="N2934" s="7">
        <v>1</v>
      </c>
      <c r="O2934" t="s">
        <v>23</v>
      </c>
      <c r="P2934" s="3" t="s">
        <v>23</v>
      </c>
      <c r="Q2934" s="8" t="s">
        <v>23</v>
      </c>
    </row>
    <row r="2935" spans="1:17" hidden="1" x14ac:dyDescent="0.55000000000000004">
      <c r="A2935" s="3" t="s">
        <v>4815</v>
      </c>
      <c r="B2935" s="3" t="s">
        <v>5041</v>
      </c>
      <c r="C2935" t="s">
        <v>4971</v>
      </c>
      <c r="D2935" s="3" t="s">
        <v>7314</v>
      </c>
      <c r="E2935" t="s">
        <v>5042</v>
      </c>
      <c r="F2935" s="3" t="s">
        <v>5043</v>
      </c>
      <c r="G2935" t="s">
        <v>24</v>
      </c>
      <c r="H2935" s="3" t="s">
        <v>4868</v>
      </c>
      <c r="I2935" t="s">
        <v>313</v>
      </c>
      <c r="J2935" s="3" t="s">
        <v>4865</v>
      </c>
      <c r="K2935" s="4">
        <v>912</v>
      </c>
      <c r="L2935" s="5">
        <v>0</v>
      </c>
      <c r="M2935" s="6">
        <v>0</v>
      </c>
      <c r="N2935" s="7">
        <v>1</v>
      </c>
      <c r="O2935" t="s">
        <v>23</v>
      </c>
      <c r="P2935" s="3" t="s">
        <v>23</v>
      </c>
      <c r="Q2935" s="8" t="s">
        <v>23</v>
      </c>
    </row>
    <row r="2936" spans="1:17" hidden="1" x14ac:dyDescent="0.55000000000000004">
      <c r="A2936" s="3" t="s">
        <v>4815</v>
      </c>
      <c r="B2936" s="3" t="s">
        <v>5041</v>
      </c>
      <c r="C2936" t="s">
        <v>4971</v>
      </c>
      <c r="D2936" s="3" t="s">
        <v>7314</v>
      </c>
      <c r="E2936" t="s">
        <v>5042</v>
      </c>
      <c r="F2936" s="3" t="s">
        <v>5043</v>
      </c>
      <c r="G2936" t="s">
        <v>24</v>
      </c>
      <c r="H2936" s="3" t="s">
        <v>4869</v>
      </c>
      <c r="I2936" t="s">
        <v>315</v>
      </c>
      <c r="J2936" s="3" t="s">
        <v>4865</v>
      </c>
      <c r="K2936" s="4">
        <v>598</v>
      </c>
      <c r="L2936" s="5">
        <v>0</v>
      </c>
      <c r="M2936" s="6">
        <v>0</v>
      </c>
      <c r="N2936" s="7">
        <v>1</v>
      </c>
      <c r="O2936" t="s">
        <v>23</v>
      </c>
      <c r="P2936" s="3" t="s">
        <v>23</v>
      </c>
      <c r="Q2936" s="8" t="s">
        <v>23</v>
      </c>
    </row>
    <row r="2937" spans="1:17" hidden="1" x14ac:dyDescent="0.55000000000000004">
      <c r="A2937" s="3" t="s">
        <v>4815</v>
      </c>
      <c r="B2937" s="3" t="s">
        <v>5041</v>
      </c>
      <c r="C2937" t="s">
        <v>4971</v>
      </c>
      <c r="D2937" s="3" t="s">
        <v>7314</v>
      </c>
      <c r="E2937" t="s">
        <v>5052</v>
      </c>
      <c r="F2937" s="3" t="s">
        <v>5053</v>
      </c>
      <c r="G2937" t="s">
        <v>19</v>
      </c>
      <c r="H2937" s="3" t="s">
        <v>5044</v>
      </c>
      <c r="I2937" t="s">
        <v>4929</v>
      </c>
      <c r="J2937" s="3" t="s">
        <v>5045</v>
      </c>
      <c r="K2937" s="4">
        <v>274</v>
      </c>
      <c r="L2937" s="5">
        <v>59.63</v>
      </c>
      <c r="M2937" s="6">
        <v>1</v>
      </c>
      <c r="N2937" s="7">
        <v>0</v>
      </c>
      <c r="O2937" t="s">
        <v>5046</v>
      </c>
      <c r="P2937" s="3" t="s">
        <v>1610</v>
      </c>
      <c r="Q2937" s="8">
        <v>5.5856999999999997E-2</v>
      </c>
    </row>
    <row r="2938" spans="1:17" hidden="1" x14ac:dyDescent="0.55000000000000004">
      <c r="A2938" s="3" t="s">
        <v>4815</v>
      </c>
      <c r="B2938" s="3" t="s">
        <v>5041</v>
      </c>
      <c r="C2938" t="s">
        <v>4971</v>
      </c>
      <c r="D2938" s="3" t="s">
        <v>7314</v>
      </c>
      <c r="E2938" t="s">
        <v>5052</v>
      </c>
      <c r="F2938" s="3" t="s">
        <v>5053</v>
      </c>
      <c r="G2938" t="s">
        <v>24</v>
      </c>
      <c r="H2938" s="3" t="s">
        <v>4852</v>
      </c>
      <c r="I2938" t="s">
        <v>52</v>
      </c>
      <c r="J2938" s="3" t="s">
        <v>4853</v>
      </c>
      <c r="K2938" s="4">
        <v>606</v>
      </c>
      <c r="L2938" s="5">
        <v>0</v>
      </c>
      <c r="M2938" s="6">
        <v>0</v>
      </c>
      <c r="N2938" s="7">
        <v>0</v>
      </c>
      <c r="O2938" t="s">
        <v>23</v>
      </c>
      <c r="P2938" s="3" t="s">
        <v>23</v>
      </c>
      <c r="Q2938" s="8" t="s">
        <v>23</v>
      </c>
    </row>
    <row r="2939" spans="1:17" hidden="1" x14ac:dyDescent="0.55000000000000004">
      <c r="A2939" s="3" t="s">
        <v>4815</v>
      </c>
      <c r="B2939" s="3" t="s">
        <v>5041</v>
      </c>
      <c r="C2939" t="s">
        <v>4971</v>
      </c>
      <c r="D2939" s="3" t="s">
        <v>7314</v>
      </c>
      <c r="E2939" t="s">
        <v>5052</v>
      </c>
      <c r="F2939" s="3" t="s">
        <v>5053</v>
      </c>
      <c r="G2939" t="s">
        <v>24</v>
      </c>
      <c r="H2939" s="3" t="s">
        <v>4854</v>
      </c>
      <c r="I2939" t="s">
        <v>296</v>
      </c>
      <c r="J2939" s="3" t="s">
        <v>4853</v>
      </c>
      <c r="K2939" s="4">
        <v>555</v>
      </c>
      <c r="L2939" s="5">
        <v>0</v>
      </c>
      <c r="M2939" s="6">
        <v>0</v>
      </c>
      <c r="N2939" s="7">
        <v>0</v>
      </c>
      <c r="O2939" t="s">
        <v>23</v>
      </c>
      <c r="P2939" s="3" t="s">
        <v>23</v>
      </c>
      <c r="Q2939" s="8" t="s">
        <v>23</v>
      </c>
    </row>
    <row r="2940" spans="1:17" hidden="1" x14ac:dyDescent="0.55000000000000004">
      <c r="A2940" s="3" t="s">
        <v>4815</v>
      </c>
      <c r="B2940" s="3" t="s">
        <v>5041</v>
      </c>
      <c r="C2940" t="s">
        <v>4971</v>
      </c>
      <c r="D2940" s="3" t="s">
        <v>7314</v>
      </c>
      <c r="E2940" t="s">
        <v>5052</v>
      </c>
      <c r="F2940" s="3" t="s">
        <v>5053</v>
      </c>
      <c r="G2940" t="s">
        <v>24</v>
      </c>
      <c r="H2940" s="3" t="s">
        <v>4855</v>
      </c>
      <c r="I2940" t="s">
        <v>304</v>
      </c>
      <c r="J2940" s="3" t="s">
        <v>4853</v>
      </c>
      <c r="K2940" s="4">
        <v>847</v>
      </c>
      <c r="L2940" s="5">
        <v>0</v>
      </c>
      <c r="M2940" s="6">
        <v>0</v>
      </c>
      <c r="N2940" s="7">
        <v>0</v>
      </c>
      <c r="O2940" t="s">
        <v>23</v>
      </c>
      <c r="P2940" s="3" t="s">
        <v>23</v>
      </c>
      <c r="Q2940" s="8" t="s">
        <v>23</v>
      </c>
    </row>
    <row r="2941" spans="1:17" hidden="1" x14ac:dyDescent="0.55000000000000004">
      <c r="A2941" s="3" t="s">
        <v>4815</v>
      </c>
      <c r="B2941" s="3" t="s">
        <v>5041</v>
      </c>
      <c r="C2941" t="s">
        <v>4971</v>
      </c>
      <c r="D2941" s="3" t="s">
        <v>7314</v>
      </c>
      <c r="E2941" t="s">
        <v>5052</v>
      </c>
      <c r="F2941" s="3" t="s">
        <v>5053</v>
      </c>
      <c r="G2941" t="s">
        <v>24</v>
      </c>
      <c r="H2941" s="3" t="s">
        <v>4856</v>
      </c>
      <c r="I2941" t="s">
        <v>298</v>
      </c>
      <c r="J2941" s="3" t="s">
        <v>4853</v>
      </c>
      <c r="K2941" s="4">
        <v>732</v>
      </c>
      <c r="L2941" s="5">
        <v>0</v>
      </c>
      <c r="M2941" s="6">
        <v>0</v>
      </c>
      <c r="N2941" s="7">
        <v>0</v>
      </c>
      <c r="O2941" t="s">
        <v>23</v>
      </c>
      <c r="P2941" s="3" t="s">
        <v>23</v>
      </c>
      <c r="Q2941" s="8" t="s">
        <v>23</v>
      </c>
    </row>
    <row r="2942" spans="1:17" hidden="1" x14ac:dyDescent="0.55000000000000004">
      <c r="A2942" s="3" t="s">
        <v>4815</v>
      </c>
      <c r="B2942" s="3" t="s">
        <v>5041</v>
      </c>
      <c r="C2942" t="s">
        <v>4971</v>
      </c>
      <c r="D2942" s="3" t="s">
        <v>7314</v>
      </c>
      <c r="E2942" t="s">
        <v>5052</v>
      </c>
      <c r="F2942" s="3" t="s">
        <v>5053</v>
      </c>
      <c r="G2942" t="s">
        <v>24</v>
      </c>
      <c r="H2942" s="3" t="s">
        <v>4857</v>
      </c>
      <c r="I2942" t="s">
        <v>300</v>
      </c>
      <c r="J2942" s="3" t="s">
        <v>4853</v>
      </c>
      <c r="K2942" s="4">
        <v>758</v>
      </c>
      <c r="L2942" s="5">
        <v>0</v>
      </c>
      <c r="M2942" s="6">
        <v>0</v>
      </c>
      <c r="N2942" s="7">
        <v>0</v>
      </c>
      <c r="O2942" t="s">
        <v>23</v>
      </c>
      <c r="P2942" s="3" t="s">
        <v>23</v>
      </c>
      <c r="Q2942" s="8" t="s">
        <v>23</v>
      </c>
    </row>
    <row r="2943" spans="1:17" hidden="1" x14ac:dyDescent="0.55000000000000004">
      <c r="A2943" s="3" t="s">
        <v>4815</v>
      </c>
      <c r="B2943" s="3" t="s">
        <v>5041</v>
      </c>
      <c r="C2943" t="s">
        <v>4971</v>
      </c>
      <c r="D2943" s="3" t="s">
        <v>7314</v>
      </c>
      <c r="E2943" t="s">
        <v>5052</v>
      </c>
      <c r="F2943" s="3" t="s">
        <v>5053</v>
      </c>
      <c r="G2943" t="s">
        <v>24</v>
      </c>
      <c r="H2943" s="3" t="s">
        <v>4858</v>
      </c>
      <c r="I2943" t="s">
        <v>302</v>
      </c>
      <c r="J2943" s="3" t="s">
        <v>4853</v>
      </c>
      <c r="K2943" s="4">
        <v>903</v>
      </c>
      <c r="L2943" s="5">
        <v>0</v>
      </c>
      <c r="M2943" s="6">
        <v>0</v>
      </c>
      <c r="N2943" s="7">
        <v>0</v>
      </c>
      <c r="O2943" t="s">
        <v>23</v>
      </c>
      <c r="P2943" s="3" t="s">
        <v>23</v>
      </c>
      <c r="Q2943" s="8" t="s">
        <v>23</v>
      </c>
    </row>
    <row r="2944" spans="1:17" hidden="1" x14ac:dyDescent="0.55000000000000004">
      <c r="A2944" s="3" t="s">
        <v>4815</v>
      </c>
      <c r="B2944" s="3" t="s">
        <v>5041</v>
      </c>
      <c r="C2944" t="s">
        <v>4971</v>
      </c>
      <c r="D2944" s="3" t="s">
        <v>7314</v>
      </c>
      <c r="E2944" t="s">
        <v>5052</v>
      </c>
      <c r="F2944" s="3" t="s">
        <v>5053</v>
      </c>
      <c r="G2944" t="s">
        <v>24</v>
      </c>
      <c r="H2944" s="3" t="s">
        <v>5047</v>
      </c>
      <c r="I2944" t="s">
        <v>26</v>
      </c>
      <c r="J2944" s="3" t="s">
        <v>5048</v>
      </c>
      <c r="K2944" s="4">
        <v>802</v>
      </c>
      <c r="L2944" s="5">
        <v>36.44</v>
      </c>
      <c r="M2944" s="6">
        <v>1</v>
      </c>
      <c r="N2944" s="7">
        <v>0</v>
      </c>
      <c r="O2944" t="s">
        <v>5049</v>
      </c>
      <c r="P2944" s="3" t="s">
        <v>76</v>
      </c>
      <c r="Q2944" s="8">
        <v>0.192167</v>
      </c>
    </row>
    <row r="2945" spans="1:17" hidden="1" x14ac:dyDescent="0.55000000000000004">
      <c r="A2945" s="3" t="s">
        <v>4815</v>
      </c>
      <c r="B2945" s="3" t="s">
        <v>5041</v>
      </c>
      <c r="C2945" t="s">
        <v>4971</v>
      </c>
      <c r="D2945" s="3" t="s">
        <v>7314</v>
      </c>
      <c r="E2945" t="s">
        <v>5052</v>
      </c>
      <c r="F2945" s="3" t="s">
        <v>5053</v>
      </c>
      <c r="G2945" t="s">
        <v>24</v>
      </c>
      <c r="H2945" s="3" t="s">
        <v>5050</v>
      </c>
      <c r="I2945" t="s">
        <v>218</v>
      </c>
      <c r="J2945" s="3" t="s">
        <v>5048</v>
      </c>
      <c r="K2945" s="4">
        <v>1100</v>
      </c>
      <c r="L2945" s="5">
        <v>50</v>
      </c>
      <c r="M2945" s="6">
        <v>0</v>
      </c>
      <c r="N2945" s="7">
        <v>0</v>
      </c>
      <c r="O2945" t="s">
        <v>5051</v>
      </c>
      <c r="P2945" s="3" t="s">
        <v>23</v>
      </c>
      <c r="Q2945" s="8" t="s">
        <v>23</v>
      </c>
    </row>
    <row r="2946" spans="1:17" hidden="1" x14ac:dyDescent="0.55000000000000004">
      <c r="A2946" s="3" t="s">
        <v>4815</v>
      </c>
      <c r="B2946" s="3" t="s">
        <v>5041</v>
      </c>
      <c r="C2946" t="s">
        <v>4971</v>
      </c>
      <c r="D2946" s="3" t="s">
        <v>7314</v>
      </c>
      <c r="E2946" t="s">
        <v>5052</v>
      </c>
      <c r="F2946" s="3" t="s">
        <v>5053</v>
      </c>
      <c r="G2946" t="s">
        <v>24</v>
      </c>
      <c r="H2946" s="3" t="s">
        <v>4864</v>
      </c>
      <c r="I2946" t="s">
        <v>309</v>
      </c>
      <c r="J2946" s="3" t="s">
        <v>4865</v>
      </c>
      <c r="K2946" s="4">
        <v>734</v>
      </c>
      <c r="L2946" s="5">
        <v>0</v>
      </c>
      <c r="M2946" s="6">
        <v>0</v>
      </c>
      <c r="N2946" s="7">
        <v>0</v>
      </c>
      <c r="O2946" t="s">
        <v>23</v>
      </c>
      <c r="P2946" s="3" t="s">
        <v>23</v>
      </c>
      <c r="Q2946" s="8" t="s">
        <v>23</v>
      </c>
    </row>
    <row r="2947" spans="1:17" hidden="1" x14ac:dyDescent="0.55000000000000004">
      <c r="A2947" s="3" t="s">
        <v>4815</v>
      </c>
      <c r="B2947" s="3" t="s">
        <v>5041</v>
      </c>
      <c r="C2947" t="s">
        <v>4971</v>
      </c>
      <c r="D2947" s="3" t="s">
        <v>7314</v>
      </c>
      <c r="E2947" t="s">
        <v>5052</v>
      </c>
      <c r="F2947" s="3" t="s">
        <v>5053</v>
      </c>
      <c r="G2947" t="s">
        <v>24</v>
      </c>
      <c r="H2947" s="3" t="s">
        <v>4866</v>
      </c>
      <c r="I2947" t="s">
        <v>218</v>
      </c>
      <c r="J2947" s="3" t="s">
        <v>4865</v>
      </c>
      <c r="K2947" s="4">
        <v>845</v>
      </c>
      <c r="L2947" s="5">
        <v>0</v>
      </c>
      <c r="M2947" s="6">
        <v>0</v>
      </c>
      <c r="N2947" s="7">
        <v>0</v>
      </c>
      <c r="O2947" t="s">
        <v>23</v>
      </c>
      <c r="P2947" s="3" t="s">
        <v>23</v>
      </c>
      <c r="Q2947" s="8" t="s">
        <v>23</v>
      </c>
    </row>
    <row r="2948" spans="1:17" hidden="1" x14ac:dyDescent="0.55000000000000004">
      <c r="A2948" s="3" t="s">
        <v>4815</v>
      </c>
      <c r="B2948" s="3" t="s">
        <v>5041</v>
      </c>
      <c r="C2948" t="s">
        <v>4971</v>
      </c>
      <c r="D2948" s="3" t="s">
        <v>7314</v>
      </c>
      <c r="E2948" t="s">
        <v>5052</v>
      </c>
      <c r="F2948" s="3" t="s">
        <v>5053</v>
      </c>
      <c r="G2948" t="s">
        <v>24</v>
      </c>
      <c r="H2948" s="3" t="s">
        <v>4867</v>
      </c>
      <c r="I2948" t="s">
        <v>317</v>
      </c>
      <c r="J2948" s="3" t="s">
        <v>4865</v>
      </c>
      <c r="K2948" s="4">
        <v>738</v>
      </c>
      <c r="L2948" s="5">
        <v>0</v>
      </c>
      <c r="M2948" s="6">
        <v>0</v>
      </c>
      <c r="N2948" s="7">
        <v>0</v>
      </c>
      <c r="O2948" t="s">
        <v>23</v>
      </c>
      <c r="P2948" s="3" t="s">
        <v>23</v>
      </c>
      <c r="Q2948" s="8" t="s">
        <v>23</v>
      </c>
    </row>
    <row r="2949" spans="1:17" hidden="1" x14ac:dyDescent="0.55000000000000004">
      <c r="A2949" s="3" t="s">
        <v>4815</v>
      </c>
      <c r="B2949" s="3" t="s">
        <v>5041</v>
      </c>
      <c r="C2949" t="s">
        <v>4971</v>
      </c>
      <c r="D2949" s="3" t="s">
        <v>7314</v>
      </c>
      <c r="E2949" t="s">
        <v>5052</v>
      </c>
      <c r="F2949" s="3" t="s">
        <v>5053</v>
      </c>
      <c r="G2949" t="s">
        <v>24</v>
      </c>
      <c r="H2949" s="3" t="s">
        <v>4868</v>
      </c>
      <c r="I2949" t="s">
        <v>313</v>
      </c>
      <c r="J2949" s="3" t="s">
        <v>4865</v>
      </c>
      <c r="K2949" s="4">
        <v>912</v>
      </c>
      <c r="L2949" s="5">
        <v>0</v>
      </c>
      <c r="M2949" s="6">
        <v>0</v>
      </c>
      <c r="N2949" s="7">
        <v>0</v>
      </c>
      <c r="O2949" t="s">
        <v>23</v>
      </c>
      <c r="P2949" s="3" t="s">
        <v>23</v>
      </c>
      <c r="Q2949" s="8" t="s">
        <v>23</v>
      </c>
    </row>
    <row r="2950" spans="1:17" hidden="1" x14ac:dyDescent="0.55000000000000004">
      <c r="A2950" s="3" t="s">
        <v>4815</v>
      </c>
      <c r="B2950" s="3" t="s">
        <v>5041</v>
      </c>
      <c r="C2950" t="s">
        <v>4971</v>
      </c>
      <c r="D2950" s="3" t="s">
        <v>7314</v>
      </c>
      <c r="E2950" t="s">
        <v>5052</v>
      </c>
      <c r="F2950" s="3" t="s">
        <v>5053</v>
      </c>
      <c r="G2950" t="s">
        <v>24</v>
      </c>
      <c r="H2950" s="3" t="s">
        <v>4869</v>
      </c>
      <c r="I2950" t="s">
        <v>315</v>
      </c>
      <c r="J2950" s="3" t="s">
        <v>4865</v>
      </c>
      <c r="K2950" s="4">
        <v>598</v>
      </c>
      <c r="L2950" s="5">
        <v>0</v>
      </c>
      <c r="M2950" s="6">
        <v>0</v>
      </c>
      <c r="N2950" s="7">
        <v>0</v>
      </c>
      <c r="O2950" t="s">
        <v>23</v>
      </c>
      <c r="P2950" s="3" t="s">
        <v>23</v>
      </c>
      <c r="Q2950" s="8" t="s">
        <v>23</v>
      </c>
    </row>
    <row r="2951" spans="1:17" hidden="1" x14ac:dyDescent="0.55000000000000004">
      <c r="A2951" s="3" t="s">
        <v>4815</v>
      </c>
      <c r="B2951" s="3" t="s">
        <v>5054</v>
      </c>
      <c r="C2951" t="s">
        <v>4971</v>
      </c>
      <c r="D2951" s="3" t="s">
        <v>7314</v>
      </c>
      <c r="E2951" t="s">
        <v>5055</v>
      </c>
      <c r="F2951" s="3" t="s">
        <v>5056</v>
      </c>
      <c r="G2951" t="s">
        <v>19</v>
      </c>
      <c r="H2951" s="3" t="s">
        <v>5057</v>
      </c>
      <c r="I2951" t="s">
        <v>4929</v>
      </c>
      <c r="J2951" s="3" t="s">
        <v>5058</v>
      </c>
      <c r="K2951" s="4">
        <v>288</v>
      </c>
      <c r="L2951" s="5">
        <v>62.52</v>
      </c>
      <c r="M2951" s="6">
        <v>1</v>
      </c>
      <c r="N2951" s="7">
        <v>0</v>
      </c>
      <c r="O2951" t="s">
        <v>5059</v>
      </c>
      <c r="P2951" s="3" t="s">
        <v>1610</v>
      </c>
      <c r="Q2951" s="8">
        <v>5.6356999999999997E-2</v>
      </c>
    </row>
    <row r="2952" spans="1:17" hidden="1" x14ac:dyDescent="0.55000000000000004">
      <c r="A2952" s="3" t="s">
        <v>4815</v>
      </c>
      <c r="B2952" s="3" t="s">
        <v>5054</v>
      </c>
      <c r="C2952" t="s">
        <v>4971</v>
      </c>
      <c r="D2952" s="3" t="s">
        <v>7314</v>
      </c>
      <c r="E2952" t="s">
        <v>5055</v>
      </c>
      <c r="F2952" s="3" t="s">
        <v>5056</v>
      </c>
      <c r="G2952" t="s">
        <v>24</v>
      </c>
      <c r="H2952" s="3" t="s">
        <v>4852</v>
      </c>
      <c r="I2952" t="s">
        <v>52</v>
      </c>
      <c r="J2952" s="3" t="s">
        <v>4853</v>
      </c>
      <c r="K2952" s="4">
        <v>606</v>
      </c>
      <c r="L2952" s="5">
        <v>0</v>
      </c>
      <c r="M2952" s="6">
        <v>0</v>
      </c>
      <c r="N2952" s="7">
        <v>0</v>
      </c>
      <c r="O2952" t="s">
        <v>23</v>
      </c>
      <c r="P2952" s="3" t="s">
        <v>23</v>
      </c>
      <c r="Q2952" s="8" t="s">
        <v>23</v>
      </c>
    </row>
    <row r="2953" spans="1:17" hidden="1" x14ac:dyDescent="0.55000000000000004">
      <c r="A2953" s="3" t="s">
        <v>4815</v>
      </c>
      <c r="B2953" s="3" t="s">
        <v>5054</v>
      </c>
      <c r="C2953" t="s">
        <v>4971</v>
      </c>
      <c r="D2953" s="3" t="s">
        <v>7314</v>
      </c>
      <c r="E2953" t="s">
        <v>5055</v>
      </c>
      <c r="F2953" s="3" t="s">
        <v>5056</v>
      </c>
      <c r="G2953" t="s">
        <v>24</v>
      </c>
      <c r="H2953" s="3" t="s">
        <v>4854</v>
      </c>
      <c r="I2953" t="s">
        <v>296</v>
      </c>
      <c r="J2953" s="3" t="s">
        <v>4853</v>
      </c>
      <c r="K2953" s="4">
        <v>555</v>
      </c>
      <c r="L2953" s="5">
        <v>0</v>
      </c>
      <c r="M2953" s="6">
        <v>0</v>
      </c>
      <c r="N2953" s="7">
        <v>0</v>
      </c>
      <c r="O2953" t="s">
        <v>23</v>
      </c>
      <c r="P2953" s="3" t="s">
        <v>23</v>
      </c>
      <c r="Q2953" s="8" t="s">
        <v>23</v>
      </c>
    </row>
    <row r="2954" spans="1:17" hidden="1" x14ac:dyDescent="0.55000000000000004">
      <c r="A2954" s="3" t="s">
        <v>4815</v>
      </c>
      <c r="B2954" s="3" t="s">
        <v>5054</v>
      </c>
      <c r="C2954" t="s">
        <v>4971</v>
      </c>
      <c r="D2954" s="3" t="s">
        <v>7314</v>
      </c>
      <c r="E2954" t="s">
        <v>5055</v>
      </c>
      <c r="F2954" s="3" t="s">
        <v>5056</v>
      </c>
      <c r="G2954" t="s">
        <v>24</v>
      </c>
      <c r="H2954" s="3" t="s">
        <v>4855</v>
      </c>
      <c r="I2954" t="s">
        <v>304</v>
      </c>
      <c r="J2954" s="3" t="s">
        <v>4853</v>
      </c>
      <c r="K2954" s="4">
        <v>847</v>
      </c>
      <c r="L2954" s="5">
        <v>0</v>
      </c>
      <c r="M2954" s="6">
        <v>0</v>
      </c>
      <c r="N2954" s="7">
        <v>0</v>
      </c>
      <c r="O2954" t="s">
        <v>23</v>
      </c>
      <c r="P2954" s="3" t="s">
        <v>23</v>
      </c>
      <c r="Q2954" s="8" t="s">
        <v>23</v>
      </c>
    </row>
    <row r="2955" spans="1:17" hidden="1" x14ac:dyDescent="0.55000000000000004">
      <c r="A2955" s="3" t="s">
        <v>4815</v>
      </c>
      <c r="B2955" s="3" t="s">
        <v>5054</v>
      </c>
      <c r="C2955" t="s">
        <v>4971</v>
      </c>
      <c r="D2955" s="3" t="s">
        <v>7314</v>
      </c>
      <c r="E2955" t="s">
        <v>5055</v>
      </c>
      <c r="F2955" s="3" t="s">
        <v>5056</v>
      </c>
      <c r="G2955" t="s">
        <v>24</v>
      </c>
      <c r="H2955" s="3" t="s">
        <v>4856</v>
      </c>
      <c r="I2955" t="s">
        <v>298</v>
      </c>
      <c r="J2955" s="3" t="s">
        <v>4853</v>
      </c>
      <c r="K2955" s="4">
        <v>732</v>
      </c>
      <c r="L2955" s="5">
        <v>0</v>
      </c>
      <c r="M2955" s="6">
        <v>0</v>
      </c>
      <c r="N2955" s="7">
        <v>0</v>
      </c>
      <c r="O2955" t="s">
        <v>23</v>
      </c>
      <c r="P2955" s="3" t="s">
        <v>23</v>
      </c>
      <c r="Q2955" s="8" t="s">
        <v>23</v>
      </c>
    </row>
    <row r="2956" spans="1:17" hidden="1" x14ac:dyDescent="0.55000000000000004">
      <c r="A2956" s="3" t="s">
        <v>4815</v>
      </c>
      <c r="B2956" s="3" t="s">
        <v>5054</v>
      </c>
      <c r="C2956" t="s">
        <v>4971</v>
      </c>
      <c r="D2956" s="3" t="s">
        <v>7314</v>
      </c>
      <c r="E2956" t="s">
        <v>5055</v>
      </c>
      <c r="F2956" s="3" t="s">
        <v>5056</v>
      </c>
      <c r="G2956" t="s">
        <v>24</v>
      </c>
      <c r="H2956" s="3" t="s">
        <v>4857</v>
      </c>
      <c r="I2956" t="s">
        <v>300</v>
      </c>
      <c r="J2956" s="3" t="s">
        <v>4853</v>
      </c>
      <c r="K2956" s="4">
        <v>758</v>
      </c>
      <c r="L2956" s="5">
        <v>0</v>
      </c>
      <c r="M2956" s="6">
        <v>0</v>
      </c>
      <c r="N2956" s="7">
        <v>0</v>
      </c>
      <c r="O2956" t="s">
        <v>23</v>
      </c>
      <c r="P2956" s="3" t="s">
        <v>23</v>
      </c>
      <c r="Q2956" s="8" t="s">
        <v>23</v>
      </c>
    </row>
    <row r="2957" spans="1:17" hidden="1" x14ac:dyDescent="0.55000000000000004">
      <c r="A2957" s="3" t="s">
        <v>4815</v>
      </c>
      <c r="B2957" s="3" t="s">
        <v>5054</v>
      </c>
      <c r="C2957" t="s">
        <v>4971</v>
      </c>
      <c r="D2957" s="3" t="s">
        <v>7314</v>
      </c>
      <c r="E2957" t="s">
        <v>5055</v>
      </c>
      <c r="F2957" s="3" t="s">
        <v>5056</v>
      </c>
      <c r="G2957" t="s">
        <v>24</v>
      </c>
      <c r="H2957" s="3" t="s">
        <v>4858</v>
      </c>
      <c r="I2957" t="s">
        <v>302</v>
      </c>
      <c r="J2957" s="3" t="s">
        <v>4853</v>
      </c>
      <c r="K2957" s="4">
        <v>903</v>
      </c>
      <c r="L2957" s="5">
        <v>0</v>
      </c>
      <c r="M2957" s="6">
        <v>0</v>
      </c>
      <c r="N2957" s="7">
        <v>0</v>
      </c>
      <c r="O2957" t="s">
        <v>23</v>
      </c>
      <c r="P2957" s="3" t="s">
        <v>23</v>
      </c>
      <c r="Q2957" s="8" t="s">
        <v>23</v>
      </c>
    </row>
    <row r="2958" spans="1:17" hidden="1" x14ac:dyDescent="0.55000000000000004">
      <c r="A2958" s="3" t="s">
        <v>4815</v>
      </c>
      <c r="B2958" s="3" t="s">
        <v>5054</v>
      </c>
      <c r="C2958" t="s">
        <v>4971</v>
      </c>
      <c r="D2958" s="3" t="s">
        <v>7314</v>
      </c>
      <c r="E2958" t="s">
        <v>5055</v>
      </c>
      <c r="F2958" s="3" t="s">
        <v>5056</v>
      </c>
      <c r="G2958" t="s">
        <v>24</v>
      </c>
      <c r="H2958" s="3" t="s">
        <v>5060</v>
      </c>
      <c r="I2958" t="s">
        <v>26</v>
      </c>
      <c r="J2958" s="3" t="s">
        <v>5061</v>
      </c>
      <c r="K2958" s="4">
        <v>716</v>
      </c>
      <c r="L2958" s="5">
        <v>32.549999999999997</v>
      </c>
      <c r="M2958" s="6">
        <v>1</v>
      </c>
      <c r="N2958" s="7">
        <v>0</v>
      </c>
      <c r="O2958" t="s">
        <v>5062</v>
      </c>
      <c r="P2958" s="3" t="s">
        <v>76</v>
      </c>
      <c r="Q2958" s="8">
        <v>0.192167</v>
      </c>
    </row>
    <row r="2959" spans="1:17" hidden="1" x14ac:dyDescent="0.55000000000000004">
      <c r="A2959" s="3" t="s">
        <v>4815</v>
      </c>
      <c r="B2959" s="3" t="s">
        <v>5054</v>
      </c>
      <c r="C2959" t="s">
        <v>4971</v>
      </c>
      <c r="D2959" s="3" t="s">
        <v>7314</v>
      </c>
      <c r="E2959" t="s">
        <v>5055</v>
      </c>
      <c r="F2959" s="3" t="s">
        <v>5056</v>
      </c>
      <c r="G2959" t="s">
        <v>24</v>
      </c>
      <c r="H2959" s="3" t="s">
        <v>5063</v>
      </c>
      <c r="I2959" t="s">
        <v>218</v>
      </c>
      <c r="J2959" s="3" t="s">
        <v>5061</v>
      </c>
      <c r="K2959" s="4">
        <v>1111</v>
      </c>
      <c r="L2959" s="5">
        <v>50.48</v>
      </c>
      <c r="M2959" s="6">
        <v>0</v>
      </c>
      <c r="N2959" s="7">
        <v>0</v>
      </c>
      <c r="O2959" t="s">
        <v>5064</v>
      </c>
      <c r="P2959" s="3" t="s">
        <v>23</v>
      </c>
      <c r="Q2959" s="8" t="s">
        <v>23</v>
      </c>
    </row>
    <row r="2960" spans="1:17" hidden="1" x14ac:dyDescent="0.55000000000000004">
      <c r="A2960" s="3" t="s">
        <v>4815</v>
      </c>
      <c r="B2960" s="3" t="s">
        <v>5054</v>
      </c>
      <c r="C2960" t="s">
        <v>4971</v>
      </c>
      <c r="D2960" s="3" t="s">
        <v>7314</v>
      </c>
      <c r="E2960" t="s">
        <v>5055</v>
      </c>
      <c r="F2960" s="3" t="s">
        <v>5056</v>
      </c>
      <c r="G2960" t="s">
        <v>24</v>
      </c>
      <c r="H2960" s="3" t="s">
        <v>4864</v>
      </c>
      <c r="I2960" t="s">
        <v>309</v>
      </c>
      <c r="J2960" s="3" t="s">
        <v>4865</v>
      </c>
      <c r="K2960" s="4">
        <v>734</v>
      </c>
      <c r="L2960" s="5">
        <v>0</v>
      </c>
      <c r="M2960" s="6">
        <v>0</v>
      </c>
      <c r="N2960" s="7">
        <v>0</v>
      </c>
      <c r="O2960" t="s">
        <v>23</v>
      </c>
      <c r="P2960" s="3" t="s">
        <v>23</v>
      </c>
      <c r="Q2960" s="8" t="s">
        <v>23</v>
      </c>
    </row>
    <row r="2961" spans="1:17" hidden="1" x14ac:dyDescent="0.55000000000000004">
      <c r="A2961" s="3" t="s">
        <v>4815</v>
      </c>
      <c r="B2961" s="3" t="s">
        <v>5054</v>
      </c>
      <c r="C2961" t="s">
        <v>4971</v>
      </c>
      <c r="D2961" s="3" t="s">
        <v>7314</v>
      </c>
      <c r="E2961" t="s">
        <v>5055</v>
      </c>
      <c r="F2961" s="3" t="s">
        <v>5056</v>
      </c>
      <c r="G2961" t="s">
        <v>24</v>
      </c>
      <c r="H2961" s="3" t="s">
        <v>4866</v>
      </c>
      <c r="I2961" t="s">
        <v>218</v>
      </c>
      <c r="J2961" s="3" t="s">
        <v>4865</v>
      </c>
      <c r="K2961" s="4">
        <v>845</v>
      </c>
      <c r="L2961" s="5">
        <v>0</v>
      </c>
      <c r="M2961" s="6">
        <v>0</v>
      </c>
      <c r="N2961" s="7">
        <v>0</v>
      </c>
      <c r="O2961" t="s">
        <v>23</v>
      </c>
      <c r="P2961" s="3" t="s">
        <v>23</v>
      </c>
      <c r="Q2961" s="8" t="s">
        <v>23</v>
      </c>
    </row>
    <row r="2962" spans="1:17" hidden="1" x14ac:dyDescent="0.55000000000000004">
      <c r="A2962" s="3" t="s">
        <v>4815</v>
      </c>
      <c r="B2962" s="3" t="s">
        <v>5054</v>
      </c>
      <c r="C2962" t="s">
        <v>4971</v>
      </c>
      <c r="D2962" s="3" t="s">
        <v>7314</v>
      </c>
      <c r="E2962" t="s">
        <v>5055</v>
      </c>
      <c r="F2962" s="3" t="s">
        <v>5056</v>
      </c>
      <c r="G2962" t="s">
        <v>24</v>
      </c>
      <c r="H2962" s="3" t="s">
        <v>4867</v>
      </c>
      <c r="I2962" t="s">
        <v>317</v>
      </c>
      <c r="J2962" s="3" t="s">
        <v>4865</v>
      </c>
      <c r="K2962" s="4">
        <v>738</v>
      </c>
      <c r="L2962" s="5">
        <v>0</v>
      </c>
      <c r="M2962" s="6">
        <v>0</v>
      </c>
      <c r="N2962" s="7">
        <v>0</v>
      </c>
      <c r="O2962" t="s">
        <v>23</v>
      </c>
      <c r="P2962" s="3" t="s">
        <v>23</v>
      </c>
      <c r="Q2962" s="8" t="s">
        <v>23</v>
      </c>
    </row>
    <row r="2963" spans="1:17" hidden="1" x14ac:dyDescent="0.55000000000000004">
      <c r="A2963" s="3" t="s">
        <v>4815</v>
      </c>
      <c r="B2963" s="3" t="s">
        <v>5054</v>
      </c>
      <c r="C2963" t="s">
        <v>4971</v>
      </c>
      <c r="D2963" s="3" t="s">
        <v>7314</v>
      </c>
      <c r="E2963" t="s">
        <v>5055</v>
      </c>
      <c r="F2963" s="3" t="s">
        <v>5056</v>
      </c>
      <c r="G2963" t="s">
        <v>24</v>
      </c>
      <c r="H2963" s="3" t="s">
        <v>4868</v>
      </c>
      <c r="I2963" t="s">
        <v>313</v>
      </c>
      <c r="J2963" s="3" t="s">
        <v>4865</v>
      </c>
      <c r="K2963" s="4">
        <v>912</v>
      </c>
      <c r="L2963" s="5">
        <v>0</v>
      </c>
      <c r="M2963" s="6">
        <v>0</v>
      </c>
      <c r="N2963" s="7">
        <v>0</v>
      </c>
      <c r="O2963" t="s">
        <v>23</v>
      </c>
      <c r="P2963" s="3" t="s">
        <v>23</v>
      </c>
      <c r="Q2963" s="8" t="s">
        <v>23</v>
      </c>
    </row>
    <row r="2964" spans="1:17" hidden="1" x14ac:dyDescent="0.55000000000000004">
      <c r="A2964" s="3" t="s">
        <v>4815</v>
      </c>
      <c r="B2964" s="3" t="s">
        <v>5054</v>
      </c>
      <c r="C2964" t="s">
        <v>4971</v>
      </c>
      <c r="D2964" s="3" t="s">
        <v>7314</v>
      </c>
      <c r="E2964" t="s">
        <v>5055</v>
      </c>
      <c r="F2964" s="3" t="s">
        <v>5056</v>
      </c>
      <c r="G2964" t="s">
        <v>24</v>
      </c>
      <c r="H2964" s="3" t="s">
        <v>4869</v>
      </c>
      <c r="I2964" t="s">
        <v>315</v>
      </c>
      <c r="J2964" s="3" t="s">
        <v>4865</v>
      </c>
      <c r="K2964" s="4">
        <v>598</v>
      </c>
      <c r="L2964" s="5">
        <v>0</v>
      </c>
      <c r="M2964" s="6">
        <v>0</v>
      </c>
      <c r="N2964" s="7">
        <v>0</v>
      </c>
      <c r="O2964" t="s">
        <v>23</v>
      </c>
      <c r="P2964" s="3" t="s">
        <v>23</v>
      </c>
      <c r="Q2964" s="8" t="s">
        <v>23</v>
      </c>
    </row>
    <row r="2965" spans="1:17" hidden="1" x14ac:dyDescent="0.55000000000000004">
      <c r="A2965" s="3" t="s">
        <v>4815</v>
      </c>
      <c r="B2965" s="3" t="s">
        <v>5054</v>
      </c>
      <c r="C2965" t="s">
        <v>4971</v>
      </c>
      <c r="D2965" s="3" t="s">
        <v>7314</v>
      </c>
      <c r="E2965" t="s">
        <v>5065</v>
      </c>
      <c r="F2965" s="3" t="s">
        <v>5066</v>
      </c>
      <c r="G2965" t="s">
        <v>19</v>
      </c>
      <c r="H2965" s="3" t="s">
        <v>5067</v>
      </c>
      <c r="I2965" t="s">
        <v>4929</v>
      </c>
      <c r="J2965" s="3" t="s">
        <v>5068</v>
      </c>
      <c r="K2965" s="4">
        <v>303</v>
      </c>
      <c r="L2965" s="5">
        <v>65.78</v>
      </c>
      <c r="M2965" s="6">
        <v>1</v>
      </c>
      <c r="N2965" s="7">
        <v>0</v>
      </c>
      <c r="O2965" t="s">
        <v>5069</v>
      </c>
      <c r="P2965" s="3" t="s">
        <v>1610</v>
      </c>
      <c r="Q2965" s="8">
        <v>5.6356999999999997E-2</v>
      </c>
    </row>
    <row r="2966" spans="1:17" hidden="1" x14ac:dyDescent="0.55000000000000004">
      <c r="A2966" s="3" t="s">
        <v>4815</v>
      </c>
      <c r="B2966" s="3" t="s">
        <v>5054</v>
      </c>
      <c r="C2966" t="s">
        <v>4971</v>
      </c>
      <c r="D2966" s="3" t="s">
        <v>7314</v>
      </c>
      <c r="E2966" t="s">
        <v>5065</v>
      </c>
      <c r="F2966" s="3" t="s">
        <v>5066</v>
      </c>
      <c r="G2966" t="s">
        <v>24</v>
      </c>
      <c r="H2966" s="3" t="s">
        <v>4852</v>
      </c>
      <c r="I2966" t="s">
        <v>52</v>
      </c>
      <c r="J2966" s="3" t="s">
        <v>4853</v>
      </c>
      <c r="K2966" s="4">
        <v>606</v>
      </c>
      <c r="L2966" s="5">
        <v>0</v>
      </c>
      <c r="M2966" s="6">
        <v>0</v>
      </c>
      <c r="N2966" s="7">
        <v>0</v>
      </c>
      <c r="O2966" t="s">
        <v>23</v>
      </c>
      <c r="P2966" s="3" t="s">
        <v>23</v>
      </c>
      <c r="Q2966" s="8" t="s">
        <v>23</v>
      </c>
    </row>
    <row r="2967" spans="1:17" hidden="1" x14ac:dyDescent="0.55000000000000004">
      <c r="A2967" s="3" t="s">
        <v>4815</v>
      </c>
      <c r="B2967" s="3" t="s">
        <v>5054</v>
      </c>
      <c r="C2967" t="s">
        <v>4971</v>
      </c>
      <c r="D2967" s="3" t="s">
        <v>7314</v>
      </c>
      <c r="E2967" t="s">
        <v>5065</v>
      </c>
      <c r="F2967" s="3" t="s">
        <v>5066</v>
      </c>
      <c r="G2967" t="s">
        <v>24</v>
      </c>
      <c r="H2967" s="3" t="s">
        <v>4854</v>
      </c>
      <c r="I2967" t="s">
        <v>296</v>
      </c>
      <c r="J2967" s="3" t="s">
        <v>4853</v>
      </c>
      <c r="K2967" s="4">
        <v>555</v>
      </c>
      <c r="L2967" s="5">
        <v>0</v>
      </c>
      <c r="M2967" s="6">
        <v>0</v>
      </c>
      <c r="N2967" s="7">
        <v>0</v>
      </c>
      <c r="O2967" t="s">
        <v>23</v>
      </c>
      <c r="P2967" s="3" t="s">
        <v>23</v>
      </c>
      <c r="Q2967" s="8" t="s">
        <v>23</v>
      </c>
    </row>
    <row r="2968" spans="1:17" hidden="1" x14ac:dyDescent="0.55000000000000004">
      <c r="A2968" s="3" t="s">
        <v>4815</v>
      </c>
      <c r="B2968" s="3" t="s">
        <v>5054</v>
      </c>
      <c r="C2968" t="s">
        <v>4971</v>
      </c>
      <c r="D2968" s="3" t="s">
        <v>7314</v>
      </c>
      <c r="E2968" t="s">
        <v>5065</v>
      </c>
      <c r="F2968" s="3" t="s">
        <v>5066</v>
      </c>
      <c r="G2968" t="s">
        <v>24</v>
      </c>
      <c r="H2968" s="3" t="s">
        <v>4855</v>
      </c>
      <c r="I2968" t="s">
        <v>304</v>
      </c>
      <c r="J2968" s="3" t="s">
        <v>4853</v>
      </c>
      <c r="K2968" s="4">
        <v>847</v>
      </c>
      <c r="L2968" s="5">
        <v>0</v>
      </c>
      <c r="M2968" s="6">
        <v>0</v>
      </c>
      <c r="N2968" s="7">
        <v>0</v>
      </c>
      <c r="O2968" t="s">
        <v>23</v>
      </c>
      <c r="P2968" s="3" t="s">
        <v>23</v>
      </c>
      <c r="Q2968" s="8" t="s">
        <v>23</v>
      </c>
    </row>
    <row r="2969" spans="1:17" hidden="1" x14ac:dyDescent="0.55000000000000004">
      <c r="A2969" s="3" t="s">
        <v>4815</v>
      </c>
      <c r="B2969" s="3" t="s">
        <v>5054</v>
      </c>
      <c r="C2969" t="s">
        <v>4971</v>
      </c>
      <c r="D2969" s="3" t="s">
        <v>7314</v>
      </c>
      <c r="E2969" t="s">
        <v>5065</v>
      </c>
      <c r="F2969" s="3" t="s">
        <v>5066</v>
      </c>
      <c r="G2969" t="s">
        <v>24</v>
      </c>
      <c r="H2969" s="3" t="s">
        <v>4856</v>
      </c>
      <c r="I2969" t="s">
        <v>298</v>
      </c>
      <c r="J2969" s="3" t="s">
        <v>4853</v>
      </c>
      <c r="K2969" s="4">
        <v>732</v>
      </c>
      <c r="L2969" s="5">
        <v>0</v>
      </c>
      <c r="M2969" s="6">
        <v>0</v>
      </c>
      <c r="N2969" s="7">
        <v>0</v>
      </c>
      <c r="O2969" t="s">
        <v>23</v>
      </c>
      <c r="P2969" s="3" t="s">
        <v>23</v>
      </c>
      <c r="Q2969" s="8" t="s">
        <v>23</v>
      </c>
    </row>
    <row r="2970" spans="1:17" hidden="1" x14ac:dyDescent="0.55000000000000004">
      <c r="A2970" s="3" t="s">
        <v>4815</v>
      </c>
      <c r="B2970" s="3" t="s">
        <v>5054</v>
      </c>
      <c r="C2970" t="s">
        <v>4971</v>
      </c>
      <c r="D2970" s="3" t="s">
        <v>7314</v>
      </c>
      <c r="E2970" t="s">
        <v>5065</v>
      </c>
      <c r="F2970" s="3" t="s">
        <v>5066</v>
      </c>
      <c r="G2970" t="s">
        <v>24</v>
      </c>
      <c r="H2970" s="3" t="s">
        <v>4857</v>
      </c>
      <c r="I2970" t="s">
        <v>300</v>
      </c>
      <c r="J2970" s="3" t="s">
        <v>4853</v>
      </c>
      <c r="K2970" s="4">
        <v>758</v>
      </c>
      <c r="L2970" s="5">
        <v>0</v>
      </c>
      <c r="M2970" s="6">
        <v>0</v>
      </c>
      <c r="N2970" s="7">
        <v>0</v>
      </c>
      <c r="O2970" t="s">
        <v>23</v>
      </c>
      <c r="P2970" s="3" t="s">
        <v>23</v>
      </c>
      <c r="Q2970" s="8" t="s">
        <v>23</v>
      </c>
    </row>
    <row r="2971" spans="1:17" hidden="1" x14ac:dyDescent="0.55000000000000004">
      <c r="A2971" s="3" t="s">
        <v>4815</v>
      </c>
      <c r="B2971" s="3" t="s">
        <v>5054</v>
      </c>
      <c r="C2971" t="s">
        <v>4971</v>
      </c>
      <c r="D2971" s="3" t="s">
        <v>7314</v>
      </c>
      <c r="E2971" t="s">
        <v>5065</v>
      </c>
      <c r="F2971" s="3" t="s">
        <v>5066</v>
      </c>
      <c r="G2971" t="s">
        <v>24</v>
      </c>
      <c r="H2971" s="3" t="s">
        <v>4858</v>
      </c>
      <c r="I2971" t="s">
        <v>302</v>
      </c>
      <c r="J2971" s="3" t="s">
        <v>4853</v>
      </c>
      <c r="K2971" s="4">
        <v>903</v>
      </c>
      <c r="L2971" s="5">
        <v>0</v>
      </c>
      <c r="M2971" s="6">
        <v>0</v>
      </c>
      <c r="N2971" s="7">
        <v>0</v>
      </c>
      <c r="O2971" t="s">
        <v>23</v>
      </c>
      <c r="P2971" s="3" t="s">
        <v>23</v>
      </c>
      <c r="Q2971" s="8" t="s">
        <v>23</v>
      </c>
    </row>
    <row r="2972" spans="1:17" hidden="1" x14ac:dyDescent="0.55000000000000004">
      <c r="A2972" s="3" t="s">
        <v>4815</v>
      </c>
      <c r="B2972" s="3" t="s">
        <v>5054</v>
      </c>
      <c r="C2972" t="s">
        <v>4971</v>
      </c>
      <c r="D2972" s="3" t="s">
        <v>7314</v>
      </c>
      <c r="E2972" t="s">
        <v>5065</v>
      </c>
      <c r="F2972" s="3" t="s">
        <v>5066</v>
      </c>
      <c r="G2972" t="s">
        <v>24</v>
      </c>
      <c r="H2972" s="3" t="s">
        <v>5060</v>
      </c>
      <c r="I2972" t="s">
        <v>26</v>
      </c>
      <c r="J2972" s="3" t="s">
        <v>5061</v>
      </c>
      <c r="K2972" s="4">
        <v>716</v>
      </c>
      <c r="L2972" s="5">
        <v>32.549999999999997</v>
      </c>
      <c r="M2972" s="6">
        <v>1</v>
      </c>
      <c r="N2972" s="7">
        <v>0</v>
      </c>
      <c r="O2972" t="s">
        <v>5062</v>
      </c>
      <c r="P2972" s="3" t="s">
        <v>76</v>
      </c>
      <c r="Q2972" s="8">
        <v>0.192167</v>
      </c>
    </row>
    <row r="2973" spans="1:17" hidden="1" x14ac:dyDescent="0.55000000000000004">
      <c r="A2973" s="3" t="s">
        <v>4815</v>
      </c>
      <c r="B2973" s="3" t="s">
        <v>5054</v>
      </c>
      <c r="C2973" t="s">
        <v>4971</v>
      </c>
      <c r="D2973" s="3" t="s">
        <v>7314</v>
      </c>
      <c r="E2973" t="s">
        <v>5065</v>
      </c>
      <c r="F2973" s="3" t="s">
        <v>5066</v>
      </c>
      <c r="G2973" t="s">
        <v>24</v>
      </c>
      <c r="H2973" s="3" t="s">
        <v>5063</v>
      </c>
      <c r="I2973" t="s">
        <v>218</v>
      </c>
      <c r="J2973" s="3" t="s">
        <v>5061</v>
      </c>
      <c r="K2973" s="4">
        <v>1111</v>
      </c>
      <c r="L2973" s="5">
        <v>50.48</v>
      </c>
      <c r="M2973" s="6">
        <v>0</v>
      </c>
      <c r="N2973" s="7">
        <v>0</v>
      </c>
      <c r="O2973" t="s">
        <v>5064</v>
      </c>
      <c r="P2973" s="3" t="s">
        <v>23</v>
      </c>
      <c r="Q2973" s="8" t="s">
        <v>23</v>
      </c>
    </row>
    <row r="2974" spans="1:17" hidden="1" x14ac:dyDescent="0.55000000000000004">
      <c r="A2974" s="3" t="s">
        <v>4815</v>
      </c>
      <c r="B2974" s="3" t="s">
        <v>5054</v>
      </c>
      <c r="C2974" t="s">
        <v>4971</v>
      </c>
      <c r="D2974" s="3" t="s">
        <v>7314</v>
      </c>
      <c r="E2974" t="s">
        <v>5065</v>
      </c>
      <c r="F2974" s="3" t="s">
        <v>5066</v>
      </c>
      <c r="G2974" t="s">
        <v>24</v>
      </c>
      <c r="H2974" s="3" t="s">
        <v>4864</v>
      </c>
      <c r="I2974" t="s">
        <v>309</v>
      </c>
      <c r="J2974" s="3" t="s">
        <v>4865</v>
      </c>
      <c r="K2974" s="4">
        <v>734</v>
      </c>
      <c r="L2974" s="5">
        <v>0</v>
      </c>
      <c r="M2974" s="6">
        <v>0</v>
      </c>
      <c r="N2974" s="7">
        <v>0</v>
      </c>
      <c r="O2974" t="s">
        <v>23</v>
      </c>
      <c r="P2974" s="3" t="s">
        <v>23</v>
      </c>
      <c r="Q2974" s="8" t="s">
        <v>23</v>
      </c>
    </row>
    <row r="2975" spans="1:17" hidden="1" x14ac:dyDescent="0.55000000000000004">
      <c r="A2975" s="3" t="s">
        <v>4815</v>
      </c>
      <c r="B2975" s="3" t="s">
        <v>5054</v>
      </c>
      <c r="C2975" t="s">
        <v>4971</v>
      </c>
      <c r="D2975" s="3" t="s">
        <v>7314</v>
      </c>
      <c r="E2975" t="s">
        <v>5065</v>
      </c>
      <c r="F2975" s="3" t="s">
        <v>5066</v>
      </c>
      <c r="G2975" t="s">
        <v>24</v>
      </c>
      <c r="H2975" s="3" t="s">
        <v>4866</v>
      </c>
      <c r="I2975" t="s">
        <v>218</v>
      </c>
      <c r="J2975" s="3" t="s">
        <v>4865</v>
      </c>
      <c r="K2975" s="4">
        <v>845</v>
      </c>
      <c r="L2975" s="5">
        <v>0</v>
      </c>
      <c r="M2975" s="6">
        <v>0</v>
      </c>
      <c r="N2975" s="7">
        <v>0</v>
      </c>
      <c r="O2975" t="s">
        <v>23</v>
      </c>
      <c r="P2975" s="3" t="s">
        <v>23</v>
      </c>
      <c r="Q2975" s="8" t="s">
        <v>23</v>
      </c>
    </row>
    <row r="2976" spans="1:17" hidden="1" x14ac:dyDescent="0.55000000000000004">
      <c r="A2976" s="3" t="s">
        <v>4815</v>
      </c>
      <c r="B2976" s="3" t="s">
        <v>5054</v>
      </c>
      <c r="C2976" t="s">
        <v>4971</v>
      </c>
      <c r="D2976" s="3" t="s">
        <v>7314</v>
      </c>
      <c r="E2976" t="s">
        <v>5065</v>
      </c>
      <c r="F2976" s="3" t="s">
        <v>5066</v>
      </c>
      <c r="G2976" t="s">
        <v>24</v>
      </c>
      <c r="H2976" s="3" t="s">
        <v>4867</v>
      </c>
      <c r="I2976" t="s">
        <v>317</v>
      </c>
      <c r="J2976" s="3" t="s">
        <v>4865</v>
      </c>
      <c r="K2976" s="4">
        <v>738</v>
      </c>
      <c r="L2976" s="5">
        <v>0</v>
      </c>
      <c r="M2976" s="6">
        <v>0</v>
      </c>
      <c r="N2976" s="7">
        <v>0</v>
      </c>
      <c r="O2976" t="s">
        <v>23</v>
      </c>
      <c r="P2976" s="3" t="s">
        <v>23</v>
      </c>
      <c r="Q2976" s="8" t="s">
        <v>23</v>
      </c>
    </row>
    <row r="2977" spans="1:17" hidden="1" x14ac:dyDescent="0.55000000000000004">
      <c r="A2977" s="3" t="s">
        <v>4815</v>
      </c>
      <c r="B2977" s="3" t="s">
        <v>5054</v>
      </c>
      <c r="C2977" t="s">
        <v>4971</v>
      </c>
      <c r="D2977" s="3" t="s">
        <v>7314</v>
      </c>
      <c r="E2977" t="s">
        <v>5065</v>
      </c>
      <c r="F2977" s="3" t="s">
        <v>5066</v>
      </c>
      <c r="G2977" t="s">
        <v>24</v>
      </c>
      <c r="H2977" s="3" t="s">
        <v>4868</v>
      </c>
      <c r="I2977" t="s">
        <v>313</v>
      </c>
      <c r="J2977" s="3" t="s">
        <v>4865</v>
      </c>
      <c r="K2977" s="4">
        <v>912</v>
      </c>
      <c r="L2977" s="5">
        <v>0</v>
      </c>
      <c r="M2977" s="6">
        <v>0</v>
      </c>
      <c r="N2977" s="7">
        <v>0</v>
      </c>
      <c r="O2977" t="s">
        <v>23</v>
      </c>
      <c r="P2977" s="3" t="s">
        <v>23</v>
      </c>
      <c r="Q2977" s="8" t="s">
        <v>23</v>
      </c>
    </row>
    <row r="2978" spans="1:17" hidden="1" x14ac:dyDescent="0.55000000000000004">
      <c r="A2978" s="3" t="s">
        <v>4815</v>
      </c>
      <c r="B2978" s="3" t="s">
        <v>5054</v>
      </c>
      <c r="C2978" t="s">
        <v>4971</v>
      </c>
      <c r="D2978" s="3" t="s">
        <v>7314</v>
      </c>
      <c r="E2978" t="s">
        <v>5065</v>
      </c>
      <c r="F2978" s="3" t="s">
        <v>5066</v>
      </c>
      <c r="G2978" t="s">
        <v>24</v>
      </c>
      <c r="H2978" s="3" t="s">
        <v>4869</v>
      </c>
      <c r="I2978" t="s">
        <v>315</v>
      </c>
      <c r="J2978" s="3" t="s">
        <v>4865</v>
      </c>
      <c r="K2978" s="4">
        <v>598</v>
      </c>
      <c r="L2978" s="5">
        <v>0</v>
      </c>
      <c r="M2978" s="6">
        <v>0</v>
      </c>
      <c r="N2978" s="7">
        <v>0</v>
      </c>
      <c r="O2978" t="s">
        <v>23</v>
      </c>
      <c r="P2978" s="3" t="s">
        <v>23</v>
      </c>
      <c r="Q2978" s="8" t="s">
        <v>23</v>
      </c>
    </row>
    <row r="2979" spans="1:17" hidden="1" x14ac:dyDescent="0.55000000000000004">
      <c r="A2979" s="3" t="s">
        <v>4815</v>
      </c>
      <c r="B2979" s="3" t="s">
        <v>5054</v>
      </c>
      <c r="C2979" t="s">
        <v>4971</v>
      </c>
      <c r="D2979" s="3" t="s">
        <v>7314</v>
      </c>
      <c r="E2979" t="s">
        <v>5070</v>
      </c>
      <c r="F2979" s="3" t="s">
        <v>5071</v>
      </c>
      <c r="G2979" t="s">
        <v>19</v>
      </c>
      <c r="H2979" s="3" t="s">
        <v>5072</v>
      </c>
      <c r="I2979" t="s">
        <v>4929</v>
      </c>
      <c r="J2979" s="3" t="s">
        <v>5073</v>
      </c>
      <c r="K2979" s="4">
        <v>300</v>
      </c>
      <c r="L2979" s="5">
        <v>65.11</v>
      </c>
      <c r="M2979" s="6">
        <v>1</v>
      </c>
      <c r="N2979" s="7">
        <v>1</v>
      </c>
      <c r="O2979" t="s">
        <v>5074</v>
      </c>
      <c r="P2979" s="3" t="s">
        <v>1610</v>
      </c>
      <c r="Q2979" s="8">
        <v>5.6356999999999997E-2</v>
      </c>
    </row>
    <row r="2980" spans="1:17" hidden="1" x14ac:dyDescent="0.55000000000000004">
      <c r="A2980" s="3" t="s">
        <v>4815</v>
      </c>
      <c r="B2980" s="3" t="s">
        <v>5054</v>
      </c>
      <c r="C2980" t="s">
        <v>4971</v>
      </c>
      <c r="D2980" s="3" t="s">
        <v>7314</v>
      </c>
      <c r="E2980" t="s">
        <v>5070</v>
      </c>
      <c r="F2980" s="3" t="s">
        <v>5071</v>
      </c>
      <c r="G2980" t="s">
        <v>24</v>
      </c>
      <c r="H2980" s="3" t="s">
        <v>4852</v>
      </c>
      <c r="I2980" t="s">
        <v>52</v>
      </c>
      <c r="J2980" s="3" t="s">
        <v>4853</v>
      </c>
      <c r="K2980" s="4">
        <v>606</v>
      </c>
      <c r="L2980" s="5">
        <v>0</v>
      </c>
      <c r="M2980" s="6">
        <v>0</v>
      </c>
      <c r="N2980" s="7">
        <v>1</v>
      </c>
      <c r="O2980" t="s">
        <v>23</v>
      </c>
      <c r="P2980" s="3" t="s">
        <v>23</v>
      </c>
      <c r="Q2980" s="8" t="s">
        <v>23</v>
      </c>
    </row>
    <row r="2981" spans="1:17" hidden="1" x14ac:dyDescent="0.55000000000000004">
      <c r="A2981" s="3" t="s">
        <v>4815</v>
      </c>
      <c r="B2981" s="3" t="s">
        <v>5054</v>
      </c>
      <c r="C2981" t="s">
        <v>4971</v>
      </c>
      <c r="D2981" s="3" t="s">
        <v>7314</v>
      </c>
      <c r="E2981" t="s">
        <v>5070</v>
      </c>
      <c r="F2981" s="3" t="s">
        <v>5071</v>
      </c>
      <c r="G2981" t="s">
        <v>24</v>
      </c>
      <c r="H2981" s="3" t="s">
        <v>4854</v>
      </c>
      <c r="I2981" t="s">
        <v>296</v>
      </c>
      <c r="J2981" s="3" t="s">
        <v>4853</v>
      </c>
      <c r="K2981" s="4">
        <v>555</v>
      </c>
      <c r="L2981" s="5">
        <v>0</v>
      </c>
      <c r="M2981" s="6">
        <v>0</v>
      </c>
      <c r="N2981" s="7">
        <v>1</v>
      </c>
      <c r="O2981" t="s">
        <v>23</v>
      </c>
      <c r="P2981" s="3" t="s">
        <v>23</v>
      </c>
      <c r="Q2981" s="8" t="s">
        <v>23</v>
      </c>
    </row>
    <row r="2982" spans="1:17" hidden="1" x14ac:dyDescent="0.55000000000000004">
      <c r="A2982" s="3" t="s">
        <v>4815</v>
      </c>
      <c r="B2982" s="3" t="s">
        <v>5054</v>
      </c>
      <c r="C2982" t="s">
        <v>4971</v>
      </c>
      <c r="D2982" s="3" t="s">
        <v>7314</v>
      </c>
      <c r="E2982" t="s">
        <v>5070</v>
      </c>
      <c r="F2982" s="3" t="s">
        <v>5071</v>
      </c>
      <c r="G2982" t="s">
        <v>24</v>
      </c>
      <c r="H2982" s="3" t="s">
        <v>4855</v>
      </c>
      <c r="I2982" t="s">
        <v>304</v>
      </c>
      <c r="J2982" s="3" t="s">
        <v>4853</v>
      </c>
      <c r="K2982" s="4">
        <v>847</v>
      </c>
      <c r="L2982" s="5">
        <v>0</v>
      </c>
      <c r="M2982" s="6">
        <v>0</v>
      </c>
      <c r="N2982" s="7">
        <v>1</v>
      </c>
      <c r="O2982" t="s">
        <v>23</v>
      </c>
      <c r="P2982" s="3" t="s">
        <v>23</v>
      </c>
      <c r="Q2982" s="8" t="s">
        <v>23</v>
      </c>
    </row>
    <row r="2983" spans="1:17" hidden="1" x14ac:dyDescent="0.55000000000000004">
      <c r="A2983" s="3" t="s">
        <v>4815</v>
      </c>
      <c r="B2983" s="3" t="s">
        <v>5054</v>
      </c>
      <c r="C2983" t="s">
        <v>4971</v>
      </c>
      <c r="D2983" s="3" t="s">
        <v>7314</v>
      </c>
      <c r="E2983" t="s">
        <v>5070</v>
      </c>
      <c r="F2983" s="3" t="s">
        <v>5071</v>
      </c>
      <c r="G2983" t="s">
        <v>24</v>
      </c>
      <c r="H2983" s="3" t="s">
        <v>4856</v>
      </c>
      <c r="I2983" t="s">
        <v>298</v>
      </c>
      <c r="J2983" s="3" t="s">
        <v>4853</v>
      </c>
      <c r="K2983" s="4">
        <v>732</v>
      </c>
      <c r="L2983" s="5">
        <v>0</v>
      </c>
      <c r="M2983" s="6">
        <v>0</v>
      </c>
      <c r="N2983" s="7">
        <v>1</v>
      </c>
      <c r="O2983" t="s">
        <v>23</v>
      </c>
      <c r="P2983" s="3" t="s">
        <v>23</v>
      </c>
      <c r="Q2983" s="8" t="s">
        <v>23</v>
      </c>
    </row>
    <row r="2984" spans="1:17" hidden="1" x14ac:dyDescent="0.55000000000000004">
      <c r="A2984" s="3" t="s">
        <v>4815</v>
      </c>
      <c r="B2984" s="3" t="s">
        <v>5054</v>
      </c>
      <c r="C2984" t="s">
        <v>4971</v>
      </c>
      <c r="D2984" s="3" t="s">
        <v>7314</v>
      </c>
      <c r="E2984" t="s">
        <v>5070</v>
      </c>
      <c r="F2984" s="3" t="s">
        <v>5071</v>
      </c>
      <c r="G2984" t="s">
        <v>24</v>
      </c>
      <c r="H2984" s="3" t="s">
        <v>4857</v>
      </c>
      <c r="I2984" t="s">
        <v>300</v>
      </c>
      <c r="J2984" s="3" t="s">
        <v>4853</v>
      </c>
      <c r="K2984" s="4">
        <v>758</v>
      </c>
      <c r="L2984" s="5">
        <v>0</v>
      </c>
      <c r="M2984" s="6">
        <v>0</v>
      </c>
      <c r="N2984" s="7">
        <v>1</v>
      </c>
      <c r="O2984" t="s">
        <v>23</v>
      </c>
      <c r="P2984" s="3" t="s">
        <v>23</v>
      </c>
      <c r="Q2984" s="8" t="s">
        <v>23</v>
      </c>
    </row>
    <row r="2985" spans="1:17" hidden="1" x14ac:dyDescent="0.55000000000000004">
      <c r="A2985" s="3" t="s">
        <v>4815</v>
      </c>
      <c r="B2985" s="3" t="s">
        <v>5054</v>
      </c>
      <c r="C2985" t="s">
        <v>4971</v>
      </c>
      <c r="D2985" s="3" t="s">
        <v>7314</v>
      </c>
      <c r="E2985" t="s">
        <v>5070</v>
      </c>
      <c r="F2985" s="3" t="s">
        <v>5071</v>
      </c>
      <c r="G2985" t="s">
        <v>24</v>
      </c>
      <c r="H2985" s="3" t="s">
        <v>4858</v>
      </c>
      <c r="I2985" t="s">
        <v>302</v>
      </c>
      <c r="J2985" s="3" t="s">
        <v>4853</v>
      </c>
      <c r="K2985" s="4">
        <v>903</v>
      </c>
      <c r="L2985" s="5">
        <v>0</v>
      </c>
      <c r="M2985" s="6">
        <v>0</v>
      </c>
      <c r="N2985" s="7">
        <v>1</v>
      </c>
      <c r="O2985" t="s">
        <v>23</v>
      </c>
      <c r="P2985" s="3" t="s">
        <v>23</v>
      </c>
      <c r="Q2985" s="8" t="s">
        <v>23</v>
      </c>
    </row>
    <row r="2986" spans="1:17" hidden="1" x14ac:dyDescent="0.55000000000000004">
      <c r="A2986" s="3" t="s">
        <v>4815</v>
      </c>
      <c r="B2986" s="3" t="s">
        <v>5054</v>
      </c>
      <c r="C2986" t="s">
        <v>4971</v>
      </c>
      <c r="D2986" s="3" t="s">
        <v>7314</v>
      </c>
      <c r="E2986" t="s">
        <v>5070</v>
      </c>
      <c r="F2986" s="3" t="s">
        <v>5071</v>
      </c>
      <c r="G2986" t="s">
        <v>24</v>
      </c>
      <c r="H2986" s="3" t="s">
        <v>5060</v>
      </c>
      <c r="I2986" t="s">
        <v>26</v>
      </c>
      <c r="J2986" s="3" t="s">
        <v>5061</v>
      </c>
      <c r="K2986" s="4">
        <v>716</v>
      </c>
      <c r="L2986" s="5">
        <v>32.549999999999997</v>
      </c>
      <c r="M2986" s="6">
        <v>1</v>
      </c>
      <c r="N2986" s="7">
        <v>1</v>
      </c>
      <c r="O2986" t="s">
        <v>5062</v>
      </c>
      <c r="P2986" s="3" t="s">
        <v>76</v>
      </c>
      <c r="Q2986" s="8">
        <v>0.192167</v>
      </c>
    </row>
    <row r="2987" spans="1:17" hidden="1" x14ac:dyDescent="0.55000000000000004">
      <c r="A2987" s="3" t="s">
        <v>4815</v>
      </c>
      <c r="B2987" s="3" t="s">
        <v>5054</v>
      </c>
      <c r="C2987" t="s">
        <v>4971</v>
      </c>
      <c r="D2987" s="3" t="s">
        <v>7314</v>
      </c>
      <c r="E2987" t="s">
        <v>5070</v>
      </c>
      <c r="F2987" s="3" t="s">
        <v>5071</v>
      </c>
      <c r="G2987" t="s">
        <v>24</v>
      </c>
      <c r="H2987" s="3" t="s">
        <v>5063</v>
      </c>
      <c r="I2987" t="s">
        <v>218</v>
      </c>
      <c r="J2987" s="3" t="s">
        <v>5061</v>
      </c>
      <c r="K2987" s="4">
        <v>1111</v>
      </c>
      <c r="L2987" s="5">
        <v>50.48</v>
      </c>
      <c r="M2987" s="6">
        <v>0</v>
      </c>
      <c r="N2987" s="7">
        <v>1</v>
      </c>
      <c r="O2987" t="s">
        <v>5064</v>
      </c>
      <c r="P2987" s="3" t="s">
        <v>23</v>
      </c>
      <c r="Q2987" s="8" t="s">
        <v>23</v>
      </c>
    </row>
    <row r="2988" spans="1:17" hidden="1" x14ac:dyDescent="0.55000000000000004">
      <c r="A2988" s="3" t="s">
        <v>4815</v>
      </c>
      <c r="B2988" s="3" t="s">
        <v>5054</v>
      </c>
      <c r="C2988" t="s">
        <v>4971</v>
      </c>
      <c r="D2988" s="3" t="s">
        <v>7314</v>
      </c>
      <c r="E2988" t="s">
        <v>5070</v>
      </c>
      <c r="F2988" s="3" t="s">
        <v>5071</v>
      </c>
      <c r="G2988" t="s">
        <v>24</v>
      </c>
      <c r="H2988" s="3" t="s">
        <v>4864</v>
      </c>
      <c r="I2988" t="s">
        <v>309</v>
      </c>
      <c r="J2988" s="3" t="s">
        <v>4865</v>
      </c>
      <c r="K2988" s="4">
        <v>734</v>
      </c>
      <c r="L2988" s="5">
        <v>0</v>
      </c>
      <c r="M2988" s="6">
        <v>0</v>
      </c>
      <c r="N2988" s="7">
        <v>1</v>
      </c>
      <c r="O2988" t="s">
        <v>23</v>
      </c>
      <c r="P2988" s="3" t="s">
        <v>23</v>
      </c>
      <c r="Q2988" s="8" t="s">
        <v>23</v>
      </c>
    </row>
    <row r="2989" spans="1:17" hidden="1" x14ac:dyDescent="0.55000000000000004">
      <c r="A2989" s="3" t="s">
        <v>4815</v>
      </c>
      <c r="B2989" s="3" t="s">
        <v>5054</v>
      </c>
      <c r="C2989" t="s">
        <v>4971</v>
      </c>
      <c r="D2989" s="3" t="s">
        <v>7314</v>
      </c>
      <c r="E2989" t="s">
        <v>5070</v>
      </c>
      <c r="F2989" s="3" t="s">
        <v>5071</v>
      </c>
      <c r="G2989" t="s">
        <v>24</v>
      </c>
      <c r="H2989" s="3" t="s">
        <v>4866</v>
      </c>
      <c r="I2989" t="s">
        <v>218</v>
      </c>
      <c r="J2989" s="3" t="s">
        <v>4865</v>
      </c>
      <c r="K2989" s="4">
        <v>845</v>
      </c>
      <c r="L2989" s="5">
        <v>0</v>
      </c>
      <c r="M2989" s="6">
        <v>0</v>
      </c>
      <c r="N2989" s="7">
        <v>1</v>
      </c>
      <c r="O2989" t="s">
        <v>23</v>
      </c>
      <c r="P2989" s="3" t="s">
        <v>23</v>
      </c>
      <c r="Q2989" s="8" t="s">
        <v>23</v>
      </c>
    </row>
    <row r="2990" spans="1:17" hidden="1" x14ac:dyDescent="0.55000000000000004">
      <c r="A2990" s="3" t="s">
        <v>4815</v>
      </c>
      <c r="B2990" s="3" t="s">
        <v>5054</v>
      </c>
      <c r="C2990" t="s">
        <v>4971</v>
      </c>
      <c r="D2990" s="3" t="s">
        <v>7314</v>
      </c>
      <c r="E2990" t="s">
        <v>5070</v>
      </c>
      <c r="F2990" s="3" t="s">
        <v>5071</v>
      </c>
      <c r="G2990" t="s">
        <v>24</v>
      </c>
      <c r="H2990" s="3" t="s">
        <v>4867</v>
      </c>
      <c r="I2990" t="s">
        <v>317</v>
      </c>
      <c r="J2990" s="3" t="s">
        <v>4865</v>
      </c>
      <c r="K2990" s="4">
        <v>738</v>
      </c>
      <c r="L2990" s="5">
        <v>0</v>
      </c>
      <c r="M2990" s="6">
        <v>0</v>
      </c>
      <c r="N2990" s="7">
        <v>1</v>
      </c>
      <c r="O2990" t="s">
        <v>23</v>
      </c>
      <c r="P2990" s="3" t="s">
        <v>23</v>
      </c>
      <c r="Q2990" s="8" t="s">
        <v>23</v>
      </c>
    </row>
    <row r="2991" spans="1:17" hidden="1" x14ac:dyDescent="0.55000000000000004">
      <c r="A2991" s="3" t="s">
        <v>4815</v>
      </c>
      <c r="B2991" s="3" t="s">
        <v>5054</v>
      </c>
      <c r="C2991" t="s">
        <v>4971</v>
      </c>
      <c r="D2991" s="3" t="s">
        <v>7314</v>
      </c>
      <c r="E2991" t="s">
        <v>5070</v>
      </c>
      <c r="F2991" s="3" t="s">
        <v>5071</v>
      </c>
      <c r="G2991" t="s">
        <v>24</v>
      </c>
      <c r="H2991" s="3" t="s">
        <v>4868</v>
      </c>
      <c r="I2991" t="s">
        <v>313</v>
      </c>
      <c r="J2991" s="3" t="s">
        <v>4865</v>
      </c>
      <c r="K2991" s="4">
        <v>912</v>
      </c>
      <c r="L2991" s="5">
        <v>0</v>
      </c>
      <c r="M2991" s="6">
        <v>0</v>
      </c>
      <c r="N2991" s="7">
        <v>1</v>
      </c>
      <c r="O2991" t="s">
        <v>23</v>
      </c>
      <c r="P2991" s="3" t="s">
        <v>23</v>
      </c>
      <c r="Q2991" s="8" t="s">
        <v>23</v>
      </c>
    </row>
    <row r="2992" spans="1:17" hidden="1" x14ac:dyDescent="0.55000000000000004">
      <c r="A2992" s="3" t="s">
        <v>4815</v>
      </c>
      <c r="B2992" s="3" t="s">
        <v>5054</v>
      </c>
      <c r="C2992" t="s">
        <v>4971</v>
      </c>
      <c r="D2992" s="3" t="s">
        <v>7314</v>
      </c>
      <c r="E2992" t="s">
        <v>5070</v>
      </c>
      <c r="F2992" s="3" t="s">
        <v>5071</v>
      </c>
      <c r="G2992" t="s">
        <v>24</v>
      </c>
      <c r="H2992" s="3" t="s">
        <v>4869</v>
      </c>
      <c r="I2992" t="s">
        <v>315</v>
      </c>
      <c r="J2992" s="3" t="s">
        <v>4865</v>
      </c>
      <c r="K2992" s="4">
        <v>598</v>
      </c>
      <c r="L2992" s="5">
        <v>0</v>
      </c>
      <c r="M2992" s="6">
        <v>0</v>
      </c>
      <c r="N2992" s="7">
        <v>1</v>
      </c>
      <c r="O2992" t="s">
        <v>23</v>
      </c>
      <c r="P2992" s="3" t="s">
        <v>23</v>
      </c>
      <c r="Q2992" s="8" t="s">
        <v>23</v>
      </c>
    </row>
    <row r="2993" spans="1:17" hidden="1" x14ac:dyDescent="0.55000000000000004">
      <c r="A2993" s="3" t="s">
        <v>4815</v>
      </c>
      <c r="B2993" s="3" t="s">
        <v>5075</v>
      </c>
      <c r="C2993" t="s">
        <v>5075</v>
      </c>
      <c r="D2993" s="3" t="s">
        <v>7314</v>
      </c>
      <c r="E2993" t="s">
        <v>5076</v>
      </c>
      <c r="F2993" s="3" t="s">
        <v>5077</v>
      </c>
      <c r="G2993" t="s">
        <v>19</v>
      </c>
      <c r="H2993" s="3" t="s">
        <v>5078</v>
      </c>
      <c r="I2993" t="s">
        <v>66</v>
      </c>
      <c r="J2993" s="3" t="s">
        <v>5079</v>
      </c>
      <c r="K2993" s="4">
        <v>243</v>
      </c>
      <c r="L2993" s="5">
        <v>52.76</v>
      </c>
      <c r="M2993" s="6">
        <v>0</v>
      </c>
      <c r="N2993" s="7">
        <v>1</v>
      </c>
      <c r="O2993" t="s">
        <v>5080</v>
      </c>
      <c r="P2993" s="3" t="s">
        <v>64</v>
      </c>
      <c r="Q2993" s="8">
        <v>6.5659999999999996E-2</v>
      </c>
    </row>
    <row r="2994" spans="1:17" hidden="1" x14ac:dyDescent="0.55000000000000004">
      <c r="A2994" s="3" t="s">
        <v>4815</v>
      </c>
      <c r="B2994" s="3" t="s">
        <v>5075</v>
      </c>
      <c r="C2994" t="s">
        <v>5075</v>
      </c>
      <c r="D2994" s="3" t="s">
        <v>7314</v>
      </c>
      <c r="E2994" t="s">
        <v>5076</v>
      </c>
      <c r="F2994" s="3" t="s">
        <v>5077</v>
      </c>
      <c r="G2994" t="s">
        <v>19</v>
      </c>
      <c r="H2994" s="3" t="s">
        <v>5081</v>
      </c>
      <c r="I2994" t="s">
        <v>66</v>
      </c>
      <c r="J2994" s="3" t="s">
        <v>5079</v>
      </c>
      <c r="K2994" s="4">
        <v>243</v>
      </c>
      <c r="L2994" s="5">
        <v>52.76</v>
      </c>
      <c r="M2994" s="6">
        <v>1</v>
      </c>
      <c r="N2994" s="7">
        <v>1</v>
      </c>
      <c r="O2994" t="s">
        <v>5080</v>
      </c>
      <c r="P2994" s="3" t="s">
        <v>64</v>
      </c>
      <c r="Q2994" s="8">
        <v>6.5659999999999996E-2</v>
      </c>
    </row>
    <row r="2995" spans="1:17" hidden="1" x14ac:dyDescent="0.55000000000000004">
      <c r="A2995" s="3" t="s">
        <v>4815</v>
      </c>
      <c r="B2995" s="3" t="s">
        <v>5075</v>
      </c>
      <c r="C2995" t="s">
        <v>5075</v>
      </c>
      <c r="D2995" s="3" t="s">
        <v>7314</v>
      </c>
      <c r="E2995" t="s">
        <v>5076</v>
      </c>
      <c r="F2995" s="3" t="s">
        <v>5077</v>
      </c>
      <c r="G2995" t="s">
        <v>19</v>
      </c>
      <c r="H2995" s="3" t="s">
        <v>23</v>
      </c>
      <c r="I2995" t="s">
        <v>67</v>
      </c>
      <c r="J2995" s="3" t="s">
        <v>5082</v>
      </c>
      <c r="K2995" s="4" t="s">
        <v>23</v>
      </c>
      <c r="L2995" s="5" t="s">
        <v>23</v>
      </c>
      <c r="M2995" s="6">
        <v>0</v>
      </c>
      <c r="N2995" s="7">
        <v>1</v>
      </c>
      <c r="O2995" t="s">
        <v>23</v>
      </c>
      <c r="P2995" s="3" t="s">
        <v>23</v>
      </c>
      <c r="Q2995" s="8" t="s">
        <v>23</v>
      </c>
    </row>
    <row r="2996" spans="1:17" hidden="1" x14ac:dyDescent="0.55000000000000004">
      <c r="A2996" s="3" t="s">
        <v>4815</v>
      </c>
      <c r="B2996" s="3" t="s">
        <v>5075</v>
      </c>
      <c r="C2996" t="s">
        <v>5075</v>
      </c>
      <c r="D2996" s="3" t="s">
        <v>7314</v>
      </c>
      <c r="E2996" t="s">
        <v>5076</v>
      </c>
      <c r="F2996" s="3" t="s">
        <v>5077</v>
      </c>
      <c r="G2996" t="s">
        <v>19</v>
      </c>
      <c r="H2996" s="3" t="s">
        <v>23</v>
      </c>
      <c r="I2996" t="s">
        <v>67</v>
      </c>
      <c r="J2996" s="3" t="s">
        <v>5083</v>
      </c>
      <c r="K2996" s="4" t="s">
        <v>23</v>
      </c>
      <c r="L2996" s="5" t="s">
        <v>23</v>
      </c>
      <c r="M2996" s="6">
        <v>0</v>
      </c>
      <c r="N2996" s="7">
        <v>1</v>
      </c>
      <c r="O2996" t="s">
        <v>23</v>
      </c>
      <c r="P2996" s="3" t="s">
        <v>23</v>
      </c>
      <c r="Q2996" s="8" t="s">
        <v>23</v>
      </c>
    </row>
    <row r="2997" spans="1:17" hidden="1" x14ac:dyDescent="0.55000000000000004">
      <c r="A2997" s="3" t="s">
        <v>4815</v>
      </c>
      <c r="B2997" s="3" t="s">
        <v>5075</v>
      </c>
      <c r="C2997" t="s">
        <v>5075</v>
      </c>
      <c r="D2997" s="3" t="s">
        <v>7314</v>
      </c>
      <c r="E2997" t="s">
        <v>5076</v>
      </c>
      <c r="F2997" s="3" t="s">
        <v>5077</v>
      </c>
      <c r="G2997" t="s">
        <v>19</v>
      </c>
      <c r="H2997" s="3" t="s">
        <v>23</v>
      </c>
      <c r="I2997" t="s">
        <v>67</v>
      </c>
      <c r="J2997" s="3" t="s">
        <v>5084</v>
      </c>
      <c r="K2997" s="4" t="s">
        <v>23</v>
      </c>
      <c r="L2997" s="5" t="s">
        <v>23</v>
      </c>
      <c r="M2997" s="6">
        <v>0</v>
      </c>
      <c r="N2997" s="7">
        <v>1</v>
      </c>
      <c r="O2997" t="s">
        <v>23</v>
      </c>
      <c r="P2997" s="3" t="s">
        <v>23</v>
      </c>
      <c r="Q2997" s="8" t="s">
        <v>23</v>
      </c>
    </row>
    <row r="2998" spans="1:17" hidden="1" x14ac:dyDescent="0.55000000000000004">
      <c r="A2998" s="3" t="s">
        <v>4815</v>
      </c>
      <c r="B2998" s="3" t="s">
        <v>5075</v>
      </c>
      <c r="C2998" t="s">
        <v>5075</v>
      </c>
      <c r="D2998" s="3" t="s">
        <v>7314</v>
      </c>
      <c r="E2998" t="s">
        <v>5076</v>
      </c>
      <c r="F2998" s="3" t="s">
        <v>5077</v>
      </c>
      <c r="G2998" t="s">
        <v>24</v>
      </c>
      <c r="H2998" s="3" t="s">
        <v>5085</v>
      </c>
      <c r="I2998" t="s">
        <v>52</v>
      </c>
      <c r="J2998" s="3" t="s">
        <v>5086</v>
      </c>
      <c r="K2998" s="4">
        <v>870</v>
      </c>
      <c r="L2998" s="5">
        <v>39.56</v>
      </c>
      <c r="M2998" s="6">
        <v>1</v>
      </c>
      <c r="N2998" s="7">
        <v>1</v>
      </c>
      <c r="O2998" t="s">
        <v>5087</v>
      </c>
      <c r="P2998" s="3" t="s">
        <v>55</v>
      </c>
      <c r="Q2998" s="8">
        <v>0.21887100000000001</v>
      </c>
    </row>
    <row r="2999" spans="1:17" hidden="1" x14ac:dyDescent="0.55000000000000004">
      <c r="A2999" s="3" t="s">
        <v>4815</v>
      </c>
      <c r="B2999" s="3" t="s">
        <v>5088</v>
      </c>
      <c r="C2999" t="s">
        <v>4988</v>
      </c>
      <c r="D2999" s="3" t="s">
        <v>7314</v>
      </c>
      <c r="E2999" t="s">
        <v>5089</v>
      </c>
      <c r="F2999" s="3" t="s">
        <v>5090</v>
      </c>
      <c r="G2999" t="s">
        <v>24</v>
      </c>
      <c r="H2999" s="3" t="s">
        <v>4991</v>
      </c>
      <c r="I2999" t="s">
        <v>52</v>
      </c>
      <c r="J2999" s="3" t="s">
        <v>4992</v>
      </c>
      <c r="K2999" s="4">
        <v>838</v>
      </c>
      <c r="L2999" s="5">
        <v>0</v>
      </c>
      <c r="M2999" s="6">
        <v>0</v>
      </c>
      <c r="N2999" s="7">
        <v>0</v>
      </c>
      <c r="O2999" t="s">
        <v>23</v>
      </c>
      <c r="P2999" s="3" t="s">
        <v>23</v>
      </c>
      <c r="Q2999" s="8" t="s">
        <v>23</v>
      </c>
    </row>
    <row r="3000" spans="1:17" hidden="1" x14ac:dyDescent="0.55000000000000004">
      <c r="A3000" s="3" t="s">
        <v>4815</v>
      </c>
      <c r="B3000" s="3" t="s">
        <v>5088</v>
      </c>
      <c r="C3000" t="s">
        <v>4988</v>
      </c>
      <c r="D3000" s="3" t="s">
        <v>7314</v>
      </c>
      <c r="E3000" t="s">
        <v>5089</v>
      </c>
      <c r="F3000" s="3" t="s">
        <v>5090</v>
      </c>
      <c r="G3000" t="s">
        <v>24</v>
      </c>
      <c r="H3000" s="3" t="s">
        <v>4993</v>
      </c>
      <c r="I3000" t="s">
        <v>296</v>
      </c>
      <c r="J3000" s="3" t="s">
        <v>4992</v>
      </c>
      <c r="K3000" s="4">
        <v>810</v>
      </c>
      <c r="L3000" s="5">
        <v>0</v>
      </c>
      <c r="M3000" s="6">
        <v>0</v>
      </c>
      <c r="N3000" s="7">
        <v>0</v>
      </c>
      <c r="O3000" t="s">
        <v>23</v>
      </c>
      <c r="P3000" s="3" t="s">
        <v>23</v>
      </c>
      <c r="Q3000" s="8" t="s">
        <v>23</v>
      </c>
    </row>
    <row r="3001" spans="1:17" hidden="1" x14ac:dyDescent="0.55000000000000004">
      <c r="A3001" s="3" t="s">
        <v>4815</v>
      </c>
      <c r="B3001" s="3" t="s">
        <v>5088</v>
      </c>
      <c r="C3001" t="s">
        <v>4988</v>
      </c>
      <c r="D3001" s="3" t="s">
        <v>7314</v>
      </c>
      <c r="E3001" t="s">
        <v>5089</v>
      </c>
      <c r="F3001" s="3" t="s">
        <v>5090</v>
      </c>
      <c r="G3001" t="s">
        <v>24</v>
      </c>
      <c r="H3001" s="3" t="s">
        <v>4994</v>
      </c>
      <c r="I3001" t="s">
        <v>298</v>
      </c>
      <c r="J3001" s="3" t="s">
        <v>4992</v>
      </c>
      <c r="K3001" s="4">
        <v>901</v>
      </c>
      <c r="L3001" s="5">
        <v>0</v>
      </c>
      <c r="M3001" s="6">
        <v>0</v>
      </c>
      <c r="N3001" s="7">
        <v>0</v>
      </c>
      <c r="O3001" t="s">
        <v>23</v>
      </c>
      <c r="P3001" s="3" t="s">
        <v>23</v>
      </c>
      <c r="Q3001" s="8" t="s">
        <v>23</v>
      </c>
    </row>
    <row r="3002" spans="1:17" hidden="1" x14ac:dyDescent="0.55000000000000004">
      <c r="A3002" s="3" t="s">
        <v>4815</v>
      </c>
      <c r="B3002" s="3" t="s">
        <v>5088</v>
      </c>
      <c r="C3002" t="s">
        <v>4988</v>
      </c>
      <c r="D3002" s="3" t="s">
        <v>7314</v>
      </c>
      <c r="E3002" t="s">
        <v>5089</v>
      </c>
      <c r="F3002" s="3" t="s">
        <v>5090</v>
      </c>
      <c r="G3002" t="s">
        <v>24</v>
      </c>
      <c r="H3002" s="3" t="s">
        <v>4995</v>
      </c>
      <c r="I3002" t="s">
        <v>304</v>
      </c>
      <c r="J3002" s="3" t="s">
        <v>4992</v>
      </c>
      <c r="K3002" s="4">
        <v>986</v>
      </c>
      <c r="L3002" s="5">
        <v>0</v>
      </c>
      <c r="M3002" s="6">
        <v>0</v>
      </c>
      <c r="N3002" s="7">
        <v>0</v>
      </c>
      <c r="O3002" t="s">
        <v>23</v>
      </c>
      <c r="P3002" s="3" t="s">
        <v>23</v>
      </c>
      <c r="Q3002" s="8" t="s">
        <v>23</v>
      </c>
    </row>
    <row r="3003" spans="1:17" hidden="1" x14ac:dyDescent="0.55000000000000004">
      <c r="A3003" s="3" t="s">
        <v>4815</v>
      </c>
      <c r="B3003" s="3" t="s">
        <v>5088</v>
      </c>
      <c r="C3003" t="s">
        <v>4988</v>
      </c>
      <c r="D3003" s="3" t="s">
        <v>7314</v>
      </c>
      <c r="E3003" t="s">
        <v>5089</v>
      </c>
      <c r="F3003" s="3" t="s">
        <v>5090</v>
      </c>
      <c r="G3003" t="s">
        <v>24</v>
      </c>
      <c r="H3003" s="3" t="s">
        <v>4996</v>
      </c>
      <c r="I3003" t="s">
        <v>300</v>
      </c>
      <c r="J3003" s="3" t="s">
        <v>4992</v>
      </c>
      <c r="K3003" s="4">
        <v>1002</v>
      </c>
      <c r="L3003" s="5">
        <v>0</v>
      </c>
      <c r="M3003" s="6">
        <v>0</v>
      </c>
      <c r="N3003" s="7">
        <v>0</v>
      </c>
      <c r="O3003" t="s">
        <v>23</v>
      </c>
      <c r="P3003" s="3" t="s">
        <v>23</v>
      </c>
      <c r="Q3003" s="8" t="s">
        <v>23</v>
      </c>
    </row>
    <row r="3004" spans="1:17" hidden="1" x14ac:dyDescent="0.55000000000000004">
      <c r="A3004" s="3" t="s">
        <v>4815</v>
      </c>
      <c r="B3004" s="3" t="s">
        <v>5088</v>
      </c>
      <c r="C3004" t="s">
        <v>4988</v>
      </c>
      <c r="D3004" s="3" t="s">
        <v>7314</v>
      </c>
      <c r="E3004" t="s">
        <v>5089</v>
      </c>
      <c r="F3004" s="3" t="s">
        <v>5090</v>
      </c>
      <c r="G3004" t="s">
        <v>24</v>
      </c>
      <c r="H3004" s="3" t="s">
        <v>4997</v>
      </c>
      <c r="I3004" t="s">
        <v>302</v>
      </c>
      <c r="J3004" s="3" t="s">
        <v>4992</v>
      </c>
      <c r="K3004" s="4">
        <v>1118</v>
      </c>
      <c r="L3004" s="5">
        <v>0</v>
      </c>
      <c r="M3004" s="6">
        <v>0</v>
      </c>
      <c r="N3004" s="7">
        <v>0</v>
      </c>
      <c r="O3004" t="s">
        <v>23</v>
      </c>
      <c r="P3004" s="3" t="s">
        <v>23</v>
      </c>
      <c r="Q3004" s="8" t="s">
        <v>23</v>
      </c>
    </row>
    <row r="3005" spans="1:17" hidden="1" x14ac:dyDescent="0.55000000000000004">
      <c r="A3005" s="3" t="s">
        <v>4815</v>
      </c>
      <c r="B3005" s="3" t="s">
        <v>5088</v>
      </c>
      <c r="C3005" t="s">
        <v>4988</v>
      </c>
      <c r="D3005" s="3" t="s">
        <v>7314</v>
      </c>
      <c r="E3005" t="s">
        <v>5089</v>
      </c>
      <c r="F3005" s="3" t="s">
        <v>5090</v>
      </c>
      <c r="G3005" t="s">
        <v>24</v>
      </c>
      <c r="H3005" s="3" t="s">
        <v>4998</v>
      </c>
      <c r="I3005" t="s">
        <v>26</v>
      </c>
      <c r="J3005" s="3" t="s">
        <v>4999</v>
      </c>
      <c r="K3005" s="4">
        <v>976</v>
      </c>
      <c r="L3005" s="5">
        <v>44.36</v>
      </c>
      <c r="M3005" s="6">
        <v>0</v>
      </c>
      <c r="N3005" s="7">
        <v>0</v>
      </c>
      <c r="O3005" t="s">
        <v>5000</v>
      </c>
      <c r="P3005" s="3" t="s">
        <v>76</v>
      </c>
      <c r="Q3005" s="8">
        <v>0.25116699999999997</v>
      </c>
    </row>
    <row r="3006" spans="1:17" hidden="1" x14ac:dyDescent="0.55000000000000004">
      <c r="A3006" s="3" t="s">
        <v>4815</v>
      </c>
      <c r="B3006" s="3" t="s">
        <v>5088</v>
      </c>
      <c r="C3006" t="s">
        <v>4988</v>
      </c>
      <c r="D3006" s="3" t="s">
        <v>7314</v>
      </c>
      <c r="E3006" t="s">
        <v>5089</v>
      </c>
      <c r="F3006" s="3" t="s">
        <v>5090</v>
      </c>
      <c r="G3006" t="s">
        <v>24</v>
      </c>
      <c r="H3006" s="3" t="s">
        <v>5091</v>
      </c>
      <c r="I3006" t="s">
        <v>26</v>
      </c>
      <c r="J3006" s="3" t="s">
        <v>5092</v>
      </c>
      <c r="K3006" s="4">
        <v>984</v>
      </c>
      <c r="L3006" s="5">
        <v>44.73</v>
      </c>
      <c r="M3006" s="6">
        <v>1</v>
      </c>
      <c r="N3006" s="7">
        <v>0</v>
      </c>
      <c r="O3006" t="s">
        <v>5093</v>
      </c>
      <c r="P3006" s="3" t="s">
        <v>29</v>
      </c>
      <c r="Q3006" s="8">
        <v>0.25116699999999997</v>
      </c>
    </row>
    <row r="3007" spans="1:17" hidden="1" x14ac:dyDescent="0.55000000000000004">
      <c r="A3007" s="3" t="s">
        <v>4815</v>
      </c>
      <c r="B3007" s="3" t="s">
        <v>5088</v>
      </c>
      <c r="C3007" t="s">
        <v>4988</v>
      </c>
      <c r="D3007" s="3" t="s">
        <v>7314</v>
      </c>
      <c r="E3007" t="s">
        <v>5089</v>
      </c>
      <c r="F3007" s="3" t="s">
        <v>5090</v>
      </c>
      <c r="G3007" t="s">
        <v>24</v>
      </c>
      <c r="H3007" s="3" t="s">
        <v>5004</v>
      </c>
      <c r="I3007" t="s">
        <v>309</v>
      </c>
      <c r="J3007" s="3" t="s">
        <v>4999</v>
      </c>
      <c r="K3007" s="4">
        <v>910</v>
      </c>
      <c r="L3007" s="5">
        <v>0</v>
      </c>
      <c r="M3007" s="6">
        <v>0</v>
      </c>
      <c r="N3007" s="7">
        <v>0</v>
      </c>
      <c r="O3007" t="s">
        <v>23</v>
      </c>
      <c r="P3007" s="3" t="s">
        <v>23</v>
      </c>
      <c r="Q3007" s="8" t="s">
        <v>23</v>
      </c>
    </row>
    <row r="3008" spans="1:17" hidden="1" x14ac:dyDescent="0.55000000000000004">
      <c r="A3008" s="3" t="s">
        <v>4815</v>
      </c>
      <c r="B3008" s="3" t="s">
        <v>5088</v>
      </c>
      <c r="C3008" t="s">
        <v>4988</v>
      </c>
      <c r="D3008" s="3" t="s">
        <v>7314</v>
      </c>
      <c r="E3008" t="s">
        <v>5089</v>
      </c>
      <c r="F3008" s="3" t="s">
        <v>5090</v>
      </c>
      <c r="G3008" t="s">
        <v>24</v>
      </c>
      <c r="H3008" s="3" t="s">
        <v>5005</v>
      </c>
      <c r="I3008" t="s">
        <v>218</v>
      </c>
      <c r="J3008" s="3" t="s">
        <v>4999</v>
      </c>
      <c r="K3008" s="4">
        <v>983</v>
      </c>
      <c r="L3008" s="5">
        <v>0</v>
      </c>
      <c r="M3008" s="6">
        <v>0</v>
      </c>
      <c r="N3008" s="7">
        <v>0</v>
      </c>
      <c r="O3008" t="s">
        <v>5006</v>
      </c>
      <c r="P3008" s="3" t="s">
        <v>23</v>
      </c>
      <c r="Q3008" s="8" t="s">
        <v>23</v>
      </c>
    </row>
    <row r="3009" spans="1:17" hidden="1" x14ac:dyDescent="0.55000000000000004">
      <c r="A3009" s="3" t="s">
        <v>4815</v>
      </c>
      <c r="B3009" s="3" t="s">
        <v>5088</v>
      </c>
      <c r="C3009" t="s">
        <v>4988</v>
      </c>
      <c r="D3009" s="3" t="s">
        <v>7314</v>
      </c>
      <c r="E3009" t="s">
        <v>5089</v>
      </c>
      <c r="F3009" s="3" t="s">
        <v>5090</v>
      </c>
      <c r="G3009" t="s">
        <v>24</v>
      </c>
      <c r="H3009" s="3" t="s">
        <v>5007</v>
      </c>
      <c r="I3009" t="s">
        <v>313</v>
      </c>
      <c r="J3009" s="3" t="s">
        <v>4999</v>
      </c>
      <c r="K3009" s="4">
        <v>1109</v>
      </c>
      <c r="L3009" s="5">
        <v>0</v>
      </c>
      <c r="M3009" s="6">
        <v>0</v>
      </c>
      <c r="N3009" s="7">
        <v>0</v>
      </c>
      <c r="O3009" t="s">
        <v>23</v>
      </c>
      <c r="P3009" s="3" t="s">
        <v>23</v>
      </c>
      <c r="Q3009" s="8" t="s">
        <v>23</v>
      </c>
    </row>
    <row r="3010" spans="1:17" hidden="1" x14ac:dyDescent="0.55000000000000004">
      <c r="A3010" s="3" t="s">
        <v>4815</v>
      </c>
      <c r="B3010" s="3" t="s">
        <v>5088</v>
      </c>
      <c r="C3010" t="s">
        <v>4988</v>
      </c>
      <c r="D3010" s="3" t="s">
        <v>7314</v>
      </c>
      <c r="E3010" t="s">
        <v>5089</v>
      </c>
      <c r="F3010" s="3" t="s">
        <v>5090</v>
      </c>
      <c r="G3010" t="s">
        <v>24</v>
      </c>
      <c r="H3010" s="3" t="s">
        <v>5008</v>
      </c>
      <c r="I3010" t="s">
        <v>315</v>
      </c>
      <c r="J3010" s="3" t="s">
        <v>4999</v>
      </c>
      <c r="K3010" s="4">
        <v>824</v>
      </c>
      <c r="L3010" s="5">
        <v>0</v>
      </c>
      <c r="M3010" s="6">
        <v>0</v>
      </c>
      <c r="N3010" s="7">
        <v>0</v>
      </c>
      <c r="O3010" t="s">
        <v>23</v>
      </c>
      <c r="P3010" s="3" t="s">
        <v>23</v>
      </c>
      <c r="Q3010" s="8" t="s">
        <v>23</v>
      </c>
    </row>
    <row r="3011" spans="1:17" hidden="1" x14ac:dyDescent="0.55000000000000004">
      <c r="A3011" s="3" t="s">
        <v>4815</v>
      </c>
      <c r="B3011" s="3" t="s">
        <v>5088</v>
      </c>
      <c r="C3011" t="s">
        <v>4988</v>
      </c>
      <c r="D3011" s="3" t="s">
        <v>7314</v>
      </c>
      <c r="E3011" t="s">
        <v>5089</v>
      </c>
      <c r="F3011" s="3" t="s">
        <v>5090</v>
      </c>
      <c r="G3011" t="s">
        <v>24</v>
      </c>
      <c r="H3011" s="3" t="s">
        <v>5009</v>
      </c>
      <c r="I3011" t="s">
        <v>317</v>
      </c>
      <c r="J3011" s="3" t="s">
        <v>4999</v>
      </c>
      <c r="K3011" s="4">
        <v>942</v>
      </c>
      <c r="L3011" s="5">
        <v>0</v>
      </c>
      <c r="M3011" s="6">
        <v>0</v>
      </c>
      <c r="N3011" s="7">
        <v>0</v>
      </c>
      <c r="O3011" t="s">
        <v>23</v>
      </c>
      <c r="P3011" s="3" t="s">
        <v>23</v>
      </c>
      <c r="Q3011" s="8" t="s">
        <v>23</v>
      </c>
    </row>
    <row r="3012" spans="1:17" hidden="1" x14ac:dyDescent="0.55000000000000004">
      <c r="A3012" s="3" t="s">
        <v>4815</v>
      </c>
      <c r="B3012" s="3" t="s">
        <v>5088</v>
      </c>
      <c r="C3012" t="s">
        <v>4988</v>
      </c>
      <c r="D3012" s="3" t="s">
        <v>7314</v>
      </c>
      <c r="E3012" t="s">
        <v>5094</v>
      </c>
      <c r="F3012" s="3" t="s">
        <v>5095</v>
      </c>
      <c r="G3012" t="s">
        <v>24</v>
      </c>
      <c r="H3012" s="3" t="s">
        <v>4991</v>
      </c>
      <c r="I3012" t="s">
        <v>52</v>
      </c>
      <c r="J3012" s="3" t="s">
        <v>4992</v>
      </c>
      <c r="K3012" s="4">
        <v>838</v>
      </c>
      <c r="L3012" s="5">
        <v>0</v>
      </c>
      <c r="M3012" s="6">
        <v>0</v>
      </c>
      <c r="N3012" s="7">
        <v>0</v>
      </c>
      <c r="O3012" t="s">
        <v>23</v>
      </c>
      <c r="P3012" s="3" t="s">
        <v>23</v>
      </c>
      <c r="Q3012" s="8" t="s">
        <v>23</v>
      </c>
    </row>
    <row r="3013" spans="1:17" hidden="1" x14ac:dyDescent="0.55000000000000004">
      <c r="A3013" s="3" t="s">
        <v>4815</v>
      </c>
      <c r="B3013" s="3" t="s">
        <v>5088</v>
      </c>
      <c r="C3013" t="s">
        <v>4988</v>
      </c>
      <c r="D3013" s="3" t="s">
        <v>7314</v>
      </c>
      <c r="E3013" t="s">
        <v>5094</v>
      </c>
      <c r="F3013" s="3" t="s">
        <v>5095</v>
      </c>
      <c r="G3013" t="s">
        <v>24</v>
      </c>
      <c r="H3013" s="3" t="s">
        <v>4993</v>
      </c>
      <c r="I3013" t="s">
        <v>296</v>
      </c>
      <c r="J3013" s="3" t="s">
        <v>4992</v>
      </c>
      <c r="K3013" s="4">
        <v>810</v>
      </c>
      <c r="L3013" s="5">
        <v>0</v>
      </c>
      <c r="M3013" s="6">
        <v>0</v>
      </c>
      <c r="N3013" s="7">
        <v>0</v>
      </c>
      <c r="O3013" t="s">
        <v>23</v>
      </c>
      <c r="P3013" s="3" t="s">
        <v>23</v>
      </c>
      <c r="Q3013" s="8" t="s">
        <v>23</v>
      </c>
    </row>
    <row r="3014" spans="1:17" hidden="1" x14ac:dyDescent="0.55000000000000004">
      <c r="A3014" s="3" t="s">
        <v>4815</v>
      </c>
      <c r="B3014" s="3" t="s">
        <v>5088</v>
      </c>
      <c r="C3014" t="s">
        <v>4988</v>
      </c>
      <c r="D3014" s="3" t="s">
        <v>7314</v>
      </c>
      <c r="E3014" t="s">
        <v>5094</v>
      </c>
      <c r="F3014" s="3" t="s">
        <v>5095</v>
      </c>
      <c r="G3014" t="s">
        <v>24</v>
      </c>
      <c r="H3014" s="3" t="s">
        <v>4994</v>
      </c>
      <c r="I3014" t="s">
        <v>298</v>
      </c>
      <c r="J3014" s="3" t="s">
        <v>4992</v>
      </c>
      <c r="K3014" s="4">
        <v>901</v>
      </c>
      <c r="L3014" s="5">
        <v>0</v>
      </c>
      <c r="M3014" s="6">
        <v>0</v>
      </c>
      <c r="N3014" s="7">
        <v>0</v>
      </c>
      <c r="O3014" t="s">
        <v>23</v>
      </c>
      <c r="P3014" s="3" t="s">
        <v>23</v>
      </c>
      <c r="Q3014" s="8" t="s">
        <v>23</v>
      </c>
    </row>
    <row r="3015" spans="1:17" hidden="1" x14ac:dyDescent="0.55000000000000004">
      <c r="A3015" s="3" t="s">
        <v>4815</v>
      </c>
      <c r="B3015" s="3" t="s">
        <v>5088</v>
      </c>
      <c r="C3015" t="s">
        <v>4988</v>
      </c>
      <c r="D3015" s="3" t="s">
        <v>7314</v>
      </c>
      <c r="E3015" t="s">
        <v>5094</v>
      </c>
      <c r="F3015" s="3" t="s">
        <v>5095</v>
      </c>
      <c r="G3015" t="s">
        <v>24</v>
      </c>
      <c r="H3015" s="3" t="s">
        <v>4995</v>
      </c>
      <c r="I3015" t="s">
        <v>304</v>
      </c>
      <c r="J3015" s="3" t="s">
        <v>4992</v>
      </c>
      <c r="K3015" s="4">
        <v>986</v>
      </c>
      <c r="L3015" s="5">
        <v>0</v>
      </c>
      <c r="M3015" s="6">
        <v>0</v>
      </c>
      <c r="N3015" s="7">
        <v>0</v>
      </c>
      <c r="O3015" t="s">
        <v>23</v>
      </c>
      <c r="P3015" s="3" t="s">
        <v>23</v>
      </c>
      <c r="Q3015" s="8" t="s">
        <v>23</v>
      </c>
    </row>
    <row r="3016" spans="1:17" hidden="1" x14ac:dyDescent="0.55000000000000004">
      <c r="A3016" s="3" t="s">
        <v>4815</v>
      </c>
      <c r="B3016" s="3" t="s">
        <v>5088</v>
      </c>
      <c r="C3016" t="s">
        <v>4988</v>
      </c>
      <c r="D3016" s="3" t="s">
        <v>7314</v>
      </c>
      <c r="E3016" t="s">
        <v>5094</v>
      </c>
      <c r="F3016" s="3" t="s">
        <v>5095</v>
      </c>
      <c r="G3016" t="s">
        <v>24</v>
      </c>
      <c r="H3016" s="3" t="s">
        <v>4996</v>
      </c>
      <c r="I3016" t="s">
        <v>300</v>
      </c>
      <c r="J3016" s="3" t="s">
        <v>4992</v>
      </c>
      <c r="K3016" s="4">
        <v>1002</v>
      </c>
      <c r="L3016" s="5">
        <v>0</v>
      </c>
      <c r="M3016" s="6">
        <v>0</v>
      </c>
      <c r="N3016" s="7">
        <v>0</v>
      </c>
      <c r="O3016" t="s">
        <v>23</v>
      </c>
      <c r="P3016" s="3" t="s">
        <v>23</v>
      </c>
      <c r="Q3016" s="8" t="s">
        <v>23</v>
      </c>
    </row>
    <row r="3017" spans="1:17" hidden="1" x14ac:dyDescent="0.55000000000000004">
      <c r="A3017" s="3" t="s">
        <v>4815</v>
      </c>
      <c r="B3017" s="3" t="s">
        <v>5088</v>
      </c>
      <c r="C3017" t="s">
        <v>4988</v>
      </c>
      <c r="D3017" s="3" t="s">
        <v>7314</v>
      </c>
      <c r="E3017" t="s">
        <v>5094</v>
      </c>
      <c r="F3017" s="3" t="s">
        <v>5095</v>
      </c>
      <c r="G3017" t="s">
        <v>24</v>
      </c>
      <c r="H3017" s="3" t="s">
        <v>4997</v>
      </c>
      <c r="I3017" t="s">
        <v>302</v>
      </c>
      <c r="J3017" s="3" t="s">
        <v>4992</v>
      </c>
      <c r="K3017" s="4">
        <v>1118</v>
      </c>
      <c r="L3017" s="5">
        <v>0</v>
      </c>
      <c r="M3017" s="6">
        <v>0</v>
      </c>
      <c r="N3017" s="7">
        <v>0</v>
      </c>
      <c r="O3017" t="s">
        <v>23</v>
      </c>
      <c r="P3017" s="3" t="s">
        <v>23</v>
      </c>
      <c r="Q3017" s="8" t="s">
        <v>23</v>
      </c>
    </row>
    <row r="3018" spans="1:17" hidden="1" x14ac:dyDescent="0.55000000000000004">
      <c r="A3018" s="3" t="s">
        <v>4815</v>
      </c>
      <c r="B3018" s="3" t="s">
        <v>5088</v>
      </c>
      <c r="C3018" t="s">
        <v>4988</v>
      </c>
      <c r="D3018" s="3" t="s">
        <v>7314</v>
      </c>
      <c r="E3018" t="s">
        <v>5094</v>
      </c>
      <c r="F3018" s="3" t="s">
        <v>5095</v>
      </c>
      <c r="G3018" t="s">
        <v>24</v>
      </c>
      <c r="H3018" s="3" t="s">
        <v>4998</v>
      </c>
      <c r="I3018" t="s">
        <v>26</v>
      </c>
      <c r="J3018" s="3" t="s">
        <v>4999</v>
      </c>
      <c r="K3018" s="4">
        <v>976</v>
      </c>
      <c r="L3018" s="5">
        <v>44.36</v>
      </c>
      <c r="M3018" s="6">
        <v>0</v>
      </c>
      <c r="N3018" s="7">
        <v>0</v>
      </c>
      <c r="O3018" t="s">
        <v>5000</v>
      </c>
      <c r="P3018" s="3" t="s">
        <v>76</v>
      </c>
      <c r="Q3018" s="8">
        <v>0.25116699999999997</v>
      </c>
    </row>
    <row r="3019" spans="1:17" hidden="1" x14ac:dyDescent="0.55000000000000004">
      <c r="A3019" s="3" t="s">
        <v>4815</v>
      </c>
      <c r="B3019" s="3" t="s">
        <v>5088</v>
      </c>
      <c r="C3019" t="s">
        <v>4988</v>
      </c>
      <c r="D3019" s="3" t="s">
        <v>7314</v>
      </c>
      <c r="E3019" t="s">
        <v>5094</v>
      </c>
      <c r="F3019" s="3" t="s">
        <v>5095</v>
      </c>
      <c r="G3019" t="s">
        <v>24</v>
      </c>
      <c r="H3019" s="3" t="s">
        <v>5091</v>
      </c>
      <c r="I3019" t="s">
        <v>26</v>
      </c>
      <c r="J3019" s="3" t="s">
        <v>5092</v>
      </c>
      <c r="K3019" s="4">
        <v>984</v>
      </c>
      <c r="L3019" s="5">
        <v>44.73</v>
      </c>
      <c r="M3019" s="6">
        <v>1</v>
      </c>
      <c r="N3019" s="7">
        <v>0</v>
      </c>
      <c r="O3019" t="s">
        <v>5093</v>
      </c>
      <c r="P3019" s="3" t="s">
        <v>29</v>
      </c>
      <c r="Q3019" s="8">
        <v>0.25116699999999997</v>
      </c>
    </row>
    <row r="3020" spans="1:17" hidden="1" x14ac:dyDescent="0.55000000000000004">
      <c r="A3020" s="3" t="s">
        <v>4815</v>
      </c>
      <c r="B3020" s="3" t="s">
        <v>5088</v>
      </c>
      <c r="C3020" t="s">
        <v>4988</v>
      </c>
      <c r="D3020" s="3" t="s">
        <v>7314</v>
      </c>
      <c r="E3020" t="s">
        <v>5094</v>
      </c>
      <c r="F3020" s="3" t="s">
        <v>5095</v>
      </c>
      <c r="G3020" t="s">
        <v>24</v>
      </c>
      <c r="H3020" s="3" t="s">
        <v>5004</v>
      </c>
      <c r="I3020" t="s">
        <v>309</v>
      </c>
      <c r="J3020" s="3" t="s">
        <v>4999</v>
      </c>
      <c r="K3020" s="4">
        <v>910</v>
      </c>
      <c r="L3020" s="5">
        <v>0</v>
      </c>
      <c r="M3020" s="6">
        <v>0</v>
      </c>
      <c r="N3020" s="7">
        <v>0</v>
      </c>
      <c r="O3020" t="s">
        <v>23</v>
      </c>
      <c r="P3020" s="3" t="s">
        <v>23</v>
      </c>
      <c r="Q3020" s="8" t="s">
        <v>23</v>
      </c>
    </row>
    <row r="3021" spans="1:17" hidden="1" x14ac:dyDescent="0.55000000000000004">
      <c r="A3021" s="3" t="s">
        <v>4815</v>
      </c>
      <c r="B3021" s="3" t="s">
        <v>5088</v>
      </c>
      <c r="C3021" t="s">
        <v>4988</v>
      </c>
      <c r="D3021" s="3" t="s">
        <v>7314</v>
      </c>
      <c r="E3021" t="s">
        <v>5094</v>
      </c>
      <c r="F3021" s="3" t="s">
        <v>5095</v>
      </c>
      <c r="G3021" t="s">
        <v>24</v>
      </c>
      <c r="H3021" s="3" t="s">
        <v>5005</v>
      </c>
      <c r="I3021" t="s">
        <v>218</v>
      </c>
      <c r="J3021" s="3" t="s">
        <v>4999</v>
      </c>
      <c r="K3021" s="4">
        <v>983</v>
      </c>
      <c r="L3021" s="5">
        <v>0</v>
      </c>
      <c r="M3021" s="6">
        <v>0</v>
      </c>
      <c r="N3021" s="7">
        <v>0</v>
      </c>
      <c r="O3021" t="s">
        <v>5006</v>
      </c>
      <c r="P3021" s="3" t="s">
        <v>23</v>
      </c>
      <c r="Q3021" s="8" t="s">
        <v>23</v>
      </c>
    </row>
    <row r="3022" spans="1:17" hidden="1" x14ac:dyDescent="0.55000000000000004">
      <c r="A3022" s="3" t="s">
        <v>4815</v>
      </c>
      <c r="B3022" s="3" t="s">
        <v>5088</v>
      </c>
      <c r="C3022" t="s">
        <v>4988</v>
      </c>
      <c r="D3022" s="3" t="s">
        <v>7314</v>
      </c>
      <c r="E3022" t="s">
        <v>5094</v>
      </c>
      <c r="F3022" s="3" t="s">
        <v>5095</v>
      </c>
      <c r="G3022" t="s">
        <v>24</v>
      </c>
      <c r="H3022" s="3" t="s">
        <v>5007</v>
      </c>
      <c r="I3022" t="s">
        <v>313</v>
      </c>
      <c r="J3022" s="3" t="s">
        <v>4999</v>
      </c>
      <c r="K3022" s="4">
        <v>1109</v>
      </c>
      <c r="L3022" s="5">
        <v>0</v>
      </c>
      <c r="M3022" s="6">
        <v>0</v>
      </c>
      <c r="N3022" s="7">
        <v>0</v>
      </c>
      <c r="O3022" t="s">
        <v>23</v>
      </c>
      <c r="P3022" s="3" t="s">
        <v>23</v>
      </c>
      <c r="Q3022" s="8" t="s">
        <v>23</v>
      </c>
    </row>
    <row r="3023" spans="1:17" hidden="1" x14ac:dyDescent="0.55000000000000004">
      <c r="A3023" s="3" t="s">
        <v>4815</v>
      </c>
      <c r="B3023" s="3" t="s">
        <v>5088</v>
      </c>
      <c r="C3023" t="s">
        <v>4988</v>
      </c>
      <c r="D3023" s="3" t="s">
        <v>7314</v>
      </c>
      <c r="E3023" t="s">
        <v>5094</v>
      </c>
      <c r="F3023" s="3" t="s">
        <v>5095</v>
      </c>
      <c r="G3023" t="s">
        <v>24</v>
      </c>
      <c r="H3023" s="3" t="s">
        <v>5008</v>
      </c>
      <c r="I3023" t="s">
        <v>315</v>
      </c>
      <c r="J3023" s="3" t="s">
        <v>4999</v>
      </c>
      <c r="K3023" s="4">
        <v>824</v>
      </c>
      <c r="L3023" s="5">
        <v>0</v>
      </c>
      <c r="M3023" s="6">
        <v>0</v>
      </c>
      <c r="N3023" s="7">
        <v>0</v>
      </c>
      <c r="O3023" t="s">
        <v>23</v>
      </c>
      <c r="P3023" s="3" t="s">
        <v>23</v>
      </c>
      <c r="Q3023" s="8" t="s">
        <v>23</v>
      </c>
    </row>
    <row r="3024" spans="1:17" hidden="1" x14ac:dyDescent="0.55000000000000004">
      <c r="A3024" s="3" t="s">
        <v>4815</v>
      </c>
      <c r="B3024" s="3" t="s">
        <v>5088</v>
      </c>
      <c r="C3024" t="s">
        <v>4988</v>
      </c>
      <c r="D3024" s="3" t="s">
        <v>7314</v>
      </c>
      <c r="E3024" t="s">
        <v>5094</v>
      </c>
      <c r="F3024" s="3" t="s">
        <v>5095</v>
      </c>
      <c r="G3024" t="s">
        <v>24</v>
      </c>
      <c r="H3024" s="3" t="s">
        <v>5009</v>
      </c>
      <c r="I3024" t="s">
        <v>317</v>
      </c>
      <c r="J3024" s="3" t="s">
        <v>4999</v>
      </c>
      <c r="K3024" s="4">
        <v>942</v>
      </c>
      <c r="L3024" s="5">
        <v>0</v>
      </c>
      <c r="M3024" s="6">
        <v>0</v>
      </c>
      <c r="N3024" s="7">
        <v>0</v>
      </c>
      <c r="O3024" t="s">
        <v>23</v>
      </c>
      <c r="P3024" s="3" t="s">
        <v>23</v>
      </c>
      <c r="Q3024" s="8" t="s">
        <v>23</v>
      </c>
    </row>
    <row r="3025" spans="1:17" hidden="1" x14ac:dyDescent="0.55000000000000004">
      <c r="A3025" s="3" t="s">
        <v>4815</v>
      </c>
      <c r="B3025" s="3" t="s">
        <v>5088</v>
      </c>
      <c r="C3025" t="s">
        <v>4988</v>
      </c>
      <c r="D3025" s="3" t="s">
        <v>7314</v>
      </c>
      <c r="E3025" t="s">
        <v>5096</v>
      </c>
      <c r="F3025" s="3" t="s">
        <v>5097</v>
      </c>
      <c r="G3025" t="s">
        <v>24</v>
      </c>
      <c r="H3025" s="3" t="s">
        <v>4991</v>
      </c>
      <c r="I3025" t="s">
        <v>52</v>
      </c>
      <c r="J3025" s="3" t="s">
        <v>4992</v>
      </c>
      <c r="K3025" s="4">
        <v>838</v>
      </c>
      <c r="L3025" s="5">
        <v>0</v>
      </c>
      <c r="M3025" s="6">
        <v>0</v>
      </c>
      <c r="N3025" s="7">
        <v>0</v>
      </c>
      <c r="O3025" t="s">
        <v>23</v>
      </c>
      <c r="P3025" s="3" t="s">
        <v>23</v>
      </c>
      <c r="Q3025" s="8" t="s">
        <v>23</v>
      </c>
    </row>
    <row r="3026" spans="1:17" hidden="1" x14ac:dyDescent="0.55000000000000004">
      <c r="A3026" s="3" t="s">
        <v>4815</v>
      </c>
      <c r="B3026" s="3" t="s">
        <v>5088</v>
      </c>
      <c r="C3026" t="s">
        <v>4988</v>
      </c>
      <c r="D3026" s="3" t="s">
        <v>7314</v>
      </c>
      <c r="E3026" t="s">
        <v>5096</v>
      </c>
      <c r="F3026" s="3" t="s">
        <v>5097</v>
      </c>
      <c r="G3026" t="s">
        <v>24</v>
      </c>
      <c r="H3026" s="3" t="s">
        <v>4993</v>
      </c>
      <c r="I3026" t="s">
        <v>296</v>
      </c>
      <c r="J3026" s="3" t="s">
        <v>4992</v>
      </c>
      <c r="K3026" s="4">
        <v>810</v>
      </c>
      <c r="L3026" s="5">
        <v>0</v>
      </c>
      <c r="M3026" s="6">
        <v>0</v>
      </c>
      <c r="N3026" s="7">
        <v>0</v>
      </c>
      <c r="O3026" t="s">
        <v>23</v>
      </c>
      <c r="P3026" s="3" t="s">
        <v>23</v>
      </c>
      <c r="Q3026" s="8" t="s">
        <v>23</v>
      </c>
    </row>
    <row r="3027" spans="1:17" hidden="1" x14ac:dyDescent="0.55000000000000004">
      <c r="A3027" s="3" t="s">
        <v>4815</v>
      </c>
      <c r="B3027" s="3" t="s">
        <v>5088</v>
      </c>
      <c r="C3027" t="s">
        <v>4988</v>
      </c>
      <c r="D3027" s="3" t="s">
        <v>7314</v>
      </c>
      <c r="E3027" t="s">
        <v>5096</v>
      </c>
      <c r="F3027" s="3" t="s">
        <v>5097</v>
      </c>
      <c r="G3027" t="s">
        <v>24</v>
      </c>
      <c r="H3027" s="3" t="s">
        <v>4994</v>
      </c>
      <c r="I3027" t="s">
        <v>298</v>
      </c>
      <c r="J3027" s="3" t="s">
        <v>4992</v>
      </c>
      <c r="K3027" s="4">
        <v>901</v>
      </c>
      <c r="L3027" s="5">
        <v>0</v>
      </c>
      <c r="M3027" s="6">
        <v>0</v>
      </c>
      <c r="N3027" s="7">
        <v>0</v>
      </c>
      <c r="O3027" t="s">
        <v>23</v>
      </c>
      <c r="P3027" s="3" t="s">
        <v>23</v>
      </c>
      <c r="Q3027" s="8" t="s">
        <v>23</v>
      </c>
    </row>
    <row r="3028" spans="1:17" hidden="1" x14ac:dyDescent="0.55000000000000004">
      <c r="A3028" s="3" t="s">
        <v>4815</v>
      </c>
      <c r="B3028" s="3" t="s">
        <v>5088</v>
      </c>
      <c r="C3028" t="s">
        <v>4988</v>
      </c>
      <c r="D3028" s="3" t="s">
        <v>7314</v>
      </c>
      <c r="E3028" t="s">
        <v>5096</v>
      </c>
      <c r="F3028" s="3" t="s">
        <v>5097</v>
      </c>
      <c r="G3028" t="s">
        <v>24</v>
      </c>
      <c r="H3028" s="3" t="s">
        <v>4995</v>
      </c>
      <c r="I3028" t="s">
        <v>304</v>
      </c>
      <c r="J3028" s="3" t="s">
        <v>4992</v>
      </c>
      <c r="K3028" s="4">
        <v>986</v>
      </c>
      <c r="L3028" s="5">
        <v>0</v>
      </c>
      <c r="M3028" s="6">
        <v>0</v>
      </c>
      <c r="N3028" s="7">
        <v>0</v>
      </c>
      <c r="O3028" t="s">
        <v>23</v>
      </c>
      <c r="P3028" s="3" t="s">
        <v>23</v>
      </c>
      <c r="Q3028" s="8" t="s">
        <v>23</v>
      </c>
    </row>
    <row r="3029" spans="1:17" hidden="1" x14ac:dyDescent="0.55000000000000004">
      <c r="A3029" s="3" t="s">
        <v>4815</v>
      </c>
      <c r="B3029" s="3" t="s">
        <v>5088</v>
      </c>
      <c r="C3029" t="s">
        <v>4988</v>
      </c>
      <c r="D3029" s="3" t="s">
        <v>7314</v>
      </c>
      <c r="E3029" t="s">
        <v>5096</v>
      </c>
      <c r="F3029" s="3" t="s">
        <v>5097</v>
      </c>
      <c r="G3029" t="s">
        <v>24</v>
      </c>
      <c r="H3029" s="3" t="s">
        <v>4996</v>
      </c>
      <c r="I3029" t="s">
        <v>300</v>
      </c>
      <c r="J3029" s="3" t="s">
        <v>4992</v>
      </c>
      <c r="K3029" s="4">
        <v>1002</v>
      </c>
      <c r="L3029" s="5">
        <v>0</v>
      </c>
      <c r="M3029" s="6">
        <v>0</v>
      </c>
      <c r="N3029" s="7">
        <v>0</v>
      </c>
      <c r="O3029" t="s">
        <v>23</v>
      </c>
      <c r="P3029" s="3" t="s">
        <v>23</v>
      </c>
      <c r="Q3029" s="8" t="s">
        <v>23</v>
      </c>
    </row>
    <row r="3030" spans="1:17" hidden="1" x14ac:dyDescent="0.55000000000000004">
      <c r="A3030" s="3" t="s">
        <v>4815</v>
      </c>
      <c r="B3030" s="3" t="s">
        <v>5088</v>
      </c>
      <c r="C3030" t="s">
        <v>4988</v>
      </c>
      <c r="D3030" s="3" t="s">
        <v>7314</v>
      </c>
      <c r="E3030" t="s">
        <v>5096</v>
      </c>
      <c r="F3030" s="3" t="s">
        <v>5097</v>
      </c>
      <c r="G3030" t="s">
        <v>24</v>
      </c>
      <c r="H3030" s="3" t="s">
        <v>4997</v>
      </c>
      <c r="I3030" t="s">
        <v>302</v>
      </c>
      <c r="J3030" s="3" t="s">
        <v>4992</v>
      </c>
      <c r="K3030" s="4">
        <v>1118</v>
      </c>
      <c r="L3030" s="5">
        <v>0</v>
      </c>
      <c r="M3030" s="6">
        <v>0</v>
      </c>
      <c r="N3030" s="7">
        <v>0</v>
      </c>
      <c r="O3030" t="s">
        <v>23</v>
      </c>
      <c r="P3030" s="3" t="s">
        <v>23</v>
      </c>
      <c r="Q3030" s="8" t="s">
        <v>23</v>
      </c>
    </row>
    <row r="3031" spans="1:17" hidden="1" x14ac:dyDescent="0.55000000000000004">
      <c r="A3031" s="3" t="s">
        <v>4815</v>
      </c>
      <c r="B3031" s="3" t="s">
        <v>5088</v>
      </c>
      <c r="C3031" t="s">
        <v>4988</v>
      </c>
      <c r="D3031" s="3" t="s">
        <v>7314</v>
      </c>
      <c r="E3031" t="s">
        <v>5096</v>
      </c>
      <c r="F3031" s="3" t="s">
        <v>5097</v>
      </c>
      <c r="G3031" t="s">
        <v>24</v>
      </c>
      <c r="H3031" s="3" t="s">
        <v>4998</v>
      </c>
      <c r="I3031" t="s">
        <v>26</v>
      </c>
      <c r="J3031" s="3" t="s">
        <v>4999</v>
      </c>
      <c r="K3031" s="4">
        <v>976</v>
      </c>
      <c r="L3031" s="5">
        <v>44.36</v>
      </c>
      <c r="M3031" s="6">
        <v>0</v>
      </c>
      <c r="N3031" s="7">
        <v>0</v>
      </c>
      <c r="O3031" t="s">
        <v>5000</v>
      </c>
      <c r="P3031" s="3" t="s">
        <v>76</v>
      </c>
      <c r="Q3031" s="8">
        <v>0.25116699999999997</v>
      </c>
    </row>
    <row r="3032" spans="1:17" hidden="1" x14ac:dyDescent="0.55000000000000004">
      <c r="A3032" s="3" t="s">
        <v>4815</v>
      </c>
      <c r="B3032" s="3" t="s">
        <v>5088</v>
      </c>
      <c r="C3032" t="s">
        <v>4988</v>
      </c>
      <c r="D3032" s="3" t="s">
        <v>7314</v>
      </c>
      <c r="E3032" t="s">
        <v>5096</v>
      </c>
      <c r="F3032" s="3" t="s">
        <v>5097</v>
      </c>
      <c r="G3032" t="s">
        <v>24</v>
      </c>
      <c r="H3032" s="3" t="s">
        <v>5091</v>
      </c>
      <c r="I3032" t="s">
        <v>26</v>
      </c>
      <c r="J3032" s="3" t="s">
        <v>5092</v>
      </c>
      <c r="K3032" s="4">
        <v>984</v>
      </c>
      <c r="L3032" s="5">
        <v>44.73</v>
      </c>
      <c r="M3032" s="6">
        <v>1</v>
      </c>
      <c r="N3032" s="7">
        <v>0</v>
      </c>
      <c r="O3032" t="s">
        <v>5093</v>
      </c>
      <c r="P3032" s="3" t="s">
        <v>29</v>
      </c>
      <c r="Q3032" s="8">
        <v>0.25116699999999997</v>
      </c>
    </row>
    <row r="3033" spans="1:17" hidden="1" x14ac:dyDescent="0.55000000000000004">
      <c r="A3033" s="3" t="s">
        <v>4815</v>
      </c>
      <c r="B3033" s="3" t="s">
        <v>5088</v>
      </c>
      <c r="C3033" t="s">
        <v>4988</v>
      </c>
      <c r="D3033" s="3" t="s">
        <v>7314</v>
      </c>
      <c r="E3033" t="s">
        <v>5096</v>
      </c>
      <c r="F3033" s="3" t="s">
        <v>5097</v>
      </c>
      <c r="G3033" t="s">
        <v>24</v>
      </c>
      <c r="H3033" s="3" t="s">
        <v>5004</v>
      </c>
      <c r="I3033" t="s">
        <v>309</v>
      </c>
      <c r="J3033" s="3" t="s">
        <v>4999</v>
      </c>
      <c r="K3033" s="4">
        <v>910</v>
      </c>
      <c r="L3033" s="5">
        <v>0</v>
      </c>
      <c r="M3033" s="6">
        <v>0</v>
      </c>
      <c r="N3033" s="7">
        <v>0</v>
      </c>
      <c r="O3033" t="s">
        <v>23</v>
      </c>
      <c r="P3033" s="3" t="s">
        <v>23</v>
      </c>
      <c r="Q3033" s="8" t="s">
        <v>23</v>
      </c>
    </row>
    <row r="3034" spans="1:17" hidden="1" x14ac:dyDescent="0.55000000000000004">
      <c r="A3034" s="3" t="s">
        <v>4815</v>
      </c>
      <c r="B3034" s="3" t="s">
        <v>5088</v>
      </c>
      <c r="C3034" t="s">
        <v>4988</v>
      </c>
      <c r="D3034" s="3" t="s">
        <v>7314</v>
      </c>
      <c r="E3034" t="s">
        <v>5096</v>
      </c>
      <c r="F3034" s="3" t="s">
        <v>5097</v>
      </c>
      <c r="G3034" t="s">
        <v>24</v>
      </c>
      <c r="H3034" s="3" t="s">
        <v>5005</v>
      </c>
      <c r="I3034" t="s">
        <v>218</v>
      </c>
      <c r="J3034" s="3" t="s">
        <v>4999</v>
      </c>
      <c r="K3034" s="4">
        <v>983</v>
      </c>
      <c r="L3034" s="5">
        <v>0</v>
      </c>
      <c r="M3034" s="6">
        <v>0</v>
      </c>
      <c r="N3034" s="7">
        <v>0</v>
      </c>
      <c r="O3034" t="s">
        <v>5006</v>
      </c>
      <c r="P3034" s="3" t="s">
        <v>23</v>
      </c>
      <c r="Q3034" s="8" t="s">
        <v>23</v>
      </c>
    </row>
    <row r="3035" spans="1:17" hidden="1" x14ac:dyDescent="0.55000000000000004">
      <c r="A3035" s="3" t="s">
        <v>4815</v>
      </c>
      <c r="B3035" s="3" t="s">
        <v>5088</v>
      </c>
      <c r="C3035" t="s">
        <v>4988</v>
      </c>
      <c r="D3035" s="3" t="s">
        <v>7314</v>
      </c>
      <c r="E3035" t="s">
        <v>5096</v>
      </c>
      <c r="F3035" s="3" t="s">
        <v>5097</v>
      </c>
      <c r="G3035" t="s">
        <v>24</v>
      </c>
      <c r="H3035" s="3" t="s">
        <v>5007</v>
      </c>
      <c r="I3035" t="s">
        <v>313</v>
      </c>
      <c r="J3035" s="3" t="s">
        <v>4999</v>
      </c>
      <c r="K3035" s="4">
        <v>1109</v>
      </c>
      <c r="L3035" s="5">
        <v>0</v>
      </c>
      <c r="M3035" s="6">
        <v>0</v>
      </c>
      <c r="N3035" s="7">
        <v>0</v>
      </c>
      <c r="O3035" t="s">
        <v>23</v>
      </c>
      <c r="P3035" s="3" t="s">
        <v>23</v>
      </c>
      <c r="Q3035" s="8" t="s">
        <v>23</v>
      </c>
    </row>
    <row r="3036" spans="1:17" hidden="1" x14ac:dyDescent="0.55000000000000004">
      <c r="A3036" s="3" t="s">
        <v>4815</v>
      </c>
      <c r="B3036" s="3" t="s">
        <v>5088</v>
      </c>
      <c r="C3036" t="s">
        <v>4988</v>
      </c>
      <c r="D3036" s="3" t="s">
        <v>7314</v>
      </c>
      <c r="E3036" t="s">
        <v>5096</v>
      </c>
      <c r="F3036" s="3" t="s">
        <v>5097</v>
      </c>
      <c r="G3036" t="s">
        <v>24</v>
      </c>
      <c r="H3036" s="3" t="s">
        <v>5008</v>
      </c>
      <c r="I3036" t="s">
        <v>315</v>
      </c>
      <c r="J3036" s="3" t="s">
        <v>4999</v>
      </c>
      <c r="K3036" s="4">
        <v>824</v>
      </c>
      <c r="L3036" s="5">
        <v>0</v>
      </c>
      <c r="M3036" s="6">
        <v>0</v>
      </c>
      <c r="N3036" s="7">
        <v>0</v>
      </c>
      <c r="O3036" t="s">
        <v>23</v>
      </c>
      <c r="P3036" s="3" t="s">
        <v>23</v>
      </c>
      <c r="Q3036" s="8" t="s">
        <v>23</v>
      </c>
    </row>
    <row r="3037" spans="1:17" hidden="1" x14ac:dyDescent="0.55000000000000004">
      <c r="A3037" s="3" t="s">
        <v>4815</v>
      </c>
      <c r="B3037" s="3" t="s">
        <v>5088</v>
      </c>
      <c r="C3037" t="s">
        <v>4988</v>
      </c>
      <c r="D3037" s="3" t="s">
        <v>7314</v>
      </c>
      <c r="E3037" t="s">
        <v>5096</v>
      </c>
      <c r="F3037" s="3" t="s">
        <v>5097</v>
      </c>
      <c r="G3037" t="s">
        <v>24</v>
      </c>
      <c r="H3037" s="3" t="s">
        <v>5009</v>
      </c>
      <c r="I3037" t="s">
        <v>317</v>
      </c>
      <c r="J3037" s="3" t="s">
        <v>4999</v>
      </c>
      <c r="K3037" s="4">
        <v>942</v>
      </c>
      <c r="L3037" s="5">
        <v>0</v>
      </c>
      <c r="M3037" s="6">
        <v>0</v>
      </c>
      <c r="N3037" s="7">
        <v>0</v>
      </c>
      <c r="O3037" t="s">
        <v>23</v>
      </c>
      <c r="P3037" s="3" t="s">
        <v>23</v>
      </c>
      <c r="Q3037" s="8" t="s">
        <v>23</v>
      </c>
    </row>
    <row r="3038" spans="1:17" hidden="1" x14ac:dyDescent="0.55000000000000004">
      <c r="A3038" s="3" t="s">
        <v>4815</v>
      </c>
      <c r="B3038" s="3" t="s">
        <v>5098</v>
      </c>
      <c r="C3038" t="s">
        <v>4971</v>
      </c>
      <c r="D3038" s="3" t="s">
        <v>7314</v>
      </c>
      <c r="E3038" t="s">
        <v>5099</v>
      </c>
      <c r="F3038" s="3" t="s">
        <v>5100</v>
      </c>
      <c r="G3038" t="s">
        <v>19</v>
      </c>
      <c r="H3038" s="3" t="s">
        <v>5101</v>
      </c>
      <c r="I3038" t="s">
        <v>4929</v>
      </c>
      <c r="J3038" s="3" t="s">
        <v>5102</v>
      </c>
      <c r="K3038" s="4">
        <v>285</v>
      </c>
      <c r="L3038" s="5">
        <v>61.96</v>
      </c>
      <c r="M3038" s="6">
        <v>1</v>
      </c>
      <c r="N3038" s="7">
        <v>1</v>
      </c>
      <c r="O3038" t="s">
        <v>5103</v>
      </c>
      <c r="P3038" s="3" t="s">
        <v>1610</v>
      </c>
      <c r="Q3038" s="8">
        <v>5.5856999999999997E-2</v>
      </c>
    </row>
    <row r="3039" spans="1:17" hidden="1" x14ac:dyDescent="0.55000000000000004">
      <c r="A3039" s="3" t="s">
        <v>4815</v>
      </c>
      <c r="B3039" s="3" t="s">
        <v>5098</v>
      </c>
      <c r="C3039" t="s">
        <v>4971</v>
      </c>
      <c r="D3039" s="3" t="s">
        <v>7314</v>
      </c>
      <c r="E3039" t="s">
        <v>5099</v>
      </c>
      <c r="F3039" s="3" t="s">
        <v>5100</v>
      </c>
      <c r="G3039" t="s">
        <v>24</v>
      </c>
      <c r="H3039" s="3" t="s">
        <v>4852</v>
      </c>
      <c r="I3039" t="s">
        <v>52</v>
      </c>
      <c r="J3039" s="3" t="s">
        <v>4853</v>
      </c>
      <c r="K3039" s="4">
        <v>606</v>
      </c>
      <c r="L3039" s="5">
        <v>0</v>
      </c>
      <c r="M3039" s="6">
        <v>0</v>
      </c>
      <c r="N3039" s="7">
        <v>1</v>
      </c>
      <c r="O3039" t="s">
        <v>23</v>
      </c>
      <c r="P3039" s="3" t="s">
        <v>23</v>
      </c>
      <c r="Q3039" s="8" t="s">
        <v>23</v>
      </c>
    </row>
    <row r="3040" spans="1:17" hidden="1" x14ac:dyDescent="0.55000000000000004">
      <c r="A3040" s="3" t="s">
        <v>4815</v>
      </c>
      <c r="B3040" s="3" t="s">
        <v>5098</v>
      </c>
      <c r="C3040" t="s">
        <v>4971</v>
      </c>
      <c r="D3040" s="3" t="s">
        <v>7314</v>
      </c>
      <c r="E3040" t="s">
        <v>5099</v>
      </c>
      <c r="F3040" s="3" t="s">
        <v>5100</v>
      </c>
      <c r="G3040" t="s">
        <v>24</v>
      </c>
      <c r="H3040" s="3" t="s">
        <v>4854</v>
      </c>
      <c r="I3040" t="s">
        <v>296</v>
      </c>
      <c r="J3040" s="3" t="s">
        <v>4853</v>
      </c>
      <c r="K3040" s="4">
        <v>555</v>
      </c>
      <c r="L3040" s="5">
        <v>0</v>
      </c>
      <c r="M3040" s="6">
        <v>0</v>
      </c>
      <c r="N3040" s="7">
        <v>1</v>
      </c>
      <c r="O3040" t="s">
        <v>23</v>
      </c>
      <c r="P3040" s="3" t="s">
        <v>23</v>
      </c>
      <c r="Q3040" s="8" t="s">
        <v>23</v>
      </c>
    </row>
    <row r="3041" spans="1:17" hidden="1" x14ac:dyDescent="0.55000000000000004">
      <c r="A3041" s="3" t="s">
        <v>4815</v>
      </c>
      <c r="B3041" s="3" t="s">
        <v>5098</v>
      </c>
      <c r="C3041" t="s">
        <v>4971</v>
      </c>
      <c r="D3041" s="3" t="s">
        <v>7314</v>
      </c>
      <c r="E3041" t="s">
        <v>5099</v>
      </c>
      <c r="F3041" s="3" t="s">
        <v>5100</v>
      </c>
      <c r="G3041" t="s">
        <v>24</v>
      </c>
      <c r="H3041" s="3" t="s">
        <v>4855</v>
      </c>
      <c r="I3041" t="s">
        <v>304</v>
      </c>
      <c r="J3041" s="3" t="s">
        <v>4853</v>
      </c>
      <c r="K3041" s="4">
        <v>847</v>
      </c>
      <c r="L3041" s="5">
        <v>0</v>
      </c>
      <c r="M3041" s="6">
        <v>0</v>
      </c>
      <c r="N3041" s="7">
        <v>1</v>
      </c>
      <c r="O3041" t="s">
        <v>23</v>
      </c>
      <c r="P3041" s="3" t="s">
        <v>23</v>
      </c>
      <c r="Q3041" s="8" t="s">
        <v>23</v>
      </c>
    </row>
    <row r="3042" spans="1:17" hidden="1" x14ac:dyDescent="0.55000000000000004">
      <c r="A3042" s="3" t="s">
        <v>4815</v>
      </c>
      <c r="B3042" s="3" t="s">
        <v>5098</v>
      </c>
      <c r="C3042" t="s">
        <v>4971</v>
      </c>
      <c r="D3042" s="3" t="s">
        <v>7314</v>
      </c>
      <c r="E3042" t="s">
        <v>5099</v>
      </c>
      <c r="F3042" s="3" t="s">
        <v>5100</v>
      </c>
      <c r="G3042" t="s">
        <v>24</v>
      </c>
      <c r="H3042" s="3" t="s">
        <v>4856</v>
      </c>
      <c r="I3042" t="s">
        <v>298</v>
      </c>
      <c r="J3042" s="3" t="s">
        <v>4853</v>
      </c>
      <c r="K3042" s="4">
        <v>732</v>
      </c>
      <c r="L3042" s="5">
        <v>0</v>
      </c>
      <c r="M3042" s="6">
        <v>0</v>
      </c>
      <c r="N3042" s="7">
        <v>1</v>
      </c>
      <c r="O3042" t="s">
        <v>23</v>
      </c>
      <c r="P3042" s="3" t="s">
        <v>23</v>
      </c>
      <c r="Q3042" s="8" t="s">
        <v>23</v>
      </c>
    </row>
    <row r="3043" spans="1:17" hidden="1" x14ac:dyDescent="0.55000000000000004">
      <c r="A3043" s="3" t="s">
        <v>4815</v>
      </c>
      <c r="B3043" s="3" t="s">
        <v>5098</v>
      </c>
      <c r="C3043" t="s">
        <v>4971</v>
      </c>
      <c r="D3043" s="3" t="s">
        <v>7314</v>
      </c>
      <c r="E3043" t="s">
        <v>5099</v>
      </c>
      <c r="F3043" s="3" t="s">
        <v>5100</v>
      </c>
      <c r="G3043" t="s">
        <v>24</v>
      </c>
      <c r="H3043" s="3" t="s">
        <v>4857</v>
      </c>
      <c r="I3043" t="s">
        <v>300</v>
      </c>
      <c r="J3043" s="3" t="s">
        <v>4853</v>
      </c>
      <c r="K3043" s="4">
        <v>758</v>
      </c>
      <c r="L3043" s="5">
        <v>0</v>
      </c>
      <c r="M3043" s="6">
        <v>0</v>
      </c>
      <c r="N3043" s="7">
        <v>1</v>
      </c>
      <c r="O3043" t="s">
        <v>23</v>
      </c>
      <c r="P3043" s="3" t="s">
        <v>23</v>
      </c>
      <c r="Q3043" s="8" t="s">
        <v>23</v>
      </c>
    </row>
    <row r="3044" spans="1:17" hidden="1" x14ac:dyDescent="0.55000000000000004">
      <c r="A3044" s="3" t="s">
        <v>4815</v>
      </c>
      <c r="B3044" s="3" t="s">
        <v>5098</v>
      </c>
      <c r="C3044" t="s">
        <v>4971</v>
      </c>
      <c r="D3044" s="3" t="s">
        <v>7314</v>
      </c>
      <c r="E3044" t="s">
        <v>5099</v>
      </c>
      <c r="F3044" s="3" t="s">
        <v>5100</v>
      </c>
      <c r="G3044" t="s">
        <v>24</v>
      </c>
      <c r="H3044" s="3" t="s">
        <v>4858</v>
      </c>
      <c r="I3044" t="s">
        <v>302</v>
      </c>
      <c r="J3044" s="3" t="s">
        <v>4853</v>
      </c>
      <c r="K3044" s="4">
        <v>903</v>
      </c>
      <c r="L3044" s="5">
        <v>0</v>
      </c>
      <c r="M3044" s="6">
        <v>0</v>
      </c>
      <c r="N3044" s="7">
        <v>1</v>
      </c>
      <c r="O3044" t="s">
        <v>23</v>
      </c>
      <c r="P3044" s="3" t="s">
        <v>23</v>
      </c>
      <c r="Q3044" s="8" t="s">
        <v>23</v>
      </c>
    </row>
    <row r="3045" spans="1:17" hidden="1" x14ac:dyDescent="0.55000000000000004">
      <c r="A3045" s="3" t="s">
        <v>4815</v>
      </c>
      <c r="B3045" s="3" t="s">
        <v>5098</v>
      </c>
      <c r="C3045" t="s">
        <v>4971</v>
      </c>
      <c r="D3045" s="3" t="s">
        <v>7314</v>
      </c>
      <c r="E3045" t="s">
        <v>5099</v>
      </c>
      <c r="F3045" s="3" t="s">
        <v>5100</v>
      </c>
      <c r="G3045" t="s">
        <v>24</v>
      </c>
      <c r="H3045" s="3" t="s">
        <v>5104</v>
      </c>
      <c r="I3045" t="s">
        <v>26</v>
      </c>
      <c r="J3045" s="3" t="s">
        <v>5105</v>
      </c>
      <c r="K3045" s="4">
        <v>792</v>
      </c>
      <c r="L3045" s="5">
        <v>36.01</v>
      </c>
      <c r="M3045" s="6">
        <v>1</v>
      </c>
      <c r="N3045" s="7">
        <v>1</v>
      </c>
      <c r="O3045" t="s">
        <v>5106</v>
      </c>
      <c r="P3045" s="3" t="s">
        <v>76</v>
      </c>
      <c r="Q3045" s="8">
        <v>0.192167</v>
      </c>
    </row>
    <row r="3046" spans="1:17" hidden="1" x14ac:dyDescent="0.55000000000000004">
      <c r="A3046" s="3" t="s">
        <v>4815</v>
      </c>
      <c r="B3046" s="3" t="s">
        <v>5098</v>
      </c>
      <c r="C3046" t="s">
        <v>4971</v>
      </c>
      <c r="D3046" s="3" t="s">
        <v>7314</v>
      </c>
      <c r="E3046" t="s">
        <v>5099</v>
      </c>
      <c r="F3046" s="3" t="s">
        <v>5100</v>
      </c>
      <c r="G3046" t="s">
        <v>24</v>
      </c>
      <c r="H3046" s="3" t="s">
        <v>5107</v>
      </c>
      <c r="I3046" t="s">
        <v>218</v>
      </c>
      <c r="J3046" s="3" t="s">
        <v>5105</v>
      </c>
      <c r="K3046" s="4">
        <v>1093</v>
      </c>
      <c r="L3046" s="5">
        <v>49.7</v>
      </c>
      <c r="M3046" s="6">
        <v>0</v>
      </c>
      <c r="N3046" s="7">
        <v>1</v>
      </c>
      <c r="O3046" t="s">
        <v>5108</v>
      </c>
      <c r="P3046" s="3" t="s">
        <v>23</v>
      </c>
      <c r="Q3046" s="8" t="s">
        <v>23</v>
      </c>
    </row>
    <row r="3047" spans="1:17" hidden="1" x14ac:dyDescent="0.55000000000000004">
      <c r="A3047" s="3" t="s">
        <v>4815</v>
      </c>
      <c r="B3047" s="3" t="s">
        <v>5098</v>
      </c>
      <c r="C3047" t="s">
        <v>4971</v>
      </c>
      <c r="D3047" s="3" t="s">
        <v>7314</v>
      </c>
      <c r="E3047" t="s">
        <v>5099</v>
      </c>
      <c r="F3047" s="3" t="s">
        <v>5100</v>
      </c>
      <c r="G3047" t="s">
        <v>24</v>
      </c>
      <c r="H3047" s="3" t="s">
        <v>4864</v>
      </c>
      <c r="I3047" t="s">
        <v>309</v>
      </c>
      <c r="J3047" s="3" t="s">
        <v>4865</v>
      </c>
      <c r="K3047" s="4">
        <v>734</v>
      </c>
      <c r="L3047" s="5">
        <v>0</v>
      </c>
      <c r="M3047" s="6">
        <v>0</v>
      </c>
      <c r="N3047" s="7">
        <v>1</v>
      </c>
      <c r="O3047" t="s">
        <v>23</v>
      </c>
      <c r="P3047" s="3" t="s">
        <v>23</v>
      </c>
      <c r="Q3047" s="8" t="s">
        <v>23</v>
      </c>
    </row>
    <row r="3048" spans="1:17" hidden="1" x14ac:dyDescent="0.55000000000000004">
      <c r="A3048" s="3" t="s">
        <v>4815</v>
      </c>
      <c r="B3048" s="3" t="s">
        <v>5098</v>
      </c>
      <c r="C3048" t="s">
        <v>4971</v>
      </c>
      <c r="D3048" s="3" t="s">
        <v>7314</v>
      </c>
      <c r="E3048" t="s">
        <v>5099</v>
      </c>
      <c r="F3048" s="3" t="s">
        <v>5100</v>
      </c>
      <c r="G3048" t="s">
        <v>24</v>
      </c>
      <c r="H3048" s="3" t="s">
        <v>4866</v>
      </c>
      <c r="I3048" t="s">
        <v>218</v>
      </c>
      <c r="J3048" s="3" t="s">
        <v>4865</v>
      </c>
      <c r="K3048" s="4">
        <v>845</v>
      </c>
      <c r="L3048" s="5">
        <v>0</v>
      </c>
      <c r="M3048" s="6">
        <v>0</v>
      </c>
      <c r="N3048" s="7">
        <v>1</v>
      </c>
      <c r="O3048" t="s">
        <v>23</v>
      </c>
      <c r="P3048" s="3" t="s">
        <v>23</v>
      </c>
      <c r="Q3048" s="8" t="s">
        <v>23</v>
      </c>
    </row>
    <row r="3049" spans="1:17" hidden="1" x14ac:dyDescent="0.55000000000000004">
      <c r="A3049" s="3" t="s">
        <v>4815</v>
      </c>
      <c r="B3049" s="3" t="s">
        <v>5098</v>
      </c>
      <c r="C3049" t="s">
        <v>4971</v>
      </c>
      <c r="D3049" s="3" t="s">
        <v>7314</v>
      </c>
      <c r="E3049" t="s">
        <v>5099</v>
      </c>
      <c r="F3049" s="3" t="s">
        <v>5100</v>
      </c>
      <c r="G3049" t="s">
        <v>24</v>
      </c>
      <c r="H3049" s="3" t="s">
        <v>4867</v>
      </c>
      <c r="I3049" t="s">
        <v>317</v>
      </c>
      <c r="J3049" s="3" t="s">
        <v>4865</v>
      </c>
      <c r="K3049" s="4">
        <v>738</v>
      </c>
      <c r="L3049" s="5">
        <v>0</v>
      </c>
      <c r="M3049" s="6">
        <v>0</v>
      </c>
      <c r="N3049" s="7">
        <v>1</v>
      </c>
      <c r="O3049" t="s">
        <v>23</v>
      </c>
      <c r="P3049" s="3" t="s">
        <v>23</v>
      </c>
      <c r="Q3049" s="8" t="s">
        <v>23</v>
      </c>
    </row>
    <row r="3050" spans="1:17" hidden="1" x14ac:dyDescent="0.55000000000000004">
      <c r="A3050" s="3" t="s">
        <v>4815</v>
      </c>
      <c r="B3050" s="3" t="s">
        <v>5098</v>
      </c>
      <c r="C3050" t="s">
        <v>4971</v>
      </c>
      <c r="D3050" s="3" t="s">
        <v>7314</v>
      </c>
      <c r="E3050" t="s">
        <v>5099</v>
      </c>
      <c r="F3050" s="3" t="s">
        <v>5100</v>
      </c>
      <c r="G3050" t="s">
        <v>24</v>
      </c>
      <c r="H3050" s="3" t="s">
        <v>4868</v>
      </c>
      <c r="I3050" t="s">
        <v>313</v>
      </c>
      <c r="J3050" s="3" t="s">
        <v>4865</v>
      </c>
      <c r="K3050" s="4">
        <v>912</v>
      </c>
      <c r="L3050" s="5">
        <v>0</v>
      </c>
      <c r="M3050" s="6">
        <v>0</v>
      </c>
      <c r="N3050" s="7">
        <v>1</v>
      </c>
      <c r="O3050" t="s">
        <v>23</v>
      </c>
      <c r="P3050" s="3" t="s">
        <v>23</v>
      </c>
      <c r="Q3050" s="8" t="s">
        <v>23</v>
      </c>
    </row>
    <row r="3051" spans="1:17" hidden="1" x14ac:dyDescent="0.55000000000000004">
      <c r="A3051" s="3" t="s">
        <v>4815</v>
      </c>
      <c r="B3051" s="3" t="s">
        <v>5098</v>
      </c>
      <c r="C3051" t="s">
        <v>4971</v>
      </c>
      <c r="D3051" s="3" t="s">
        <v>7314</v>
      </c>
      <c r="E3051" t="s">
        <v>5099</v>
      </c>
      <c r="F3051" s="3" t="s">
        <v>5100</v>
      </c>
      <c r="G3051" t="s">
        <v>24</v>
      </c>
      <c r="H3051" s="3" t="s">
        <v>4869</v>
      </c>
      <c r="I3051" t="s">
        <v>315</v>
      </c>
      <c r="J3051" s="3" t="s">
        <v>4865</v>
      </c>
      <c r="K3051" s="4">
        <v>598</v>
      </c>
      <c r="L3051" s="5">
        <v>0</v>
      </c>
      <c r="M3051" s="6">
        <v>0</v>
      </c>
      <c r="N3051" s="7">
        <v>1</v>
      </c>
      <c r="O3051" t="s">
        <v>23</v>
      </c>
      <c r="P3051" s="3" t="s">
        <v>23</v>
      </c>
      <c r="Q3051" s="8" t="s">
        <v>23</v>
      </c>
    </row>
    <row r="3052" spans="1:17" hidden="1" x14ac:dyDescent="0.55000000000000004">
      <c r="A3052" s="3" t="s">
        <v>4815</v>
      </c>
      <c r="B3052" s="3" t="s">
        <v>5098</v>
      </c>
      <c r="C3052" t="s">
        <v>4971</v>
      </c>
      <c r="D3052" s="3" t="s">
        <v>7314</v>
      </c>
      <c r="E3052" t="s">
        <v>5109</v>
      </c>
      <c r="F3052" s="3" t="s">
        <v>5110</v>
      </c>
      <c r="G3052" t="s">
        <v>19</v>
      </c>
      <c r="H3052" s="3" t="s">
        <v>5101</v>
      </c>
      <c r="I3052" t="s">
        <v>4929</v>
      </c>
      <c r="J3052" s="3" t="s">
        <v>5102</v>
      </c>
      <c r="K3052" s="4">
        <v>285</v>
      </c>
      <c r="L3052" s="5">
        <v>61.96</v>
      </c>
      <c r="M3052" s="6">
        <v>1</v>
      </c>
      <c r="N3052" s="7">
        <v>0</v>
      </c>
      <c r="O3052" t="s">
        <v>5103</v>
      </c>
      <c r="P3052" s="3" t="s">
        <v>1610</v>
      </c>
      <c r="Q3052" s="8">
        <v>5.5856999999999997E-2</v>
      </c>
    </row>
    <row r="3053" spans="1:17" hidden="1" x14ac:dyDescent="0.55000000000000004">
      <c r="A3053" s="3" t="s">
        <v>4815</v>
      </c>
      <c r="B3053" s="3" t="s">
        <v>5098</v>
      </c>
      <c r="C3053" t="s">
        <v>4971</v>
      </c>
      <c r="D3053" s="3" t="s">
        <v>7314</v>
      </c>
      <c r="E3053" t="s">
        <v>5109</v>
      </c>
      <c r="F3053" s="3" t="s">
        <v>5110</v>
      </c>
      <c r="G3053" t="s">
        <v>24</v>
      </c>
      <c r="H3053" s="3" t="s">
        <v>4852</v>
      </c>
      <c r="I3053" t="s">
        <v>52</v>
      </c>
      <c r="J3053" s="3" t="s">
        <v>4853</v>
      </c>
      <c r="K3053" s="4">
        <v>606</v>
      </c>
      <c r="L3053" s="5">
        <v>0</v>
      </c>
      <c r="M3053" s="6">
        <v>0</v>
      </c>
      <c r="N3053" s="7">
        <v>0</v>
      </c>
      <c r="O3053" t="s">
        <v>23</v>
      </c>
      <c r="P3053" s="3" t="s">
        <v>23</v>
      </c>
      <c r="Q3053" s="8" t="s">
        <v>23</v>
      </c>
    </row>
    <row r="3054" spans="1:17" hidden="1" x14ac:dyDescent="0.55000000000000004">
      <c r="A3054" s="3" t="s">
        <v>4815</v>
      </c>
      <c r="B3054" s="3" t="s">
        <v>5098</v>
      </c>
      <c r="C3054" t="s">
        <v>4971</v>
      </c>
      <c r="D3054" s="3" t="s">
        <v>7314</v>
      </c>
      <c r="E3054" t="s">
        <v>5109</v>
      </c>
      <c r="F3054" s="3" t="s">
        <v>5110</v>
      </c>
      <c r="G3054" t="s">
        <v>24</v>
      </c>
      <c r="H3054" s="3" t="s">
        <v>4854</v>
      </c>
      <c r="I3054" t="s">
        <v>296</v>
      </c>
      <c r="J3054" s="3" t="s">
        <v>4853</v>
      </c>
      <c r="K3054" s="4">
        <v>555</v>
      </c>
      <c r="L3054" s="5">
        <v>0</v>
      </c>
      <c r="M3054" s="6">
        <v>0</v>
      </c>
      <c r="N3054" s="7">
        <v>0</v>
      </c>
      <c r="O3054" t="s">
        <v>23</v>
      </c>
      <c r="P3054" s="3" t="s">
        <v>23</v>
      </c>
      <c r="Q3054" s="8" t="s">
        <v>23</v>
      </c>
    </row>
    <row r="3055" spans="1:17" hidden="1" x14ac:dyDescent="0.55000000000000004">
      <c r="A3055" s="3" t="s">
        <v>4815</v>
      </c>
      <c r="B3055" s="3" t="s">
        <v>5098</v>
      </c>
      <c r="C3055" t="s">
        <v>4971</v>
      </c>
      <c r="D3055" s="3" t="s">
        <v>7314</v>
      </c>
      <c r="E3055" t="s">
        <v>5109</v>
      </c>
      <c r="F3055" s="3" t="s">
        <v>5110</v>
      </c>
      <c r="G3055" t="s">
        <v>24</v>
      </c>
      <c r="H3055" s="3" t="s">
        <v>4855</v>
      </c>
      <c r="I3055" t="s">
        <v>304</v>
      </c>
      <c r="J3055" s="3" t="s">
        <v>4853</v>
      </c>
      <c r="K3055" s="4">
        <v>847</v>
      </c>
      <c r="L3055" s="5">
        <v>0</v>
      </c>
      <c r="M3055" s="6">
        <v>0</v>
      </c>
      <c r="N3055" s="7">
        <v>0</v>
      </c>
      <c r="O3055" t="s">
        <v>23</v>
      </c>
      <c r="P3055" s="3" t="s">
        <v>23</v>
      </c>
      <c r="Q3055" s="8" t="s">
        <v>23</v>
      </c>
    </row>
    <row r="3056" spans="1:17" hidden="1" x14ac:dyDescent="0.55000000000000004">
      <c r="A3056" s="3" t="s">
        <v>4815</v>
      </c>
      <c r="B3056" s="3" t="s">
        <v>5098</v>
      </c>
      <c r="C3056" t="s">
        <v>4971</v>
      </c>
      <c r="D3056" s="3" t="s">
        <v>7314</v>
      </c>
      <c r="E3056" t="s">
        <v>5109</v>
      </c>
      <c r="F3056" s="3" t="s">
        <v>5110</v>
      </c>
      <c r="G3056" t="s">
        <v>24</v>
      </c>
      <c r="H3056" s="3" t="s">
        <v>4856</v>
      </c>
      <c r="I3056" t="s">
        <v>298</v>
      </c>
      <c r="J3056" s="3" t="s">
        <v>4853</v>
      </c>
      <c r="K3056" s="4">
        <v>732</v>
      </c>
      <c r="L3056" s="5">
        <v>0</v>
      </c>
      <c r="M3056" s="6">
        <v>0</v>
      </c>
      <c r="N3056" s="7">
        <v>0</v>
      </c>
      <c r="O3056" t="s">
        <v>23</v>
      </c>
      <c r="P3056" s="3" t="s">
        <v>23</v>
      </c>
      <c r="Q3056" s="8" t="s">
        <v>23</v>
      </c>
    </row>
    <row r="3057" spans="1:17" hidden="1" x14ac:dyDescent="0.55000000000000004">
      <c r="A3057" s="3" t="s">
        <v>4815</v>
      </c>
      <c r="B3057" s="3" t="s">
        <v>5098</v>
      </c>
      <c r="C3057" t="s">
        <v>4971</v>
      </c>
      <c r="D3057" s="3" t="s">
        <v>7314</v>
      </c>
      <c r="E3057" t="s">
        <v>5109</v>
      </c>
      <c r="F3057" s="3" t="s">
        <v>5110</v>
      </c>
      <c r="G3057" t="s">
        <v>24</v>
      </c>
      <c r="H3057" s="3" t="s">
        <v>4857</v>
      </c>
      <c r="I3057" t="s">
        <v>300</v>
      </c>
      <c r="J3057" s="3" t="s">
        <v>4853</v>
      </c>
      <c r="K3057" s="4">
        <v>758</v>
      </c>
      <c r="L3057" s="5">
        <v>0</v>
      </c>
      <c r="M3057" s="6">
        <v>0</v>
      </c>
      <c r="N3057" s="7">
        <v>0</v>
      </c>
      <c r="O3057" t="s">
        <v>23</v>
      </c>
      <c r="P3057" s="3" t="s">
        <v>23</v>
      </c>
      <c r="Q3057" s="8" t="s">
        <v>23</v>
      </c>
    </row>
    <row r="3058" spans="1:17" hidden="1" x14ac:dyDescent="0.55000000000000004">
      <c r="A3058" s="3" t="s">
        <v>4815</v>
      </c>
      <c r="B3058" s="3" t="s">
        <v>5098</v>
      </c>
      <c r="C3058" t="s">
        <v>4971</v>
      </c>
      <c r="D3058" s="3" t="s">
        <v>7314</v>
      </c>
      <c r="E3058" t="s">
        <v>5109</v>
      </c>
      <c r="F3058" s="3" t="s">
        <v>5110</v>
      </c>
      <c r="G3058" t="s">
        <v>24</v>
      </c>
      <c r="H3058" s="3" t="s">
        <v>4858</v>
      </c>
      <c r="I3058" t="s">
        <v>302</v>
      </c>
      <c r="J3058" s="3" t="s">
        <v>4853</v>
      </c>
      <c r="K3058" s="4">
        <v>903</v>
      </c>
      <c r="L3058" s="5">
        <v>0</v>
      </c>
      <c r="M3058" s="6">
        <v>0</v>
      </c>
      <c r="N3058" s="7">
        <v>0</v>
      </c>
      <c r="O3058" t="s">
        <v>23</v>
      </c>
      <c r="P3058" s="3" t="s">
        <v>23</v>
      </c>
      <c r="Q3058" s="8" t="s">
        <v>23</v>
      </c>
    </row>
    <row r="3059" spans="1:17" hidden="1" x14ac:dyDescent="0.55000000000000004">
      <c r="A3059" s="3" t="s">
        <v>4815</v>
      </c>
      <c r="B3059" s="3" t="s">
        <v>5098</v>
      </c>
      <c r="C3059" t="s">
        <v>4971</v>
      </c>
      <c r="D3059" s="3" t="s">
        <v>7314</v>
      </c>
      <c r="E3059" t="s">
        <v>5109</v>
      </c>
      <c r="F3059" s="3" t="s">
        <v>5110</v>
      </c>
      <c r="G3059" t="s">
        <v>24</v>
      </c>
      <c r="H3059" s="3" t="s">
        <v>5104</v>
      </c>
      <c r="I3059" t="s">
        <v>26</v>
      </c>
      <c r="J3059" s="3" t="s">
        <v>5105</v>
      </c>
      <c r="K3059" s="4">
        <v>792</v>
      </c>
      <c r="L3059" s="5">
        <v>36.01</v>
      </c>
      <c r="M3059" s="6">
        <v>1</v>
      </c>
      <c r="N3059" s="7">
        <v>0</v>
      </c>
      <c r="O3059" t="s">
        <v>5106</v>
      </c>
      <c r="P3059" s="3" t="s">
        <v>76</v>
      </c>
      <c r="Q3059" s="8">
        <v>0.192167</v>
      </c>
    </row>
    <row r="3060" spans="1:17" hidden="1" x14ac:dyDescent="0.55000000000000004">
      <c r="A3060" s="3" t="s">
        <v>4815</v>
      </c>
      <c r="B3060" s="3" t="s">
        <v>5098</v>
      </c>
      <c r="C3060" t="s">
        <v>4971</v>
      </c>
      <c r="D3060" s="3" t="s">
        <v>7314</v>
      </c>
      <c r="E3060" t="s">
        <v>5109</v>
      </c>
      <c r="F3060" s="3" t="s">
        <v>5110</v>
      </c>
      <c r="G3060" t="s">
        <v>24</v>
      </c>
      <c r="H3060" s="3" t="s">
        <v>5107</v>
      </c>
      <c r="I3060" t="s">
        <v>218</v>
      </c>
      <c r="J3060" s="3" t="s">
        <v>5105</v>
      </c>
      <c r="K3060" s="4">
        <v>1093</v>
      </c>
      <c r="L3060" s="5">
        <v>49.7</v>
      </c>
      <c r="M3060" s="6">
        <v>0</v>
      </c>
      <c r="N3060" s="7">
        <v>0</v>
      </c>
      <c r="O3060" t="s">
        <v>5108</v>
      </c>
      <c r="P3060" s="3" t="s">
        <v>23</v>
      </c>
      <c r="Q3060" s="8" t="s">
        <v>23</v>
      </c>
    </row>
    <row r="3061" spans="1:17" hidden="1" x14ac:dyDescent="0.55000000000000004">
      <c r="A3061" s="3" t="s">
        <v>4815</v>
      </c>
      <c r="B3061" s="3" t="s">
        <v>5098</v>
      </c>
      <c r="C3061" t="s">
        <v>4971</v>
      </c>
      <c r="D3061" s="3" t="s">
        <v>7314</v>
      </c>
      <c r="E3061" t="s">
        <v>5109</v>
      </c>
      <c r="F3061" s="3" t="s">
        <v>5110</v>
      </c>
      <c r="G3061" t="s">
        <v>24</v>
      </c>
      <c r="H3061" s="3" t="s">
        <v>4864</v>
      </c>
      <c r="I3061" t="s">
        <v>309</v>
      </c>
      <c r="J3061" s="3" t="s">
        <v>4865</v>
      </c>
      <c r="K3061" s="4">
        <v>734</v>
      </c>
      <c r="L3061" s="5">
        <v>0</v>
      </c>
      <c r="M3061" s="6">
        <v>0</v>
      </c>
      <c r="N3061" s="7">
        <v>0</v>
      </c>
      <c r="O3061" t="s">
        <v>23</v>
      </c>
      <c r="P3061" s="3" t="s">
        <v>23</v>
      </c>
      <c r="Q3061" s="8" t="s">
        <v>23</v>
      </c>
    </row>
    <row r="3062" spans="1:17" hidden="1" x14ac:dyDescent="0.55000000000000004">
      <c r="A3062" s="3" t="s">
        <v>4815</v>
      </c>
      <c r="B3062" s="3" t="s">
        <v>5098</v>
      </c>
      <c r="C3062" t="s">
        <v>4971</v>
      </c>
      <c r="D3062" s="3" t="s">
        <v>7314</v>
      </c>
      <c r="E3062" t="s">
        <v>5109</v>
      </c>
      <c r="F3062" s="3" t="s">
        <v>5110</v>
      </c>
      <c r="G3062" t="s">
        <v>24</v>
      </c>
      <c r="H3062" s="3" t="s">
        <v>4866</v>
      </c>
      <c r="I3062" t="s">
        <v>218</v>
      </c>
      <c r="J3062" s="3" t="s">
        <v>4865</v>
      </c>
      <c r="K3062" s="4">
        <v>845</v>
      </c>
      <c r="L3062" s="5">
        <v>0</v>
      </c>
      <c r="M3062" s="6">
        <v>0</v>
      </c>
      <c r="N3062" s="7">
        <v>0</v>
      </c>
      <c r="O3062" t="s">
        <v>23</v>
      </c>
      <c r="P3062" s="3" t="s">
        <v>23</v>
      </c>
      <c r="Q3062" s="8" t="s">
        <v>23</v>
      </c>
    </row>
    <row r="3063" spans="1:17" hidden="1" x14ac:dyDescent="0.55000000000000004">
      <c r="A3063" s="3" t="s">
        <v>4815</v>
      </c>
      <c r="B3063" s="3" t="s">
        <v>5098</v>
      </c>
      <c r="C3063" t="s">
        <v>4971</v>
      </c>
      <c r="D3063" s="3" t="s">
        <v>7314</v>
      </c>
      <c r="E3063" t="s">
        <v>5109</v>
      </c>
      <c r="F3063" s="3" t="s">
        <v>5110</v>
      </c>
      <c r="G3063" t="s">
        <v>24</v>
      </c>
      <c r="H3063" s="3" t="s">
        <v>4867</v>
      </c>
      <c r="I3063" t="s">
        <v>317</v>
      </c>
      <c r="J3063" s="3" t="s">
        <v>4865</v>
      </c>
      <c r="K3063" s="4">
        <v>738</v>
      </c>
      <c r="L3063" s="5">
        <v>0</v>
      </c>
      <c r="M3063" s="6">
        <v>0</v>
      </c>
      <c r="N3063" s="7">
        <v>0</v>
      </c>
      <c r="O3063" t="s">
        <v>23</v>
      </c>
      <c r="P3063" s="3" t="s">
        <v>23</v>
      </c>
      <c r="Q3063" s="8" t="s">
        <v>23</v>
      </c>
    </row>
    <row r="3064" spans="1:17" hidden="1" x14ac:dyDescent="0.55000000000000004">
      <c r="A3064" s="3" t="s">
        <v>4815</v>
      </c>
      <c r="B3064" s="3" t="s">
        <v>5098</v>
      </c>
      <c r="C3064" t="s">
        <v>4971</v>
      </c>
      <c r="D3064" s="3" t="s">
        <v>7314</v>
      </c>
      <c r="E3064" t="s">
        <v>5109</v>
      </c>
      <c r="F3064" s="3" t="s">
        <v>5110</v>
      </c>
      <c r="G3064" t="s">
        <v>24</v>
      </c>
      <c r="H3064" s="3" t="s">
        <v>4868</v>
      </c>
      <c r="I3064" t="s">
        <v>313</v>
      </c>
      <c r="J3064" s="3" t="s">
        <v>4865</v>
      </c>
      <c r="K3064" s="4">
        <v>912</v>
      </c>
      <c r="L3064" s="5">
        <v>0</v>
      </c>
      <c r="M3064" s="6">
        <v>0</v>
      </c>
      <c r="N3064" s="7">
        <v>0</v>
      </c>
      <c r="O3064" t="s">
        <v>23</v>
      </c>
      <c r="P3064" s="3" t="s">
        <v>23</v>
      </c>
      <c r="Q3064" s="8" t="s">
        <v>23</v>
      </c>
    </row>
    <row r="3065" spans="1:17" hidden="1" x14ac:dyDescent="0.55000000000000004">
      <c r="A3065" s="3" t="s">
        <v>4815</v>
      </c>
      <c r="B3065" s="3" t="s">
        <v>5098</v>
      </c>
      <c r="C3065" t="s">
        <v>4971</v>
      </c>
      <c r="D3065" s="3" t="s">
        <v>7314</v>
      </c>
      <c r="E3065" t="s">
        <v>5109</v>
      </c>
      <c r="F3065" s="3" t="s">
        <v>5110</v>
      </c>
      <c r="G3065" t="s">
        <v>24</v>
      </c>
      <c r="H3065" s="3" t="s">
        <v>4869</v>
      </c>
      <c r="I3065" t="s">
        <v>315</v>
      </c>
      <c r="J3065" s="3" t="s">
        <v>4865</v>
      </c>
      <c r="K3065" s="4">
        <v>598</v>
      </c>
      <c r="L3065" s="5">
        <v>0</v>
      </c>
      <c r="M3065" s="6">
        <v>0</v>
      </c>
      <c r="N3065" s="7">
        <v>0</v>
      </c>
      <c r="O3065" t="s">
        <v>23</v>
      </c>
      <c r="P3065" s="3" t="s">
        <v>23</v>
      </c>
      <c r="Q3065" s="8" t="s">
        <v>23</v>
      </c>
    </row>
    <row r="3066" spans="1:17" hidden="1" x14ac:dyDescent="0.55000000000000004">
      <c r="A3066" s="3" t="s">
        <v>4815</v>
      </c>
      <c r="B3066" s="3" t="s">
        <v>5111</v>
      </c>
      <c r="C3066" t="s">
        <v>5111</v>
      </c>
      <c r="D3066" s="3" t="s">
        <v>7314</v>
      </c>
      <c r="E3066" t="s">
        <v>5112</v>
      </c>
      <c r="F3066" s="3" t="s">
        <v>5113</v>
      </c>
      <c r="G3066" t="s">
        <v>24</v>
      </c>
      <c r="H3066" s="3" t="s">
        <v>5114</v>
      </c>
      <c r="I3066" t="s">
        <v>52</v>
      </c>
      <c r="J3066" s="3" t="s">
        <v>5115</v>
      </c>
      <c r="K3066" s="4">
        <v>1413</v>
      </c>
      <c r="L3066" s="5">
        <v>64.22</v>
      </c>
      <c r="M3066" s="6">
        <v>1</v>
      </c>
      <c r="N3066" s="7">
        <v>0</v>
      </c>
      <c r="O3066" t="s">
        <v>5116</v>
      </c>
      <c r="P3066" s="3" t="s">
        <v>55</v>
      </c>
      <c r="Q3066" s="8">
        <v>0.29209299999999999</v>
      </c>
    </row>
    <row r="3067" spans="1:17" hidden="1" x14ac:dyDescent="0.55000000000000004">
      <c r="A3067" s="3" t="s">
        <v>4815</v>
      </c>
      <c r="B3067" s="3" t="s">
        <v>5111</v>
      </c>
      <c r="C3067" t="s">
        <v>5111</v>
      </c>
      <c r="D3067" s="3" t="s">
        <v>7314</v>
      </c>
      <c r="E3067" t="s">
        <v>5112</v>
      </c>
      <c r="F3067" s="3" t="s">
        <v>5113</v>
      </c>
      <c r="G3067" t="s">
        <v>24</v>
      </c>
      <c r="H3067" s="3" t="s">
        <v>5117</v>
      </c>
      <c r="I3067" t="s">
        <v>26</v>
      </c>
      <c r="J3067" s="3" t="s">
        <v>5118</v>
      </c>
      <c r="K3067" s="4">
        <v>1240</v>
      </c>
      <c r="L3067" s="5">
        <v>56.36</v>
      </c>
      <c r="M3067" s="6">
        <v>0</v>
      </c>
      <c r="N3067" s="7">
        <v>0</v>
      </c>
      <c r="O3067" t="s">
        <v>5119</v>
      </c>
      <c r="P3067" s="3" t="s">
        <v>29</v>
      </c>
      <c r="Q3067" s="8">
        <v>0.26050000000000001</v>
      </c>
    </row>
    <row r="3068" spans="1:17" hidden="1" x14ac:dyDescent="0.55000000000000004">
      <c r="A3068" s="3" t="s">
        <v>4815</v>
      </c>
      <c r="B3068" s="3" t="s">
        <v>5120</v>
      </c>
      <c r="C3068" t="s">
        <v>5120</v>
      </c>
      <c r="D3068" s="3" t="s">
        <v>7314</v>
      </c>
      <c r="E3068" t="s">
        <v>5121</v>
      </c>
      <c r="F3068" s="3" t="s">
        <v>5122</v>
      </c>
      <c r="G3068" t="s">
        <v>24</v>
      </c>
      <c r="H3068" s="3" t="s">
        <v>5123</v>
      </c>
      <c r="I3068" t="s">
        <v>26</v>
      </c>
      <c r="J3068" s="3" t="s">
        <v>5124</v>
      </c>
      <c r="K3068" s="4">
        <v>716</v>
      </c>
      <c r="L3068" s="5">
        <v>32.53</v>
      </c>
      <c r="M3068" s="6">
        <v>1</v>
      </c>
      <c r="N3068" s="7">
        <v>0</v>
      </c>
      <c r="O3068" t="s">
        <v>5125</v>
      </c>
      <c r="P3068" s="3" t="s">
        <v>29</v>
      </c>
      <c r="Q3068" s="8">
        <v>0.25716299999999997</v>
      </c>
    </row>
    <row r="3069" spans="1:17" hidden="1" x14ac:dyDescent="0.55000000000000004">
      <c r="A3069" s="3" t="s">
        <v>4815</v>
      </c>
      <c r="B3069" s="3" t="s">
        <v>5120</v>
      </c>
      <c r="C3069" t="s">
        <v>5120</v>
      </c>
      <c r="D3069" s="3" t="s">
        <v>7314</v>
      </c>
      <c r="E3069" t="s">
        <v>5126</v>
      </c>
      <c r="F3069" s="3" t="s">
        <v>5127</v>
      </c>
      <c r="G3069" t="s">
        <v>19</v>
      </c>
      <c r="H3069" s="3" t="s">
        <v>5128</v>
      </c>
      <c r="I3069" t="s">
        <v>4929</v>
      </c>
      <c r="J3069" s="3" t="s">
        <v>5129</v>
      </c>
      <c r="K3069" s="4">
        <v>125</v>
      </c>
      <c r="L3069" s="5">
        <v>27.22</v>
      </c>
      <c r="M3069" s="6">
        <v>0</v>
      </c>
      <c r="N3069" s="7">
        <v>1</v>
      </c>
      <c r="O3069" t="s">
        <v>5130</v>
      </c>
      <c r="P3069" s="3" t="s">
        <v>1610</v>
      </c>
      <c r="Q3069" s="8">
        <v>5.0048000000000002E-2</v>
      </c>
    </row>
    <row r="3070" spans="1:17" hidden="1" x14ac:dyDescent="0.55000000000000004">
      <c r="A3070" s="3" t="s">
        <v>4815</v>
      </c>
      <c r="B3070" s="3" t="s">
        <v>5120</v>
      </c>
      <c r="C3070" t="s">
        <v>5120</v>
      </c>
      <c r="D3070" s="3" t="s">
        <v>7314</v>
      </c>
      <c r="E3070" t="s">
        <v>5126</v>
      </c>
      <c r="F3070" s="3" t="s">
        <v>5127</v>
      </c>
      <c r="G3070" t="s">
        <v>19</v>
      </c>
      <c r="H3070" s="3" t="s">
        <v>5131</v>
      </c>
      <c r="I3070" t="s">
        <v>5132</v>
      </c>
      <c r="J3070" s="3" t="s">
        <v>5133</v>
      </c>
      <c r="K3070" s="4">
        <v>193</v>
      </c>
      <c r="L3070" s="5">
        <v>42</v>
      </c>
      <c r="M3070" s="6">
        <v>1</v>
      </c>
      <c r="N3070" s="7">
        <v>1</v>
      </c>
      <c r="O3070" t="s">
        <v>5134</v>
      </c>
      <c r="P3070" s="3" t="s">
        <v>5135</v>
      </c>
      <c r="Q3070" s="8">
        <v>3.2910000000000002E-2</v>
      </c>
    </row>
    <row r="3071" spans="1:17" hidden="1" x14ac:dyDescent="0.55000000000000004">
      <c r="A3071" s="3" t="s">
        <v>4815</v>
      </c>
      <c r="B3071" s="3" t="s">
        <v>5120</v>
      </c>
      <c r="C3071" t="s">
        <v>5120</v>
      </c>
      <c r="D3071" s="3" t="s">
        <v>7314</v>
      </c>
      <c r="E3071" t="s">
        <v>5126</v>
      </c>
      <c r="F3071" s="3" t="s">
        <v>5127</v>
      </c>
      <c r="G3071" t="s">
        <v>19</v>
      </c>
      <c r="H3071" s="3" t="s">
        <v>5136</v>
      </c>
      <c r="I3071" t="s">
        <v>66</v>
      </c>
      <c r="J3071" s="3" t="s">
        <v>5137</v>
      </c>
      <c r="K3071" s="4">
        <v>341</v>
      </c>
      <c r="L3071" s="5">
        <v>74.13</v>
      </c>
      <c r="M3071" s="6">
        <v>0</v>
      </c>
      <c r="N3071" s="7">
        <v>1</v>
      </c>
      <c r="O3071" t="s">
        <v>5138</v>
      </c>
      <c r="P3071" s="3" t="s">
        <v>64</v>
      </c>
      <c r="Q3071" s="8">
        <v>7.6042999999999999E-2</v>
      </c>
    </row>
    <row r="3072" spans="1:17" hidden="1" x14ac:dyDescent="0.55000000000000004">
      <c r="A3072" s="3" t="s">
        <v>4815</v>
      </c>
      <c r="B3072" s="3" t="s">
        <v>5120</v>
      </c>
      <c r="C3072" t="s">
        <v>5120</v>
      </c>
      <c r="D3072" s="3" t="s">
        <v>7314</v>
      </c>
      <c r="E3072" t="s">
        <v>5126</v>
      </c>
      <c r="F3072" s="3" t="s">
        <v>5127</v>
      </c>
      <c r="G3072" t="s">
        <v>19</v>
      </c>
      <c r="H3072" s="3" t="s">
        <v>23</v>
      </c>
      <c r="I3072" t="s">
        <v>67</v>
      </c>
      <c r="J3072" s="3" t="s">
        <v>5139</v>
      </c>
      <c r="K3072" s="4" t="s">
        <v>23</v>
      </c>
      <c r="L3072" s="5" t="s">
        <v>23</v>
      </c>
      <c r="M3072" s="6">
        <v>0</v>
      </c>
      <c r="N3072" s="7">
        <v>1</v>
      </c>
      <c r="O3072" t="s">
        <v>23</v>
      </c>
      <c r="P3072" s="3" t="s">
        <v>23</v>
      </c>
      <c r="Q3072" s="8" t="s">
        <v>23</v>
      </c>
    </row>
    <row r="3073" spans="1:17" hidden="1" x14ac:dyDescent="0.55000000000000004">
      <c r="A3073" s="3" t="s">
        <v>4815</v>
      </c>
      <c r="B3073" s="3" t="s">
        <v>5120</v>
      </c>
      <c r="C3073" t="s">
        <v>5120</v>
      </c>
      <c r="D3073" s="3" t="s">
        <v>7314</v>
      </c>
      <c r="E3073" t="s">
        <v>5126</v>
      </c>
      <c r="F3073" s="3" t="s">
        <v>5127</v>
      </c>
      <c r="G3073" t="s">
        <v>24</v>
      </c>
      <c r="H3073" s="3" t="s">
        <v>5123</v>
      </c>
      <c r="I3073" t="s">
        <v>26</v>
      </c>
      <c r="J3073" s="3" t="s">
        <v>5124</v>
      </c>
      <c r="K3073" s="4">
        <v>716</v>
      </c>
      <c r="L3073" s="5">
        <v>32.53</v>
      </c>
      <c r="M3073" s="6">
        <v>1</v>
      </c>
      <c r="N3073" s="7">
        <v>1</v>
      </c>
      <c r="O3073" t="s">
        <v>5125</v>
      </c>
      <c r="P3073" s="3" t="s">
        <v>29</v>
      </c>
      <c r="Q3073" s="8">
        <v>0.25716299999999997</v>
      </c>
    </row>
    <row r="3074" spans="1:17" hidden="1" x14ac:dyDescent="0.55000000000000004">
      <c r="A3074" s="3" t="s">
        <v>4815</v>
      </c>
      <c r="B3074" s="3" t="s">
        <v>4988</v>
      </c>
      <c r="C3074" t="s">
        <v>4988</v>
      </c>
      <c r="D3074" s="3" t="s">
        <v>7314</v>
      </c>
      <c r="E3074" t="s">
        <v>5140</v>
      </c>
      <c r="F3074" s="3" t="s">
        <v>5141</v>
      </c>
      <c r="G3074" t="s">
        <v>19</v>
      </c>
      <c r="H3074" s="3" t="s">
        <v>23</v>
      </c>
      <c r="I3074" t="s">
        <v>67</v>
      </c>
      <c r="J3074" s="3" t="s">
        <v>5142</v>
      </c>
      <c r="K3074" s="4" t="s">
        <v>23</v>
      </c>
      <c r="L3074" s="5" t="s">
        <v>23</v>
      </c>
      <c r="M3074" s="6">
        <v>0</v>
      </c>
      <c r="N3074" s="7">
        <v>0</v>
      </c>
      <c r="O3074" t="s">
        <v>23</v>
      </c>
      <c r="P3074" s="3" t="s">
        <v>23</v>
      </c>
      <c r="Q3074" s="8" t="s">
        <v>23</v>
      </c>
    </row>
    <row r="3075" spans="1:17" hidden="1" x14ac:dyDescent="0.55000000000000004">
      <c r="A3075" s="3" t="s">
        <v>4815</v>
      </c>
      <c r="B3075" s="3" t="s">
        <v>4988</v>
      </c>
      <c r="C3075" t="s">
        <v>4988</v>
      </c>
      <c r="D3075" s="3" t="s">
        <v>7314</v>
      </c>
      <c r="E3075" t="s">
        <v>5140</v>
      </c>
      <c r="F3075" s="3" t="s">
        <v>5141</v>
      </c>
      <c r="G3075" t="s">
        <v>19</v>
      </c>
      <c r="H3075" s="3" t="s">
        <v>23</v>
      </c>
      <c r="I3075" t="s">
        <v>67</v>
      </c>
      <c r="J3075" s="3" t="s">
        <v>5143</v>
      </c>
      <c r="K3075" s="4" t="s">
        <v>23</v>
      </c>
      <c r="L3075" s="5" t="s">
        <v>23</v>
      </c>
      <c r="M3075" s="6">
        <v>0</v>
      </c>
      <c r="N3075" s="7">
        <v>0</v>
      </c>
      <c r="O3075" t="s">
        <v>23</v>
      </c>
      <c r="P3075" s="3" t="s">
        <v>23</v>
      </c>
      <c r="Q3075" s="8" t="s">
        <v>23</v>
      </c>
    </row>
    <row r="3076" spans="1:17" hidden="1" x14ac:dyDescent="0.55000000000000004">
      <c r="A3076" s="3" t="s">
        <v>4815</v>
      </c>
      <c r="B3076" s="3" t="s">
        <v>4988</v>
      </c>
      <c r="C3076" t="s">
        <v>4988</v>
      </c>
      <c r="D3076" s="3" t="s">
        <v>7314</v>
      </c>
      <c r="E3076" t="s">
        <v>5140</v>
      </c>
      <c r="F3076" s="3" t="s">
        <v>5141</v>
      </c>
      <c r="G3076" t="s">
        <v>24</v>
      </c>
      <c r="H3076" s="3" t="s">
        <v>4991</v>
      </c>
      <c r="I3076" t="s">
        <v>52</v>
      </c>
      <c r="J3076" s="3" t="s">
        <v>4992</v>
      </c>
      <c r="K3076" s="4">
        <v>838</v>
      </c>
      <c r="L3076" s="5">
        <v>0</v>
      </c>
      <c r="M3076" s="6">
        <v>0</v>
      </c>
      <c r="N3076" s="7">
        <v>0</v>
      </c>
      <c r="O3076" t="s">
        <v>23</v>
      </c>
      <c r="P3076" s="3" t="s">
        <v>23</v>
      </c>
      <c r="Q3076" s="8" t="s">
        <v>23</v>
      </c>
    </row>
    <row r="3077" spans="1:17" hidden="1" x14ac:dyDescent="0.55000000000000004">
      <c r="A3077" s="3" t="s">
        <v>4815</v>
      </c>
      <c r="B3077" s="3" t="s">
        <v>4988</v>
      </c>
      <c r="C3077" t="s">
        <v>4988</v>
      </c>
      <c r="D3077" s="3" t="s">
        <v>7314</v>
      </c>
      <c r="E3077" t="s">
        <v>5140</v>
      </c>
      <c r="F3077" s="3" t="s">
        <v>5141</v>
      </c>
      <c r="G3077" t="s">
        <v>24</v>
      </c>
      <c r="H3077" s="3" t="s">
        <v>4993</v>
      </c>
      <c r="I3077" t="s">
        <v>296</v>
      </c>
      <c r="J3077" s="3" t="s">
        <v>4992</v>
      </c>
      <c r="K3077" s="4">
        <v>810</v>
      </c>
      <c r="L3077" s="5">
        <v>0</v>
      </c>
      <c r="M3077" s="6">
        <v>0</v>
      </c>
      <c r="N3077" s="7">
        <v>0</v>
      </c>
      <c r="O3077" t="s">
        <v>23</v>
      </c>
      <c r="P3077" s="3" t="s">
        <v>23</v>
      </c>
      <c r="Q3077" s="8" t="s">
        <v>23</v>
      </c>
    </row>
    <row r="3078" spans="1:17" hidden="1" x14ac:dyDescent="0.55000000000000004">
      <c r="A3078" s="3" t="s">
        <v>4815</v>
      </c>
      <c r="B3078" s="3" t="s">
        <v>4988</v>
      </c>
      <c r="C3078" t="s">
        <v>4988</v>
      </c>
      <c r="D3078" s="3" t="s">
        <v>7314</v>
      </c>
      <c r="E3078" t="s">
        <v>5140</v>
      </c>
      <c r="F3078" s="3" t="s">
        <v>5141</v>
      </c>
      <c r="G3078" t="s">
        <v>24</v>
      </c>
      <c r="H3078" s="3" t="s">
        <v>4994</v>
      </c>
      <c r="I3078" t="s">
        <v>298</v>
      </c>
      <c r="J3078" s="3" t="s">
        <v>4992</v>
      </c>
      <c r="K3078" s="4">
        <v>901</v>
      </c>
      <c r="L3078" s="5">
        <v>0</v>
      </c>
      <c r="M3078" s="6">
        <v>0</v>
      </c>
      <c r="N3078" s="7">
        <v>0</v>
      </c>
      <c r="O3078" t="s">
        <v>23</v>
      </c>
      <c r="P3078" s="3" t="s">
        <v>23</v>
      </c>
      <c r="Q3078" s="8" t="s">
        <v>23</v>
      </c>
    </row>
    <row r="3079" spans="1:17" hidden="1" x14ac:dyDescent="0.55000000000000004">
      <c r="A3079" s="3" t="s">
        <v>4815</v>
      </c>
      <c r="B3079" s="3" t="s">
        <v>4988</v>
      </c>
      <c r="C3079" t="s">
        <v>4988</v>
      </c>
      <c r="D3079" s="3" t="s">
        <v>7314</v>
      </c>
      <c r="E3079" t="s">
        <v>5140</v>
      </c>
      <c r="F3079" s="3" t="s">
        <v>5141</v>
      </c>
      <c r="G3079" t="s">
        <v>24</v>
      </c>
      <c r="H3079" s="3" t="s">
        <v>4995</v>
      </c>
      <c r="I3079" t="s">
        <v>304</v>
      </c>
      <c r="J3079" s="3" t="s">
        <v>4992</v>
      </c>
      <c r="K3079" s="4">
        <v>986</v>
      </c>
      <c r="L3079" s="5">
        <v>0</v>
      </c>
      <c r="M3079" s="6">
        <v>0</v>
      </c>
      <c r="N3079" s="7">
        <v>0</v>
      </c>
      <c r="O3079" t="s">
        <v>23</v>
      </c>
      <c r="P3079" s="3" t="s">
        <v>23</v>
      </c>
      <c r="Q3079" s="8" t="s">
        <v>23</v>
      </c>
    </row>
    <row r="3080" spans="1:17" hidden="1" x14ac:dyDescent="0.55000000000000004">
      <c r="A3080" s="3" t="s">
        <v>4815</v>
      </c>
      <c r="B3080" s="3" t="s">
        <v>4988</v>
      </c>
      <c r="C3080" t="s">
        <v>4988</v>
      </c>
      <c r="D3080" s="3" t="s">
        <v>7314</v>
      </c>
      <c r="E3080" t="s">
        <v>5140</v>
      </c>
      <c r="F3080" s="3" t="s">
        <v>5141</v>
      </c>
      <c r="G3080" t="s">
        <v>24</v>
      </c>
      <c r="H3080" s="3" t="s">
        <v>4996</v>
      </c>
      <c r="I3080" t="s">
        <v>300</v>
      </c>
      <c r="J3080" s="3" t="s">
        <v>4992</v>
      </c>
      <c r="K3080" s="4">
        <v>1002</v>
      </c>
      <c r="L3080" s="5">
        <v>0</v>
      </c>
      <c r="M3080" s="6">
        <v>0</v>
      </c>
      <c r="N3080" s="7">
        <v>0</v>
      </c>
      <c r="O3080" t="s">
        <v>23</v>
      </c>
      <c r="P3080" s="3" t="s">
        <v>23</v>
      </c>
      <c r="Q3080" s="8" t="s">
        <v>23</v>
      </c>
    </row>
    <row r="3081" spans="1:17" hidden="1" x14ac:dyDescent="0.55000000000000004">
      <c r="A3081" s="3" t="s">
        <v>4815</v>
      </c>
      <c r="B3081" s="3" t="s">
        <v>4988</v>
      </c>
      <c r="C3081" t="s">
        <v>4988</v>
      </c>
      <c r="D3081" s="3" t="s">
        <v>7314</v>
      </c>
      <c r="E3081" t="s">
        <v>5140</v>
      </c>
      <c r="F3081" s="3" t="s">
        <v>5141</v>
      </c>
      <c r="G3081" t="s">
        <v>24</v>
      </c>
      <c r="H3081" s="3" t="s">
        <v>4997</v>
      </c>
      <c r="I3081" t="s">
        <v>302</v>
      </c>
      <c r="J3081" s="3" t="s">
        <v>4992</v>
      </c>
      <c r="K3081" s="4">
        <v>1118</v>
      </c>
      <c r="L3081" s="5">
        <v>0</v>
      </c>
      <c r="M3081" s="6">
        <v>0</v>
      </c>
      <c r="N3081" s="7">
        <v>0</v>
      </c>
      <c r="O3081" t="s">
        <v>23</v>
      </c>
      <c r="P3081" s="3" t="s">
        <v>23</v>
      </c>
      <c r="Q3081" s="8" t="s">
        <v>23</v>
      </c>
    </row>
    <row r="3082" spans="1:17" hidden="1" x14ac:dyDescent="0.55000000000000004">
      <c r="A3082" s="3" t="s">
        <v>4815</v>
      </c>
      <c r="B3082" s="3" t="s">
        <v>4988</v>
      </c>
      <c r="C3082" t="s">
        <v>4988</v>
      </c>
      <c r="D3082" s="3" t="s">
        <v>7314</v>
      </c>
      <c r="E3082" t="s">
        <v>5140</v>
      </c>
      <c r="F3082" s="3" t="s">
        <v>5141</v>
      </c>
      <c r="G3082" t="s">
        <v>24</v>
      </c>
      <c r="H3082" s="3" t="s">
        <v>4998</v>
      </c>
      <c r="I3082" t="s">
        <v>26</v>
      </c>
      <c r="J3082" s="3" t="s">
        <v>4999</v>
      </c>
      <c r="K3082" s="4">
        <v>976</v>
      </c>
      <c r="L3082" s="5">
        <v>44.36</v>
      </c>
      <c r="M3082" s="6">
        <v>1</v>
      </c>
      <c r="N3082" s="7">
        <v>0</v>
      </c>
      <c r="O3082" t="s">
        <v>5000</v>
      </c>
      <c r="P3082" s="3" t="s">
        <v>76</v>
      </c>
      <c r="Q3082" s="8">
        <v>0.25116699999999997</v>
      </c>
    </row>
    <row r="3083" spans="1:17" hidden="1" x14ac:dyDescent="0.55000000000000004">
      <c r="A3083" s="3" t="s">
        <v>4815</v>
      </c>
      <c r="B3083" s="3" t="s">
        <v>4988</v>
      </c>
      <c r="C3083" t="s">
        <v>4988</v>
      </c>
      <c r="D3083" s="3" t="s">
        <v>7314</v>
      </c>
      <c r="E3083" t="s">
        <v>5140</v>
      </c>
      <c r="F3083" s="3" t="s">
        <v>5141</v>
      </c>
      <c r="G3083" t="s">
        <v>24</v>
      </c>
      <c r="H3083" s="3" t="s">
        <v>5004</v>
      </c>
      <c r="I3083" t="s">
        <v>309</v>
      </c>
      <c r="J3083" s="3" t="s">
        <v>4999</v>
      </c>
      <c r="K3083" s="4">
        <v>910</v>
      </c>
      <c r="L3083" s="5">
        <v>0</v>
      </c>
      <c r="M3083" s="6">
        <v>0</v>
      </c>
      <c r="N3083" s="7">
        <v>0</v>
      </c>
      <c r="O3083" t="s">
        <v>23</v>
      </c>
      <c r="P3083" s="3" t="s">
        <v>23</v>
      </c>
      <c r="Q3083" s="8" t="s">
        <v>23</v>
      </c>
    </row>
    <row r="3084" spans="1:17" hidden="1" x14ac:dyDescent="0.55000000000000004">
      <c r="A3084" s="3" t="s">
        <v>4815</v>
      </c>
      <c r="B3084" s="3" t="s">
        <v>4988</v>
      </c>
      <c r="C3084" t="s">
        <v>4988</v>
      </c>
      <c r="D3084" s="3" t="s">
        <v>7314</v>
      </c>
      <c r="E3084" t="s">
        <v>5140</v>
      </c>
      <c r="F3084" s="3" t="s">
        <v>5141</v>
      </c>
      <c r="G3084" t="s">
        <v>24</v>
      </c>
      <c r="H3084" s="3" t="s">
        <v>5005</v>
      </c>
      <c r="I3084" t="s">
        <v>218</v>
      </c>
      <c r="J3084" s="3" t="s">
        <v>4999</v>
      </c>
      <c r="K3084" s="4">
        <v>983</v>
      </c>
      <c r="L3084" s="5">
        <v>0</v>
      </c>
      <c r="M3084" s="6">
        <v>0</v>
      </c>
      <c r="N3084" s="7">
        <v>0</v>
      </c>
      <c r="O3084" t="s">
        <v>5006</v>
      </c>
      <c r="P3084" s="3" t="s">
        <v>23</v>
      </c>
      <c r="Q3084" s="8" t="s">
        <v>23</v>
      </c>
    </row>
    <row r="3085" spans="1:17" hidden="1" x14ac:dyDescent="0.55000000000000004">
      <c r="A3085" s="3" t="s">
        <v>4815</v>
      </c>
      <c r="B3085" s="3" t="s">
        <v>4988</v>
      </c>
      <c r="C3085" t="s">
        <v>4988</v>
      </c>
      <c r="D3085" s="3" t="s">
        <v>7314</v>
      </c>
      <c r="E3085" t="s">
        <v>5140</v>
      </c>
      <c r="F3085" s="3" t="s">
        <v>5141</v>
      </c>
      <c r="G3085" t="s">
        <v>24</v>
      </c>
      <c r="H3085" s="3" t="s">
        <v>5007</v>
      </c>
      <c r="I3085" t="s">
        <v>313</v>
      </c>
      <c r="J3085" s="3" t="s">
        <v>4999</v>
      </c>
      <c r="K3085" s="4">
        <v>1109</v>
      </c>
      <c r="L3085" s="5">
        <v>0</v>
      </c>
      <c r="M3085" s="6">
        <v>0</v>
      </c>
      <c r="N3085" s="7">
        <v>0</v>
      </c>
      <c r="O3085" t="s">
        <v>23</v>
      </c>
      <c r="P3085" s="3" t="s">
        <v>23</v>
      </c>
      <c r="Q3085" s="8" t="s">
        <v>23</v>
      </c>
    </row>
    <row r="3086" spans="1:17" hidden="1" x14ac:dyDescent="0.55000000000000004">
      <c r="A3086" s="3" t="s">
        <v>4815</v>
      </c>
      <c r="B3086" s="3" t="s">
        <v>4988</v>
      </c>
      <c r="C3086" t="s">
        <v>4988</v>
      </c>
      <c r="D3086" s="3" t="s">
        <v>7314</v>
      </c>
      <c r="E3086" t="s">
        <v>5140</v>
      </c>
      <c r="F3086" s="3" t="s">
        <v>5141</v>
      </c>
      <c r="G3086" t="s">
        <v>24</v>
      </c>
      <c r="H3086" s="3" t="s">
        <v>5008</v>
      </c>
      <c r="I3086" t="s">
        <v>315</v>
      </c>
      <c r="J3086" s="3" t="s">
        <v>4999</v>
      </c>
      <c r="K3086" s="4">
        <v>824</v>
      </c>
      <c r="L3086" s="5">
        <v>0</v>
      </c>
      <c r="M3086" s="6">
        <v>0</v>
      </c>
      <c r="N3086" s="7">
        <v>0</v>
      </c>
      <c r="O3086" t="s">
        <v>23</v>
      </c>
      <c r="P3086" s="3" t="s">
        <v>23</v>
      </c>
      <c r="Q3086" s="8" t="s">
        <v>23</v>
      </c>
    </row>
    <row r="3087" spans="1:17" hidden="1" x14ac:dyDescent="0.55000000000000004">
      <c r="A3087" s="3" t="s">
        <v>4815</v>
      </c>
      <c r="B3087" s="3" t="s">
        <v>4988</v>
      </c>
      <c r="C3087" t="s">
        <v>4988</v>
      </c>
      <c r="D3087" s="3" t="s">
        <v>7314</v>
      </c>
      <c r="E3087" t="s">
        <v>5140</v>
      </c>
      <c r="F3087" s="3" t="s">
        <v>5141</v>
      </c>
      <c r="G3087" t="s">
        <v>24</v>
      </c>
      <c r="H3087" s="3" t="s">
        <v>5009</v>
      </c>
      <c r="I3087" t="s">
        <v>317</v>
      </c>
      <c r="J3087" s="3" t="s">
        <v>4999</v>
      </c>
      <c r="K3087" s="4">
        <v>942</v>
      </c>
      <c r="L3087" s="5">
        <v>0</v>
      </c>
      <c r="M3087" s="6">
        <v>0</v>
      </c>
      <c r="N3087" s="7">
        <v>0</v>
      </c>
      <c r="O3087" t="s">
        <v>23</v>
      </c>
      <c r="P3087" s="3" t="s">
        <v>23</v>
      </c>
      <c r="Q3087" s="8" t="s">
        <v>23</v>
      </c>
    </row>
    <row r="3088" spans="1:17" hidden="1" x14ac:dyDescent="0.55000000000000004">
      <c r="A3088" s="3" t="s">
        <v>4815</v>
      </c>
      <c r="B3088" s="3" t="s">
        <v>5144</v>
      </c>
      <c r="C3088" t="s">
        <v>4971</v>
      </c>
      <c r="D3088" s="3" t="s">
        <v>7314</v>
      </c>
      <c r="E3088" t="s">
        <v>5145</v>
      </c>
      <c r="F3088" s="3" t="s">
        <v>5146</v>
      </c>
      <c r="G3088" t="s">
        <v>19</v>
      </c>
      <c r="H3088" s="3" t="s">
        <v>5147</v>
      </c>
      <c r="I3088" t="s">
        <v>4929</v>
      </c>
      <c r="J3088" s="3" t="s">
        <v>5148</v>
      </c>
      <c r="K3088" s="4">
        <v>285</v>
      </c>
      <c r="L3088" s="5">
        <v>61.91</v>
      </c>
      <c r="M3088" s="6">
        <v>1</v>
      </c>
      <c r="N3088" s="7">
        <v>1</v>
      </c>
      <c r="O3088" t="s">
        <v>5149</v>
      </c>
      <c r="P3088" s="3" t="s">
        <v>1610</v>
      </c>
      <c r="Q3088" s="8">
        <v>5.5856999999999997E-2</v>
      </c>
    </row>
    <row r="3089" spans="1:17" hidden="1" x14ac:dyDescent="0.55000000000000004">
      <c r="A3089" s="3" t="s">
        <v>4815</v>
      </c>
      <c r="B3089" s="3" t="s">
        <v>5144</v>
      </c>
      <c r="C3089" t="s">
        <v>4971</v>
      </c>
      <c r="D3089" s="3" t="s">
        <v>7314</v>
      </c>
      <c r="E3089" t="s">
        <v>5145</v>
      </c>
      <c r="F3089" s="3" t="s">
        <v>5146</v>
      </c>
      <c r="G3089" t="s">
        <v>24</v>
      </c>
      <c r="H3089" s="3" t="s">
        <v>4852</v>
      </c>
      <c r="I3089" t="s">
        <v>52</v>
      </c>
      <c r="J3089" s="3" t="s">
        <v>4853</v>
      </c>
      <c r="K3089" s="4">
        <v>606</v>
      </c>
      <c r="L3089" s="5">
        <v>0</v>
      </c>
      <c r="M3089" s="6">
        <v>0</v>
      </c>
      <c r="N3089" s="7">
        <v>1</v>
      </c>
      <c r="O3089" t="s">
        <v>23</v>
      </c>
      <c r="P3089" s="3" t="s">
        <v>23</v>
      </c>
      <c r="Q3089" s="8" t="s">
        <v>23</v>
      </c>
    </row>
    <row r="3090" spans="1:17" hidden="1" x14ac:dyDescent="0.55000000000000004">
      <c r="A3090" s="3" t="s">
        <v>4815</v>
      </c>
      <c r="B3090" s="3" t="s">
        <v>5144</v>
      </c>
      <c r="C3090" t="s">
        <v>4971</v>
      </c>
      <c r="D3090" s="3" t="s">
        <v>7314</v>
      </c>
      <c r="E3090" t="s">
        <v>5145</v>
      </c>
      <c r="F3090" s="3" t="s">
        <v>5146</v>
      </c>
      <c r="G3090" t="s">
        <v>24</v>
      </c>
      <c r="H3090" s="3" t="s">
        <v>4854</v>
      </c>
      <c r="I3090" t="s">
        <v>296</v>
      </c>
      <c r="J3090" s="3" t="s">
        <v>4853</v>
      </c>
      <c r="K3090" s="4">
        <v>555</v>
      </c>
      <c r="L3090" s="5">
        <v>0</v>
      </c>
      <c r="M3090" s="6">
        <v>0</v>
      </c>
      <c r="N3090" s="7">
        <v>1</v>
      </c>
      <c r="O3090" t="s">
        <v>23</v>
      </c>
      <c r="P3090" s="3" t="s">
        <v>23</v>
      </c>
      <c r="Q3090" s="8" t="s">
        <v>23</v>
      </c>
    </row>
    <row r="3091" spans="1:17" hidden="1" x14ac:dyDescent="0.55000000000000004">
      <c r="A3091" s="3" t="s">
        <v>4815</v>
      </c>
      <c r="B3091" s="3" t="s">
        <v>5144</v>
      </c>
      <c r="C3091" t="s">
        <v>4971</v>
      </c>
      <c r="D3091" s="3" t="s">
        <v>7314</v>
      </c>
      <c r="E3091" t="s">
        <v>5145</v>
      </c>
      <c r="F3091" s="3" t="s">
        <v>5146</v>
      </c>
      <c r="G3091" t="s">
        <v>24</v>
      </c>
      <c r="H3091" s="3" t="s">
        <v>4855</v>
      </c>
      <c r="I3091" t="s">
        <v>304</v>
      </c>
      <c r="J3091" s="3" t="s">
        <v>4853</v>
      </c>
      <c r="K3091" s="4">
        <v>847</v>
      </c>
      <c r="L3091" s="5">
        <v>0</v>
      </c>
      <c r="M3091" s="6">
        <v>0</v>
      </c>
      <c r="N3091" s="7">
        <v>1</v>
      </c>
      <c r="O3091" t="s">
        <v>23</v>
      </c>
      <c r="P3091" s="3" t="s">
        <v>23</v>
      </c>
      <c r="Q3091" s="8" t="s">
        <v>23</v>
      </c>
    </row>
    <row r="3092" spans="1:17" hidden="1" x14ac:dyDescent="0.55000000000000004">
      <c r="A3092" s="3" t="s">
        <v>4815</v>
      </c>
      <c r="B3092" s="3" t="s">
        <v>5144</v>
      </c>
      <c r="C3092" t="s">
        <v>4971</v>
      </c>
      <c r="D3092" s="3" t="s">
        <v>7314</v>
      </c>
      <c r="E3092" t="s">
        <v>5145</v>
      </c>
      <c r="F3092" s="3" t="s">
        <v>5146</v>
      </c>
      <c r="G3092" t="s">
        <v>24</v>
      </c>
      <c r="H3092" s="3" t="s">
        <v>4856</v>
      </c>
      <c r="I3092" t="s">
        <v>298</v>
      </c>
      <c r="J3092" s="3" t="s">
        <v>4853</v>
      </c>
      <c r="K3092" s="4">
        <v>732</v>
      </c>
      <c r="L3092" s="5">
        <v>0</v>
      </c>
      <c r="M3092" s="6">
        <v>0</v>
      </c>
      <c r="N3092" s="7">
        <v>1</v>
      </c>
      <c r="O3092" t="s">
        <v>23</v>
      </c>
      <c r="P3092" s="3" t="s">
        <v>23</v>
      </c>
      <c r="Q3092" s="8" t="s">
        <v>23</v>
      </c>
    </row>
    <row r="3093" spans="1:17" hidden="1" x14ac:dyDescent="0.55000000000000004">
      <c r="A3093" s="3" t="s">
        <v>4815</v>
      </c>
      <c r="B3093" s="3" t="s">
        <v>5144</v>
      </c>
      <c r="C3093" t="s">
        <v>4971</v>
      </c>
      <c r="D3093" s="3" t="s">
        <v>7314</v>
      </c>
      <c r="E3093" t="s">
        <v>5145</v>
      </c>
      <c r="F3093" s="3" t="s">
        <v>5146</v>
      </c>
      <c r="G3093" t="s">
        <v>24</v>
      </c>
      <c r="H3093" s="3" t="s">
        <v>4857</v>
      </c>
      <c r="I3093" t="s">
        <v>300</v>
      </c>
      <c r="J3093" s="3" t="s">
        <v>4853</v>
      </c>
      <c r="K3093" s="4">
        <v>758</v>
      </c>
      <c r="L3093" s="5">
        <v>0</v>
      </c>
      <c r="M3093" s="6">
        <v>0</v>
      </c>
      <c r="N3093" s="7">
        <v>1</v>
      </c>
      <c r="O3093" t="s">
        <v>23</v>
      </c>
      <c r="P3093" s="3" t="s">
        <v>23</v>
      </c>
      <c r="Q3093" s="8" t="s">
        <v>23</v>
      </c>
    </row>
    <row r="3094" spans="1:17" hidden="1" x14ac:dyDescent="0.55000000000000004">
      <c r="A3094" s="3" t="s">
        <v>4815</v>
      </c>
      <c r="B3094" s="3" t="s">
        <v>5144</v>
      </c>
      <c r="C3094" t="s">
        <v>4971</v>
      </c>
      <c r="D3094" s="3" t="s">
        <v>7314</v>
      </c>
      <c r="E3094" t="s">
        <v>5145</v>
      </c>
      <c r="F3094" s="3" t="s">
        <v>5146</v>
      </c>
      <c r="G3094" t="s">
        <v>24</v>
      </c>
      <c r="H3094" s="3" t="s">
        <v>4858</v>
      </c>
      <c r="I3094" t="s">
        <v>302</v>
      </c>
      <c r="J3094" s="3" t="s">
        <v>4853</v>
      </c>
      <c r="K3094" s="4">
        <v>903</v>
      </c>
      <c r="L3094" s="5">
        <v>0</v>
      </c>
      <c r="M3094" s="6">
        <v>0</v>
      </c>
      <c r="N3094" s="7">
        <v>1</v>
      </c>
      <c r="O3094" t="s">
        <v>23</v>
      </c>
      <c r="P3094" s="3" t="s">
        <v>23</v>
      </c>
      <c r="Q3094" s="8" t="s">
        <v>23</v>
      </c>
    </row>
    <row r="3095" spans="1:17" hidden="1" x14ac:dyDescent="0.55000000000000004">
      <c r="A3095" s="3" t="s">
        <v>4815</v>
      </c>
      <c r="B3095" s="3" t="s">
        <v>5144</v>
      </c>
      <c r="C3095" t="s">
        <v>4971</v>
      </c>
      <c r="D3095" s="3" t="s">
        <v>7314</v>
      </c>
      <c r="E3095" t="s">
        <v>5145</v>
      </c>
      <c r="F3095" s="3" t="s">
        <v>5146</v>
      </c>
      <c r="G3095" t="s">
        <v>24</v>
      </c>
      <c r="H3095" s="3" t="s">
        <v>5150</v>
      </c>
      <c r="I3095" t="s">
        <v>309</v>
      </c>
      <c r="J3095" s="3" t="s">
        <v>5151</v>
      </c>
      <c r="K3095" s="4">
        <v>948</v>
      </c>
      <c r="L3095" s="5">
        <v>43.07</v>
      </c>
      <c r="M3095" s="6">
        <v>1</v>
      </c>
      <c r="N3095" s="7">
        <v>1</v>
      </c>
      <c r="O3095" t="s">
        <v>5152</v>
      </c>
      <c r="P3095" s="3" t="s">
        <v>76</v>
      </c>
      <c r="Q3095" s="8">
        <v>0.23283300000000001</v>
      </c>
    </row>
    <row r="3096" spans="1:17" hidden="1" x14ac:dyDescent="0.55000000000000004">
      <c r="A3096" s="3" t="s">
        <v>4815</v>
      </c>
      <c r="B3096" s="3" t="s">
        <v>5144</v>
      </c>
      <c r="C3096" t="s">
        <v>4971</v>
      </c>
      <c r="D3096" s="3" t="s">
        <v>7314</v>
      </c>
      <c r="E3096" t="s">
        <v>5145</v>
      </c>
      <c r="F3096" s="3" t="s">
        <v>5146</v>
      </c>
      <c r="G3096" t="s">
        <v>24</v>
      </c>
      <c r="H3096" s="3" t="s">
        <v>5153</v>
      </c>
      <c r="I3096" t="s">
        <v>218</v>
      </c>
      <c r="J3096" s="3" t="s">
        <v>5151</v>
      </c>
      <c r="K3096" s="4">
        <v>1091</v>
      </c>
      <c r="L3096" s="5">
        <v>49.59</v>
      </c>
      <c r="M3096" s="6">
        <v>0</v>
      </c>
      <c r="N3096" s="7">
        <v>1</v>
      </c>
      <c r="O3096" t="s">
        <v>5154</v>
      </c>
      <c r="P3096" s="3" t="s">
        <v>23</v>
      </c>
      <c r="Q3096" s="8" t="s">
        <v>23</v>
      </c>
    </row>
    <row r="3097" spans="1:17" hidden="1" x14ac:dyDescent="0.55000000000000004">
      <c r="A3097" s="3" t="s">
        <v>4815</v>
      </c>
      <c r="B3097" s="3" t="s">
        <v>5144</v>
      </c>
      <c r="C3097" t="s">
        <v>4971</v>
      </c>
      <c r="D3097" s="3" t="s">
        <v>7314</v>
      </c>
      <c r="E3097" t="s">
        <v>5145</v>
      </c>
      <c r="F3097" s="3" t="s">
        <v>5146</v>
      </c>
      <c r="G3097" t="s">
        <v>24</v>
      </c>
      <c r="H3097" s="3" t="s">
        <v>4864</v>
      </c>
      <c r="I3097" t="s">
        <v>309</v>
      </c>
      <c r="J3097" s="3" t="s">
        <v>4865</v>
      </c>
      <c r="K3097" s="4">
        <v>734</v>
      </c>
      <c r="L3097" s="5">
        <v>0</v>
      </c>
      <c r="M3097" s="6">
        <v>0</v>
      </c>
      <c r="N3097" s="7">
        <v>1</v>
      </c>
      <c r="O3097" t="s">
        <v>23</v>
      </c>
      <c r="P3097" s="3" t="s">
        <v>23</v>
      </c>
      <c r="Q3097" s="8" t="s">
        <v>23</v>
      </c>
    </row>
    <row r="3098" spans="1:17" hidden="1" x14ac:dyDescent="0.55000000000000004">
      <c r="A3098" s="3" t="s">
        <v>4815</v>
      </c>
      <c r="B3098" s="3" t="s">
        <v>5144</v>
      </c>
      <c r="C3098" t="s">
        <v>4971</v>
      </c>
      <c r="D3098" s="3" t="s">
        <v>7314</v>
      </c>
      <c r="E3098" t="s">
        <v>5145</v>
      </c>
      <c r="F3098" s="3" t="s">
        <v>5146</v>
      </c>
      <c r="G3098" t="s">
        <v>24</v>
      </c>
      <c r="H3098" s="3" t="s">
        <v>4866</v>
      </c>
      <c r="I3098" t="s">
        <v>218</v>
      </c>
      <c r="J3098" s="3" t="s">
        <v>4865</v>
      </c>
      <c r="K3098" s="4">
        <v>845</v>
      </c>
      <c r="L3098" s="5">
        <v>0</v>
      </c>
      <c r="M3098" s="6">
        <v>0</v>
      </c>
      <c r="N3098" s="7">
        <v>1</v>
      </c>
      <c r="O3098" t="s">
        <v>23</v>
      </c>
      <c r="P3098" s="3" t="s">
        <v>23</v>
      </c>
      <c r="Q3098" s="8" t="s">
        <v>23</v>
      </c>
    </row>
    <row r="3099" spans="1:17" hidden="1" x14ac:dyDescent="0.55000000000000004">
      <c r="A3099" s="3" t="s">
        <v>4815</v>
      </c>
      <c r="B3099" s="3" t="s">
        <v>5144</v>
      </c>
      <c r="C3099" t="s">
        <v>4971</v>
      </c>
      <c r="D3099" s="3" t="s">
        <v>7314</v>
      </c>
      <c r="E3099" t="s">
        <v>5145</v>
      </c>
      <c r="F3099" s="3" t="s">
        <v>5146</v>
      </c>
      <c r="G3099" t="s">
        <v>24</v>
      </c>
      <c r="H3099" s="3" t="s">
        <v>4867</v>
      </c>
      <c r="I3099" t="s">
        <v>317</v>
      </c>
      <c r="J3099" s="3" t="s">
        <v>4865</v>
      </c>
      <c r="K3099" s="4">
        <v>738</v>
      </c>
      <c r="L3099" s="5">
        <v>0</v>
      </c>
      <c r="M3099" s="6">
        <v>0</v>
      </c>
      <c r="N3099" s="7">
        <v>1</v>
      </c>
      <c r="O3099" t="s">
        <v>23</v>
      </c>
      <c r="P3099" s="3" t="s">
        <v>23</v>
      </c>
      <c r="Q3099" s="8" t="s">
        <v>23</v>
      </c>
    </row>
    <row r="3100" spans="1:17" hidden="1" x14ac:dyDescent="0.55000000000000004">
      <c r="A3100" s="3" t="s">
        <v>4815</v>
      </c>
      <c r="B3100" s="3" t="s">
        <v>5144</v>
      </c>
      <c r="C3100" t="s">
        <v>4971</v>
      </c>
      <c r="D3100" s="3" t="s">
        <v>7314</v>
      </c>
      <c r="E3100" t="s">
        <v>5145</v>
      </c>
      <c r="F3100" s="3" t="s">
        <v>5146</v>
      </c>
      <c r="G3100" t="s">
        <v>24</v>
      </c>
      <c r="H3100" s="3" t="s">
        <v>4868</v>
      </c>
      <c r="I3100" t="s">
        <v>313</v>
      </c>
      <c r="J3100" s="3" t="s">
        <v>4865</v>
      </c>
      <c r="K3100" s="4">
        <v>912</v>
      </c>
      <c r="L3100" s="5">
        <v>0</v>
      </c>
      <c r="M3100" s="6">
        <v>0</v>
      </c>
      <c r="N3100" s="7">
        <v>1</v>
      </c>
      <c r="O3100" t="s">
        <v>23</v>
      </c>
      <c r="P3100" s="3" t="s">
        <v>23</v>
      </c>
      <c r="Q3100" s="8" t="s">
        <v>23</v>
      </c>
    </row>
    <row r="3101" spans="1:17" hidden="1" x14ac:dyDescent="0.55000000000000004">
      <c r="A3101" s="3" t="s">
        <v>4815</v>
      </c>
      <c r="B3101" s="3" t="s">
        <v>5144</v>
      </c>
      <c r="C3101" t="s">
        <v>4971</v>
      </c>
      <c r="D3101" s="3" t="s">
        <v>7314</v>
      </c>
      <c r="E3101" t="s">
        <v>5145</v>
      </c>
      <c r="F3101" s="3" t="s">
        <v>5146</v>
      </c>
      <c r="G3101" t="s">
        <v>24</v>
      </c>
      <c r="H3101" s="3" t="s">
        <v>4869</v>
      </c>
      <c r="I3101" t="s">
        <v>315</v>
      </c>
      <c r="J3101" s="3" t="s">
        <v>4865</v>
      </c>
      <c r="K3101" s="4">
        <v>598</v>
      </c>
      <c r="L3101" s="5">
        <v>0</v>
      </c>
      <c r="M3101" s="6">
        <v>0</v>
      </c>
      <c r="N3101" s="7">
        <v>1</v>
      </c>
      <c r="O3101" t="s">
        <v>23</v>
      </c>
      <c r="P3101" s="3" t="s">
        <v>23</v>
      </c>
      <c r="Q3101" s="8" t="s">
        <v>23</v>
      </c>
    </row>
    <row r="3102" spans="1:17" hidden="1" x14ac:dyDescent="0.55000000000000004">
      <c r="A3102" s="3" t="s">
        <v>4815</v>
      </c>
      <c r="B3102" s="3" t="s">
        <v>5155</v>
      </c>
      <c r="C3102" t="s">
        <v>5155</v>
      </c>
      <c r="D3102" s="3" t="s">
        <v>7314</v>
      </c>
      <c r="E3102" t="s">
        <v>5156</v>
      </c>
      <c r="F3102" s="3" t="s">
        <v>5157</v>
      </c>
      <c r="G3102" t="s">
        <v>24</v>
      </c>
      <c r="H3102" s="3" t="s">
        <v>5158</v>
      </c>
      <c r="I3102" t="s">
        <v>26</v>
      </c>
      <c r="J3102" s="3" t="s">
        <v>5159</v>
      </c>
      <c r="K3102" s="4">
        <v>1146</v>
      </c>
      <c r="L3102" s="5">
        <v>52.09</v>
      </c>
      <c r="M3102" s="6">
        <v>1</v>
      </c>
      <c r="N3102" s="7">
        <v>0</v>
      </c>
      <c r="O3102" t="s">
        <v>5160</v>
      </c>
      <c r="P3102" s="3" t="s">
        <v>29</v>
      </c>
      <c r="Q3102" s="8">
        <v>0.25383299999999998</v>
      </c>
    </row>
    <row r="3103" spans="1:17" hidden="1" x14ac:dyDescent="0.55000000000000004">
      <c r="A3103" s="3" t="s">
        <v>4815</v>
      </c>
      <c r="B3103" s="3" t="s">
        <v>4817</v>
      </c>
      <c r="C3103" t="s">
        <v>4817</v>
      </c>
      <c r="D3103" s="3" t="s">
        <v>7314</v>
      </c>
      <c r="E3103" t="s">
        <v>5161</v>
      </c>
      <c r="F3103" s="3" t="s">
        <v>5162</v>
      </c>
      <c r="G3103" t="s">
        <v>19</v>
      </c>
      <c r="H3103" s="3" t="s">
        <v>5163</v>
      </c>
      <c r="I3103" t="s">
        <v>4821</v>
      </c>
      <c r="J3103" s="3" t="s">
        <v>5164</v>
      </c>
      <c r="K3103" s="4">
        <v>170</v>
      </c>
      <c r="L3103" s="5">
        <v>36.96</v>
      </c>
      <c r="M3103" s="6">
        <v>1</v>
      </c>
      <c r="N3103" s="7">
        <v>1</v>
      </c>
      <c r="O3103" t="s">
        <v>5165</v>
      </c>
      <c r="P3103" s="3" t="s">
        <v>4824</v>
      </c>
      <c r="Q3103" s="8">
        <v>3.4113999999999998E-2</v>
      </c>
    </row>
    <row r="3104" spans="1:17" hidden="1" x14ac:dyDescent="0.55000000000000004">
      <c r="A3104" s="3" t="s">
        <v>4815</v>
      </c>
      <c r="B3104" s="3" t="s">
        <v>4817</v>
      </c>
      <c r="C3104" t="s">
        <v>4817</v>
      </c>
      <c r="D3104" s="3" t="s">
        <v>7314</v>
      </c>
      <c r="E3104" t="s">
        <v>5161</v>
      </c>
      <c r="F3104" s="3" t="s">
        <v>5162</v>
      </c>
      <c r="G3104" t="s">
        <v>24</v>
      </c>
      <c r="H3104" s="3" t="s">
        <v>5166</v>
      </c>
      <c r="I3104" t="s">
        <v>26</v>
      </c>
      <c r="J3104" s="3" t="s">
        <v>5167</v>
      </c>
      <c r="K3104" s="4">
        <v>856</v>
      </c>
      <c r="L3104" s="5">
        <v>38.909999999999997</v>
      </c>
      <c r="M3104" s="6">
        <v>1</v>
      </c>
      <c r="N3104" s="7">
        <v>1</v>
      </c>
      <c r="O3104" t="s">
        <v>5168</v>
      </c>
      <c r="P3104" s="3" t="s">
        <v>76</v>
      </c>
      <c r="Q3104" s="8">
        <v>0.23799999999999999</v>
      </c>
    </row>
    <row r="3105" spans="1:17" hidden="1" x14ac:dyDescent="0.55000000000000004">
      <c r="A3105" s="3" t="s">
        <v>4815</v>
      </c>
      <c r="B3105" s="3" t="s">
        <v>4817</v>
      </c>
      <c r="C3105" t="s">
        <v>4817</v>
      </c>
      <c r="D3105" s="3" t="s">
        <v>7314</v>
      </c>
      <c r="E3105" t="s">
        <v>5161</v>
      </c>
      <c r="F3105" s="3" t="s">
        <v>5162</v>
      </c>
      <c r="G3105" t="s">
        <v>24</v>
      </c>
      <c r="H3105" s="3" t="s">
        <v>5169</v>
      </c>
      <c r="I3105" t="s">
        <v>218</v>
      </c>
      <c r="J3105" s="3" t="s">
        <v>5167</v>
      </c>
      <c r="K3105" s="4">
        <v>1299</v>
      </c>
      <c r="L3105" s="5">
        <v>59.05</v>
      </c>
      <c r="M3105" s="6">
        <v>0</v>
      </c>
      <c r="N3105" s="7">
        <v>1</v>
      </c>
      <c r="O3105" t="s">
        <v>5170</v>
      </c>
      <c r="P3105" s="3" t="s">
        <v>23</v>
      </c>
      <c r="Q3105" s="8" t="s">
        <v>23</v>
      </c>
    </row>
    <row r="3106" spans="1:17" hidden="1" x14ac:dyDescent="0.55000000000000004">
      <c r="A3106" s="3" t="s">
        <v>4815</v>
      </c>
      <c r="B3106" s="3" t="s">
        <v>4817</v>
      </c>
      <c r="C3106" t="s">
        <v>4817</v>
      </c>
      <c r="D3106" s="3" t="s">
        <v>7314</v>
      </c>
      <c r="E3106" t="s">
        <v>5171</v>
      </c>
      <c r="F3106" s="3" t="s">
        <v>5172</v>
      </c>
      <c r="G3106" t="s">
        <v>19</v>
      </c>
      <c r="H3106" s="3" t="s">
        <v>5163</v>
      </c>
      <c r="I3106" t="s">
        <v>4821</v>
      </c>
      <c r="J3106" s="3" t="s">
        <v>5164</v>
      </c>
      <c r="K3106" s="4">
        <v>170</v>
      </c>
      <c r="L3106" s="5">
        <v>36.96</v>
      </c>
      <c r="M3106" s="6">
        <v>1</v>
      </c>
      <c r="N3106" s="7">
        <v>0</v>
      </c>
      <c r="O3106" t="s">
        <v>5165</v>
      </c>
      <c r="P3106" s="3" t="s">
        <v>4824</v>
      </c>
      <c r="Q3106" s="8">
        <v>3.4113999999999998E-2</v>
      </c>
    </row>
    <row r="3107" spans="1:17" hidden="1" x14ac:dyDescent="0.55000000000000004">
      <c r="A3107" s="3" t="s">
        <v>4815</v>
      </c>
      <c r="B3107" s="3" t="s">
        <v>4817</v>
      </c>
      <c r="C3107" t="s">
        <v>4817</v>
      </c>
      <c r="D3107" s="3" t="s">
        <v>7314</v>
      </c>
      <c r="E3107" t="s">
        <v>5171</v>
      </c>
      <c r="F3107" s="3" t="s">
        <v>5172</v>
      </c>
      <c r="G3107" t="s">
        <v>24</v>
      </c>
      <c r="H3107" s="3" t="s">
        <v>5166</v>
      </c>
      <c r="I3107" t="s">
        <v>26</v>
      </c>
      <c r="J3107" s="3" t="s">
        <v>5167</v>
      </c>
      <c r="K3107" s="4">
        <v>856</v>
      </c>
      <c r="L3107" s="5">
        <v>38.909999999999997</v>
      </c>
      <c r="M3107" s="6">
        <v>1</v>
      </c>
      <c r="N3107" s="7">
        <v>0</v>
      </c>
      <c r="O3107" t="s">
        <v>5168</v>
      </c>
      <c r="P3107" s="3" t="s">
        <v>76</v>
      </c>
      <c r="Q3107" s="8">
        <v>0.23799999999999999</v>
      </c>
    </row>
    <row r="3108" spans="1:17" hidden="1" x14ac:dyDescent="0.55000000000000004">
      <c r="A3108" s="3" t="s">
        <v>4815</v>
      </c>
      <c r="B3108" s="3" t="s">
        <v>4817</v>
      </c>
      <c r="C3108" t="s">
        <v>4817</v>
      </c>
      <c r="D3108" s="3" t="s">
        <v>7314</v>
      </c>
      <c r="E3108" t="s">
        <v>5171</v>
      </c>
      <c r="F3108" s="3" t="s">
        <v>5172</v>
      </c>
      <c r="G3108" t="s">
        <v>24</v>
      </c>
      <c r="H3108" s="3" t="s">
        <v>5169</v>
      </c>
      <c r="I3108" t="s">
        <v>218</v>
      </c>
      <c r="J3108" s="3" t="s">
        <v>5167</v>
      </c>
      <c r="K3108" s="4">
        <v>1299</v>
      </c>
      <c r="L3108" s="5">
        <v>59.05</v>
      </c>
      <c r="M3108" s="6">
        <v>0</v>
      </c>
      <c r="N3108" s="7">
        <v>0</v>
      </c>
      <c r="O3108" t="s">
        <v>5170</v>
      </c>
      <c r="P3108" s="3" t="s">
        <v>23</v>
      </c>
      <c r="Q3108" s="8" t="s">
        <v>23</v>
      </c>
    </row>
    <row r="3109" spans="1:17" hidden="1" x14ac:dyDescent="0.55000000000000004">
      <c r="A3109" s="3" t="s">
        <v>4815</v>
      </c>
      <c r="B3109" s="3" t="s">
        <v>5173</v>
      </c>
      <c r="C3109" t="s">
        <v>4971</v>
      </c>
      <c r="D3109" s="3" t="s">
        <v>7314</v>
      </c>
      <c r="E3109" t="s">
        <v>5174</v>
      </c>
      <c r="F3109" s="3" t="s">
        <v>5175</v>
      </c>
      <c r="G3109" t="s">
        <v>19</v>
      </c>
      <c r="H3109" s="3" t="s">
        <v>5176</v>
      </c>
      <c r="I3109" t="s">
        <v>4113</v>
      </c>
      <c r="J3109" s="3" t="s">
        <v>5177</v>
      </c>
      <c r="K3109" s="4">
        <v>286</v>
      </c>
      <c r="L3109" s="5">
        <v>62.11</v>
      </c>
      <c r="M3109" s="6">
        <v>1</v>
      </c>
      <c r="N3109" s="7">
        <v>1</v>
      </c>
      <c r="O3109" t="s">
        <v>5178</v>
      </c>
      <c r="P3109" s="3" t="s">
        <v>1610</v>
      </c>
      <c r="Q3109" s="8">
        <v>6.4333000000000001E-2</v>
      </c>
    </row>
    <row r="3110" spans="1:17" hidden="1" x14ac:dyDescent="0.55000000000000004">
      <c r="A3110" s="3" t="s">
        <v>4815</v>
      </c>
      <c r="B3110" s="3" t="s">
        <v>5173</v>
      </c>
      <c r="C3110" t="s">
        <v>4971</v>
      </c>
      <c r="D3110" s="3" t="s">
        <v>7314</v>
      </c>
      <c r="E3110" t="s">
        <v>5174</v>
      </c>
      <c r="F3110" s="3" t="s">
        <v>5175</v>
      </c>
      <c r="G3110" t="s">
        <v>24</v>
      </c>
      <c r="H3110" s="3" t="s">
        <v>5179</v>
      </c>
      <c r="I3110" t="s">
        <v>309</v>
      </c>
      <c r="J3110" s="3" t="s">
        <v>5180</v>
      </c>
      <c r="K3110" s="4">
        <v>896</v>
      </c>
      <c r="L3110" s="5">
        <v>40.72</v>
      </c>
      <c r="M3110" s="6">
        <v>1</v>
      </c>
      <c r="N3110" s="7">
        <v>1</v>
      </c>
      <c r="O3110" t="s">
        <v>5181</v>
      </c>
      <c r="P3110" s="3" t="s">
        <v>76</v>
      </c>
      <c r="Q3110" s="8">
        <v>0.23283300000000001</v>
      </c>
    </row>
    <row r="3111" spans="1:17" hidden="1" x14ac:dyDescent="0.55000000000000004">
      <c r="A3111" s="3" t="s">
        <v>4815</v>
      </c>
      <c r="B3111" s="3" t="s">
        <v>5173</v>
      </c>
      <c r="C3111" t="s">
        <v>4971</v>
      </c>
      <c r="D3111" s="3" t="s">
        <v>7314</v>
      </c>
      <c r="E3111" t="s">
        <v>5174</v>
      </c>
      <c r="F3111" s="3" t="s">
        <v>5175</v>
      </c>
      <c r="G3111" t="s">
        <v>24</v>
      </c>
      <c r="H3111" s="3" t="s">
        <v>5182</v>
      </c>
      <c r="I3111" t="s">
        <v>218</v>
      </c>
      <c r="J3111" s="3" t="s">
        <v>5180</v>
      </c>
      <c r="K3111" s="4">
        <v>1038</v>
      </c>
      <c r="L3111" s="5">
        <v>47.16</v>
      </c>
      <c r="M3111" s="6">
        <v>0</v>
      </c>
      <c r="N3111" s="7">
        <v>1</v>
      </c>
      <c r="O3111" t="s">
        <v>5183</v>
      </c>
      <c r="P3111" s="3" t="s">
        <v>23</v>
      </c>
      <c r="Q3111" s="8" t="s">
        <v>23</v>
      </c>
    </row>
    <row r="3112" spans="1:17" hidden="1" x14ac:dyDescent="0.55000000000000004">
      <c r="A3112" s="3" t="s">
        <v>4815</v>
      </c>
      <c r="B3112" s="3" t="s">
        <v>5184</v>
      </c>
      <c r="C3112" t="s">
        <v>5184</v>
      </c>
      <c r="D3112" s="3" t="s">
        <v>7314</v>
      </c>
      <c r="E3112" t="s">
        <v>5185</v>
      </c>
      <c r="F3112" s="3" t="s">
        <v>5186</v>
      </c>
      <c r="G3112" t="s">
        <v>24</v>
      </c>
      <c r="H3112" s="3" t="s">
        <v>5187</v>
      </c>
      <c r="I3112" t="s">
        <v>26</v>
      </c>
      <c r="J3112" s="3" t="s">
        <v>5188</v>
      </c>
      <c r="K3112" s="4">
        <v>559</v>
      </c>
      <c r="L3112" s="5">
        <v>25.41</v>
      </c>
      <c r="M3112" s="6">
        <v>1</v>
      </c>
      <c r="N3112" s="7">
        <v>0</v>
      </c>
      <c r="O3112" t="s">
        <v>5189</v>
      </c>
      <c r="P3112" s="3" t="s">
        <v>29</v>
      </c>
      <c r="Q3112" s="8">
        <v>0.21784400000000001</v>
      </c>
    </row>
    <row r="3113" spans="1:17" hidden="1" x14ac:dyDescent="0.55000000000000004">
      <c r="A3113" s="3" t="s">
        <v>4815</v>
      </c>
      <c r="B3113" s="3" t="s">
        <v>5190</v>
      </c>
      <c r="C3113" t="s">
        <v>4988</v>
      </c>
      <c r="D3113" s="3" t="s">
        <v>7314</v>
      </c>
      <c r="E3113" t="s">
        <v>5191</v>
      </c>
      <c r="F3113" s="3" t="s">
        <v>5192</v>
      </c>
      <c r="G3113" t="s">
        <v>19</v>
      </c>
      <c r="H3113" s="3" t="s">
        <v>5193</v>
      </c>
      <c r="I3113" t="s">
        <v>246</v>
      </c>
      <c r="J3113" s="3" t="s">
        <v>5194</v>
      </c>
      <c r="K3113" s="4">
        <v>53</v>
      </c>
      <c r="L3113" s="5">
        <v>11.57</v>
      </c>
      <c r="M3113" s="6">
        <v>1</v>
      </c>
      <c r="N3113" s="7">
        <v>0</v>
      </c>
      <c r="O3113" t="s">
        <v>5195</v>
      </c>
      <c r="P3113" s="3" t="s">
        <v>5196</v>
      </c>
      <c r="Q3113" s="8">
        <v>2.0986000000000001E-2</v>
      </c>
    </row>
    <row r="3114" spans="1:17" hidden="1" x14ac:dyDescent="0.55000000000000004">
      <c r="A3114" s="3" t="s">
        <v>4815</v>
      </c>
      <c r="B3114" s="3" t="s">
        <v>5190</v>
      </c>
      <c r="C3114" t="s">
        <v>4988</v>
      </c>
      <c r="D3114" s="3" t="s">
        <v>7314</v>
      </c>
      <c r="E3114" t="s">
        <v>5191</v>
      </c>
      <c r="F3114" s="3" t="s">
        <v>5192</v>
      </c>
      <c r="G3114" t="s">
        <v>24</v>
      </c>
      <c r="H3114" s="3" t="s">
        <v>4991</v>
      </c>
      <c r="I3114" t="s">
        <v>52</v>
      </c>
      <c r="J3114" s="3" t="s">
        <v>4992</v>
      </c>
      <c r="K3114" s="4">
        <v>838</v>
      </c>
      <c r="L3114" s="5">
        <v>0</v>
      </c>
      <c r="M3114" s="6">
        <v>0</v>
      </c>
      <c r="N3114" s="7">
        <v>0</v>
      </c>
      <c r="O3114" t="s">
        <v>23</v>
      </c>
      <c r="P3114" s="3" t="s">
        <v>23</v>
      </c>
      <c r="Q3114" s="8" t="s">
        <v>23</v>
      </c>
    </row>
    <row r="3115" spans="1:17" hidden="1" x14ac:dyDescent="0.55000000000000004">
      <c r="A3115" s="3" t="s">
        <v>4815</v>
      </c>
      <c r="B3115" s="3" t="s">
        <v>5190</v>
      </c>
      <c r="C3115" t="s">
        <v>4988</v>
      </c>
      <c r="D3115" s="3" t="s">
        <v>7314</v>
      </c>
      <c r="E3115" t="s">
        <v>5191</v>
      </c>
      <c r="F3115" s="3" t="s">
        <v>5192</v>
      </c>
      <c r="G3115" t="s">
        <v>24</v>
      </c>
      <c r="H3115" s="3" t="s">
        <v>4993</v>
      </c>
      <c r="I3115" t="s">
        <v>296</v>
      </c>
      <c r="J3115" s="3" t="s">
        <v>4992</v>
      </c>
      <c r="K3115" s="4">
        <v>810</v>
      </c>
      <c r="L3115" s="5">
        <v>0</v>
      </c>
      <c r="M3115" s="6">
        <v>0</v>
      </c>
      <c r="N3115" s="7">
        <v>0</v>
      </c>
      <c r="O3115" t="s">
        <v>23</v>
      </c>
      <c r="P3115" s="3" t="s">
        <v>23</v>
      </c>
      <c r="Q3115" s="8" t="s">
        <v>23</v>
      </c>
    </row>
    <row r="3116" spans="1:17" hidden="1" x14ac:dyDescent="0.55000000000000004">
      <c r="A3116" s="3" t="s">
        <v>4815</v>
      </c>
      <c r="B3116" s="3" t="s">
        <v>5190</v>
      </c>
      <c r="C3116" t="s">
        <v>4988</v>
      </c>
      <c r="D3116" s="3" t="s">
        <v>7314</v>
      </c>
      <c r="E3116" t="s">
        <v>5191</v>
      </c>
      <c r="F3116" s="3" t="s">
        <v>5192</v>
      </c>
      <c r="G3116" t="s">
        <v>24</v>
      </c>
      <c r="H3116" s="3" t="s">
        <v>4994</v>
      </c>
      <c r="I3116" t="s">
        <v>298</v>
      </c>
      <c r="J3116" s="3" t="s">
        <v>4992</v>
      </c>
      <c r="K3116" s="4">
        <v>901</v>
      </c>
      <c r="L3116" s="5">
        <v>0</v>
      </c>
      <c r="M3116" s="6">
        <v>0</v>
      </c>
      <c r="N3116" s="7">
        <v>0</v>
      </c>
      <c r="O3116" t="s">
        <v>23</v>
      </c>
      <c r="P3116" s="3" t="s">
        <v>23</v>
      </c>
      <c r="Q3116" s="8" t="s">
        <v>23</v>
      </c>
    </row>
    <row r="3117" spans="1:17" hidden="1" x14ac:dyDescent="0.55000000000000004">
      <c r="A3117" s="3" t="s">
        <v>4815</v>
      </c>
      <c r="B3117" s="3" t="s">
        <v>5190</v>
      </c>
      <c r="C3117" t="s">
        <v>4988</v>
      </c>
      <c r="D3117" s="3" t="s">
        <v>7314</v>
      </c>
      <c r="E3117" t="s">
        <v>5191</v>
      </c>
      <c r="F3117" s="3" t="s">
        <v>5192</v>
      </c>
      <c r="G3117" t="s">
        <v>24</v>
      </c>
      <c r="H3117" s="3" t="s">
        <v>4995</v>
      </c>
      <c r="I3117" t="s">
        <v>304</v>
      </c>
      <c r="J3117" s="3" t="s">
        <v>4992</v>
      </c>
      <c r="K3117" s="4">
        <v>986</v>
      </c>
      <c r="L3117" s="5">
        <v>0</v>
      </c>
      <c r="M3117" s="6">
        <v>0</v>
      </c>
      <c r="N3117" s="7">
        <v>0</v>
      </c>
      <c r="O3117" t="s">
        <v>23</v>
      </c>
      <c r="P3117" s="3" t="s">
        <v>23</v>
      </c>
      <c r="Q3117" s="8" t="s">
        <v>23</v>
      </c>
    </row>
    <row r="3118" spans="1:17" hidden="1" x14ac:dyDescent="0.55000000000000004">
      <c r="A3118" s="3" t="s">
        <v>4815</v>
      </c>
      <c r="B3118" s="3" t="s">
        <v>5190</v>
      </c>
      <c r="C3118" t="s">
        <v>4988</v>
      </c>
      <c r="D3118" s="3" t="s">
        <v>7314</v>
      </c>
      <c r="E3118" t="s">
        <v>5191</v>
      </c>
      <c r="F3118" s="3" t="s">
        <v>5192</v>
      </c>
      <c r="G3118" t="s">
        <v>24</v>
      </c>
      <c r="H3118" s="3" t="s">
        <v>4996</v>
      </c>
      <c r="I3118" t="s">
        <v>300</v>
      </c>
      <c r="J3118" s="3" t="s">
        <v>4992</v>
      </c>
      <c r="K3118" s="4">
        <v>1002</v>
      </c>
      <c r="L3118" s="5">
        <v>0</v>
      </c>
      <c r="M3118" s="6">
        <v>0</v>
      </c>
      <c r="N3118" s="7">
        <v>0</v>
      </c>
      <c r="O3118" t="s">
        <v>23</v>
      </c>
      <c r="P3118" s="3" t="s">
        <v>23</v>
      </c>
      <c r="Q3118" s="8" t="s">
        <v>23</v>
      </c>
    </row>
    <row r="3119" spans="1:17" hidden="1" x14ac:dyDescent="0.55000000000000004">
      <c r="A3119" s="3" t="s">
        <v>4815</v>
      </c>
      <c r="B3119" s="3" t="s">
        <v>5190</v>
      </c>
      <c r="C3119" t="s">
        <v>4988</v>
      </c>
      <c r="D3119" s="3" t="s">
        <v>7314</v>
      </c>
      <c r="E3119" t="s">
        <v>5191</v>
      </c>
      <c r="F3119" s="3" t="s">
        <v>5192</v>
      </c>
      <c r="G3119" t="s">
        <v>24</v>
      </c>
      <c r="H3119" s="3" t="s">
        <v>4997</v>
      </c>
      <c r="I3119" t="s">
        <v>302</v>
      </c>
      <c r="J3119" s="3" t="s">
        <v>4992</v>
      </c>
      <c r="K3119" s="4">
        <v>1118</v>
      </c>
      <c r="L3119" s="5">
        <v>0</v>
      </c>
      <c r="M3119" s="6">
        <v>0</v>
      </c>
      <c r="N3119" s="7">
        <v>0</v>
      </c>
      <c r="O3119" t="s">
        <v>23</v>
      </c>
      <c r="P3119" s="3" t="s">
        <v>23</v>
      </c>
      <c r="Q3119" s="8" t="s">
        <v>23</v>
      </c>
    </row>
    <row r="3120" spans="1:17" hidden="1" x14ac:dyDescent="0.55000000000000004">
      <c r="A3120" s="3" t="s">
        <v>4815</v>
      </c>
      <c r="B3120" s="3" t="s">
        <v>5190</v>
      </c>
      <c r="C3120" t="s">
        <v>4988</v>
      </c>
      <c r="D3120" s="3" t="s">
        <v>7314</v>
      </c>
      <c r="E3120" t="s">
        <v>5191</v>
      </c>
      <c r="F3120" s="3" t="s">
        <v>5192</v>
      </c>
      <c r="G3120" t="s">
        <v>24</v>
      </c>
      <c r="H3120" s="3" t="s">
        <v>4998</v>
      </c>
      <c r="I3120" t="s">
        <v>26</v>
      </c>
      <c r="J3120" s="3" t="s">
        <v>4999</v>
      </c>
      <c r="K3120" s="4">
        <v>976</v>
      </c>
      <c r="L3120" s="5">
        <v>44.36</v>
      </c>
      <c r="M3120" s="6">
        <v>1</v>
      </c>
      <c r="N3120" s="7">
        <v>0</v>
      </c>
      <c r="O3120" t="s">
        <v>5000</v>
      </c>
      <c r="P3120" s="3" t="s">
        <v>76</v>
      </c>
      <c r="Q3120" s="8">
        <v>0.25116699999999997</v>
      </c>
    </row>
    <row r="3121" spans="1:17" hidden="1" x14ac:dyDescent="0.55000000000000004">
      <c r="A3121" s="3" t="s">
        <v>4815</v>
      </c>
      <c r="B3121" s="3" t="s">
        <v>5190</v>
      </c>
      <c r="C3121" t="s">
        <v>4988</v>
      </c>
      <c r="D3121" s="3" t="s">
        <v>7314</v>
      </c>
      <c r="E3121" t="s">
        <v>5191</v>
      </c>
      <c r="F3121" s="3" t="s">
        <v>5192</v>
      </c>
      <c r="G3121" t="s">
        <v>24</v>
      </c>
      <c r="H3121" s="3" t="s">
        <v>5004</v>
      </c>
      <c r="I3121" t="s">
        <v>309</v>
      </c>
      <c r="J3121" s="3" t="s">
        <v>4999</v>
      </c>
      <c r="K3121" s="4">
        <v>910</v>
      </c>
      <c r="L3121" s="5">
        <v>0</v>
      </c>
      <c r="M3121" s="6">
        <v>0</v>
      </c>
      <c r="N3121" s="7">
        <v>0</v>
      </c>
      <c r="O3121" t="s">
        <v>23</v>
      </c>
      <c r="P3121" s="3" t="s">
        <v>23</v>
      </c>
      <c r="Q3121" s="8" t="s">
        <v>23</v>
      </c>
    </row>
    <row r="3122" spans="1:17" hidden="1" x14ac:dyDescent="0.55000000000000004">
      <c r="A3122" s="3" t="s">
        <v>4815</v>
      </c>
      <c r="B3122" s="3" t="s">
        <v>5190</v>
      </c>
      <c r="C3122" t="s">
        <v>4988</v>
      </c>
      <c r="D3122" s="3" t="s">
        <v>7314</v>
      </c>
      <c r="E3122" t="s">
        <v>5191</v>
      </c>
      <c r="F3122" s="3" t="s">
        <v>5192</v>
      </c>
      <c r="G3122" t="s">
        <v>24</v>
      </c>
      <c r="H3122" s="3" t="s">
        <v>5005</v>
      </c>
      <c r="I3122" t="s">
        <v>218</v>
      </c>
      <c r="J3122" s="3" t="s">
        <v>4999</v>
      </c>
      <c r="K3122" s="4">
        <v>983</v>
      </c>
      <c r="L3122" s="5">
        <v>0</v>
      </c>
      <c r="M3122" s="6">
        <v>0</v>
      </c>
      <c r="N3122" s="7">
        <v>0</v>
      </c>
      <c r="O3122" t="s">
        <v>5006</v>
      </c>
      <c r="P3122" s="3" t="s">
        <v>23</v>
      </c>
      <c r="Q3122" s="8" t="s">
        <v>23</v>
      </c>
    </row>
    <row r="3123" spans="1:17" hidden="1" x14ac:dyDescent="0.55000000000000004">
      <c r="A3123" s="3" t="s">
        <v>4815</v>
      </c>
      <c r="B3123" s="3" t="s">
        <v>5190</v>
      </c>
      <c r="C3123" t="s">
        <v>4988</v>
      </c>
      <c r="D3123" s="3" t="s">
        <v>7314</v>
      </c>
      <c r="E3123" t="s">
        <v>5191</v>
      </c>
      <c r="F3123" s="3" t="s">
        <v>5192</v>
      </c>
      <c r="G3123" t="s">
        <v>24</v>
      </c>
      <c r="H3123" s="3" t="s">
        <v>5007</v>
      </c>
      <c r="I3123" t="s">
        <v>313</v>
      </c>
      <c r="J3123" s="3" t="s">
        <v>4999</v>
      </c>
      <c r="K3123" s="4">
        <v>1109</v>
      </c>
      <c r="L3123" s="5">
        <v>0</v>
      </c>
      <c r="M3123" s="6">
        <v>0</v>
      </c>
      <c r="N3123" s="7">
        <v>0</v>
      </c>
      <c r="O3123" t="s">
        <v>23</v>
      </c>
      <c r="P3123" s="3" t="s">
        <v>23</v>
      </c>
      <c r="Q3123" s="8" t="s">
        <v>23</v>
      </c>
    </row>
    <row r="3124" spans="1:17" hidden="1" x14ac:dyDescent="0.55000000000000004">
      <c r="A3124" s="3" t="s">
        <v>4815</v>
      </c>
      <c r="B3124" s="3" t="s">
        <v>5190</v>
      </c>
      <c r="C3124" t="s">
        <v>4988</v>
      </c>
      <c r="D3124" s="3" t="s">
        <v>7314</v>
      </c>
      <c r="E3124" t="s">
        <v>5191</v>
      </c>
      <c r="F3124" s="3" t="s">
        <v>5192</v>
      </c>
      <c r="G3124" t="s">
        <v>24</v>
      </c>
      <c r="H3124" s="3" t="s">
        <v>5008</v>
      </c>
      <c r="I3124" t="s">
        <v>315</v>
      </c>
      <c r="J3124" s="3" t="s">
        <v>4999</v>
      </c>
      <c r="K3124" s="4">
        <v>824</v>
      </c>
      <c r="L3124" s="5">
        <v>0</v>
      </c>
      <c r="M3124" s="6">
        <v>0</v>
      </c>
      <c r="N3124" s="7">
        <v>0</v>
      </c>
      <c r="O3124" t="s">
        <v>23</v>
      </c>
      <c r="P3124" s="3" t="s">
        <v>23</v>
      </c>
      <c r="Q3124" s="8" t="s">
        <v>23</v>
      </c>
    </row>
    <row r="3125" spans="1:17" hidden="1" x14ac:dyDescent="0.55000000000000004">
      <c r="A3125" s="3" t="s">
        <v>4815</v>
      </c>
      <c r="B3125" s="3" t="s">
        <v>5190</v>
      </c>
      <c r="C3125" t="s">
        <v>4988</v>
      </c>
      <c r="D3125" s="3" t="s">
        <v>7314</v>
      </c>
      <c r="E3125" t="s">
        <v>5191</v>
      </c>
      <c r="F3125" s="3" t="s">
        <v>5192</v>
      </c>
      <c r="G3125" t="s">
        <v>24</v>
      </c>
      <c r="H3125" s="3" t="s">
        <v>5009</v>
      </c>
      <c r="I3125" t="s">
        <v>317</v>
      </c>
      <c r="J3125" s="3" t="s">
        <v>4999</v>
      </c>
      <c r="K3125" s="4">
        <v>942</v>
      </c>
      <c r="L3125" s="5">
        <v>0</v>
      </c>
      <c r="M3125" s="6">
        <v>0</v>
      </c>
      <c r="N3125" s="7">
        <v>0</v>
      </c>
      <c r="O3125" t="s">
        <v>23</v>
      </c>
      <c r="P3125" s="3" t="s">
        <v>23</v>
      </c>
      <c r="Q3125" s="8" t="s">
        <v>23</v>
      </c>
    </row>
    <row r="3126" spans="1:17" hidden="1" x14ac:dyDescent="0.55000000000000004">
      <c r="A3126" s="3" t="s">
        <v>4815</v>
      </c>
      <c r="B3126" s="3" t="s">
        <v>5190</v>
      </c>
      <c r="C3126" t="s">
        <v>4988</v>
      </c>
      <c r="D3126" s="3" t="s">
        <v>7314</v>
      </c>
      <c r="E3126" t="s">
        <v>5197</v>
      </c>
      <c r="F3126" s="3" t="s">
        <v>5198</v>
      </c>
      <c r="G3126" t="s">
        <v>19</v>
      </c>
      <c r="H3126" s="3" t="s">
        <v>5199</v>
      </c>
      <c r="I3126" t="s">
        <v>4929</v>
      </c>
      <c r="J3126" s="3" t="s">
        <v>5200</v>
      </c>
      <c r="K3126" s="4">
        <v>24</v>
      </c>
      <c r="L3126" s="5">
        <v>5.28</v>
      </c>
      <c r="M3126" s="6">
        <v>1</v>
      </c>
      <c r="N3126" s="7">
        <v>1</v>
      </c>
      <c r="O3126" t="s">
        <v>5201</v>
      </c>
      <c r="P3126" s="3" t="s">
        <v>1610</v>
      </c>
      <c r="Q3126" s="8">
        <v>2.2214000000000001E-2</v>
      </c>
    </row>
    <row r="3127" spans="1:17" hidden="1" x14ac:dyDescent="0.55000000000000004">
      <c r="A3127" s="3" t="s">
        <v>4815</v>
      </c>
      <c r="B3127" s="3" t="s">
        <v>5190</v>
      </c>
      <c r="C3127" t="s">
        <v>4988</v>
      </c>
      <c r="D3127" s="3" t="s">
        <v>7314</v>
      </c>
      <c r="E3127" t="s">
        <v>5197</v>
      </c>
      <c r="F3127" s="3" t="s">
        <v>5198</v>
      </c>
      <c r="G3127" t="s">
        <v>24</v>
      </c>
      <c r="H3127" s="3" t="s">
        <v>4991</v>
      </c>
      <c r="I3127" t="s">
        <v>52</v>
      </c>
      <c r="J3127" s="3" t="s">
        <v>4992</v>
      </c>
      <c r="K3127" s="4">
        <v>838</v>
      </c>
      <c r="L3127" s="5">
        <v>0</v>
      </c>
      <c r="M3127" s="6">
        <v>0</v>
      </c>
      <c r="N3127" s="7">
        <v>1</v>
      </c>
      <c r="O3127" t="s">
        <v>23</v>
      </c>
      <c r="P3127" s="3" t="s">
        <v>23</v>
      </c>
      <c r="Q3127" s="8" t="s">
        <v>23</v>
      </c>
    </row>
    <row r="3128" spans="1:17" hidden="1" x14ac:dyDescent="0.55000000000000004">
      <c r="A3128" s="3" t="s">
        <v>4815</v>
      </c>
      <c r="B3128" s="3" t="s">
        <v>5190</v>
      </c>
      <c r="C3128" t="s">
        <v>4988</v>
      </c>
      <c r="D3128" s="3" t="s">
        <v>7314</v>
      </c>
      <c r="E3128" t="s">
        <v>5197</v>
      </c>
      <c r="F3128" s="3" t="s">
        <v>5198</v>
      </c>
      <c r="G3128" t="s">
        <v>24</v>
      </c>
      <c r="H3128" s="3" t="s">
        <v>4993</v>
      </c>
      <c r="I3128" t="s">
        <v>296</v>
      </c>
      <c r="J3128" s="3" t="s">
        <v>4992</v>
      </c>
      <c r="K3128" s="4">
        <v>810</v>
      </c>
      <c r="L3128" s="5">
        <v>0</v>
      </c>
      <c r="M3128" s="6">
        <v>0</v>
      </c>
      <c r="N3128" s="7">
        <v>1</v>
      </c>
      <c r="O3128" t="s">
        <v>23</v>
      </c>
      <c r="P3128" s="3" t="s">
        <v>23</v>
      </c>
      <c r="Q3128" s="8" t="s">
        <v>23</v>
      </c>
    </row>
    <row r="3129" spans="1:17" hidden="1" x14ac:dyDescent="0.55000000000000004">
      <c r="A3129" s="3" t="s">
        <v>4815</v>
      </c>
      <c r="B3129" s="3" t="s">
        <v>5190</v>
      </c>
      <c r="C3129" t="s">
        <v>4988</v>
      </c>
      <c r="D3129" s="3" t="s">
        <v>7314</v>
      </c>
      <c r="E3129" t="s">
        <v>5197</v>
      </c>
      <c r="F3129" s="3" t="s">
        <v>5198</v>
      </c>
      <c r="G3129" t="s">
        <v>24</v>
      </c>
      <c r="H3129" s="3" t="s">
        <v>4994</v>
      </c>
      <c r="I3129" t="s">
        <v>298</v>
      </c>
      <c r="J3129" s="3" t="s">
        <v>4992</v>
      </c>
      <c r="K3129" s="4">
        <v>901</v>
      </c>
      <c r="L3129" s="5">
        <v>0</v>
      </c>
      <c r="M3129" s="6">
        <v>0</v>
      </c>
      <c r="N3129" s="7">
        <v>1</v>
      </c>
      <c r="O3129" t="s">
        <v>23</v>
      </c>
      <c r="P3129" s="3" t="s">
        <v>23</v>
      </c>
      <c r="Q3129" s="8" t="s">
        <v>23</v>
      </c>
    </row>
    <row r="3130" spans="1:17" hidden="1" x14ac:dyDescent="0.55000000000000004">
      <c r="A3130" s="3" t="s">
        <v>4815</v>
      </c>
      <c r="B3130" s="3" t="s">
        <v>5190</v>
      </c>
      <c r="C3130" t="s">
        <v>4988</v>
      </c>
      <c r="D3130" s="3" t="s">
        <v>7314</v>
      </c>
      <c r="E3130" t="s">
        <v>5197</v>
      </c>
      <c r="F3130" s="3" t="s">
        <v>5198</v>
      </c>
      <c r="G3130" t="s">
        <v>24</v>
      </c>
      <c r="H3130" s="3" t="s">
        <v>4995</v>
      </c>
      <c r="I3130" t="s">
        <v>304</v>
      </c>
      <c r="J3130" s="3" t="s">
        <v>4992</v>
      </c>
      <c r="K3130" s="4">
        <v>986</v>
      </c>
      <c r="L3130" s="5">
        <v>0</v>
      </c>
      <c r="M3130" s="6">
        <v>0</v>
      </c>
      <c r="N3130" s="7">
        <v>1</v>
      </c>
      <c r="O3130" t="s">
        <v>23</v>
      </c>
      <c r="P3130" s="3" t="s">
        <v>23</v>
      </c>
      <c r="Q3130" s="8" t="s">
        <v>23</v>
      </c>
    </row>
    <row r="3131" spans="1:17" hidden="1" x14ac:dyDescent="0.55000000000000004">
      <c r="A3131" s="3" t="s">
        <v>4815</v>
      </c>
      <c r="B3131" s="3" t="s">
        <v>5190</v>
      </c>
      <c r="C3131" t="s">
        <v>4988</v>
      </c>
      <c r="D3131" s="3" t="s">
        <v>7314</v>
      </c>
      <c r="E3131" t="s">
        <v>5197</v>
      </c>
      <c r="F3131" s="3" t="s">
        <v>5198</v>
      </c>
      <c r="G3131" t="s">
        <v>24</v>
      </c>
      <c r="H3131" s="3" t="s">
        <v>4996</v>
      </c>
      <c r="I3131" t="s">
        <v>300</v>
      </c>
      <c r="J3131" s="3" t="s">
        <v>4992</v>
      </c>
      <c r="K3131" s="4">
        <v>1002</v>
      </c>
      <c r="L3131" s="5">
        <v>0</v>
      </c>
      <c r="M3131" s="6">
        <v>0</v>
      </c>
      <c r="N3131" s="7">
        <v>1</v>
      </c>
      <c r="O3131" t="s">
        <v>23</v>
      </c>
      <c r="P3131" s="3" t="s">
        <v>23</v>
      </c>
      <c r="Q3131" s="8" t="s">
        <v>23</v>
      </c>
    </row>
    <row r="3132" spans="1:17" hidden="1" x14ac:dyDescent="0.55000000000000004">
      <c r="A3132" s="3" t="s">
        <v>4815</v>
      </c>
      <c r="B3132" s="3" t="s">
        <v>5190</v>
      </c>
      <c r="C3132" t="s">
        <v>4988</v>
      </c>
      <c r="D3132" s="3" t="s">
        <v>7314</v>
      </c>
      <c r="E3132" t="s">
        <v>5197</v>
      </c>
      <c r="F3132" s="3" t="s">
        <v>5198</v>
      </c>
      <c r="G3132" t="s">
        <v>24</v>
      </c>
      <c r="H3132" s="3" t="s">
        <v>4997</v>
      </c>
      <c r="I3132" t="s">
        <v>302</v>
      </c>
      <c r="J3132" s="3" t="s">
        <v>4992</v>
      </c>
      <c r="K3132" s="4">
        <v>1118</v>
      </c>
      <c r="L3132" s="5">
        <v>0</v>
      </c>
      <c r="M3132" s="6">
        <v>0</v>
      </c>
      <c r="N3132" s="7">
        <v>1</v>
      </c>
      <c r="O3132" t="s">
        <v>23</v>
      </c>
      <c r="P3132" s="3" t="s">
        <v>23</v>
      </c>
      <c r="Q3132" s="8" t="s">
        <v>23</v>
      </c>
    </row>
    <row r="3133" spans="1:17" hidden="1" x14ac:dyDescent="0.55000000000000004">
      <c r="A3133" s="3" t="s">
        <v>4815</v>
      </c>
      <c r="B3133" s="3" t="s">
        <v>5190</v>
      </c>
      <c r="C3133" t="s">
        <v>4988</v>
      </c>
      <c r="D3133" s="3" t="s">
        <v>7314</v>
      </c>
      <c r="E3133" t="s">
        <v>5197</v>
      </c>
      <c r="F3133" s="3" t="s">
        <v>5198</v>
      </c>
      <c r="G3133" t="s">
        <v>24</v>
      </c>
      <c r="H3133" s="3" t="s">
        <v>4998</v>
      </c>
      <c r="I3133" t="s">
        <v>26</v>
      </c>
      <c r="J3133" s="3" t="s">
        <v>4999</v>
      </c>
      <c r="K3133" s="4">
        <v>976</v>
      </c>
      <c r="L3133" s="5">
        <v>44.36</v>
      </c>
      <c r="M3133" s="6">
        <v>1</v>
      </c>
      <c r="N3133" s="7">
        <v>1</v>
      </c>
      <c r="O3133" t="s">
        <v>5000</v>
      </c>
      <c r="P3133" s="3" t="s">
        <v>76</v>
      </c>
      <c r="Q3133" s="8">
        <v>0.25116699999999997</v>
      </c>
    </row>
    <row r="3134" spans="1:17" hidden="1" x14ac:dyDescent="0.55000000000000004">
      <c r="A3134" s="3" t="s">
        <v>4815</v>
      </c>
      <c r="B3134" s="3" t="s">
        <v>5190</v>
      </c>
      <c r="C3134" t="s">
        <v>4988</v>
      </c>
      <c r="D3134" s="3" t="s">
        <v>7314</v>
      </c>
      <c r="E3134" t="s">
        <v>5197</v>
      </c>
      <c r="F3134" s="3" t="s">
        <v>5198</v>
      </c>
      <c r="G3134" t="s">
        <v>24</v>
      </c>
      <c r="H3134" s="3" t="s">
        <v>5004</v>
      </c>
      <c r="I3134" t="s">
        <v>309</v>
      </c>
      <c r="J3134" s="3" t="s">
        <v>4999</v>
      </c>
      <c r="K3134" s="4">
        <v>910</v>
      </c>
      <c r="L3134" s="5">
        <v>0</v>
      </c>
      <c r="M3134" s="6">
        <v>0</v>
      </c>
      <c r="N3134" s="7">
        <v>1</v>
      </c>
      <c r="O3134" t="s">
        <v>23</v>
      </c>
      <c r="P3134" s="3" t="s">
        <v>23</v>
      </c>
      <c r="Q3134" s="8" t="s">
        <v>23</v>
      </c>
    </row>
    <row r="3135" spans="1:17" hidden="1" x14ac:dyDescent="0.55000000000000004">
      <c r="A3135" s="3" t="s">
        <v>4815</v>
      </c>
      <c r="B3135" s="3" t="s">
        <v>5190</v>
      </c>
      <c r="C3135" t="s">
        <v>4988</v>
      </c>
      <c r="D3135" s="3" t="s">
        <v>7314</v>
      </c>
      <c r="E3135" t="s">
        <v>5197</v>
      </c>
      <c r="F3135" s="3" t="s">
        <v>5198</v>
      </c>
      <c r="G3135" t="s">
        <v>24</v>
      </c>
      <c r="H3135" s="3" t="s">
        <v>5005</v>
      </c>
      <c r="I3135" t="s">
        <v>218</v>
      </c>
      <c r="J3135" s="3" t="s">
        <v>4999</v>
      </c>
      <c r="K3135" s="4">
        <v>983</v>
      </c>
      <c r="L3135" s="5">
        <v>0</v>
      </c>
      <c r="M3135" s="6">
        <v>0</v>
      </c>
      <c r="N3135" s="7">
        <v>1</v>
      </c>
      <c r="O3135" t="s">
        <v>5006</v>
      </c>
      <c r="P3135" s="3" t="s">
        <v>23</v>
      </c>
      <c r="Q3135" s="8" t="s">
        <v>23</v>
      </c>
    </row>
    <row r="3136" spans="1:17" hidden="1" x14ac:dyDescent="0.55000000000000004">
      <c r="A3136" s="3" t="s">
        <v>4815</v>
      </c>
      <c r="B3136" s="3" t="s">
        <v>5190</v>
      </c>
      <c r="C3136" t="s">
        <v>4988</v>
      </c>
      <c r="D3136" s="3" t="s">
        <v>7314</v>
      </c>
      <c r="E3136" t="s">
        <v>5197</v>
      </c>
      <c r="F3136" s="3" t="s">
        <v>5198</v>
      </c>
      <c r="G3136" t="s">
        <v>24</v>
      </c>
      <c r="H3136" s="3" t="s">
        <v>5007</v>
      </c>
      <c r="I3136" t="s">
        <v>313</v>
      </c>
      <c r="J3136" s="3" t="s">
        <v>4999</v>
      </c>
      <c r="K3136" s="4">
        <v>1109</v>
      </c>
      <c r="L3136" s="5">
        <v>0</v>
      </c>
      <c r="M3136" s="6">
        <v>0</v>
      </c>
      <c r="N3136" s="7">
        <v>1</v>
      </c>
      <c r="O3136" t="s">
        <v>23</v>
      </c>
      <c r="P3136" s="3" t="s">
        <v>23</v>
      </c>
      <c r="Q3136" s="8" t="s">
        <v>23</v>
      </c>
    </row>
    <row r="3137" spans="1:17" hidden="1" x14ac:dyDescent="0.55000000000000004">
      <c r="A3137" s="3" t="s">
        <v>4815</v>
      </c>
      <c r="B3137" s="3" t="s">
        <v>5190</v>
      </c>
      <c r="C3137" t="s">
        <v>4988</v>
      </c>
      <c r="D3137" s="3" t="s">
        <v>7314</v>
      </c>
      <c r="E3137" t="s">
        <v>5197</v>
      </c>
      <c r="F3137" s="3" t="s">
        <v>5198</v>
      </c>
      <c r="G3137" t="s">
        <v>24</v>
      </c>
      <c r="H3137" s="3" t="s">
        <v>5008</v>
      </c>
      <c r="I3137" t="s">
        <v>315</v>
      </c>
      <c r="J3137" s="3" t="s">
        <v>4999</v>
      </c>
      <c r="K3137" s="4">
        <v>824</v>
      </c>
      <c r="L3137" s="5">
        <v>0</v>
      </c>
      <c r="M3137" s="6">
        <v>0</v>
      </c>
      <c r="N3137" s="7">
        <v>1</v>
      </c>
      <c r="O3137" t="s">
        <v>23</v>
      </c>
      <c r="P3137" s="3" t="s">
        <v>23</v>
      </c>
      <c r="Q3137" s="8" t="s">
        <v>23</v>
      </c>
    </row>
    <row r="3138" spans="1:17" hidden="1" x14ac:dyDescent="0.55000000000000004">
      <c r="A3138" s="3" t="s">
        <v>4815</v>
      </c>
      <c r="B3138" s="3" t="s">
        <v>5190</v>
      </c>
      <c r="C3138" t="s">
        <v>4988</v>
      </c>
      <c r="D3138" s="3" t="s">
        <v>7314</v>
      </c>
      <c r="E3138" t="s">
        <v>5197</v>
      </c>
      <c r="F3138" s="3" t="s">
        <v>5198</v>
      </c>
      <c r="G3138" t="s">
        <v>24</v>
      </c>
      <c r="H3138" s="3" t="s">
        <v>5009</v>
      </c>
      <c r="I3138" t="s">
        <v>317</v>
      </c>
      <c r="J3138" s="3" t="s">
        <v>4999</v>
      </c>
      <c r="K3138" s="4">
        <v>942</v>
      </c>
      <c r="L3138" s="5">
        <v>0</v>
      </c>
      <c r="M3138" s="6">
        <v>0</v>
      </c>
      <c r="N3138" s="7">
        <v>1</v>
      </c>
      <c r="O3138" t="s">
        <v>23</v>
      </c>
      <c r="P3138" s="3" t="s">
        <v>23</v>
      </c>
      <c r="Q3138" s="8" t="s">
        <v>23</v>
      </c>
    </row>
    <row r="3139" spans="1:17" hidden="1" x14ac:dyDescent="0.55000000000000004">
      <c r="A3139" s="3" t="s">
        <v>4815</v>
      </c>
      <c r="B3139" s="3" t="s">
        <v>5190</v>
      </c>
      <c r="C3139" t="s">
        <v>4988</v>
      </c>
      <c r="D3139" s="3" t="s">
        <v>7314</v>
      </c>
      <c r="E3139" t="s">
        <v>5202</v>
      </c>
      <c r="F3139" s="3" t="s">
        <v>5203</v>
      </c>
      <c r="G3139" t="s">
        <v>24</v>
      </c>
      <c r="H3139" s="3" t="s">
        <v>4991</v>
      </c>
      <c r="I3139" t="s">
        <v>52</v>
      </c>
      <c r="J3139" s="3" t="s">
        <v>4992</v>
      </c>
      <c r="K3139" s="4">
        <v>838</v>
      </c>
      <c r="L3139" s="5">
        <v>0</v>
      </c>
      <c r="M3139" s="6">
        <v>0</v>
      </c>
      <c r="N3139" s="7">
        <v>0</v>
      </c>
      <c r="O3139" t="s">
        <v>23</v>
      </c>
      <c r="P3139" s="3" t="s">
        <v>23</v>
      </c>
      <c r="Q3139" s="8" t="s">
        <v>23</v>
      </c>
    </row>
    <row r="3140" spans="1:17" hidden="1" x14ac:dyDescent="0.55000000000000004">
      <c r="A3140" s="3" t="s">
        <v>4815</v>
      </c>
      <c r="B3140" s="3" t="s">
        <v>5190</v>
      </c>
      <c r="C3140" t="s">
        <v>4988</v>
      </c>
      <c r="D3140" s="3" t="s">
        <v>7314</v>
      </c>
      <c r="E3140" t="s">
        <v>5202</v>
      </c>
      <c r="F3140" s="3" t="s">
        <v>5203</v>
      </c>
      <c r="G3140" t="s">
        <v>24</v>
      </c>
      <c r="H3140" s="3" t="s">
        <v>4993</v>
      </c>
      <c r="I3140" t="s">
        <v>296</v>
      </c>
      <c r="J3140" s="3" t="s">
        <v>4992</v>
      </c>
      <c r="K3140" s="4">
        <v>810</v>
      </c>
      <c r="L3140" s="5">
        <v>0</v>
      </c>
      <c r="M3140" s="6">
        <v>0</v>
      </c>
      <c r="N3140" s="7">
        <v>0</v>
      </c>
      <c r="O3140" t="s">
        <v>23</v>
      </c>
      <c r="P3140" s="3" t="s">
        <v>23</v>
      </c>
      <c r="Q3140" s="8" t="s">
        <v>23</v>
      </c>
    </row>
    <row r="3141" spans="1:17" hidden="1" x14ac:dyDescent="0.55000000000000004">
      <c r="A3141" s="3" t="s">
        <v>4815</v>
      </c>
      <c r="B3141" s="3" t="s">
        <v>5190</v>
      </c>
      <c r="C3141" t="s">
        <v>4988</v>
      </c>
      <c r="D3141" s="3" t="s">
        <v>7314</v>
      </c>
      <c r="E3141" t="s">
        <v>5202</v>
      </c>
      <c r="F3141" s="3" t="s">
        <v>5203</v>
      </c>
      <c r="G3141" t="s">
        <v>24</v>
      </c>
      <c r="H3141" s="3" t="s">
        <v>4994</v>
      </c>
      <c r="I3141" t="s">
        <v>298</v>
      </c>
      <c r="J3141" s="3" t="s">
        <v>4992</v>
      </c>
      <c r="K3141" s="4">
        <v>901</v>
      </c>
      <c r="L3141" s="5">
        <v>0</v>
      </c>
      <c r="M3141" s="6">
        <v>0</v>
      </c>
      <c r="N3141" s="7">
        <v>0</v>
      </c>
      <c r="O3141" t="s">
        <v>23</v>
      </c>
      <c r="P3141" s="3" t="s">
        <v>23</v>
      </c>
      <c r="Q3141" s="8" t="s">
        <v>23</v>
      </c>
    </row>
    <row r="3142" spans="1:17" hidden="1" x14ac:dyDescent="0.55000000000000004">
      <c r="A3142" s="3" t="s">
        <v>4815</v>
      </c>
      <c r="B3142" s="3" t="s">
        <v>5190</v>
      </c>
      <c r="C3142" t="s">
        <v>4988</v>
      </c>
      <c r="D3142" s="3" t="s">
        <v>7314</v>
      </c>
      <c r="E3142" t="s">
        <v>5202</v>
      </c>
      <c r="F3142" s="3" t="s">
        <v>5203</v>
      </c>
      <c r="G3142" t="s">
        <v>24</v>
      </c>
      <c r="H3142" s="3" t="s">
        <v>4995</v>
      </c>
      <c r="I3142" t="s">
        <v>304</v>
      </c>
      <c r="J3142" s="3" t="s">
        <v>4992</v>
      </c>
      <c r="K3142" s="4">
        <v>986</v>
      </c>
      <c r="L3142" s="5">
        <v>0</v>
      </c>
      <c r="M3142" s="6">
        <v>0</v>
      </c>
      <c r="N3142" s="7">
        <v>0</v>
      </c>
      <c r="O3142" t="s">
        <v>23</v>
      </c>
      <c r="P3142" s="3" t="s">
        <v>23</v>
      </c>
      <c r="Q3142" s="8" t="s">
        <v>23</v>
      </c>
    </row>
    <row r="3143" spans="1:17" hidden="1" x14ac:dyDescent="0.55000000000000004">
      <c r="A3143" s="3" t="s">
        <v>4815</v>
      </c>
      <c r="B3143" s="3" t="s">
        <v>5190</v>
      </c>
      <c r="C3143" t="s">
        <v>4988</v>
      </c>
      <c r="D3143" s="3" t="s">
        <v>7314</v>
      </c>
      <c r="E3143" t="s">
        <v>5202</v>
      </c>
      <c r="F3143" s="3" t="s">
        <v>5203</v>
      </c>
      <c r="G3143" t="s">
        <v>24</v>
      </c>
      <c r="H3143" s="3" t="s">
        <v>4996</v>
      </c>
      <c r="I3143" t="s">
        <v>300</v>
      </c>
      <c r="J3143" s="3" t="s">
        <v>4992</v>
      </c>
      <c r="K3143" s="4">
        <v>1002</v>
      </c>
      <c r="L3143" s="5">
        <v>0</v>
      </c>
      <c r="M3143" s="6">
        <v>0</v>
      </c>
      <c r="N3143" s="7">
        <v>0</v>
      </c>
      <c r="O3143" t="s">
        <v>23</v>
      </c>
      <c r="P3143" s="3" t="s">
        <v>23</v>
      </c>
      <c r="Q3143" s="8" t="s">
        <v>23</v>
      </c>
    </row>
    <row r="3144" spans="1:17" hidden="1" x14ac:dyDescent="0.55000000000000004">
      <c r="A3144" s="3" t="s">
        <v>4815</v>
      </c>
      <c r="B3144" s="3" t="s">
        <v>5190</v>
      </c>
      <c r="C3144" t="s">
        <v>4988</v>
      </c>
      <c r="D3144" s="3" t="s">
        <v>7314</v>
      </c>
      <c r="E3144" t="s">
        <v>5202</v>
      </c>
      <c r="F3144" s="3" t="s">
        <v>5203</v>
      </c>
      <c r="G3144" t="s">
        <v>24</v>
      </c>
      <c r="H3144" s="3" t="s">
        <v>4997</v>
      </c>
      <c r="I3144" t="s">
        <v>302</v>
      </c>
      <c r="J3144" s="3" t="s">
        <v>4992</v>
      </c>
      <c r="K3144" s="4">
        <v>1118</v>
      </c>
      <c r="L3144" s="5">
        <v>0</v>
      </c>
      <c r="M3144" s="6">
        <v>0</v>
      </c>
      <c r="N3144" s="7">
        <v>0</v>
      </c>
      <c r="O3144" t="s">
        <v>23</v>
      </c>
      <c r="P3144" s="3" t="s">
        <v>23</v>
      </c>
      <c r="Q3144" s="8" t="s">
        <v>23</v>
      </c>
    </row>
    <row r="3145" spans="1:17" hidden="1" x14ac:dyDescent="0.55000000000000004">
      <c r="A3145" s="3" t="s">
        <v>4815</v>
      </c>
      <c r="B3145" s="3" t="s">
        <v>5190</v>
      </c>
      <c r="C3145" t="s">
        <v>4988</v>
      </c>
      <c r="D3145" s="3" t="s">
        <v>7314</v>
      </c>
      <c r="E3145" t="s">
        <v>5202</v>
      </c>
      <c r="F3145" s="3" t="s">
        <v>5203</v>
      </c>
      <c r="G3145" t="s">
        <v>24</v>
      </c>
      <c r="H3145" s="3" t="s">
        <v>4998</v>
      </c>
      <c r="I3145" t="s">
        <v>26</v>
      </c>
      <c r="J3145" s="3" t="s">
        <v>4999</v>
      </c>
      <c r="K3145" s="4">
        <v>976</v>
      </c>
      <c r="L3145" s="5">
        <v>44.36</v>
      </c>
      <c r="M3145" s="6">
        <v>1</v>
      </c>
      <c r="N3145" s="7">
        <v>0</v>
      </c>
      <c r="O3145" t="s">
        <v>5000</v>
      </c>
      <c r="P3145" s="3" t="s">
        <v>76</v>
      </c>
      <c r="Q3145" s="8">
        <v>0.25116699999999997</v>
      </c>
    </row>
    <row r="3146" spans="1:17" hidden="1" x14ac:dyDescent="0.55000000000000004">
      <c r="A3146" s="3" t="s">
        <v>4815</v>
      </c>
      <c r="B3146" s="3" t="s">
        <v>5190</v>
      </c>
      <c r="C3146" t="s">
        <v>4988</v>
      </c>
      <c r="D3146" s="3" t="s">
        <v>7314</v>
      </c>
      <c r="E3146" t="s">
        <v>5202</v>
      </c>
      <c r="F3146" s="3" t="s">
        <v>5203</v>
      </c>
      <c r="G3146" t="s">
        <v>24</v>
      </c>
      <c r="H3146" s="3" t="s">
        <v>5004</v>
      </c>
      <c r="I3146" t="s">
        <v>309</v>
      </c>
      <c r="J3146" s="3" t="s">
        <v>4999</v>
      </c>
      <c r="K3146" s="4">
        <v>910</v>
      </c>
      <c r="L3146" s="5">
        <v>0</v>
      </c>
      <c r="M3146" s="6">
        <v>0</v>
      </c>
      <c r="N3146" s="7">
        <v>0</v>
      </c>
      <c r="O3146" t="s">
        <v>23</v>
      </c>
      <c r="P3146" s="3" t="s">
        <v>23</v>
      </c>
      <c r="Q3146" s="8" t="s">
        <v>23</v>
      </c>
    </row>
    <row r="3147" spans="1:17" hidden="1" x14ac:dyDescent="0.55000000000000004">
      <c r="A3147" s="3" t="s">
        <v>4815</v>
      </c>
      <c r="B3147" s="3" t="s">
        <v>5190</v>
      </c>
      <c r="C3147" t="s">
        <v>4988</v>
      </c>
      <c r="D3147" s="3" t="s">
        <v>7314</v>
      </c>
      <c r="E3147" t="s">
        <v>5202</v>
      </c>
      <c r="F3147" s="3" t="s">
        <v>5203</v>
      </c>
      <c r="G3147" t="s">
        <v>24</v>
      </c>
      <c r="H3147" s="3" t="s">
        <v>5005</v>
      </c>
      <c r="I3147" t="s">
        <v>218</v>
      </c>
      <c r="J3147" s="3" t="s">
        <v>4999</v>
      </c>
      <c r="K3147" s="4">
        <v>983</v>
      </c>
      <c r="L3147" s="5">
        <v>0</v>
      </c>
      <c r="M3147" s="6">
        <v>0</v>
      </c>
      <c r="N3147" s="7">
        <v>0</v>
      </c>
      <c r="O3147" t="s">
        <v>5006</v>
      </c>
      <c r="P3147" s="3" t="s">
        <v>23</v>
      </c>
      <c r="Q3147" s="8" t="s">
        <v>23</v>
      </c>
    </row>
    <row r="3148" spans="1:17" hidden="1" x14ac:dyDescent="0.55000000000000004">
      <c r="A3148" s="3" t="s">
        <v>4815</v>
      </c>
      <c r="B3148" s="3" t="s">
        <v>5190</v>
      </c>
      <c r="C3148" t="s">
        <v>4988</v>
      </c>
      <c r="D3148" s="3" t="s">
        <v>7314</v>
      </c>
      <c r="E3148" t="s">
        <v>5202</v>
      </c>
      <c r="F3148" s="3" t="s">
        <v>5203</v>
      </c>
      <c r="G3148" t="s">
        <v>24</v>
      </c>
      <c r="H3148" s="3" t="s">
        <v>5007</v>
      </c>
      <c r="I3148" t="s">
        <v>313</v>
      </c>
      <c r="J3148" s="3" t="s">
        <v>4999</v>
      </c>
      <c r="K3148" s="4">
        <v>1109</v>
      </c>
      <c r="L3148" s="5">
        <v>0</v>
      </c>
      <c r="M3148" s="6">
        <v>0</v>
      </c>
      <c r="N3148" s="7">
        <v>0</v>
      </c>
      <c r="O3148" t="s">
        <v>23</v>
      </c>
      <c r="P3148" s="3" t="s">
        <v>23</v>
      </c>
      <c r="Q3148" s="8" t="s">
        <v>23</v>
      </c>
    </row>
    <row r="3149" spans="1:17" hidden="1" x14ac:dyDescent="0.55000000000000004">
      <c r="A3149" s="3" t="s">
        <v>4815</v>
      </c>
      <c r="B3149" s="3" t="s">
        <v>5190</v>
      </c>
      <c r="C3149" t="s">
        <v>4988</v>
      </c>
      <c r="D3149" s="3" t="s">
        <v>7314</v>
      </c>
      <c r="E3149" t="s">
        <v>5202</v>
      </c>
      <c r="F3149" s="3" t="s">
        <v>5203</v>
      </c>
      <c r="G3149" t="s">
        <v>24</v>
      </c>
      <c r="H3149" s="3" t="s">
        <v>5008</v>
      </c>
      <c r="I3149" t="s">
        <v>315</v>
      </c>
      <c r="J3149" s="3" t="s">
        <v>4999</v>
      </c>
      <c r="K3149" s="4">
        <v>824</v>
      </c>
      <c r="L3149" s="5">
        <v>0</v>
      </c>
      <c r="M3149" s="6">
        <v>0</v>
      </c>
      <c r="N3149" s="7">
        <v>0</v>
      </c>
      <c r="O3149" t="s">
        <v>23</v>
      </c>
      <c r="P3149" s="3" t="s">
        <v>23</v>
      </c>
      <c r="Q3149" s="8" t="s">
        <v>23</v>
      </c>
    </row>
    <row r="3150" spans="1:17" hidden="1" x14ac:dyDescent="0.55000000000000004">
      <c r="A3150" s="3" t="s">
        <v>4815</v>
      </c>
      <c r="B3150" s="3" t="s">
        <v>5190</v>
      </c>
      <c r="C3150" t="s">
        <v>4988</v>
      </c>
      <c r="D3150" s="3" t="s">
        <v>7314</v>
      </c>
      <c r="E3150" t="s">
        <v>5202</v>
      </c>
      <c r="F3150" s="3" t="s">
        <v>5203</v>
      </c>
      <c r="G3150" t="s">
        <v>24</v>
      </c>
      <c r="H3150" s="3" t="s">
        <v>5009</v>
      </c>
      <c r="I3150" t="s">
        <v>317</v>
      </c>
      <c r="J3150" s="3" t="s">
        <v>4999</v>
      </c>
      <c r="K3150" s="4">
        <v>942</v>
      </c>
      <c r="L3150" s="5">
        <v>0</v>
      </c>
      <c r="M3150" s="6">
        <v>0</v>
      </c>
      <c r="N3150" s="7">
        <v>0</v>
      </c>
      <c r="O3150" t="s">
        <v>23</v>
      </c>
      <c r="P3150" s="3" t="s">
        <v>23</v>
      </c>
      <c r="Q3150" s="8" t="s">
        <v>23</v>
      </c>
    </row>
    <row r="3151" spans="1:17" hidden="1" x14ac:dyDescent="0.55000000000000004">
      <c r="A3151" s="3" t="s">
        <v>4815</v>
      </c>
      <c r="B3151" s="3" t="s">
        <v>5190</v>
      </c>
      <c r="C3151" t="s">
        <v>4988</v>
      </c>
      <c r="D3151" s="3" t="s">
        <v>7314</v>
      </c>
      <c r="E3151" t="s">
        <v>5204</v>
      </c>
      <c r="F3151" s="3" t="s">
        <v>5205</v>
      </c>
      <c r="G3151" t="s">
        <v>19</v>
      </c>
      <c r="H3151" s="3" t="s">
        <v>5206</v>
      </c>
      <c r="I3151" t="s">
        <v>246</v>
      </c>
      <c r="J3151" s="3" t="s">
        <v>5207</v>
      </c>
      <c r="K3151" s="4">
        <v>54</v>
      </c>
      <c r="L3151" s="5">
        <v>11.85</v>
      </c>
      <c r="M3151" s="6">
        <v>1</v>
      </c>
      <c r="N3151" s="7">
        <v>0</v>
      </c>
      <c r="O3151" t="s">
        <v>5208</v>
      </c>
      <c r="P3151" s="3" t="s">
        <v>5196</v>
      </c>
      <c r="Q3151" s="8">
        <v>2.0986000000000001E-2</v>
      </c>
    </row>
    <row r="3152" spans="1:17" hidden="1" x14ac:dyDescent="0.55000000000000004">
      <c r="A3152" s="3" t="s">
        <v>4815</v>
      </c>
      <c r="B3152" s="3" t="s">
        <v>5190</v>
      </c>
      <c r="C3152" t="s">
        <v>4988</v>
      </c>
      <c r="D3152" s="3" t="s">
        <v>7314</v>
      </c>
      <c r="E3152" t="s">
        <v>5204</v>
      </c>
      <c r="F3152" s="3" t="s">
        <v>5205</v>
      </c>
      <c r="G3152" t="s">
        <v>24</v>
      </c>
      <c r="H3152" s="3" t="s">
        <v>4991</v>
      </c>
      <c r="I3152" t="s">
        <v>52</v>
      </c>
      <c r="J3152" s="3" t="s">
        <v>4992</v>
      </c>
      <c r="K3152" s="4">
        <v>838</v>
      </c>
      <c r="L3152" s="5">
        <v>0</v>
      </c>
      <c r="M3152" s="6">
        <v>0</v>
      </c>
      <c r="N3152" s="7">
        <v>0</v>
      </c>
      <c r="O3152" t="s">
        <v>23</v>
      </c>
      <c r="P3152" s="3" t="s">
        <v>23</v>
      </c>
      <c r="Q3152" s="8" t="s">
        <v>23</v>
      </c>
    </row>
    <row r="3153" spans="1:17" hidden="1" x14ac:dyDescent="0.55000000000000004">
      <c r="A3153" s="3" t="s">
        <v>4815</v>
      </c>
      <c r="B3153" s="3" t="s">
        <v>5190</v>
      </c>
      <c r="C3153" t="s">
        <v>4988</v>
      </c>
      <c r="D3153" s="3" t="s">
        <v>7314</v>
      </c>
      <c r="E3153" t="s">
        <v>5204</v>
      </c>
      <c r="F3153" s="3" t="s">
        <v>5205</v>
      </c>
      <c r="G3153" t="s">
        <v>24</v>
      </c>
      <c r="H3153" s="3" t="s">
        <v>4993</v>
      </c>
      <c r="I3153" t="s">
        <v>296</v>
      </c>
      <c r="J3153" s="3" t="s">
        <v>4992</v>
      </c>
      <c r="K3153" s="4">
        <v>810</v>
      </c>
      <c r="L3153" s="5">
        <v>0</v>
      </c>
      <c r="M3153" s="6">
        <v>0</v>
      </c>
      <c r="N3153" s="7">
        <v>0</v>
      </c>
      <c r="O3153" t="s">
        <v>23</v>
      </c>
      <c r="P3153" s="3" t="s">
        <v>23</v>
      </c>
      <c r="Q3153" s="8" t="s">
        <v>23</v>
      </c>
    </row>
    <row r="3154" spans="1:17" hidden="1" x14ac:dyDescent="0.55000000000000004">
      <c r="A3154" s="3" t="s">
        <v>4815</v>
      </c>
      <c r="B3154" s="3" t="s">
        <v>5190</v>
      </c>
      <c r="C3154" t="s">
        <v>4988</v>
      </c>
      <c r="D3154" s="3" t="s">
        <v>7314</v>
      </c>
      <c r="E3154" t="s">
        <v>5204</v>
      </c>
      <c r="F3154" s="3" t="s">
        <v>5205</v>
      </c>
      <c r="G3154" t="s">
        <v>24</v>
      </c>
      <c r="H3154" s="3" t="s">
        <v>4994</v>
      </c>
      <c r="I3154" t="s">
        <v>298</v>
      </c>
      <c r="J3154" s="3" t="s">
        <v>4992</v>
      </c>
      <c r="K3154" s="4">
        <v>901</v>
      </c>
      <c r="L3154" s="5">
        <v>0</v>
      </c>
      <c r="M3154" s="6">
        <v>0</v>
      </c>
      <c r="N3154" s="7">
        <v>0</v>
      </c>
      <c r="O3154" t="s">
        <v>23</v>
      </c>
      <c r="P3154" s="3" t="s">
        <v>23</v>
      </c>
      <c r="Q3154" s="8" t="s">
        <v>23</v>
      </c>
    </row>
    <row r="3155" spans="1:17" hidden="1" x14ac:dyDescent="0.55000000000000004">
      <c r="A3155" s="3" t="s">
        <v>4815</v>
      </c>
      <c r="B3155" s="3" t="s">
        <v>5190</v>
      </c>
      <c r="C3155" t="s">
        <v>4988</v>
      </c>
      <c r="D3155" s="3" t="s">
        <v>7314</v>
      </c>
      <c r="E3155" t="s">
        <v>5204</v>
      </c>
      <c r="F3155" s="3" t="s">
        <v>5205</v>
      </c>
      <c r="G3155" t="s">
        <v>24</v>
      </c>
      <c r="H3155" s="3" t="s">
        <v>4995</v>
      </c>
      <c r="I3155" t="s">
        <v>304</v>
      </c>
      <c r="J3155" s="3" t="s">
        <v>4992</v>
      </c>
      <c r="K3155" s="4">
        <v>986</v>
      </c>
      <c r="L3155" s="5">
        <v>0</v>
      </c>
      <c r="M3155" s="6">
        <v>0</v>
      </c>
      <c r="N3155" s="7">
        <v>0</v>
      </c>
      <c r="O3155" t="s">
        <v>23</v>
      </c>
      <c r="P3155" s="3" t="s">
        <v>23</v>
      </c>
      <c r="Q3155" s="8" t="s">
        <v>23</v>
      </c>
    </row>
    <row r="3156" spans="1:17" hidden="1" x14ac:dyDescent="0.55000000000000004">
      <c r="A3156" s="3" t="s">
        <v>4815</v>
      </c>
      <c r="B3156" s="3" t="s">
        <v>5190</v>
      </c>
      <c r="C3156" t="s">
        <v>4988</v>
      </c>
      <c r="D3156" s="3" t="s">
        <v>7314</v>
      </c>
      <c r="E3156" t="s">
        <v>5204</v>
      </c>
      <c r="F3156" s="3" t="s">
        <v>5205</v>
      </c>
      <c r="G3156" t="s">
        <v>24</v>
      </c>
      <c r="H3156" s="3" t="s">
        <v>4996</v>
      </c>
      <c r="I3156" t="s">
        <v>300</v>
      </c>
      <c r="J3156" s="3" t="s">
        <v>4992</v>
      </c>
      <c r="K3156" s="4">
        <v>1002</v>
      </c>
      <c r="L3156" s="5">
        <v>0</v>
      </c>
      <c r="M3156" s="6">
        <v>0</v>
      </c>
      <c r="N3156" s="7">
        <v>0</v>
      </c>
      <c r="O3156" t="s">
        <v>23</v>
      </c>
      <c r="P3156" s="3" t="s">
        <v>23</v>
      </c>
      <c r="Q3156" s="8" t="s">
        <v>23</v>
      </c>
    </row>
    <row r="3157" spans="1:17" hidden="1" x14ac:dyDescent="0.55000000000000004">
      <c r="A3157" s="3" t="s">
        <v>4815</v>
      </c>
      <c r="B3157" s="3" t="s">
        <v>5190</v>
      </c>
      <c r="C3157" t="s">
        <v>4988</v>
      </c>
      <c r="D3157" s="3" t="s">
        <v>7314</v>
      </c>
      <c r="E3157" t="s">
        <v>5204</v>
      </c>
      <c r="F3157" s="3" t="s">
        <v>5205</v>
      </c>
      <c r="G3157" t="s">
        <v>24</v>
      </c>
      <c r="H3157" s="3" t="s">
        <v>4997</v>
      </c>
      <c r="I3157" t="s">
        <v>302</v>
      </c>
      <c r="J3157" s="3" t="s">
        <v>4992</v>
      </c>
      <c r="K3157" s="4">
        <v>1118</v>
      </c>
      <c r="L3157" s="5">
        <v>0</v>
      </c>
      <c r="M3157" s="6">
        <v>0</v>
      </c>
      <c r="N3157" s="7">
        <v>0</v>
      </c>
      <c r="O3157" t="s">
        <v>23</v>
      </c>
      <c r="P3157" s="3" t="s">
        <v>23</v>
      </c>
      <c r="Q3157" s="8" t="s">
        <v>23</v>
      </c>
    </row>
    <row r="3158" spans="1:17" hidden="1" x14ac:dyDescent="0.55000000000000004">
      <c r="A3158" s="3" t="s">
        <v>4815</v>
      </c>
      <c r="B3158" s="3" t="s">
        <v>5190</v>
      </c>
      <c r="C3158" t="s">
        <v>4988</v>
      </c>
      <c r="D3158" s="3" t="s">
        <v>7314</v>
      </c>
      <c r="E3158" t="s">
        <v>5204</v>
      </c>
      <c r="F3158" s="3" t="s">
        <v>5205</v>
      </c>
      <c r="G3158" t="s">
        <v>24</v>
      </c>
      <c r="H3158" s="3" t="s">
        <v>4998</v>
      </c>
      <c r="I3158" t="s">
        <v>26</v>
      </c>
      <c r="J3158" s="3" t="s">
        <v>4999</v>
      </c>
      <c r="K3158" s="4">
        <v>976</v>
      </c>
      <c r="L3158" s="5">
        <v>44.36</v>
      </c>
      <c r="M3158" s="6">
        <v>1</v>
      </c>
      <c r="N3158" s="7">
        <v>0</v>
      </c>
      <c r="O3158" t="s">
        <v>5000</v>
      </c>
      <c r="P3158" s="3" t="s">
        <v>76</v>
      </c>
      <c r="Q3158" s="8">
        <v>0.25116699999999997</v>
      </c>
    </row>
    <row r="3159" spans="1:17" hidden="1" x14ac:dyDescent="0.55000000000000004">
      <c r="A3159" s="3" t="s">
        <v>4815</v>
      </c>
      <c r="B3159" s="3" t="s">
        <v>5190</v>
      </c>
      <c r="C3159" t="s">
        <v>4988</v>
      </c>
      <c r="D3159" s="3" t="s">
        <v>7314</v>
      </c>
      <c r="E3159" t="s">
        <v>5204</v>
      </c>
      <c r="F3159" s="3" t="s">
        <v>5205</v>
      </c>
      <c r="G3159" t="s">
        <v>24</v>
      </c>
      <c r="H3159" s="3" t="s">
        <v>5004</v>
      </c>
      <c r="I3159" t="s">
        <v>309</v>
      </c>
      <c r="J3159" s="3" t="s">
        <v>4999</v>
      </c>
      <c r="K3159" s="4">
        <v>910</v>
      </c>
      <c r="L3159" s="5">
        <v>0</v>
      </c>
      <c r="M3159" s="6">
        <v>0</v>
      </c>
      <c r="N3159" s="7">
        <v>0</v>
      </c>
      <c r="O3159" t="s">
        <v>23</v>
      </c>
      <c r="P3159" s="3" t="s">
        <v>23</v>
      </c>
      <c r="Q3159" s="8" t="s">
        <v>23</v>
      </c>
    </row>
    <row r="3160" spans="1:17" hidden="1" x14ac:dyDescent="0.55000000000000004">
      <c r="A3160" s="3" t="s">
        <v>4815</v>
      </c>
      <c r="B3160" s="3" t="s">
        <v>5190</v>
      </c>
      <c r="C3160" t="s">
        <v>4988</v>
      </c>
      <c r="D3160" s="3" t="s">
        <v>7314</v>
      </c>
      <c r="E3160" t="s">
        <v>5204</v>
      </c>
      <c r="F3160" s="3" t="s">
        <v>5205</v>
      </c>
      <c r="G3160" t="s">
        <v>24</v>
      </c>
      <c r="H3160" s="3" t="s">
        <v>5005</v>
      </c>
      <c r="I3160" t="s">
        <v>218</v>
      </c>
      <c r="J3160" s="3" t="s">
        <v>4999</v>
      </c>
      <c r="K3160" s="4">
        <v>983</v>
      </c>
      <c r="L3160" s="5">
        <v>0</v>
      </c>
      <c r="M3160" s="6">
        <v>0</v>
      </c>
      <c r="N3160" s="7">
        <v>0</v>
      </c>
      <c r="O3160" t="s">
        <v>5006</v>
      </c>
      <c r="P3160" s="3" t="s">
        <v>23</v>
      </c>
      <c r="Q3160" s="8" t="s">
        <v>23</v>
      </c>
    </row>
    <row r="3161" spans="1:17" hidden="1" x14ac:dyDescent="0.55000000000000004">
      <c r="A3161" s="3" t="s">
        <v>4815</v>
      </c>
      <c r="B3161" s="3" t="s">
        <v>5190</v>
      </c>
      <c r="C3161" t="s">
        <v>4988</v>
      </c>
      <c r="D3161" s="3" t="s">
        <v>7314</v>
      </c>
      <c r="E3161" t="s">
        <v>5204</v>
      </c>
      <c r="F3161" s="3" t="s">
        <v>5205</v>
      </c>
      <c r="G3161" t="s">
        <v>24</v>
      </c>
      <c r="H3161" s="3" t="s">
        <v>5007</v>
      </c>
      <c r="I3161" t="s">
        <v>313</v>
      </c>
      <c r="J3161" s="3" t="s">
        <v>4999</v>
      </c>
      <c r="K3161" s="4">
        <v>1109</v>
      </c>
      <c r="L3161" s="5">
        <v>0</v>
      </c>
      <c r="M3161" s="6">
        <v>0</v>
      </c>
      <c r="N3161" s="7">
        <v>0</v>
      </c>
      <c r="O3161" t="s">
        <v>23</v>
      </c>
      <c r="P3161" s="3" t="s">
        <v>23</v>
      </c>
      <c r="Q3161" s="8" t="s">
        <v>23</v>
      </c>
    </row>
    <row r="3162" spans="1:17" hidden="1" x14ac:dyDescent="0.55000000000000004">
      <c r="A3162" s="3" t="s">
        <v>4815</v>
      </c>
      <c r="B3162" s="3" t="s">
        <v>5190</v>
      </c>
      <c r="C3162" t="s">
        <v>4988</v>
      </c>
      <c r="D3162" s="3" t="s">
        <v>7314</v>
      </c>
      <c r="E3162" t="s">
        <v>5204</v>
      </c>
      <c r="F3162" s="3" t="s">
        <v>5205</v>
      </c>
      <c r="G3162" t="s">
        <v>24</v>
      </c>
      <c r="H3162" s="3" t="s">
        <v>5008</v>
      </c>
      <c r="I3162" t="s">
        <v>315</v>
      </c>
      <c r="J3162" s="3" t="s">
        <v>4999</v>
      </c>
      <c r="K3162" s="4">
        <v>824</v>
      </c>
      <c r="L3162" s="5">
        <v>0</v>
      </c>
      <c r="M3162" s="6">
        <v>0</v>
      </c>
      <c r="N3162" s="7">
        <v>0</v>
      </c>
      <c r="O3162" t="s">
        <v>23</v>
      </c>
      <c r="P3162" s="3" t="s">
        <v>23</v>
      </c>
      <c r="Q3162" s="8" t="s">
        <v>23</v>
      </c>
    </row>
    <row r="3163" spans="1:17" hidden="1" x14ac:dyDescent="0.55000000000000004">
      <c r="A3163" s="3" t="s">
        <v>4815</v>
      </c>
      <c r="B3163" s="3" t="s">
        <v>5190</v>
      </c>
      <c r="C3163" t="s">
        <v>4988</v>
      </c>
      <c r="D3163" s="3" t="s">
        <v>7314</v>
      </c>
      <c r="E3163" t="s">
        <v>5204</v>
      </c>
      <c r="F3163" s="3" t="s">
        <v>5205</v>
      </c>
      <c r="G3163" t="s">
        <v>24</v>
      </c>
      <c r="H3163" s="3" t="s">
        <v>5009</v>
      </c>
      <c r="I3163" t="s">
        <v>317</v>
      </c>
      <c r="J3163" s="3" t="s">
        <v>4999</v>
      </c>
      <c r="K3163" s="4">
        <v>942</v>
      </c>
      <c r="L3163" s="5">
        <v>0</v>
      </c>
      <c r="M3163" s="6">
        <v>0</v>
      </c>
      <c r="N3163" s="7">
        <v>0</v>
      </c>
      <c r="O3163" t="s">
        <v>23</v>
      </c>
      <c r="P3163" s="3" t="s">
        <v>23</v>
      </c>
      <c r="Q3163" s="8" t="s">
        <v>23</v>
      </c>
    </row>
    <row r="3164" spans="1:17" hidden="1" x14ac:dyDescent="0.55000000000000004">
      <c r="A3164" s="3" t="s">
        <v>4815</v>
      </c>
      <c r="B3164" s="3" t="s">
        <v>5209</v>
      </c>
      <c r="C3164" t="s">
        <v>7391</v>
      </c>
      <c r="D3164" s="3" t="s">
        <v>7314</v>
      </c>
      <c r="E3164" t="s">
        <v>5210</v>
      </c>
      <c r="F3164" s="3" t="s">
        <v>5211</v>
      </c>
      <c r="G3164" t="s">
        <v>19</v>
      </c>
      <c r="H3164" s="3" t="s">
        <v>5212</v>
      </c>
      <c r="I3164" t="s">
        <v>66</v>
      </c>
      <c r="J3164" s="3" t="s">
        <v>5213</v>
      </c>
      <c r="K3164" s="4">
        <v>590</v>
      </c>
      <c r="L3164" s="5">
        <v>128.16999999999999</v>
      </c>
      <c r="M3164" s="6">
        <v>1</v>
      </c>
      <c r="N3164" s="7">
        <v>1</v>
      </c>
      <c r="O3164" t="s">
        <v>5214</v>
      </c>
      <c r="P3164" s="3" t="s">
        <v>64</v>
      </c>
      <c r="Q3164" s="8">
        <v>0.119648</v>
      </c>
    </row>
    <row r="3165" spans="1:17" hidden="1" x14ac:dyDescent="0.55000000000000004">
      <c r="A3165" s="3" t="s">
        <v>4815</v>
      </c>
      <c r="B3165" s="3" t="s">
        <v>5209</v>
      </c>
      <c r="C3165" t="s">
        <v>7391</v>
      </c>
      <c r="D3165" s="3" t="s">
        <v>7314</v>
      </c>
      <c r="E3165" t="s">
        <v>5210</v>
      </c>
      <c r="F3165" s="3" t="s">
        <v>5211</v>
      </c>
      <c r="G3165" t="s">
        <v>19</v>
      </c>
      <c r="H3165" s="3" t="s">
        <v>23</v>
      </c>
      <c r="I3165" t="s">
        <v>67</v>
      </c>
      <c r="J3165" s="3" t="s">
        <v>5215</v>
      </c>
      <c r="K3165" s="4" t="s">
        <v>23</v>
      </c>
      <c r="L3165" s="5" t="s">
        <v>23</v>
      </c>
      <c r="M3165" s="6">
        <v>0</v>
      </c>
      <c r="N3165" s="7">
        <v>1</v>
      </c>
      <c r="O3165" t="s">
        <v>23</v>
      </c>
      <c r="P3165" s="3" t="s">
        <v>23</v>
      </c>
      <c r="Q3165" s="8" t="s">
        <v>23</v>
      </c>
    </row>
    <row r="3166" spans="1:17" hidden="1" x14ac:dyDescent="0.55000000000000004">
      <c r="A3166" s="3" t="s">
        <v>4815</v>
      </c>
      <c r="B3166" s="3" t="s">
        <v>5209</v>
      </c>
      <c r="C3166" t="s">
        <v>7391</v>
      </c>
      <c r="D3166" s="3" t="s">
        <v>7314</v>
      </c>
      <c r="E3166" t="s">
        <v>5210</v>
      </c>
      <c r="F3166" s="3" t="s">
        <v>5211</v>
      </c>
      <c r="G3166" t="s">
        <v>24</v>
      </c>
      <c r="H3166" s="3" t="s">
        <v>5216</v>
      </c>
      <c r="I3166" t="s">
        <v>26</v>
      </c>
      <c r="J3166" s="3" t="s">
        <v>5217</v>
      </c>
      <c r="K3166" s="4">
        <v>1040</v>
      </c>
      <c r="L3166" s="5">
        <v>47.27</v>
      </c>
      <c r="M3166" s="6">
        <v>1</v>
      </c>
      <c r="N3166" s="7">
        <v>1</v>
      </c>
      <c r="O3166" t="s">
        <v>5218</v>
      </c>
      <c r="P3166" s="3" t="s">
        <v>76</v>
      </c>
      <c r="Q3166" s="8">
        <v>0.2455</v>
      </c>
    </row>
    <row r="3167" spans="1:17" hidden="1" x14ac:dyDescent="0.55000000000000004">
      <c r="A3167" s="3" t="s">
        <v>4815</v>
      </c>
      <c r="B3167" s="3" t="s">
        <v>5209</v>
      </c>
      <c r="C3167" t="s">
        <v>7391</v>
      </c>
      <c r="D3167" s="3" t="s">
        <v>7314</v>
      </c>
      <c r="E3167" t="s">
        <v>5210</v>
      </c>
      <c r="F3167" s="3" t="s">
        <v>5211</v>
      </c>
      <c r="G3167" t="s">
        <v>24</v>
      </c>
      <c r="H3167" s="3" t="s">
        <v>5219</v>
      </c>
      <c r="I3167" t="s">
        <v>218</v>
      </c>
      <c r="J3167" s="3" t="s">
        <v>5217</v>
      </c>
      <c r="K3167" s="4">
        <v>1436</v>
      </c>
      <c r="L3167" s="5">
        <v>65.260000000000005</v>
      </c>
      <c r="M3167" s="6">
        <v>0</v>
      </c>
      <c r="N3167" s="7">
        <v>1</v>
      </c>
      <c r="O3167" t="s">
        <v>5220</v>
      </c>
      <c r="P3167" s="3" t="s">
        <v>23</v>
      </c>
      <c r="Q3167" s="8" t="s">
        <v>23</v>
      </c>
    </row>
    <row r="3168" spans="1:17" hidden="1" x14ac:dyDescent="0.55000000000000004">
      <c r="A3168" s="3" t="s">
        <v>4815</v>
      </c>
      <c r="B3168" s="3" t="s">
        <v>5221</v>
      </c>
      <c r="C3168" t="s">
        <v>4988</v>
      </c>
      <c r="D3168" s="3" t="s">
        <v>7314</v>
      </c>
      <c r="E3168" t="s">
        <v>5222</v>
      </c>
      <c r="F3168" s="3" t="s">
        <v>5223</v>
      </c>
      <c r="G3168" t="s">
        <v>19</v>
      </c>
      <c r="H3168" s="3" t="s">
        <v>5224</v>
      </c>
      <c r="I3168" t="s">
        <v>4929</v>
      </c>
      <c r="J3168" s="3" t="s">
        <v>5225</v>
      </c>
      <c r="K3168" s="4">
        <v>2</v>
      </c>
      <c r="L3168" s="5">
        <v>0.48</v>
      </c>
      <c r="M3168" s="6">
        <v>1</v>
      </c>
      <c r="N3168" s="7">
        <v>0</v>
      </c>
      <c r="O3168" t="s">
        <v>23</v>
      </c>
      <c r="P3168" s="3" t="s">
        <v>23</v>
      </c>
      <c r="Q3168" s="8" t="s">
        <v>23</v>
      </c>
    </row>
    <row r="3169" spans="1:17" hidden="1" x14ac:dyDescent="0.55000000000000004">
      <c r="A3169" s="3" t="s">
        <v>4815</v>
      </c>
      <c r="B3169" s="3" t="s">
        <v>5221</v>
      </c>
      <c r="C3169" t="s">
        <v>4988</v>
      </c>
      <c r="D3169" s="3" t="s">
        <v>7314</v>
      </c>
      <c r="E3169" t="s">
        <v>5222</v>
      </c>
      <c r="F3169" s="3" t="s">
        <v>5223</v>
      </c>
      <c r="G3169" t="s">
        <v>24</v>
      </c>
      <c r="H3169" s="3" t="s">
        <v>4991</v>
      </c>
      <c r="I3169" t="s">
        <v>52</v>
      </c>
      <c r="J3169" s="3" t="s">
        <v>4992</v>
      </c>
      <c r="K3169" s="4">
        <v>838</v>
      </c>
      <c r="L3169" s="5">
        <v>0</v>
      </c>
      <c r="M3169" s="6">
        <v>0</v>
      </c>
      <c r="N3169" s="7">
        <v>0</v>
      </c>
      <c r="O3169" t="s">
        <v>23</v>
      </c>
      <c r="P3169" s="3" t="s">
        <v>23</v>
      </c>
      <c r="Q3169" s="8" t="s">
        <v>23</v>
      </c>
    </row>
    <row r="3170" spans="1:17" hidden="1" x14ac:dyDescent="0.55000000000000004">
      <c r="A3170" s="3" t="s">
        <v>4815</v>
      </c>
      <c r="B3170" s="3" t="s">
        <v>5221</v>
      </c>
      <c r="C3170" t="s">
        <v>4988</v>
      </c>
      <c r="D3170" s="3" t="s">
        <v>7314</v>
      </c>
      <c r="E3170" t="s">
        <v>5222</v>
      </c>
      <c r="F3170" s="3" t="s">
        <v>5223</v>
      </c>
      <c r="G3170" t="s">
        <v>24</v>
      </c>
      <c r="H3170" s="3" t="s">
        <v>4993</v>
      </c>
      <c r="I3170" t="s">
        <v>296</v>
      </c>
      <c r="J3170" s="3" t="s">
        <v>4992</v>
      </c>
      <c r="K3170" s="4">
        <v>810</v>
      </c>
      <c r="L3170" s="5">
        <v>0</v>
      </c>
      <c r="M3170" s="6">
        <v>0</v>
      </c>
      <c r="N3170" s="7">
        <v>0</v>
      </c>
      <c r="O3170" t="s">
        <v>23</v>
      </c>
      <c r="P3170" s="3" t="s">
        <v>23</v>
      </c>
      <c r="Q3170" s="8" t="s">
        <v>23</v>
      </c>
    </row>
    <row r="3171" spans="1:17" hidden="1" x14ac:dyDescent="0.55000000000000004">
      <c r="A3171" s="3" t="s">
        <v>4815</v>
      </c>
      <c r="B3171" s="3" t="s">
        <v>5221</v>
      </c>
      <c r="C3171" t="s">
        <v>4988</v>
      </c>
      <c r="D3171" s="3" t="s">
        <v>7314</v>
      </c>
      <c r="E3171" t="s">
        <v>5222</v>
      </c>
      <c r="F3171" s="3" t="s">
        <v>5223</v>
      </c>
      <c r="G3171" t="s">
        <v>24</v>
      </c>
      <c r="H3171" s="3" t="s">
        <v>4994</v>
      </c>
      <c r="I3171" t="s">
        <v>298</v>
      </c>
      <c r="J3171" s="3" t="s">
        <v>4992</v>
      </c>
      <c r="K3171" s="4">
        <v>901</v>
      </c>
      <c r="L3171" s="5">
        <v>0</v>
      </c>
      <c r="M3171" s="6">
        <v>0</v>
      </c>
      <c r="N3171" s="7">
        <v>0</v>
      </c>
      <c r="O3171" t="s">
        <v>23</v>
      </c>
      <c r="P3171" s="3" t="s">
        <v>23</v>
      </c>
      <c r="Q3171" s="8" t="s">
        <v>23</v>
      </c>
    </row>
    <row r="3172" spans="1:17" hidden="1" x14ac:dyDescent="0.55000000000000004">
      <c r="A3172" s="3" t="s">
        <v>4815</v>
      </c>
      <c r="B3172" s="3" t="s">
        <v>5221</v>
      </c>
      <c r="C3172" t="s">
        <v>4988</v>
      </c>
      <c r="D3172" s="3" t="s">
        <v>7314</v>
      </c>
      <c r="E3172" t="s">
        <v>5222</v>
      </c>
      <c r="F3172" s="3" t="s">
        <v>5223</v>
      </c>
      <c r="G3172" t="s">
        <v>24</v>
      </c>
      <c r="H3172" s="3" t="s">
        <v>4995</v>
      </c>
      <c r="I3172" t="s">
        <v>304</v>
      </c>
      <c r="J3172" s="3" t="s">
        <v>4992</v>
      </c>
      <c r="K3172" s="4">
        <v>986</v>
      </c>
      <c r="L3172" s="5">
        <v>0</v>
      </c>
      <c r="M3172" s="6">
        <v>0</v>
      </c>
      <c r="N3172" s="7">
        <v>0</v>
      </c>
      <c r="O3172" t="s">
        <v>23</v>
      </c>
      <c r="P3172" s="3" t="s">
        <v>23</v>
      </c>
      <c r="Q3172" s="8" t="s">
        <v>23</v>
      </c>
    </row>
    <row r="3173" spans="1:17" hidden="1" x14ac:dyDescent="0.55000000000000004">
      <c r="A3173" s="3" t="s">
        <v>4815</v>
      </c>
      <c r="B3173" s="3" t="s">
        <v>5221</v>
      </c>
      <c r="C3173" t="s">
        <v>4988</v>
      </c>
      <c r="D3173" s="3" t="s">
        <v>7314</v>
      </c>
      <c r="E3173" t="s">
        <v>5222</v>
      </c>
      <c r="F3173" s="3" t="s">
        <v>5223</v>
      </c>
      <c r="G3173" t="s">
        <v>24</v>
      </c>
      <c r="H3173" s="3" t="s">
        <v>4996</v>
      </c>
      <c r="I3173" t="s">
        <v>300</v>
      </c>
      <c r="J3173" s="3" t="s">
        <v>4992</v>
      </c>
      <c r="K3173" s="4">
        <v>1002</v>
      </c>
      <c r="L3173" s="5">
        <v>0</v>
      </c>
      <c r="M3173" s="6">
        <v>0</v>
      </c>
      <c r="N3173" s="7">
        <v>0</v>
      </c>
      <c r="O3173" t="s">
        <v>23</v>
      </c>
      <c r="P3173" s="3" t="s">
        <v>23</v>
      </c>
      <c r="Q3173" s="8" t="s">
        <v>23</v>
      </c>
    </row>
    <row r="3174" spans="1:17" hidden="1" x14ac:dyDescent="0.55000000000000004">
      <c r="A3174" s="3" t="s">
        <v>4815</v>
      </c>
      <c r="B3174" s="3" t="s">
        <v>5221</v>
      </c>
      <c r="C3174" t="s">
        <v>4988</v>
      </c>
      <c r="D3174" s="3" t="s">
        <v>7314</v>
      </c>
      <c r="E3174" t="s">
        <v>5222</v>
      </c>
      <c r="F3174" s="3" t="s">
        <v>5223</v>
      </c>
      <c r="G3174" t="s">
        <v>24</v>
      </c>
      <c r="H3174" s="3" t="s">
        <v>4997</v>
      </c>
      <c r="I3174" t="s">
        <v>302</v>
      </c>
      <c r="J3174" s="3" t="s">
        <v>4992</v>
      </c>
      <c r="K3174" s="4">
        <v>1118</v>
      </c>
      <c r="L3174" s="5">
        <v>0</v>
      </c>
      <c r="M3174" s="6">
        <v>0</v>
      </c>
      <c r="N3174" s="7">
        <v>0</v>
      </c>
      <c r="O3174" t="s">
        <v>23</v>
      </c>
      <c r="P3174" s="3" t="s">
        <v>23</v>
      </c>
      <c r="Q3174" s="8" t="s">
        <v>23</v>
      </c>
    </row>
    <row r="3175" spans="1:17" hidden="1" x14ac:dyDescent="0.55000000000000004">
      <c r="A3175" s="3" t="s">
        <v>4815</v>
      </c>
      <c r="B3175" s="3" t="s">
        <v>5221</v>
      </c>
      <c r="C3175" t="s">
        <v>4988</v>
      </c>
      <c r="D3175" s="3" t="s">
        <v>7314</v>
      </c>
      <c r="E3175" t="s">
        <v>5222</v>
      </c>
      <c r="F3175" s="3" t="s">
        <v>5223</v>
      </c>
      <c r="G3175" t="s">
        <v>24</v>
      </c>
      <c r="H3175" s="3" t="s">
        <v>4998</v>
      </c>
      <c r="I3175" t="s">
        <v>26</v>
      </c>
      <c r="J3175" s="3" t="s">
        <v>4999</v>
      </c>
      <c r="K3175" s="4">
        <v>976</v>
      </c>
      <c r="L3175" s="5">
        <v>44.36</v>
      </c>
      <c r="M3175" s="6">
        <v>0</v>
      </c>
      <c r="N3175" s="7">
        <v>0</v>
      </c>
      <c r="O3175" t="s">
        <v>5000</v>
      </c>
      <c r="P3175" s="3" t="s">
        <v>76</v>
      </c>
      <c r="Q3175" s="8">
        <v>0.25116699999999997</v>
      </c>
    </row>
    <row r="3176" spans="1:17" hidden="1" x14ac:dyDescent="0.55000000000000004">
      <c r="A3176" s="3" t="s">
        <v>4815</v>
      </c>
      <c r="B3176" s="3" t="s">
        <v>5221</v>
      </c>
      <c r="C3176" t="s">
        <v>4988</v>
      </c>
      <c r="D3176" s="3" t="s">
        <v>7314</v>
      </c>
      <c r="E3176" t="s">
        <v>5222</v>
      </c>
      <c r="F3176" s="3" t="s">
        <v>5223</v>
      </c>
      <c r="G3176" t="s">
        <v>24</v>
      </c>
      <c r="H3176" s="3" t="s">
        <v>5226</v>
      </c>
      <c r="I3176" t="s">
        <v>26</v>
      </c>
      <c r="J3176" s="3" t="s">
        <v>5227</v>
      </c>
      <c r="K3176" s="4">
        <v>988</v>
      </c>
      <c r="L3176" s="5">
        <v>44.91</v>
      </c>
      <c r="M3176" s="6">
        <v>1</v>
      </c>
      <c r="N3176" s="7">
        <v>0</v>
      </c>
      <c r="O3176" t="s">
        <v>5228</v>
      </c>
      <c r="P3176" s="3" t="s">
        <v>29</v>
      </c>
      <c r="Q3176" s="8">
        <v>0.25116699999999997</v>
      </c>
    </row>
    <row r="3177" spans="1:17" hidden="1" x14ac:dyDescent="0.55000000000000004">
      <c r="A3177" s="3" t="s">
        <v>4815</v>
      </c>
      <c r="B3177" s="3" t="s">
        <v>5221</v>
      </c>
      <c r="C3177" t="s">
        <v>4988</v>
      </c>
      <c r="D3177" s="3" t="s">
        <v>7314</v>
      </c>
      <c r="E3177" t="s">
        <v>5222</v>
      </c>
      <c r="F3177" s="3" t="s">
        <v>5223</v>
      </c>
      <c r="G3177" t="s">
        <v>24</v>
      </c>
      <c r="H3177" s="3" t="s">
        <v>5004</v>
      </c>
      <c r="I3177" t="s">
        <v>309</v>
      </c>
      <c r="J3177" s="3" t="s">
        <v>4999</v>
      </c>
      <c r="K3177" s="4">
        <v>910</v>
      </c>
      <c r="L3177" s="5">
        <v>0</v>
      </c>
      <c r="M3177" s="6">
        <v>0</v>
      </c>
      <c r="N3177" s="7">
        <v>0</v>
      </c>
      <c r="O3177" t="s">
        <v>23</v>
      </c>
      <c r="P3177" s="3" t="s">
        <v>23</v>
      </c>
      <c r="Q3177" s="8" t="s">
        <v>23</v>
      </c>
    </row>
    <row r="3178" spans="1:17" hidden="1" x14ac:dyDescent="0.55000000000000004">
      <c r="A3178" s="3" t="s">
        <v>4815</v>
      </c>
      <c r="B3178" s="3" t="s">
        <v>5221</v>
      </c>
      <c r="C3178" t="s">
        <v>4988</v>
      </c>
      <c r="D3178" s="3" t="s">
        <v>7314</v>
      </c>
      <c r="E3178" t="s">
        <v>5222</v>
      </c>
      <c r="F3178" s="3" t="s">
        <v>5223</v>
      </c>
      <c r="G3178" t="s">
        <v>24</v>
      </c>
      <c r="H3178" s="3" t="s">
        <v>5005</v>
      </c>
      <c r="I3178" t="s">
        <v>218</v>
      </c>
      <c r="J3178" s="3" t="s">
        <v>4999</v>
      </c>
      <c r="K3178" s="4">
        <v>983</v>
      </c>
      <c r="L3178" s="5">
        <v>0</v>
      </c>
      <c r="M3178" s="6">
        <v>0</v>
      </c>
      <c r="N3178" s="7">
        <v>0</v>
      </c>
      <c r="O3178" t="s">
        <v>5006</v>
      </c>
      <c r="P3178" s="3" t="s">
        <v>23</v>
      </c>
      <c r="Q3178" s="8" t="s">
        <v>23</v>
      </c>
    </row>
    <row r="3179" spans="1:17" hidden="1" x14ac:dyDescent="0.55000000000000004">
      <c r="A3179" s="3" t="s">
        <v>4815</v>
      </c>
      <c r="B3179" s="3" t="s">
        <v>5221</v>
      </c>
      <c r="C3179" t="s">
        <v>4988</v>
      </c>
      <c r="D3179" s="3" t="s">
        <v>7314</v>
      </c>
      <c r="E3179" t="s">
        <v>5222</v>
      </c>
      <c r="F3179" s="3" t="s">
        <v>5223</v>
      </c>
      <c r="G3179" t="s">
        <v>24</v>
      </c>
      <c r="H3179" s="3" t="s">
        <v>5007</v>
      </c>
      <c r="I3179" t="s">
        <v>313</v>
      </c>
      <c r="J3179" s="3" t="s">
        <v>4999</v>
      </c>
      <c r="K3179" s="4">
        <v>1109</v>
      </c>
      <c r="L3179" s="5">
        <v>0</v>
      </c>
      <c r="M3179" s="6">
        <v>0</v>
      </c>
      <c r="N3179" s="7">
        <v>0</v>
      </c>
      <c r="O3179" t="s">
        <v>23</v>
      </c>
      <c r="P3179" s="3" t="s">
        <v>23</v>
      </c>
      <c r="Q3179" s="8" t="s">
        <v>23</v>
      </c>
    </row>
    <row r="3180" spans="1:17" hidden="1" x14ac:dyDescent="0.55000000000000004">
      <c r="A3180" s="3" t="s">
        <v>4815</v>
      </c>
      <c r="B3180" s="3" t="s">
        <v>5221</v>
      </c>
      <c r="C3180" t="s">
        <v>4988</v>
      </c>
      <c r="D3180" s="3" t="s">
        <v>7314</v>
      </c>
      <c r="E3180" t="s">
        <v>5222</v>
      </c>
      <c r="F3180" s="3" t="s">
        <v>5223</v>
      </c>
      <c r="G3180" t="s">
        <v>24</v>
      </c>
      <c r="H3180" s="3" t="s">
        <v>5008</v>
      </c>
      <c r="I3180" t="s">
        <v>315</v>
      </c>
      <c r="J3180" s="3" t="s">
        <v>4999</v>
      </c>
      <c r="K3180" s="4">
        <v>824</v>
      </c>
      <c r="L3180" s="5">
        <v>0</v>
      </c>
      <c r="M3180" s="6">
        <v>0</v>
      </c>
      <c r="N3180" s="7">
        <v>0</v>
      </c>
      <c r="O3180" t="s">
        <v>23</v>
      </c>
      <c r="P3180" s="3" t="s">
        <v>23</v>
      </c>
      <c r="Q3180" s="8" t="s">
        <v>23</v>
      </c>
    </row>
    <row r="3181" spans="1:17" hidden="1" x14ac:dyDescent="0.55000000000000004">
      <c r="A3181" s="3" t="s">
        <v>4815</v>
      </c>
      <c r="B3181" s="3" t="s">
        <v>5221</v>
      </c>
      <c r="C3181" t="s">
        <v>4988</v>
      </c>
      <c r="D3181" s="3" t="s">
        <v>7314</v>
      </c>
      <c r="E3181" t="s">
        <v>5222</v>
      </c>
      <c r="F3181" s="3" t="s">
        <v>5223</v>
      </c>
      <c r="G3181" t="s">
        <v>24</v>
      </c>
      <c r="H3181" s="3" t="s">
        <v>5009</v>
      </c>
      <c r="I3181" t="s">
        <v>317</v>
      </c>
      <c r="J3181" s="3" t="s">
        <v>4999</v>
      </c>
      <c r="K3181" s="4">
        <v>942</v>
      </c>
      <c r="L3181" s="5">
        <v>0</v>
      </c>
      <c r="M3181" s="6">
        <v>0</v>
      </c>
      <c r="N3181" s="7">
        <v>0</v>
      </c>
      <c r="O3181" t="s">
        <v>23</v>
      </c>
      <c r="P3181" s="3" t="s">
        <v>23</v>
      </c>
      <c r="Q3181" s="8" t="s">
        <v>23</v>
      </c>
    </row>
    <row r="3182" spans="1:17" hidden="1" x14ac:dyDescent="0.55000000000000004">
      <c r="A3182" s="3" t="s">
        <v>4815</v>
      </c>
      <c r="B3182" s="3" t="s">
        <v>5221</v>
      </c>
      <c r="C3182" t="s">
        <v>4988</v>
      </c>
      <c r="D3182" s="3" t="s">
        <v>7314</v>
      </c>
      <c r="E3182" t="s">
        <v>5229</v>
      </c>
      <c r="F3182" s="3" t="s">
        <v>5230</v>
      </c>
      <c r="G3182" t="s">
        <v>24</v>
      </c>
      <c r="H3182" s="3" t="s">
        <v>4991</v>
      </c>
      <c r="I3182" t="s">
        <v>52</v>
      </c>
      <c r="J3182" s="3" t="s">
        <v>4992</v>
      </c>
      <c r="K3182" s="4">
        <v>838</v>
      </c>
      <c r="L3182" s="5">
        <v>0</v>
      </c>
      <c r="M3182" s="6">
        <v>0</v>
      </c>
      <c r="N3182" s="7">
        <v>0</v>
      </c>
      <c r="O3182" t="s">
        <v>23</v>
      </c>
      <c r="P3182" s="3" t="s">
        <v>23</v>
      </c>
      <c r="Q3182" s="8" t="s">
        <v>23</v>
      </c>
    </row>
    <row r="3183" spans="1:17" hidden="1" x14ac:dyDescent="0.55000000000000004">
      <c r="A3183" s="3" t="s">
        <v>4815</v>
      </c>
      <c r="B3183" s="3" t="s">
        <v>5221</v>
      </c>
      <c r="C3183" t="s">
        <v>4988</v>
      </c>
      <c r="D3183" s="3" t="s">
        <v>7314</v>
      </c>
      <c r="E3183" t="s">
        <v>5229</v>
      </c>
      <c r="F3183" s="3" t="s">
        <v>5230</v>
      </c>
      <c r="G3183" t="s">
        <v>24</v>
      </c>
      <c r="H3183" s="3" t="s">
        <v>4993</v>
      </c>
      <c r="I3183" t="s">
        <v>296</v>
      </c>
      <c r="J3183" s="3" t="s">
        <v>4992</v>
      </c>
      <c r="K3183" s="4">
        <v>810</v>
      </c>
      <c r="L3183" s="5">
        <v>0</v>
      </c>
      <c r="M3183" s="6">
        <v>0</v>
      </c>
      <c r="N3183" s="7">
        <v>0</v>
      </c>
      <c r="O3183" t="s">
        <v>23</v>
      </c>
      <c r="P3183" s="3" t="s">
        <v>23</v>
      </c>
      <c r="Q3183" s="8" t="s">
        <v>23</v>
      </c>
    </row>
    <row r="3184" spans="1:17" hidden="1" x14ac:dyDescent="0.55000000000000004">
      <c r="A3184" s="3" t="s">
        <v>4815</v>
      </c>
      <c r="B3184" s="3" t="s">
        <v>5221</v>
      </c>
      <c r="C3184" t="s">
        <v>4988</v>
      </c>
      <c r="D3184" s="3" t="s">
        <v>7314</v>
      </c>
      <c r="E3184" t="s">
        <v>5229</v>
      </c>
      <c r="F3184" s="3" t="s">
        <v>5230</v>
      </c>
      <c r="G3184" t="s">
        <v>24</v>
      </c>
      <c r="H3184" s="3" t="s">
        <v>4994</v>
      </c>
      <c r="I3184" t="s">
        <v>298</v>
      </c>
      <c r="J3184" s="3" t="s">
        <v>4992</v>
      </c>
      <c r="K3184" s="4">
        <v>901</v>
      </c>
      <c r="L3184" s="5">
        <v>0</v>
      </c>
      <c r="M3184" s="6">
        <v>0</v>
      </c>
      <c r="N3184" s="7">
        <v>0</v>
      </c>
      <c r="O3184" t="s">
        <v>23</v>
      </c>
      <c r="P3184" s="3" t="s">
        <v>23</v>
      </c>
      <c r="Q3184" s="8" t="s">
        <v>23</v>
      </c>
    </row>
    <row r="3185" spans="1:17" hidden="1" x14ac:dyDescent="0.55000000000000004">
      <c r="A3185" s="3" t="s">
        <v>4815</v>
      </c>
      <c r="B3185" s="3" t="s">
        <v>5221</v>
      </c>
      <c r="C3185" t="s">
        <v>4988</v>
      </c>
      <c r="D3185" s="3" t="s">
        <v>7314</v>
      </c>
      <c r="E3185" t="s">
        <v>5229</v>
      </c>
      <c r="F3185" s="3" t="s">
        <v>5230</v>
      </c>
      <c r="G3185" t="s">
        <v>24</v>
      </c>
      <c r="H3185" s="3" t="s">
        <v>4995</v>
      </c>
      <c r="I3185" t="s">
        <v>304</v>
      </c>
      <c r="J3185" s="3" t="s">
        <v>4992</v>
      </c>
      <c r="K3185" s="4">
        <v>986</v>
      </c>
      <c r="L3185" s="5">
        <v>0</v>
      </c>
      <c r="M3185" s="6">
        <v>0</v>
      </c>
      <c r="N3185" s="7">
        <v>0</v>
      </c>
      <c r="O3185" t="s">
        <v>23</v>
      </c>
      <c r="P3185" s="3" t="s">
        <v>23</v>
      </c>
      <c r="Q3185" s="8" t="s">
        <v>23</v>
      </c>
    </row>
    <row r="3186" spans="1:17" hidden="1" x14ac:dyDescent="0.55000000000000004">
      <c r="A3186" s="3" t="s">
        <v>4815</v>
      </c>
      <c r="B3186" s="3" t="s">
        <v>5221</v>
      </c>
      <c r="C3186" t="s">
        <v>4988</v>
      </c>
      <c r="D3186" s="3" t="s">
        <v>7314</v>
      </c>
      <c r="E3186" t="s">
        <v>5229</v>
      </c>
      <c r="F3186" s="3" t="s">
        <v>5230</v>
      </c>
      <c r="G3186" t="s">
        <v>24</v>
      </c>
      <c r="H3186" s="3" t="s">
        <v>4996</v>
      </c>
      <c r="I3186" t="s">
        <v>300</v>
      </c>
      <c r="J3186" s="3" t="s">
        <v>4992</v>
      </c>
      <c r="K3186" s="4">
        <v>1002</v>
      </c>
      <c r="L3186" s="5">
        <v>0</v>
      </c>
      <c r="M3186" s="6">
        <v>0</v>
      </c>
      <c r="N3186" s="7">
        <v>0</v>
      </c>
      <c r="O3186" t="s">
        <v>23</v>
      </c>
      <c r="P3186" s="3" t="s">
        <v>23</v>
      </c>
      <c r="Q3186" s="8" t="s">
        <v>23</v>
      </c>
    </row>
    <row r="3187" spans="1:17" hidden="1" x14ac:dyDescent="0.55000000000000004">
      <c r="A3187" s="3" t="s">
        <v>4815</v>
      </c>
      <c r="B3187" s="3" t="s">
        <v>5221</v>
      </c>
      <c r="C3187" t="s">
        <v>4988</v>
      </c>
      <c r="D3187" s="3" t="s">
        <v>7314</v>
      </c>
      <c r="E3187" t="s">
        <v>5229</v>
      </c>
      <c r="F3187" s="3" t="s">
        <v>5230</v>
      </c>
      <c r="G3187" t="s">
        <v>24</v>
      </c>
      <c r="H3187" s="3" t="s">
        <v>4997</v>
      </c>
      <c r="I3187" t="s">
        <v>302</v>
      </c>
      <c r="J3187" s="3" t="s">
        <v>4992</v>
      </c>
      <c r="K3187" s="4">
        <v>1118</v>
      </c>
      <c r="L3187" s="5">
        <v>0</v>
      </c>
      <c r="M3187" s="6">
        <v>0</v>
      </c>
      <c r="N3187" s="7">
        <v>0</v>
      </c>
      <c r="O3187" t="s">
        <v>23</v>
      </c>
      <c r="P3187" s="3" t="s">
        <v>23</v>
      </c>
      <c r="Q3187" s="8" t="s">
        <v>23</v>
      </c>
    </row>
    <row r="3188" spans="1:17" hidden="1" x14ac:dyDescent="0.55000000000000004">
      <c r="A3188" s="3" t="s">
        <v>4815</v>
      </c>
      <c r="B3188" s="3" t="s">
        <v>5221</v>
      </c>
      <c r="C3188" t="s">
        <v>4988</v>
      </c>
      <c r="D3188" s="3" t="s">
        <v>7314</v>
      </c>
      <c r="E3188" t="s">
        <v>5229</v>
      </c>
      <c r="F3188" s="3" t="s">
        <v>5230</v>
      </c>
      <c r="G3188" t="s">
        <v>24</v>
      </c>
      <c r="H3188" s="3" t="s">
        <v>4998</v>
      </c>
      <c r="I3188" t="s">
        <v>26</v>
      </c>
      <c r="J3188" s="3" t="s">
        <v>4999</v>
      </c>
      <c r="K3188" s="4">
        <v>976</v>
      </c>
      <c r="L3188" s="5">
        <v>44.36</v>
      </c>
      <c r="M3188" s="6">
        <v>0</v>
      </c>
      <c r="N3188" s="7">
        <v>0</v>
      </c>
      <c r="O3188" t="s">
        <v>5000</v>
      </c>
      <c r="P3188" s="3" t="s">
        <v>76</v>
      </c>
      <c r="Q3188" s="8">
        <v>0.25116699999999997</v>
      </c>
    </row>
    <row r="3189" spans="1:17" hidden="1" x14ac:dyDescent="0.55000000000000004">
      <c r="A3189" s="3" t="s">
        <v>4815</v>
      </c>
      <c r="B3189" s="3" t="s">
        <v>5221</v>
      </c>
      <c r="C3189" t="s">
        <v>4988</v>
      </c>
      <c r="D3189" s="3" t="s">
        <v>7314</v>
      </c>
      <c r="E3189" t="s">
        <v>5229</v>
      </c>
      <c r="F3189" s="3" t="s">
        <v>5230</v>
      </c>
      <c r="G3189" t="s">
        <v>24</v>
      </c>
      <c r="H3189" s="3" t="s">
        <v>5226</v>
      </c>
      <c r="I3189" t="s">
        <v>26</v>
      </c>
      <c r="J3189" s="3" t="s">
        <v>5227</v>
      </c>
      <c r="K3189" s="4">
        <v>988</v>
      </c>
      <c r="L3189" s="5">
        <v>44.91</v>
      </c>
      <c r="M3189" s="6">
        <v>1</v>
      </c>
      <c r="N3189" s="7">
        <v>0</v>
      </c>
      <c r="O3189" t="s">
        <v>5228</v>
      </c>
      <c r="P3189" s="3" t="s">
        <v>29</v>
      </c>
      <c r="Q3189" s="8">
        <v>0.25116699999999997</v>
      </c>
    </row>
    <row r="3190" spans="1:17" hidden="1" x14ac:dyDescent="0.55000000000000004">
      <c r="A3190" s="3" t="s">
        <v>4815</v>
      </c>
      <c r="B3190" s="3" t="s">
        <v>5221</v>
      </c>
      <c r="C3190" t="s">
        <v>4988</v>
      </c>
      <c r="D3190" s="3" t="s">
        <v>7314</v>
      </c>
      <c r="E3190" t="s">
        <v>5229</v>
      </c>
      <c r="F3190" s="3" t="s">
        <v>5230</v>
      </c>
      <c r="G3190" t="s">
        <v>24</v>
      </c>
      <c r="H3190" s="3" t="s">
        <v>5004</v>
      </c>
      <c r="I3190" t="s">
        <v>309</v>
      </c>
      <c r="J3190" s="3" t="s">
        <v>4999</v>
      </c>
      <c r="K3190" s="4">
        <v>910</v>
      </c>
      <c r="L3190" s="5">
        <v>0</v>
      </c>
      <c r="M3190" s="6">
        <v>0</v>
      </c>
      <c r="N3190" s="7">
        <v>0</v>
      </c>
      <c r="O3190" t="s">
        <v>23</v>
      </c>
      <c r="P3190" s="3" t="s">
        <v>23</v>
      </c>
      <c r="Q3190" s="8" t="s">
        <v>23</v>
      </c>
    </row>
    <row r="3191" spans="1:17" hidden="1" x14ac:dyDescent="0.55000000000000004">
      <c r="A3191" s="3" t="s">
        <v>4815</v>
      </c>
      <c r="B3191" s="3" t="s">
        <v>5221</v>
      </c>
      <c r="C3191" t="s">
        <v>4988</v>
      </c>
      <c r="D3191" s="3" t="s">
        <v>7314</v>
      </c>
      <c r="E3191" t="s">
        <v>5229</v>
      </c>
      <c r="F3191" s="3" t="s">
        <v>5230</v>
      </c>
      <c r="G3191" t="s">
        <v>24</v>
      </c>
      <c r="H3191" s="3" t="s">
        <v>5005</v>
      </c>
      <c r="I3191" t="s">
        <v>218</v>
      </c>
      <c r="J3191" s="3" t="s">
        <v>4999</v>
      </c>
      <c r="K3191" s="4">
        <v>983</v>
      </c>
      <c r="L3191" s="5">
        <v>0</v>
      </c>
      <c r="M3191" s="6">
        <v>0</v>
      </c>
      <c r="N3191" s="7">
        <v>0</v>
      </c>
      <c r="O3191" t="s">
        <v>5006</v>
      </c>
      <c r="P3191" s="3" t="s">
        <v>23</v>
      </c>
      <c r="Q3191" s="8" t="s">
        <v>23</v>
      </c>
    </row>
    <row r="3192" spans="1:17" hidden="1" x14ac:dyDescent="0.55000000000000004">
      <c r="A3192" s="3" t="s">
        <v>4815</v>
      </c>
      <c r="B3192" s="3" t="s">
        <v>5221</v>
      </c>
      <c r="C3192" t="s">
        <v>4988</v>
      </c>
      <c r="D3192" s="3" t="s">
        <v>7314</v>
      </c>
      <c r="E3192" t="s">
        <v>5229</v>
      </c>
      <c r="F3192" s="3" t="s">
        <v>5230</v>
      </c>
      <c r="G3192" t="s">
        <v>24</v>
      </c>
      <c r="H3192" s="3" t="s">
        <v>5007</v>
      </c>
      <c r="I3192" t="s">
        <v>313</v>
      </c>
      <c r="J3192" s="3" t="s">
        <v>4999</v>
      </c>
      <c r="K3192" s="4">
        <v>1109</v>
      </c>
      <c r="L3192" s="5">
        <v>0</v>
      </c>
      <c r="M3192" s="6">
        <v>0</v>
      </c>
      <c r="N3192" s="7">
        <v>0</v>
      </c>
      <c r="O3192" t="s">
        <v>23</v>
      </c>
      <c r="P3192" s="3" t="s">
        <v>23</v>
      </c>
      <c r="Q3192" s="8" t="s">
        <v>23</v>
      </c>
    </row>
    <row r="3193" spans="1:17" hidden="1" x14ac:dyDescent="0.55000000000000004">
      <c r="A3193" s="3" t="s">
        <v>4815</v>
      </c>
      <c r="B3193" s="3" t="s">
        <v>5221</v>
      </c>
      <c r="C3193" t="s">
        <v>4988</v>
      </c>
      <c r="D3193" s="3" t="s">
        <v>7314</v>
      </c>
      <c r="E3193" t="s">
        <v>5229</v>
      </c>
      <c r="F3193" s="3" t="s">
        <v>5230</v>
      </c>
      <c r="G3193" t="s">
        <v>24</v>
      </c>
      <c r="H3193" s="3" t="s">
        <v>5008</v>
      </c>
      <c r="I3193" t="s">
        <v>315</v>
      </c>
      <c r="J3193" s="3" t="s">
        <v>4999</v>
      </c>
      <c r="K3193" s="4">
        <v>824</v>
      </c>
      <c r="L3193" s="5">
        <v>0</v>
      </c>
      <c r="M3193" s="6">
        <v>0</v>
      </c>
      <c r="N3193" s="7">
        <v>0</v>
      </c>
      <c r="O3193" t="s">
        <v>23</v>
      </c>
      <c r="P3193" s="3" t="s">
        <v>23</v>
      </c>
      <c r="Q3193" s="8" t="s">
        <v>23</v>
      </c>
    </row>
    <row r="3194" spans="1:17" hidden="1" x14ac:dyDescent="0.55000000000000004">
      <c r="A3194" s="3" t="s">
        <v>4815</v>
      </c>
      <c r="B3194" s="3" t="s">
        <v>5221</v>
      </c>
      <c r="C3194" t="s">
        <v>4988</v>
      </c>
      <c r="D3194" s="3" t="s">
        <v>7314</v>
      </c>
      <c r="E3194" t="s">
        <v>5229</v>
      </c>
      <c r="F3194" s="3" t="s">
        <v>5230</v>
      </c>
      <c r="G3194" t="s">
        <v>24</v>
      </c>
      <c r="H3194" s="3" t="s">
        <v>5009</v>
      </c>
      <c r="I3194" t="s">
        <v>317</v>
      </c>
      <c r="J3194" s="3" t="s">
        <v>4999</v>
      </c>
      <c r="K3194" s="4">
        <v>942</v>
      </c>
      <c r="L3194" s="5">
        <v>0</v>
      </c>
      <c r="M3194" s="6">
        <v>0</v>
      </c>
      <c r="N3194" s="7">
        <v>0</v>
      </c>
      <c r="O3194" t="s">
        <v>23</v>
      </c>
      <c r="P3194" s="3" t="s">
        <v>23</v>
      </c>
      <c r="Q3194" s="8" t="s">
        <v>23</v>
      </c>
    </row>
    <row r="3195" spans="1:17" hidden="1" x14ac:dyDescent="0.55000000000000004">
      <c r="A3195" s="3" t="s">
        <v>4815</v>
      </c>
      <c r="B3195" s="3" t="s">
        <v>5221</v>
      </c>
      <c r="C3195" t="s">
        <v>4988</v>
      </c>
      <c r="D3195" s="3" t="s">
        <v>7314</v>
      </c>
      <c r="E3195" t="s">
        <v>5231</v>
      </c>
      <c r="F3195" s="3" t="s">
        <v>5232</v>
      </c>
      <c r="G3195" t="s">
        <v>24</v>
      </c>
      <c r="H3195" s="3" t="s">
        <v>4991</v>
      </c>
      <c r="I3195" t="s">
        <v>52</v>
      </c>
      <c r="J3195" s="3" t="s">
        <v>4992</v>
      </c>
      <c r="K3195" s="4">
        <v>838</v>
      </c>
      <c r="L3195" s="5">
        <v>0</v>
      </c>
      <c r="M3195" s="6">
        <v>0</v>
      </c>
      <c r="N3195" s="7">
        <v>0</v>
      </c>
      <c r="O3195" t="s">
        <v>23</v>
      </c>
      <c r="P3195" s="3" t="s">
        <v>23</v>
      </c>
      <c r="Q3195" s="8" t="s">
        <v>23</v>
      </c>
    </row>
    <row r="3196" spans="1:17" hidden="1" x14ac:dyDescent="0.55000000000000004">
      <c r="A3196" s="3" t="s">
        <v>4815</v>
      </c>
      <c r="B3196" s="3" t="s">
        <v>5221</v>
      </c>
      <c r="C3196" t="s">
        <v>4988</v>
      </c>
      <c r="D3196" s="3" t="s">
        <v>7314</v>
      </c>
      <c r="E3196" t="s">
        <v>5231</v>
      </c>
      <c r="F3196" s="3" t="s">
        <v>5232</v>
      </c>
      <c r="G3196" t="s">
        <v>24</v>
      </c>
      <c r="H3196" s="3" t="s">
        <v>4993</v>
      </c>
      <c r="I3196" t="s">
        <v>296</v>
      </c>
      <c r="J3196" s="3" t="s">
        <v>4992</v>
      </c>
      <c r="K3196" s="4">
        <v>810</v>
      </c>
      <c r="L3196" s="5">
        <v>0</v>
      </c>
      <c r="M3196" s="6">
        <v>0</v>
      </c>
      <c r="N3196" s="7">
        <v>0</v>
      </c>
      <c r="O3196" t="s">
        <v>23</v>
      </c>
      <c r="P3196" s="3" t="s">
        <v>23</v>
      </c>
      <c r="Q3196" s="8" t="s">
        <v>23</v>
      </c>
    </row>
    <row r="3197" spans="1:17" hidden="1" x14ac:dyDescent="0.55000000000000004">
      <c r="A3197" s="3" t="s">
        <v>4815</v>
      </c>
      <c r="B3197" s="3" t="s">
        <v>5221</v>
      </c>
      <c r="C3197" t="s">
        <v>4988</v>
      </c>
      <c r="D3197" s="3" t="s">
        <v>7314</v>
      </c>
      <c r="E3197" t="s">
        <v>5231</v>
      </c>
      <c r="F3197" s="3" t="s">
        <v>5232</v>
      </c>
      <c r="G3197" t="s">
        <v>24</v>
      </c>
      <c r="H3197" s="3" t="s">
        <v>4994</v>
      </c>
      <c r="I3197" t="s">
        <v>298</v>
      </c>
      <c r="J3197" s="3" t="s">
        <v>4992</v>
      </c>
      <c r="K3197" s="4">
        <v>901</v>
      </c>
      <c r="L3197" s="5">
        <v>0</v>
      </c>
      <c r="M3197" s="6">
        <v>0</v>
      </c>
      <c r="N3197" s="7">
        <v>0</v>
      </c>
      <c r="O3197" t="s">
        <v>23</v>
      </c>
      <c r="P3197" s="3" t="s">
        <v>23</v>
      </c>
      <c r="Q3197" s="8" t="s">
        <v>23</v>
      </c>
    </row>
    <row r="3198" spans="1:17" hidden="1" x14ac:dyDescent="0.55000000000000004">
      <c r="A3198" s="3" t="s">
        <v>4815</v>
      </c>
      <c r="B3198" s="3" t="s">
        <v>5221</v>
      </c>
      <c r="C3198" t="s">
        <v>4988</v>
      </c>
      <c r="D3198" s="3" t="s">
        <v>7314</v>
      </c>
      <c r="E3198" t="s">
        <v>5231</v>
      </c>
      <c r="F3198" s="3" t="s">
        <v>5232</v>
      </c>
      <c r="G3198" t="s">
        <v>24</v>
      </c>
      <c r="H3198" s="3" t="s">
        <v>4995</v>
      </c>
      <c r="I3198" t="s">
        <v>304</v>
      </c>
      <c r="J3198" s="3" t="s">
        <v>4992</v>
      </c>
      <c r="K3198" s="4">
        <v>986</v>
      </c>
      <c r="L3198" s="5">
        <v>0</v>
      </c>
      <c r="M3198" s="6">
        <v>0</v>
      </c>
      <c r="N3198" s="7">
        <v>0</v>
      </c>
      <c r="O3198" t="s">
        <v>23</v>
      </c>
      <c r="P3198" s="3" t="s">
        <v>23</v>
      </c>
      <c r="Q3198" s="8" t="s">
        <v>23</v>
      </c>
    </row>
    <row r="3199" spans="1:17" hidden="1" x14ac:dyDescent="0.55000000000000004">
      <c r="A3199" s="3" t="s">
        <v>4815</v>
      </c>
      <c r="B3199" s="3" t="s">
        <v>5221</v>
      </c>
      <c r="C3199" t="s">
        <v>4988</v>
      </c>
      <c r="D3199" s="3" t="s">
        <v>7314</v>
      </c>
      <c r="E3199" t="s">
        <v>5231</v>
      </c>
      <c r="F3199" s="3" t="s">
        <v>5232</v>
      </c>
      <c r="G3199" t="s">
        <v>24</v>
      </c>
      <c r="H3199" s="3" t="s">
        <v>4996</v>
      </c>
      <c r="I3199" t="s">
        <v>300</v>
      </c>
      <c r="J3199" s="3" t="s">
        <v>4992</v>
      </c>
      <c r="K3199" s="4">
        <v>1002</v>
      </c>
      <c r="L3199" s="5">
        <v>0</v>
      </c>
      <c r="M3199" s="6">
        <v>0</v>
      </c>
      <c r="N3199" s="7">
        <v>0</v>
      </c>
      <c r="O3199" t="s">
        <v>23</v>
      </c>
      <c r="P3199" s="3" t="s">
        <v>23</v>
      </c>
      <c r="Q3199" s="8" t="s">
        <v>23</v>
      </c>
    </row>
    <row r="3200" spans="1:17" hidden="1" x14ac:dyDescent="0.55000000000000004">
      <c r="A3200" s="3" t="s">
        <v>4815</v>
      </c>
      <c r="B3200" s="3" t="s">
        <v>5221</v>
      </c>
      <c r="C3200" t="s">
        <v>4988</v>
      </c>
      <c r="D3200" s="3" t="s">
        <v>7314</v>
      </c>
      <c r="E3200" t="s">
        <v>5231</v>
      </c>
      <c r="F3200" s="3" t="s">
        <v>5232</v>
      </c>
      <c r="G3200" t="s">
        <v>24</v>
      </c>
      <c r="H3200" s="3" t="s">
        <v>4997</v>
      </c>
      <c r="I3200" t="s">
        <v>302</v>
      </c>
      <c r="J3200" s="3" t="s">
        <v>4992</v>
      </c>
      <c r="K3200" s="4">
        <v>1118</v>
      </c>
      <c r="L3200" s="5">
        <v>0</v>
      </c>
      <c r="M3200" s="6">
        <v>0</v>
      </c>
      <c r="N3200" s="7">
        <v>0</v>
      </c>
      <c r="O3200" t="s">
        <v>23</v>
      </c>
      <c r="P3200" s="3" t="s">
        <v>23</v>
      </c>
      <c r="Q3200" s="8" t="s">
        <v>23</v>
      </c>
    </row>
    <row r="3201" spans="1:17" hidden="1" x14ac:dyDescent="0.55000000000000004">
      <c r="A3201" s="3" t="s">
        <v>4815</v>
      </c>
      <c r="B3201" s="3" t="s">
        <v>5221</v>
      </c>
      <c r="C3201" t="s">
        <v>4988</v>
      </c>
      <c r="D3201" s="3" t="s">
        <v>7314</v>
      </c>
      <c r="E3201" t="s">
        <v>5231</v>
      </c>
      <c r="F3201" s="3" t="s">
        <v>5232</v>
      </c>
      <c r="G3201" t="s">
        <v>24</v>
      </c>
      <c r="H3201" s="3" t="s">
        <v>4998</v>
      </c>
      <c r="I3201" t="s">
        <v>26</v>
      </c>
      <c r="J3201" s="3" t="s">
        <v>4999</v>
      </c>
      <c r="K3201" s="4">
        <v>976</v>
      </c>
      <c r="L3201" s="5">
        <v>44.36</v>
      </c>
      <c r="M3201" s="6">
        <v>0</v>
      </c>
      <c r="N3201" s="7">
        <v>0</v>
      </c>
      <c r="O3201" t="s">
        <v>5000</v>
      </c>
      <c r="P3201" s="3" t="s">
        <v>76</v>
      </c>
      <c r="Q3201" s="8">
        <v>0.25116699999999997</v>
      </c>
    </row>
    <row r="3202" spans="1:17" hidden="1" x14ac:dyDescent="0.55000000000000004">
      <c r="A3202" s="3" t="s">
        <v>4815</v>
      </c>
      <c r="B3202" s="3" t="s">
        <v>5221</v>
      </c>
      <c r="C3202" t="s">
        <v>4988</v>
      </c>
      <c r="D3202" s="3" t="s">
        <v>7314</v>
      </c>
      <c r="E3202" t="s">
        <v>5231</v>
      </c>
      <c r="F3202" s="3" t="s">
        <v>5232</v>
      </c>
      <c r="G3202" t="s">
        <v>24</v>
      </c>
      <c r="H3202" s="3" t="s">
        <v>5226</v>
      </c>
      <c r="I3202" t="s">
        <v>26</v>
      </c>
      <c r="J3202" s="3" t="s">
        <v>5227</v>
      </c>
      <c r="K3202" s="4">
        <v>988</v>
      </c>
      <c r="L3202" s="5">
        <v>44.91</v>
      </c>
      <c r="M3202" s="6">
        <v>1</v>
      </c>
      <c r="N3202" s="7">
        <v>0</v>
      </c>
      <c r="O3202" t="s">
        <v>5228</v>
      </c>
      <c r="P3202" s="3" t="s">
        <v>29</v>
      </c>
      <c r="Q3202" s="8">
        <v>0.25116699999999997</v>
      </c>
    </row>
    <row r="3203" spans="1:17" hidden="1" x14ac:dyDescent="0.55000000000000004">
      <c r="A3203" s="3" t="s">
        <v>4815</v>
      </c>
      <c r="B3203" s="3" t="s">
        <v>5221</v>
      </c>
      <c r="C3203" t="s">
        <v>4988</v>
      </c>
      <c r="D3203" s="3" t="s">
        <v>7314</v>
      </c>
      <c r="E3203" t="s">
        <v>5231</v>
      </c>
      <c r="F3203" s="3" t="s">
        <v>5232</v>
      </c>
      <c r="G3203" t="s">
        <v>24</v>
      </c>
      <c r="H3203" s="3" t="s">
        <v>5004</v>
      </c>
      <c r="I3203" t="s">
        <v>309</v>
      </c>
      <c r="J3203" s="3" t="s">
        <v>4999</v>
      </c>
      <c r="K3203" s="4">
        <v>910</v>
      </c>
      <c r="L3203" s="5">
        <v>0</v>
      </c>
      <c r="M3203" s="6">
        <v>0</v>
      </c>
      <c r="N3203" s="7">
        <v>0</v>
      </c>
      <c r="O3203" t="s">
        <v>23</v>
      </c>
      <c r="P3203" s="3" t="s">
        <v>23</v>
      </c>
      <c r="Q3203" s="8" t="s">
        <v>23</v>
      </c>
    </row>
    <row r="3204" spans="1:17" hidden="1" x14ac:dyDescent="0.55000000000000004">
      <c r="A3204" s="3" t="s">
        <v>4815</v>
      </c>
      <c r="B3204" s="3" t="s">
        <v>5221</v>
      </c>
      <c r="C3204" t="s">
        <v>4988</v>
      </c>
      <c r="D3204" s="3" t="s">
        <v>7314</v>
      </c>
      <c r="E3204" t="s">
        <v>5231</v>
      </c>
      <c r="F3204" s="3" t="s">
        <v>5232</v>
      </c>
      <c r="G3204" t="s">
        <v>24</v>
      </c>
      <c r="H3204" s="3" t="s">
        <v>5005</v>
      </c>
      <c r="I3204" t="s">
        <v>218</v>
      </c>
      <c r="J3204" s="3" t="s">
        <v>4999</v>
      </c>
      <c r="K3204" s="4">
        <v>983</v>
      </c>
      <c r="L3204" s="5">
        <v>0</v>
      </c>
      <c r="M3204" s="6">
        <v>0</v>
      </c>
      <c r="N3204" s="7">
        <v>0</v>
      </c>
      <c r="O3204" t="s">
        <v>5006</v>
      </c>
      <c r="P3204" s="3" t="s">
        <v>23</v>
      </c>
      <c r="Q3204" s="8" t="s">
        <v>23</v>
      </c>
    </row>
    <row r="3205" spans="1:17" hidden="1" x14ac:dyDescent="0.55000000000000004">
      <c r="A3205" s="3" t="s">
        <v>4815</v>
      </c>
      <c r="B3205" s="3" t="s">
        <v>5221</v>
      </c>
      <c r="C3205" t="s">
        <v>4988</v>
      </c>
      <c r="D3205" s="3" t="s">
        <v>7314</v>
      </c>
      <c r="E3205" t="s">
        <v>5231</v>
      </c>
      <c r="F3205" s="3" t="s">
        <v>5232</v>
      </c>
      <c r="G3205" t="s">
        <v>24</v>
      </c>
      <c r="H3205" s="3" t="s">
        <v>5007</v>
      </c>
      <c r="I3205" t="s">
        <v>313</v>
      </c>
      <c r="J3205" s="3" t="s">
        <v>4999</v>
      </c>
      <c r="K3205" s="4">
        <v>1109</v>
      </c>
      <c r="L3205" s="5">
        <v>0</v>
      </c>
      <c r="M3205" s="6">
        <v>0</v>
      </c>
      <c r="N3205" s="7">
        <v>0</v>
      </c>
      <c r="O3205" t="s">
        <v>23</v>
      </c>
      <c r="P3205" s="3" t="s">
        <v>23</v>
      </c>
      <c r="Q3205" s="8" t="s">
        <v>23</v>
      </c>
    </row>
    <row r="3206" spans="1:17" hidden="1" x14ac:dyDescent="0.55000000000000004">
      <c r="A3206" s="3" t="s">
        <v>4815</v>
      </c>
      <c r="B3206" s="3" t="s">
        <v>5221</v>
      </c>
      <c r="C3206" t="s">
        <v>4988</v>
      </c>
      <c r="D3206" s="3" t="s">
        <v>7314</v>
      </c>
      <c r="E3206" t="s">
        <v>5231</v>
      </c>
      <c r="F3206" s="3" t="s">
        <v>5232</v>
      </c>
      <c r="G3206" t="s">
        <v>24</v>
      </c>
      <c r="H3206" s="3" t="s">
        <v>5008</v>
      </c>
      <c r="I3206" t="s">
        <v>315</v>
      </c>
      <c r="J3206" s="3" t="s">
        <v>4999</v>
      </c>
      <c r="K3206" s="4">
        <v>824</v>
      </c>
      <c r="L3206" s="5">
        <v>0</v>
      </c>
      <c r="M3206" s="6">
        <v>0</v>
      </c>
      <c r="N3206" s="7">
        <v>0</v>
      </c>
      <c r="O3206" t="s">
        <v>23</v>
      </c>
      <c r="P3206" s="3" t="s">
        <v>23</v>
      </c>
      <c r="Q3206" s="8" t="s">
        <v>23</v>
      </c>
    </row>
    <row r="3207" spans="1:17" hidden="1" x14ac:dyDescent="0.55000000000000004">
      <c r="A3207" s="3" t="s">
        <v>4815</v>
      </c>
      <c r="B3207" s="3" t="s">
        <v>5221</v>
      </c>
      <c r="C3207" t="s">
        <v>4988</v>
      </c>
      <c r="D3207" s="3" t="s">
        <v>7314</v>
      </c>
      <c r="E3207" t="s">
        <v>5231</v>
      </c>
      <c r="F3207" s="3" t="s">
        <v>5232</v>
      </c>
      <c r="G3207" t="s">
        <v>24</v>
      </c>
      <c r="H3207" s="3" t="s">
        <v>5009</v>
      </c>
      <c r="I3207" t="s">
        <v>317</v>
      </c>
      <c r="J3207" s="3" t="s">
        <v>4999</v>
      </c>
      <c r="K3207" s="4">
        <v>942</v>
      </c>
      <c r="L3207" s="5">
        <v>0</v>
      </c>
      <c r="M3207" s="6">
        <v>0</v>
      </c>
      <c r="N3207" s="7">
        <v>0</v>
      </c>
      <c r="O3207" t="s">
        <v>23</v>
      </c>
      <c r="P3207" s="3" t="s">
        <v>23</v>
      </c>
      <c r="Q3207" s="8" t="s">
        <v>23</v>
      </c>
    </row>
    <row r="3208" spans="1:17" hidden="1" x14ac:dyDescent="0.55000000000000004">
      <c r="A3208" s="3" t="s">
        <v>4815</v>
      </c>
      <c r="B3208" s="3" t="s">
        <v>5221</v>
      </c>
      <c r="C3208" t="s">
        <v>4988</v>
      </c>
      <c r="D3208" s="3" t="s">
        <v>7314</v>
      </c>
      <c r="E3208" t="s">
        <v>5233</v>
      </c>
      <c r="F3208" s="3" t="s">
        <v>5234</v>
      </c>
      <c r="G3208" t="s">
        <v>24</v>
      </c>
      <c r="H3208" s="3" t="s">
        <v>4991</v>
      </c>
      <c r="I3208" t="s">
        <v>52</v>
      </c>
      <c r="J3208" s="3" t="s">
        <v>4992</v>
      </c>
      <c r="K3208" s="4">
        <v>838</v>
      </c>
      <c r="L3208" s="5">
        <v>0</v>
      </c>
      <c r="M3208" s="6">
        <v>0</v>
      </c>
      <c r="N3208" s="7">
        <v>0</v>
      </c>
      <c r="O3208" t="s">
        <v>23</v>
      </c>
      <c r="P3208" s="3" t="s">
        <v>23</v>
      </c>
      <c r="Q3208" s="8" t="s">
        <v>23</v>
      </c>
    </row>
    <row r="3209" spans="1:17" hidden="1" x14ac:dyDescent="0.55000000000000004">
      <c r="A3209" s="3" t="s">
        <v>4815</v>
      </c>
      <c r="B3209" s="3" t="s">
        <v>5221</v>
      </c>
      <c r="C3209" t="s">
        <v>4988</v>
      </c>
      <c r="D3209" s="3" t="s">
        <v>7314</v>
      </c>
      <c r="E3209" t="s">
        <v>5233</v>
      </c>
      <c r="F3209" s="3" t="s">
        <v>5234</v>
      </c>
      <c r="G3209" t="s">
        <v>24</v>
      </c>
      <c r="H3209" s="3" t="s">
        <v>4993</v>
      </c>
      <c r="I3209" t="s">
        <v>296</v>
      </c>
      <c r="J3209" s="3" t="s">
        <v>4992</v>
      </c>
      <c r="K3209" s="4">
        <v>810</v>
      </c>
      <c r="L3209" s="5">
        <v>0</v>
      </c>
      <c r="M3209" s="6">
        <v>0</v>
      </c>
      <c r="N3209" s="7">
        <v>0</v>
      </c>
      <c r="O3209" t="s">
        <v>23</v>
      </c>
      <c r="P3209" s="3" t="s">
        <v>23</v>
      </c>
      <c r="Q3209" s="8" t="s">
        <v>23</v>
      </c>
    </row>
    <row r="3210" spans="1:17" hidden="1" x14ac:dyDescent="0.55000000000000004">
      <c r="A3210" s="3" t="s">
        <v>4815</v>
      </c>
      <c r="B3210" s="3" t="s">
        <v>5221</v>
      </c>
      <c r="C3210" t="s">
        <v>4988</v>
      </c>
      <c r="D3210" s="3" t="s">
        <v>7314</v>
      </c>
      <c r="E3210" t="s">
        <v>5233</v>
      </c>
      <c r="F3210" s="3" t="s">
        <v>5234</v>
      </c>
      <c r="G3210" t="s">
        <v>24</v>
      </c>
      <c r="H3210" s="3" t="s">
        <v>4994</v>
      </c>
      <c r="I3210" t="s">
        <v>298</v>
      </c>
      <c r="J3210" s="3" t="s">
        <v>4992</v>
      </c>
      <c r="K3210" s="4">
        <v>901</v>
      </c>
      <c r="L3210" s="5">
        <v>0</v>
      </c>
      <c r="M3210" s="6">
        <v>0</v>
      </c>
      <c r="N3210" s="7">
        <v>0</v>
      </c>
      <c r="O3210" t="s">
        <v>23</v>
      </c>
      <c r="P3210" s="3" t="s">
        <v>23</v>
      </c>
      <c r="Q3210" s="8" t="s">
        <v>23</v>
      </c>
    </row>
    <row r="3211" spans="1:17" hidden="1" x14ac:dyDescent="0.55000000000000004">
      <c r="A3211" s="3" t="s">
        <v>4815</v>
      </c>
      <c r="B3211" s="3" t="s">
        <v>5221</v>
      </c>
      <c r="C3211" t="s">
        <v>4988</v>
      </c>
      <c r="D3211" s="3" t="s">
        <v>7314</v>
      </c>
      <c r="E3211" t="s">
        <v>5233</v>
      </c>
      <c r="F3211" s="3" t="s">
        <v>5234</v>
      </c>
      <c r="G3211" t="s">
        <v>24</v>
      </c>
      <c r="H3211" s="3" t="s">
        <v>4995</v>
      </c>
      <c r="I3211" t="s">
        <v>304</v>
      </c>
      <c r="J3211" s="3" t="s">
        <v>4992</v>
      </c>
      <c r="K3211" s="4">
        <v>986</v>
      </c>
      <c r="L3211" s="5">
        <v>0</v>
      </c>
      <c r="M3211" s="6">
        <v>0</v>
      </c>
      <c r="N3211" s="7">
        <v>0</v>
      </c>
      <c r="O3211" t="s">
        <v>23</v>
      </c>
      <c r="P3211" s="3" t="s">
        <v>23</v>
      </c>
      <c r="Q3211" s="8" t="s">
        <v>23</v>
      </c>
    </row>
    <row r="3212" spans="1:17" hidden="1" x14ac:dyDescent="0.55000000000000004">
      <c r="A3212" s="3" t="s">
        <v>4815</v>
      </c>
      <c r="B3212" s="3" t="s">
        <v>5221</v>
      </c>
      <c r="C3212" t="s">
        <v>4988</v>
      </c>
      <c r="D3212" s="3" t="s">
        <v>7314</v>
      </c>
      <c r="E3212" t="s">
        <v>5233</v>
      </c>
      <c r="F3212" s="3" t="s">
        <v>5234</v>
      </c>
      <c r="G3212" t="s">
        <v>24</v>
      </c>
      <c r="H3212" s="3" t="s">
        <v>4996</v>
      </c>
      <c r="I3212" t="s">
        <v>300</v>
      </c>
      <c r="J3212" s="3" t="s">
        <v>4992</v>
      </c>
      <c r="K3212" s="4">
        <v>1002</v>
      </c>
      <c r="L3212" s="5">
        <v>0</v>
      </c>
      <c r="M3212" s="6">
        <v>0</v>
      </c>
      <c r="N3212" s="7">
        <v>0</v>
      </c>
      <c r="O3212" t="s">
        <v>23</v>
      </c>
      <c r="P3212" s="3" t="s">
        <v>23</v>
      </c>
      <c r="Q3212" s="8" t="s">
        <v>23</v>
      </c>
    </row>
    <row r="3213" spans="1:17" hidden="1" x14ac:dyDescent="0.55000000000000004">
      <c r="A3213" s="3" t="s">
        <v>4815</v>
      </c>
      <c r="B3213" s="3" t="s">
        <v>5221</v>
      </c>
      <c r="C3213" t="s">
        <v>4988</v>
      </c>
      <c r="D3213" s="3" t="s">
        <v>7314</v>
      </c>
      <c r="E3213" t="s">
        <v>5233</v>
      </c>
      <c r="F3213" s="3" t="s">
        <v>5234</v>
      </c>
      <c r="G3213" t="s">
        <v>24</v>
      </c>
      <c r="H3213" s="3" t="s">
        <v>4997</v>
      </c>
      <c r="I3213" t="s">
        <v>302</v>
      </c>
      <c r="J3213" s="3" t="s">
        <v>4992</v>
      </c>
      <c r="K3213" s="4">
        <v>1118</v>
      </c>
      <c r="L3213" s="5">
        <v>0</v>
      </c>
      <c r="M3213" s="6">
        <v>0</v>
      </c>
      <c r="N3213" s="7">
        <v>0</v>
      </c>
      <c r="O3213" t="s">
        <v>23</v>
      </c>
      <c r="P3213" s="3" t="s">
        <v>23</v>
      </c>
      <c r="Q3213" s="8" t="s">
        <v>23</v>
      </c>
    </row>
    <row r="3214" spans="1:17" hidden="1" x14ac:dyDescent="0.55000000000000004">
      <c r="A3214" s="3" t="s">
        <v>4815</v>
      </c>
      <c r="B3214" s="3" t="s">
        <v>5221</v>
      </c>
      <c r="C3214" t="s">
        <v>4988</v>
      </c>
      <c r="D3214" s="3" t="s">
        <v>7314</v>
      </c>
      <c r="E3214" t="s">
        <v>5233</v>
      </c>
      <c r="F3214" s="3" t="s">
        <v>5234</v>
      </c>
      <c r="G3214" t="s">
        <v>24</v>
      </c>
      <c r="H3214" s="3" t="s">
        <v>4998</v>
      </c>
      <c r="I3214" t="s">
        <v>26</v>
      </c>
      <c r="J3214" s="3" t="s">
        <v>4999</v>
      </c>
      <c r="K3214" s="4">
        <v>976</v>
      </c>
      <c r="L3214" s="5">
        <v>44.36</v>
      </c>
      <c r="M3214" s="6">
        <v>0</v>
      </c>
      <c r="N3214" s="7">
        <v>0</v>
      </c>
      <c r="O3214" t="s">
        <v>5000</v>
      </c>
      <c r="P3214" s="3" t="s">
        <v>76</v>
      </c>
      <c r="Q3214" s="8">
        <v>0.25116699999999997</v>
      </c>
    </row>
    <row r="3215" spans="1:17" hidden="1" x14ac:dyDescent="0.55000000000000004">
      <c r="A3215" s="3" t="s">
        <v>4815</v>
      </c>
      <c r="B3215" s="3" t="s">
        <v>5221</v>
      </c>
      <c r="C3215" t="s">
        <v>4988</v>
      </c>
      <c r="D3215" s="3" t="s">
        <v>7314</v>
      </c>
      <c r="E3215" t="s">
        <v>5233</v>
      </c>
      <c r="F3215" s="3" t="s">
        <v>5234</v>
      </c>
      <c r="G3215" t="s">
        <v>24</v>
      </c>
      <c r="H3215" s="3" t="s">
        <v>5226</v>
      </c>
      <c r="I3215" t="s">
        <v>26</v>
      </c>
      <c r="J3215" s="3" t="s">
        <v>5227</v>
      </c>
      <c r="K3215" s="4">
        <v>988</v>
      </c>
      <c r="L3215" s="5">
        <v>44.91</v>
      </c>
      <c r="M3215" s="6">
        <v>1</v>
      </c>
      <c r="N3215" s="7">
        <v>0</v>
      </c>
      <c r="O3215" t="s">
        <v>5228</v>
      </c>
      <c r="P3215" s="3" t="s">
        <v>29</v>
      </c>
      <c r="Q3215" s="8">
        <v>0.25116699999999997</v>
      </c>
    </row>
    <row r="3216" spans="1:17" hidden="1" x14ac:dyDescent="0.55000000000000004">
      <c r="A3216" s="3" t="s">
        <v>4815</v>
      </c>
      <c r="B3216" s="3" t="s">
        <v>5221</v>
      </c>
      <c r="C3216" t="s">
        <v>4988</v>
      </c>
      <c r="D3216" s="3" t="s">
        <v>7314</v>
      </c>
      <c r="E3216" t="s">
        <v>5233</v>
      </c>
      <c r="F3216" s="3" t="s">
        <v>5234</v>
      </c>
      <c r="G3216" t="s">
        <v>24</v>
      </c>
      <c r="H3216" s="3" t="s">
        <v>5004</v>
      </c>
      <c r="I3216" t="s">
        <v>309</v>
      </c>
      <c r="J3216" s="3" t="s">
        <v>4999</v>
      </c>
      <c r="K3216" s="4">
        <v>910</v>
      </c>
      <c r="L3216" s="5">
        <v>0</v>
      </c>
      <c r="M3216" s="6">
        <v>0</v>
      </c>
      <c r="N3216" s="7">
        <v>0</v>
      </c>
      <c r="O3216" t="s">
        <v>23</v>
      </c>
      <c r="P3216" s="3" t="s">
        <v>23</v>
      </c>
      <c r="Q3216" s="8" t="s">
        <v>23</v>
      </c>
    </row>
    <row r="3217" spans="1:17" hidden="1" x14ac:dyDescent="0.55000000000000004">
      <c r="A3217" s="3" t="s">
        <v>4815</v>
      </c>
      <c r="B3217" s="3" t="s">
        <v>5221</v>
      </c>
      <c r="C3217" t="s">
        <v>4988</v>
      </c>
      <c r="D3217" s="3" t="s">
        <v>7314</v>
      </c>
      <c r="E3217" t="s">
        <v>5233</v>
      </c>
      <c r="F3217" s="3" t="s">
        <v>5234</v>
      </c>
      <c r="G3217" t="s">
        <v>24</v>
      </c>
      <c r="H3217" s="3" t="s">
        <v>5005</v>
      </c>
      <c r="I3217" t="s">
        <v>218</v>
      </c>
      <c r="J3217" s="3" t="s">
        <v>4999</v>
      </c>
      <c r="K3217" s="4">
        <v>983</v>
      </c>
      <c r="L3217" s="5">
        <v>0</v>
      </c>
      <c r="M3217" s="6">
        <v>0</v>
      </c>
      <c r="N3217" s="7">
        <v>0</v>
      </c>
      <c r="O3217" t="s">
        <v>5006</v>
      </c>
      <c r="P3217" s="3" t="s">
        <v>23</v>
      </c>
      <c r="Q3217" s="8" t="s">
        <v>23</v>
      </c>
    </row>
    <row r="3218" spans="1:17" hidden="1" x14ac:dyDescent="0.55000000000000004">
      <c r="A3218" s="3" t="s">
        <v>4815</v>
      </c>
      <c r="B3218" s="3" t="s">
        <v>5221</v>
      </c>
      <c r="C3218" t="s">
        <v>4988</v>
      </c>
      <c r="D3218" s="3" t="s">
        <v>7314</v>
      </c>
      <c r="E3218" t="s">
        <v>5233</v>
      </c>
      <c r="F3218" s="3" t="s">
        <v>5234</v>
      </c>
      <c r="G3218" t="s">
        <v>24</v>
      </c>
      <c r="H3218" s="3" t="s">
        <v>5007</v>
      </c>
      <c r="I3218" t="s">
        <v>313</v>
      </c>
      <c r="J3218" s="3" t="s">
        <v>4999</v>
      </c>
      <c r="K3218" s="4">
        <v>1109</v>
      </c>
      <c r="L3218" s="5">
        <v>0</v>
      </c>
      <c r="M3218" s="6">
        <v>0</v>
      </c>
      <c r="N3218" s="7">
        <v>0</v>
      </c>
      <c r="O3218" t="s">
        <v>23</v>
      </c>
      <c r="P3218" s="3" t="s">
        <v>23</v>
      </c>
      <c r="Q3218" s="8" t="s">
        <v>23</v>
      </c>
    </row>
    <row r="3219" spans="1:17" hidden="1" x14ac:dyDescent="0.55000000000000004">
      <c r="A3219" s="3" t="s">
        <v>4815</v>
      </c>
      <c r="B3219" s="3" t="s">
        <v>5221</v>
      </c>
      <c r="C3219" t="s">
        <v>4988</v>
      </c>
      <c r="D3219" s="3" t="s">
        <v>7314</v>
      </c>
      <c r="E3219" t="s">
        <v>5233</v>
      </c>
      <c r="F3219" s="3" t="s">
        <v>5234</v>
      </c>
      <c r="G3219" t="s">
        <v>24</v>
      </c>
      <c r="H3219" s="3" t="s">
        <v>5008</v>
      </c>
      <c r="I3219" t="s">
        <v>315</v>
      </c>
      <c r="J3219" s="3" t="s">
        <v>4999</v>
      </c>
      <c r="K3219" s="4">
        <v>824</v>
      </c>
      <c r="L3219" s="5">
        <v>0</v>
      </c>
      <c r="M3219" s="6">
        <v>0</v>
      </c>
      <c r="N3219" s="7">
        <v>0</v>
      </c>
      <c r="O3219" t="s">
        <v>23</v>
      </c>
      <c r="P3219" s="3" t="s">
        <v>23</v>
      </c>
      <c r="Q3219" s="8" t="s">
        <v>23</v>
      </c>
    </row>
    <row r="3220" spans="1:17" hidden="1" x14ac:dyDescent="0.55000000000000004">
      <c r="A3220" s="3" t="s">
        <v>4815</v>
      </c>
      <c r="B3220" s="3" t="s">
        <v>5221</v>
      </c>
      <c r="C3220" t="s">
        <v>4988</v>
      </c>
      <c r="D3220" s="3" t="s">
        <v>7314</v>
      </c>
      <c r="E3220" t="s">
        <v>5233</v>
      </c>
      <c r="F3220" s="3" t="s">
        <v>5234</v>
      </c>
      <c r="G3220" t="s">
        <v>24</v>
      </c>
      <c r="H3220" s="3" t="s">
        <v>5009</v>
      </c>
      <c r="I3220" t="s">
        <v>317</v>
      </c>
      <c r="J3220" s="3" t="s">
        <v>4999</v>
      </c>
      <c r="K3220" s="4">
        <v>942</v>
      </c>
      <c r="L3220" s="5">
        <v>0</v>
      </c>
      <c r="M3220" s="6">
        <v>0</v>
      </c>
      <c r="N3220" s="7">
        <v>0</v>
      </c>
      <c r="O3220" t="s">
        <v>23</v>
      </c>
      <c r="P3220" s="3" t="s">
        <v>23</v>
      </c>
      <c r="Q3220" s="8" t="s">
        <v>23</v>
      </c>
    </row>
    <row r="3221" spans="1:17" hidden="1" x14ac:dyDescent="0.55000000000000004">
      <c r="A3221" s="3" t="s">
        <v>4815</v>
      </c>
      <c r="B3221" s="3" t="s">
        <v>5221</v>
      </c>
      <c r="C3221" t="s">
        <v>4988</v>
      </c>
      <c r="D3221" s="3" t="s">
        <v>7314</v>
      </c>
      <c r="E3221" t="s">
        <v>5235</v>
      </c>
      <c r="F3221" s="3" t="s">
        <v>5236</v>
      </c>
      <c r="G3221" t="s">
        <v>24</v>
      </c>
      <c r="H3221" s="3" t="s">
        <v>4991</v>
      </c>
      <c r="I3221" t="s">
        <v>52</v>
      </c>
      <c r="J3221" s="3" t="s">
        <v>4992</v>
      </c>
      <c r="K3221" s="4">
        <v>838</v>
      </c>
      <c r="L3221" s="5">
        <v>0</v>
      </c>
      <c r="M3221" s="6">
        <v>0</v>
      </c>
      <c r="N3221" s="7">
        <v>0</v>
      </c>
      <c r="O3221" t="s">
        <v>23</v>
      </c>
      <c r="P3221" s="3" t="s">
        <v>23</v>
      </c>
      <c r="Q3221" s="8" t="s">
        <v>23</v>
      </c>
    </row>
    <row r="3222" spans="1:17" hidden="1" x14ac:dyDescent="0.55000000000000004">
      <c r="A3222" s="3" t="s">
        <v>4815</v>
      </c>
      <c r="B3222" s="3" t="s">
        <v>5221</v>
      </c>
      <c r="C3222" t="s">
        <v>4988</v>
      </c>
      <c r="D3222" s="3" t="s">
        <v>7314</v>
      </c>
      <c r="E3222" t="s">
        <v>5235</v>
      </c>
      <c r="F3222" s="3" t="s">
        <v>5236</v>
      </c>
      <c r="G3222" t="s">
        <v>24</v>
      </c>
      <c r="H3222" s="3" t="s">
        <v>4993</v>
      </c>
      <c r="I3222" t="s">
        <v>296</v>
      </c>
      <c r="J3222" s="3" t="s">
        <v>4992</v>
      </c>
      <c r="K3222" s="4">
        <v>810</v>
      </c>
      <c r="L3222" s="5">
        <v>0</v>
      </c>
      <c r="M3222" s="6">
        <v>0</v>
      </c>
      <c r="N3222" s="7">
        <v>0</v>
      </c>
      <c r="O3222" t="s">
        <v>23</v>
      </c>
      <c r="P3222" s="3" t="s">
        <v>23</v>
      </c>
      <c r="Q3222" s="8" t="s">
        <v>23</v>
      </c>
    </row>
    <row r="3223" spans="1:17" hidden="1" x14ac:dyDescent="0.55000000000000004">
      <c r="A3223" s="3" t="s">
        <v>4815</v>
      </c>
      <c r="B3223" s="3" t="s">
        <v>5221</v>
      </c>
      <c r="C3223" t="s">
        <v>4988</v>
      </c>
      <c r="D3223" s="3" t="s">
        <v>7314</v>
      </c>
      <c r="E3223" t="s">
        <v>5235</v>
      </c>
      <c r="F3223" s="3" t="s">
        <v>5236</v>
      </c>
      <c r="G3223" t="s">
        <v>24</v>
      </c>
      <c r="H3223" s="3" t="s">
        <v>4994</v>
      </c>
      <c r="I3223" t="s">
        <v>298</v>
      </c>
      <c r="J3223" s="3" t="s">
        <v>4992</v>
      </c>
      <c r="K3223" s="4">
        <v>901</v>
      </c>
      <c r="L3223" s="5">
        <v>0</v>
      </c>
      <c r="M3223" s="6">
        <v>0</v>
      </c>
      <c r="N3223" s="7">
        <v>0</v>
      </c>
      <c r="O3223" t="s">
        <v>23</v>
      </c>
      <c r="P3223" s="3" t="s">
        <v>23</v>
      </c>
      <c r="Q3223" s="8" t="s">
        <v>23</v>
      </c>
    </row>
    <row r="3224" spans="1:17" hidden="1" x14ac:dyDescent="0.55000000000000004">
      <c r="A3224" s="3" t="s">
        <v>4815</v>
      </c>
      <c r="B3224" s="3" t="s">
        <v>5221</v>
      </c>
      <c r="C3224" t="s">
        <v>4988</v>
      </c>
      <c r="D3224" s="3" t="s">
        <v>7314</v>
      </c>
      <c r="E3224" t="s">
        <v>5235</v>
      </c>
      <c r="F3224" s="3" t="s">
        <v>5236</v>
      </c>
      <c r="G3224" t="s">
        <v>24</v>
      </c>
      <c r="H3224" s="3" t="s">
        <v>4995</v>
      </c>
      <c r="I3224" t="s">
        <v>304</v>
      </c>
      <c r="J3224" s="3" t="s">
        <v>4992</v>
      </c>
      <c r="K3224" s="4">
        <v>986</v>
      </c>
      <c r="L3224" s="5">
        <v>0</v>
      </c>
      <c r="M3224" s="6">
        <v>0</v>
      </c>
      <c r="N3224" s="7">
        <v>0</v>
      </c>
      <c r="O3224" t="s">
        <v>23</v>
      </c>
      <c r="P3224" s="3" t="s">
        <v>23</v>
      </c>
      <c r="Q3224" s="8" t="s">
        <v>23</v>
      </c>
    </row>
    <row r="3225" spans="1:17" hidden="1" x14ac:dyDescent="0.55000000000000004">
      <c r="A3225" s="3" t="s">
        <v>4815</v>
      </c>
      <c r="B3225" s="3" t="s">
        <v>5221</v>
      </c>
      <c r="C3225" t="s">
        <v>4988</v>
      </c>
      <c r="D3225" s="3" t="s">
        <v>7314</v>
      </c>
      <c r="E3225" t="s">
        <v>5235</v>
      </c>
      <c r="F3225" s="3" t="s">
        <v>5236</v>
      </c>
      <c r="G3225" t="s">
        <v>24</v>
      </c>
      <c r="H3225" s="3" t="s">
        <v>4996</v>
      </c>
      <c r="I3225" t="s">
        <v>300</v>
      </c>
      <c r="J3225" s="3" t="s">
        <v>4992</v>
      </c>
      <c r="K3225" s="4">
        <v>1002</v>
      </c>
      <c r="L3225" s="5">
        <v>0</v>
      </c>
      <c r="M3225" s="6">
        <v>0</v>
      </c>
      <c r="N3225" s="7">
        <v>0</v>
      </c>
      <c r="O3225" t="s">
        <v>23</v>
      </c>
      <c r="P3225" s="3" t="s">
        <v>23</v>
      </c>
      <c r="Q3225" s="8" t="s">
        <v>23</v>
      </c>
    </row>
    <row r="3226" spans="1:17" hidden="1" x14ac:dyDescent="0.55000000000000004">
      <c r="A3226" s="3" t="s">
        <v>4815</v>
      </c>
      <c r="B3226" s="3" t="s">
        <v>5221</v>
      </c>
      <c r="C3226" t="s">
        <v>4988</v>
      </c>
      <c r="D3226" s="3" t="s">
        <v>7314</v>
      </c>
      <c r="E3226" t="s">
        <v>5235</v>
      </c>
      <c r="F3226" s="3" t="s">
        <v>5236</v>
      </c>
      <c r="G3226" t="s">
        <v>24</v>
      </c>
      <c r="H3226" s="3" t="s">
        <v>4997</v>
      </c>
      <c r="I3226" t="s">
        <v>302</v>
      </c>
      <c r="J3226" s="3" t="s">
        <v>4992</v>
      </c>
      <c r="K3226" s="4">
        <v>1118</v>
      </c>
      <c r="L3226" s="5">
        <v>0</v>
      </c>
      <c r="M3226" s="6">
        <v>0</v>
      </c>
      <c r="N3226" s="7">
        <v>0</v>
      </c>
      <c r="O3226" t="s">
        <v>23</v>
      </c>
      <c r="P3226" s="3" t="s">
        <v>23</v>
      </c>
      <c r="Q3226" s="8" t="s">
        <v>23</v>
      </c>
    </row>
    <row r="3227" spans="1:17" hidden="1" x14ac:dyDescent="0.55000000000000004">
      <c r="A3227" s="3" t="s">
        <v>4815</v>
      </c>
      <c r="B3227" s="3" t="s">
        <v>5221</v>
      </c>
      <c r="C3227" t="s">
        <v>4988</v>
      </c>
      <c r="D3227" s="3" t="s">
        <v>7314</v>
      </c>
      <c r="E3227" t="s">
        <v>5235</v>
      </c>
      <c r="F3227" s="3" t="s">
        <v>5236</v>
      </c>
      <c r="G3227" t="s">
        <v>24</v>
      </c>
      <c r="H3227" s="3" t="s">
        <v>4998</v>
      </c>
      <c r="I3227" t="s">
        <v>26</v>
      </c>
      <c r="J3227" s="3" t="s">
        <v>4999</v>
      </c>
      <c r="K3227" s="4">
        <v>976</v>
      </c>
      <c r="L3227" s="5">
        <v>44.36</v>
      </c>
      <c r="M3227" s="6">
        <v>0</v>
      </c>
      <c r="N3227" s="7">
        <v>0</v>
      </c>
      <c r="O3227" t="s">
        <v>5000</v>
      </c>
      <c r="P3227" s="3" t="s">
        <v>76</v>
      </c>
      <c r="Q3227" s="8">
        <v>0.25116699999999997</v>
      </c>
    </row>
    <row r="3228" spans="1:17" hidden="1" x14ac:dyDescent="0.55000000000000004">
      <c r="A3228" s="3" t="s">
        <v>4815</v>
      </c>
      <c r="B3228" s="3" t="s">
        <v>5221</v>
      </c>
      <c r="C3228" t="s">
        <v>4988</v>
      </c>
      <c r="D3228" s="3" t="s">
        <v>7314</v>
      </c>
      <c r="E3228" t="s">
        <v>5235</v>
      </c>
      <c r="F3228" s="3" t="s">
        <v>5236</v>
      </c>
      <c r="G3228" t="s">
        <v>24</v>
      </c>
      <c r="H3228" s="3" t="s">
        <v>5226</v>
      </c>
      <c r="I3228" t="s">
        <v>26</v>
      </c>
      <c r="J3228" s="3" t="s">
        <v>5227</v>
      </c>
      <c r="K3228" s="4">
        <v>988</v>
      </c>
      <c r="L3228" s="5">
        <v>44.91</v>
      </c>
      <c r="M3228" s="6">
        <v>1</v>
      </c>
      <c r="N3228" s="7">
        <v>0</v>
      </c>
      <c r="O3228" t="s">
        <v>5228</v>
      </c>
      <c r="P3228" s="3" t="s">
        <v>29</v>
      </c>
      <c r="Q3228" s="8">
        <v>0.25116699999999997</v>
      </c>
    </row>
    <row r="3229" spans="1:17" hidden="1" x14ac:dyDescent="0.55000000000000004">
      <c r="A3229" s="3" t="s">
        <v>4815</v>
      </c>
      <c r="B3229" s="3" t="s">
        <v>5221</v>
      </c>
      <c r="C3229" t="s">
        <v>4988</v>
      </c>
      <c r="D3229" s="3" t="s">
        <v>7314</v>
      </c>
      <c r="E3229" t="s">
        <v>5235</v>
      </c>
      <c r="F3229" s="3" t="s">
        <v>5236</v>
      </c>
      <c r="G3229" t="s">
        <v>24</v>
      </c>
      <c r="H3229" s="3" t="s">
        <v>5004</v>
      </c>
      <c r="I3229" t="s">
        <v>309</v>
      </c>
      <c r="J3229" s="3" t="s">
        <v>4999</v>
      </c>
      <c r="K3229" s="4">
        <v>910</v>
      </c>
      <c r="L3229" s="5">
        <v>0</v>
      </c>
      <c r="M3229" s="6">
        <v>0</v>
      </c>
      <c r="N3229" s="7">
        <v>0</v>
      </c>
      <c r="O3229" t="s">
        <v>23</v>
      </c>
      <c r="P3229" s="3" t="s">
        <v>23</v>
      </c>
      <c r="Q3229" s="8" t="s">
        <v>23</v>
      </c>
    </row>
    <row r="3230" spans="1:17" hidden="1" x14ac:dyDescent="0.55000000000000004">
      <c r="A3230" s="3" t="s">
        <v>4815</v>
      </c>
      <c r="B3230" s="3" t="s">
        <v>5221</v>
      </c>
      <c r="C3230" t="s">
        <v>4988</v>
      </c>
      <c r="D3230" s="3" t="s">
        <v>7314</v>
      </c>
      <c r="E3230" t="s">
        <v>5235</v>
      </c>
      <c r="F3230" s="3" t="s">
        <v>5236</v>
      </c>
      <c r="G3230" t="s">
        <v>24</v>
      </c>
      <c r="H3230" s="3" t="s">
        <v>5005</v>
      </c>
      <c r="I3230" t="s">
        <v>218</v>
      </c>
      <c r="J3230" s="3" t="s">
        <v>4999</v>
      </c>
      <c r="K3230" s="4">
        <v>983</v>
      </c>
      <c r="L3230" s="5">
        <v>0</v>
      </c>
      <c r="M3230" s="6">
        <v>0</v>
      </c>
      <c r="N3230" s="7">
        <v>0</v>
      </c>
      <c r="O3230" t="s">
        <v>5006</v>
      </c>
      <c r="P3230" s="3" t="s">
        <v>23</v>
      </c>
      <c r="Q3230" s="8" t="s">
        <v>23</v>
      </c>
    </row>
    <row r="3231" spans="1:17" hidden="1" x14ac:dyDescent="0.55000000000000004">
      <c r="A3231" s="3" t="s">
        <v>4815</v>
      </c>
      <c r="B3231" s="3" t="s">
        <v>5221</v>
      </c>
      <c r="C3231" t="s">
        <v>4988</v>
      </c>
      <c r="D3231" s="3" t="s">
        <v>7314</v>
      </c>
      <c r="E3231" t="s">
        <v>5235</v>
      </c>
      <c r="F3231" s="3" t="s">
        <v>5236</v>
      </c>
      <c r="G3231" t="s">
        <v>24</v>
      </c>
      <c r="H3231" s="3" t="s">
        <v>5007</v>
      </c>
      <c r="I3231" t="s">
        <v>313</v>
      </c>
      <c r="J3231" s="3" t="s">
        <v>4999</v>
      </c>
      <c r="K3231" s="4">
        <v>1109</v>
      </c>
      <c r="L3231" s="5">
        <v>0</v>
      </c>
      <c r="M3231" s="6">
        <v>0</v>
      </c>
      <c r="N3231" s="7">
        <v>0</v>
      </c>
      <c r="O3231" t="s">
        <v>23</v>
      </c>
      <c r="P3231" s="3" t="s">
        <v>23</v>
      </c>
      <c r="Q3231" s="8" t="s">
        <v>23</v>
      </c>
    </row>
    <row r="3232" spans="1:17" hidden="1" x14ac:dyDescent="0.55000000000000004">
      <c r="A3232" s="3" t="s">
        <v>4815</v>
      </c>
      <c r="B3232" s="3" t="s">
        <v>5221</v>
      </c>
      <c r="C3232" t="s">
        <v>4988</v>
      </c>
      <c r="D3232" s="3" t="s">
        <v>7314</v>
      </c>
      <c r="E3232" t="s">
        <v>5235</v>
      </c>
      <c r="F3232" s="3" t="s">
        <v>5236</v>
      </c>
      <c r="G3232" t="s">
        <v>24</v>
      </c>
      <c r="H3232" s="3" t="s">
        <v>5008</v>
      </c>
      <c r="I3232" t="s">
        <v>315</v>
      </c>
      <c r="J3232" s="3" t="s">
        <v>4999</v>
      </c>
      <c r="K3232" s="4">
        <v>824</v>
      </c>
      <c r="L3232" s="5">
        <v>0</v>
      </c>
      <c r="M3232" s="6">
        <v>0</v>
      </c>
      <c r="N3232" s="7">
        <v>0</v>
      </c>
      <c r="O3232" t="s">
        <v>23</v>
      </c>
      <c r="P3232" s="3" t="s">
        <v>23</v>
      </c>
      <c r="Q3232" s="8" t="s">
        <v>23</v>
      </c>
    </row>
    <row r="3233" spans="1:17" hidden="1" x14ac:dyDescent="0.55000000000000004">
      <c r="A3233" s="3" t="s">
        <v>4815</v>
      </c>
      <c r="B3233" s="3" t="s">
        <v>5221</v>
      </c>
      <c r="C3233" t="s">
        <v>4988</v>
      </c>
      <c r="D3233" s="3" t="s">
        <v>7314</v>
      </c>
      <c r="E3233" t="s">
        <v>5235</v>
      </c>
      <c r="F3233" s="3" t="s">
        <v>5236</v>
      </c>
      <c r="G3233" t="s">
        <v>24</v>
      </c>
      <c r="H3233" s="3" t="s">
        <v>5009</v>
      </c>
      <c r="I3233" t="s">
        <v>317</v>
      </c>
      <c r="J3233" s="3" t="s">
        <v>4999</v>
      </c>
      <c r="K3233" s="4">
        <v>942</v>
      </c>
      <c r="L3233" s="5">
        <v>0</v>
      </c>
      <c r="M3233" s="6">
        <v>0</v>
      </c>
      <c r="N3233" s="7">
        <v>0</v>
      </c>
      <c r="O3233" t="s">
        <v>23</v>
      </c>
      <c r="P3233" s="3" t="s">
        <v>23</v>
      </c>
      <c r="Q3233" s="8" t="s">
        <v>23</v>
      </c>
    </row>
    <row r="3234" spans="1:17" hidden="1" x14ac:dyDescent="0.55000000000000004">
      <c r="A3234" s="3" t="s">
        <v>4815</v>
      </c>
      <c r="B3234" s="3" t="s">
        <v>5237</v>
      </c>
      <c r="C3234" t="s">
        <v>5237</v>
      </c>
      <c r="D3234" s="3" t="s">
        <v>7314</v>
      </c>
      <c r="E3234" t="s">
        <v>5238</v>
      </c>
      <c r="F3234" s="3" t="s">
        <v>5239</v>
      </c>
      <c r="G3234" t="s">
        <v>24</v>
      </c>
      <c r="H3234" s="3" t="s">
        <v>4837</v>
      </c>
      <c r="I3234" t="s">
        <v>26</v>
      </c>
      <c r="J3234" s="3" t="s">
        <v>4838</v>
      </c>
      <c r="K3234" s="4">
        <v>876</v>
      </c>
      <c r="L3234" s="5">
        <v>39.82</v>
      </c>
      <c r="M3234" s="6">
        <v>1</v>
      </c>
      <c r="N3234" s="7">
        <v>0</v>
      </c>
      <c r="O3234" t="s">
        <v>4839</v>
      </c>
      <c r="P3234" s="3" t="s">
        <v>29</v>
      </c>
      <c r="Q3234" s="8">
        <v>0.2455</v>
      </c>
    </row>
    <row r="3235" spans="1:17" hidden="1" x14ac:dyDescent="0.55000000000000004">
      <c r="A3235" s="3" t="s">
        <v>4815</v>
      </c>
      <c r="B3235" s="3" t="s">
        <v>5240</v>
      </c>
      <c r="C3235" t="s">
        <v>5240</v>
      </c>
      <c r="D3235" s="3" t="s">
        <v>7314</v>
      </c>
      <c r="E3235" t="s">
        <v>5241</v>
      </c>
      <c r="F3235" s="3" t="s">
        <v>5242</v>
      </c>
      <c r="G3235" t="s">
        <v>24</v>
      </c>
      <c r="H3235" s="3" t="s">
        <v>5243</v>
      </c>
      <c r="I3235" t="s">
        <v>52</v>
      </c>
      <c r="J3235" s="3" t="s">
        <v>5244</v>
      </c>
      <c r="K3235" s="4">
        <v>1128</v>
      </c>
      <c r="L3235" s="5">
        <v>51.27</v>
      </c>
      <c r="M3235" s="6">
        <v>0</v>
      </c>
      <c r="N3235" s="7">
        <v>0</v>
      </c>
      <c r="O3235" t="s">
        <v>5245</v>
      </c>
      <c r="P3235" s="3" t="s">
        <v>55</v>
      </c>
      <c r="Q3235" s="8">
        <v>0.25890999999999997</v>
      </c>
    </row>
    <row r="3236" spans="1:17" hidden="1" x14ac:dyDescent="0.55000000000000004">
      <c r="A3236" s="3" t="s">
        <v>4815</v>
      </c>
      <c r="B3236" s="3" t="s">
        <v>5240</v>
      </c>
      <c r="C3236" t="s">
        <v>5240</v>
      </c>
      <c r="D3236" s="3" t="s">
        <v>7314</v>
      </c>
      <c r="E3236" t="s">
        <v>5241</v>
      </c>
      <c r="F3236" s="3" t="s">
        <v>5242</v>
      </c>
      <c r="G3236" t="s">
        <v>24</v>
      </c>
      <c r="H3236" s="3" t="s">
        <v>5246</v>
      </c>
      <c r="I3236" t="s">
        <v>26</v>
      </c>
      <c r="J3236" s="3" t="s">
        <v>5247</v>
      </c>
      <c r="K3236" s="4">
        <v>992</v>
      </c>
      <c r="L3236" s="5">
        <v>45.09</v>
      </c>
      <c r="M3236" s="6">
        <v>1</v>
      </c>
      <c r="N3236" s="7">
        <v>0</v>
      </c>
      <c r="O3236" t="s">
        <v>5248</v>
      </c>
      <c r="P3236" s="3" t="s">
        <v>76</v>
      </c>
      <c r="Q3236" s="8">
        <v>0.20050000000000001</v>
      </c>
    </row>
    <row r="3237" spans="1:17" hidden="1" x14ac:dyDescent="0.55000000000000004">
      <c r="A3237" s="3" t="s">
        <v>4815</v>
      </c>
      <c r="B3237" s="3" t="s">
        <v>5240</v>
      </c>
      <c r="C3237" t="s">
        <v>5240</v>
      </c>
      <c r="D3237" s="3" t="s">
        <v>7314</v>
      </c>
      <c r="E3237" t="s">
        <v>5249</v>
      </c>
      <c r="F3237" s="3" t="s">
        <v>5250</v>
      </c>
      <c r="G3237" t="s">
        <v>24</v>
      </c>
      <c r="H3237" s="3" t="s">
        <v>5243</v>
      </c>
      <c r="I3237" t="s">
        <v>52</v>
      </c>
      <c r="J3237" s="3" t="s">
        <v>5244</v>
      </c>
      <c r="K3237" s="4">
        <v>1128</v>
      </c>
      <c r="L3237" s="5">
        <v>51.27</v>
      </c>
      <c r="M3237" s="6">
        <v>0</v>
      </c>
      <c r="N3237" s="7">
        <v>0</v>
      </c>
      <c r="O3237" t="s">
        <v>5245</v>
      </c>
      <c r="P3237" s="3" t="s">
        <v>55</v>
      </c>
      <c r="Q3237" s="8">
        <v>0.25890999999999997</v>
      </c>
    </row>
    <row r="3238" spans="1:17" hidden="1" x14ac:dyDescent="0.55000000000000004">
      <c r="A3238" s="3" t="s">
        <v>4815</v>
      </c>
      <c r="B3238" s="3" t="s">
        <v>5240</v>
      </c>
      <c r="C3238" t="s">
        <v>5240</v>
      </c>
      <c r="D3238" s="3" t="s">
        <v>7314</v>
      </c>
      <c r="E3238" t="s">
        <v>5249</v>
      </c>
      <c r="F3238" s="3" t="s">
        <v>5250</v>
      </c>
      <c r="G3238" t="s">
        <v>24</v>
      </c>
      <c r="H3238" s="3" t="s">
        <v>5246</v>
      </c>
      <c r="I3238" t="s">
        <v>26</v>
      </c>
      <c r="J3238" s="3" t="s">
        <v>5247</v>
      </c>
      <c r="K3238" s="4">
        <v>992</v>
      </c>
      <c r="L3238" s="5">
        <v>45.09</v>
      </c>
      <c r="M3238" s="6">
        <v>1</v>
      </c>
      <c r="N3238" s="7">
        <v>0</v>
      </c>
      <c r="O3238" t="s">
        <v>5248</v>
      </c>
      <c r="P3238" s="3" t="s">
        <v>76</v>
      </c>
      <c r="Q3238" s="8">
        <v>0.20050000000000001</v>
      </c>
    </row>
    <row r="3239" spans="1:17" hidden="1" x14ac:dyDescent="0.55000000000000004">
      <c r="A3239" s="3" t="s">
        <v>4815</v>
      </c>
      <c r="B3239" s="3" t="s">
        <v>5240</v>
      </c>
      <c r="C3239" t="s">
        <v>5240</v>
      </c>
      <c r="D3239" s="3" t="s">
        <v>7314</v>
      </c>
      <c r="E3239" t="s">
        <v>5251</v>
      </c>
      <c r="F3239" s="3" t="s">
        <v>5252</v>
      </c>
      <c r="G3239" t="s">
        <v>24</v>
      </c>
      <c r="H3239" s="3" t="s">
        <v>5243</v>
      </c>
      <c r="I3239" t="s">
        <v>52</v>
      </c>
      <c r="J3239" s="3" t="s">
        <v>5244</v>
      </c>
      <c r="K3239" s="4">
        <v>1128</v>
      </c>
      <c r="L3239" s="5">
        <v>51.27</v>
      </c>
      <c r="M3239" s="6">
        <v>0</v>
      </c>
      <c r="N3239" s="7">
        <v>0</v>
      </c>
      <c r="O3239" t="s">
        <v>5245</v>
      </c>
      <c r="P3239" s="3" t="s">
        <v>55</v>
      </c>
      <c r="Q3239" s="8">
        <v>0.25890999999999997</v>
      </c>
    </row>
    <row r="3240" spans="1:17" hidden="1" x14ac:dyDescent="0.55000000000000004">
      <c r="A3240" s="3" t="s">
        <v>4815</v>
      </c>
      <c r="B3240" s="3" t="s">
        <v>5240</v>
      </c>
      <c r="C3240" t="s">
        <v>5240</v>
      </c>
      <c r="D3240" s="3" t="s">
        <v>7314</v>
      </c>
      <c r="E3240" t="s">
        <v>5251</v>
      </c>
      <c r="F3240" s="3" t="s">
        <v>5252</v>
      </c>
      <c r="G3240" t="s">
        <v>24</v>
      </c>
      <c r="H3240" s="3" t="s">
        <v>5246</v>
      </c>
      <c r="I3240" t="s">
        <v>26</v>
      </c>
      <c r="J3240" s="3" t="s">
        <v>5247</v>
      </c>
      <c r="K3240" s="4">
        <v>992</v>
      </c>
      <c r="L3240" s="5">
        <v>45.09</v>
      </c>
      <c r="M3240" s="6">
        <v>1</v>
      </c>
      <c r="N3240" s="7">
        <v>0</v>
      </c>
      <c r="O3240" t="s">
        <v>5248</v>
      </c>
      <c r="P3240" s="3" t="s">
        <v>76</v>
      </c>
      <c r="Q3240" s="8">
        <v>0.20050000000000001</v>
      </c>
    </row>
    <row r="3241" spans="1:17" hidden="1" x14ac:dyDescent="0.55000000000000004">
      <c r="A3241" s="3" t="s">
        <v>4815</v>
      </c>
      <c r="B3241" s="3" t="s">
        <v>5240</v>
      </c>
      <c r="C3241" t="s">
        <v>5240</v>
      </c>
      <c r="D3241" s="3" t="s">
        <v>7314</v>
      </c>
      <c r="E3241" t="s">
        <v>5253</v>
      </c>
      <c r="F3241" s="3" t="s">
        <v>5254</v>
      </c>
      <c r="G3241" t="s">
        <v>24</v>
      </c>
      <c r="H3241" s="3" t="s">
        <v>5243</v>
      </c>
      <c r="I3241" t="s">
        <v>52</v>
      </c>
      <c r="J3241" s="3" t="s">
        <v>5244</v>
      </c>
      <c r="K3241" s="4">
        <v>1128</v>
      </c>
      <c r="L3241" s="5">
        <v>51.27</v>
      </c>
      <c r="M3241" s="6">
        <v>0</v>
      </c>
      <c r="N3241" s="7">
        <v>0</v>
      </c>
      <c r="O3241" t="s">
        <v>5245</v>
      </c>
      <c r="P3241" s="3" t="s">
        <v>55</v>
      </c>
      <c r="Q3241" s="8">
        <v>0.25890999999999997</v>
      </c>
    </row>
    <row r="3242" spans="1:17" hidden="1" x14ac:dyDescent="0.55000000000000004">
      <c r="A3242" s="3" t="s">
        <v>4815</v>
      </c>
      <c r="B3242" s="3" t="s">
        <v>5240</v>
      </c>
      <c r="C3242" t="s">
        <v>5240</v>
      </c>
      <c r="D3242" s="3" t="s">
        <v>7314</v>
      </c>
      <c r="E3242" t="s">
        <v>5253</v>
      </c>
      <c r="F3242" s="3" t="s">
        <v>5254</v>
      </c>
      <c r="G3242" t="s">
        <v>24</v>
      </c>
      <c r="H3242" s="3" t="s">
        <v>5246</v>
      </c>
      <c r="I3242" t="s">
        <v>26</v>
      </c>
      <c r="J3242" s="3" t="s">
        <v>5247</v>
      </c>
      <c r="K3242" s="4">
        <v>992</v>
      </c>
      <c r="L3242" s="5">
        <v>45.09</v>
      </c>
      <c r="M3242" s="6">
        <v>1</v>
      </c>
      <c r="N3242" s="7">
        <v>0</v>
      </c>
      <c r="O3242" t="s">
        <v>5248</v>
      </c>
      <c r="P3242" s="3" t="s">
        <v>76</v>
      </c>
      <c r="Q3242" s="8">
        <v>0.20050000000000001</v>
      </c>
    </row>
    <row r="3243" spans="1:17" hidden="1" x14ac:dyDescent="0.55000000000000004">
      <c r="A3243" s="3" t="s">
        <v>4815</v>
      </c>
      <c r="B3243" s="3" t="s">
        <v>5240</v>
      </c>
      <c r="C3243" t="s">
        <v>5240</v>
      </c>
      <c r="D3243" s="3" t="s">
        <v>7314</v>
      </c>
      <c r="E3243" t="s">
        <v>5255</v>
      </c>
      <c r="F3243" s="3" t="s">
        <v>5256</v>
      </c>
      <c r="G3243" t="s">
        <v>24</v>
      </c>
      <c r="H3243" s="3" t="s">
        <v>5243</v>
      </c>
      <c r="I3243" t="s">
        <v>52</v>
      </c>
      <c r="J3243" s="3" t="s">
        <v>5244</v>
      </c>
      <c r="K3243" s="4">
        <v>1128</v>
      </c>
      <c r="L3243" s="5">
        <v>51.27</v>
      </c>
      <c r="M3243" s="6">
        <v>0</v>
      </c>
      <c r="N3243" s="7">
        <v>0</v>
      </c>
      <c r="O3243" t="s">
        <v>5245</v>
      </c>
      <c r="P3243" s="3" t="s">
        <v>55</v>
      </c>
      <c r="Q3243" s="8">
        <v>0.25890999999999997</v>
      </c>
    </row>
    <row r="3244" spans="1:17" hidden="1" x14ac:dyDescent="0.55000000000000004">
      <c r="A3244" s="3" t="s">
        <v>4815</v>
      </c>
      <c r="B3244" s="3" t="s">
        <v>5240</v>
      </c>
      <c r="C3244" t="s">
        <v>5240</v>
      </c>
      <c r="D3244" s="3" t="s">
        <v>7314</v>
      </c>
      <c r="E3244" t="s">
        <v>5255</v>
      </c>
      <c r="F3244" s="3" t="s">
        <v>5256</v>
      </c>
      <c r="G3244" t="s">
        <v>24</v>
      </c>
      <c r="H3244" s="3" t="s">
        <v>5246</v>
      </c>
      <c r="I3244" t="s">
        <v>26</v>
      </c>
      <c r="J3244" s="3" t="s">
        <v>5247</v>
      </c>
      <c r="K3244" s="4">
        <v>992</v>
      </c>
      <c r="L3244" s="5">
        <v>45.09</v>
      </c>
      <c r="M3244" s="6">
        <v>1</v>
      </c>
      <c r="N3244" s="7">
        <v>0</v>
      </c>
      <c r="O3244" t="s">
        <v>5248</v>
      </c>
      <c r="P3244" s="3" t="s">
        <v>76</v>
      </c>
      <c r="Q3244" s="8">
        <v>0.20050000000000001</v>
      </c>
    </row>
    <row r="3245" spans="1:17" hidden="1" x14ac:dyDescent="0.55000000000000004">
      <c r="A3245" s="3" t="s">
        <v>4815</v>
      </c>
      <c r="B3245" s="3" t="s">
        <v>5240</v>
      </c>
      <c r="C3245" t="s">
        <v>5240</v>
      </c>
      <c r="D3245" s="3" t="s">
        <v>7314</v>
      </c>
      <c r="E3245" t="s">
        <v>5257</v>
      </c>
      <c r="F3245" s="3" t="s">
        <v>5258</v>
      </c>
      <c r="G3245" t="s">
        <v>24</v>
      </c>
      <c r="H3245" s="3" t="s">
        <v>5243</v>
      </c>
      <c r="I3245" t="s">
        <v>52</v>
      </c>
      <c r="J3245" s="3" t="s">
        <v>5244</v>
      </c>
      <c r="K3245" s="4">
        <v>1128</v>
      </c>
      <c r="L3245" s="5">
        <v>51.27</v>
      </c>
      <c r="M3245" s="6">
        <v>0</v>
      </c>
      <c r="N3245" s="7">
        <v>0</v>
      </c>
      <c r="O3245" t="s">
        <v>5245</v>
      </c>
      <c r="P3245" s="3" t="s">
        <v>55</v>
      </c>
      <c r="Q3245" s="8">
        <v>0.25890999999999997</v>
      </c>
    </row>
    <row r="3246" spans="1:17" hidden="1" x14ac:dyDescent="0.55000000000000004">
      <c r="A3246" s="3" t="s">
        <v>4815</v>
      </c>
      <c r="B3246" s="3" t="s">
        <v>5240</v>
      </c>
      <c r="C3246" t="s">
        <v>5240</v>
      </c>
      <c r="D3246" s="3" t="s">
        <v>7314</v>
      </c>
      <c r="E3246" t="s">
        <v>5257</v>
      </c>
      <c r="F3246" s="3" t="s">
        <v>5258</v>
      </c>
      <c r="G3246" t="s">
        <v>24</v>
      </c>
      <c r="H3246" s="3" t="s">
        <v>5246</v>
      </c>
      <c r="I3246" t="s">
        <v>26</v>
      </c>
      <c r="J3246" s="3" t="s">
        <v>5247</v>
      </c>
      <c r="K3246" s="4">
        <v>992</v>
      </c>
      <c r="L3246" s="5">
        <v>45.09</v>
      </c>
      <c r="M3246" s="6">
        <v>1</v>
      </c>
      <c r="N3246" s="7">
        <v>0</v>
      </c>
      <c r="O3246" t="s">
        <v>5248</v>
      </c>
      <c r="P3246" s="3" t="s">
        <v>76</v>
      </c>
      <c r="Q3246" s="8">
        <v>0.20050000000000001</v>
      </c>
    </row>
    <row r="3247" spans="1:17" hidden="1" x14ac:dyDescent="0.55000000000000004">
      <c r="A3247" s="3" t="s">
        <v>4815</v>
      </c>
      <c r="B3247" s="3" t="s">
        <v>5240</v>
      </c>
      <c r="C3247" t="s">
        <v>5240</v>
      </c>
      <c r="D3247" s="3" t="s">
        <v>7314</v>
      </c>
      <c r="E3247" t="s">
        <v>5259</v>
      </c>
      <c r="F3247" s="3" t="s">
        <v>5260</v>
      </c>
      <c r="G3247" t="s">
        <v>24</v>
      </c>
      <c r="H3247" s="3" t="s">
        <v>5243</v>
      </c>
      <c r="I3247" t="s">
        <v>52</v>
      </c>
      <c r="J3247" s="3" t="s">
        <v>5244</v>
      </c>
      <c r="K3247" s="4">
        <v>1128</v>
      </c>
      <c r="L3247" s="5">
        <v>51.27</v>
      </c>
      <c r="M3247" s="6">
        <v>0</v>
      </c>
      <c r="N3247" s="7">
        <v>0</v>
      </c>
      <c r="O3247" t="s">
        <v>5245</v>
      </c>
      <c r="P3247" s="3" t="s">
        <v>55</v>
      </c>
      <c r="Q3247" s="8">
        <v>0.25890999999999997</v>
      </c>
    </row>
    <row r="3248" spans="1:17" hidden="1" x14ac:dyDescent="0.55000000000000004">
      <c r="A3248" s="3" t="s">
        <v>4815</v>
      </c>
      <c r="B3248" s="3" t="s">
        <v>5240</v>
      </c>
      <c r="C3248" t="s">
        <v>5240</v>
      </c>
      <c r="D3248" s="3" t="s">
        <v>7314</v>
      </c>
      <c r="E3248" t="s">
        <v>5259</v>
      </c>
      <c r="F3248" s="3" t="s">
        <v>5260</v>
      </c>
      <c r="G3248" t="s">
        <v>24</v>
      </c>
      <c r="H3248" s="3" t="s">
        <v>5246</v>
      </c>
      <c r="I3248" t="s">
        <v>26</v>
      </c>
      <c r="J3248" s="3" t="s">
        <v>5247</v>
      </c>
      <c r="K3248" s="4">
        <v>992</v>
      </c>
      <c r="L3248" s="5">
        <v>45.09</v>
      </c>
      <c r="M3248" s="6">
        <v>1</v>
      </c>
      <c r="N3248" s="7">
        <v>0</v>
      </c>
      <c r="O3248" t="s">
        <v>5248</v>
      </c>
      <c r="P3248" s="3" t="s">
        <v>76</v>
      </c>
      <c r="Q3248" s="8">
        <v>0.20050000000000001</v>
      </c>
    </row>
    <row r="3249" spans="1:17" hidden="1" x14ac:dyDescent="0.55000000000000004">
      <c r="A3249" s="3" t="s">
        <v>4815</v>
      </c>
      <c r="B3249" s="3" t="s">
        <v>5240</v>
      </c>
      <c r="C3249" t="s">
        <v>5240</v>
      </c>
      <c r="D3249" s="3" t="s">
        <v>7314</v>
      </c>
      <c r="E3249" t="s">
        <v>5261</v>
      </c>
      <c r="F3249" s="3" t="s">
        <v>5262</v>
      </c>
      <c r="G3249" t="s">
        <v>24</v>
      </c>
      <c r="H3249" s="3" t="s">
        <v>5243</v>
      </c>
      <c r="I3249" t="s">
        <v>52</v>
      </c>
      <c r="J3249" s="3" t="s">
        <v>5244</v>
      </c>
      <c r="K3249" s="4">
        <v>1128</v>
      </c>
      <c r="L3249" s="5">
        <v>51.27</v>
      </c>
      <c r="M3249" s="6">
        <v>0</v>
      </c>
      <c r="N3249" s="7">
        <v>0</v>
      </c>
      <c r="O3249" t="s">
        <v>5245</v>
      </c>
      <c r="P3249" s="3" t="s">
        <v>55</v>
      </c>
      <c r="Q3249" s="8">
        <v>0.25890999999999997</v>
      </c>
    </row>
    <row r="3250" spans="1:17" hidden="1" x14ac:dyDescent="0.55000000000000004">
      <c r="A3250" s="3" t="s">
        <v>4815</v>
      </c>
      <c r="B3250" s="3" t="s">
        <v>5240</v>
      </c>
      <c r="C3250" t="s">
        <v>5240</v>
      </c>
      <c r="D3250" s="3" t="s">
        <v>7314</v>
      </c>
      <c r="E3250" t="s">
        <v>5261</v>
      </c>
      <c r="F3250" s="3" t="s">
        <v>5262</v>
      </c>
      <c r="G3250" t="s">
        <v>24</v>
      </c>
      <c r="H3250" s="3" t="s">
        <v>5246</v>
      </c>
      <c r="I3250" t="s">
        <v>26</v>
      </c>
      <c r="J3250" s="3" t="s">
        <v>5247</v>
      </c>
      <c r="K3250" s="4">
        <v>992</v>
      </c>
      <c r="L3250" s="5">
        <v>45.09</v>
      </c>
      <c r="M3250" s="6">
        <v>1</v>
      </c>
      <c r="N3250" s="7">
        <v>0</v>
      </c>
      <c r="O3250" t="s">
        <v>5248</v>
      </c>
      <c r="P3250" s="3" t="s">
        <v>76</v>
      </c>
      <c r="Q3250" s="8">
        <v>0.20050000000000001</v>
      </c>
    </row>
    <row r="3251" spans="1:17" hidden="1" x14ac:dyDescent="0.55000000000000004">
      <c r="A3251" s="3" t="s">
        <v>4815</v>
      </c>
      <c r="B3251" s="3" t="s">
        <v>7390</v>
      </c>
      <c r="C3251" t="s">
        <v>5263</v>
      </c>
      <c r="D3251" s="3" t="s">
        <v>7314</v>
      </c>
      <c r="E3251" t="s">
        <v>5264</v>
      </c>
      <c r="F3251" s="3" t="s">
        <v>5265</v>
      </c>
      <c r="G3251" t="s">
        <v>24</v>
      </c>
      <c r="H3251" s="3" t="s">
        <v>23</v>
      </c>
      <c r="I3251" t="s">
        <v>67</v>
      </c>
      <c r="J3251" s="3" t="s">
        <v>5266</v>
      </c>
      <c r="K3251" s="4" t="s">
        <v>23</v>
      </c>
      <c r="L3251" s="5" t="s">
        <v>23</v>
      </c>
      <c r="M3251" s="6">
        <v>0</v>
      </c>
      <c r="N3251" s="7">
        <v>0</v>
      </c>
      <c r="O3251" t="s">
        <v>23</v>
      </c>
      <c r="P3251" s="3" t="s">
        <v>23</v>
      </c>
      <c r="Q3251" s="8" t="s">
        <v>23</v>
      </c>
    </row>
    <row r="3252" spans="1:17" hidden="1" x14ac:dyDescent="0.55000000000000004">
      <c r="A3252" s="3" t="s">
        <v>4815</v>
      </c>
      <c r="B3252" s="3" t="s">
        <v>7390</v>
      </c>
      <c r="C3252" t="s">
        <v>5263</v>
      </c>
      <c r="D3252" s="3" t="s">
        <v>7314</v>
      </c>
      <c r="E3252" t="s">
        <v>5264</v>
      </c>
      <c r="F3252" s="3" t="s">
        <v>5265</v>
      </c>
      <c r="G3252" t="s">
        <v>24</v>
      </c>
      <c r="H3252" s="3" t="s">
        <v>5267</v>
      </c>
      <c r="I3252" t="s">
        <v>52</v>
      </c>
      <c r="J3252" s="3" t="s">
        <v>5268</v>
      </c>
      <c r="K3252" s="4">
        <v>676</v>
      </c>
      <c r="L3252" s="5">
        <v>30.72</v>
      </c>
      <c r="M3252" s="6">
        <v>1</v>
      </c>
      <c r="N3252" s="7">
        <v>0</v>
      </c>
      <c r="O3252" t="s">
        <v>5269</v>
      </c>
      <c r="P3252" s="3" t="s">
        <v>55</v>
      </c>
      <c r="Q3252" s="8">
        <v>0.18478600000000001</v>
      </c>
    </row>
    <row r="3253" spans="1:17" hidden="1" x14ac:dyDescent="0.55000000000000004">
      <c r="A3253" s="3" t="s">
        <v>4815</v>
      </c>
      <c r="B3253" s="3" t="s">
        <v>5263</v>
      </c>
      <c r="C3253" t="s">
        <v>5263</v>
      </c>
      <c r="D3253" s="3" t="s">
        <v>7314</v>
      </c>
      <c r="E3253" t="s">
        <v>5270</v>
      </c>
      <c r="F3253" s="3" t="s">
        <v>5271</v>
      </c>
      <c r="G3253" t="s">
        <v>24</v>
      </c>
      <c r="H3253" s="3" t="s">
        <v>23</v>
      </c>
      <c r="I3253" t="s">
        <v>67</v>
      </c>
      <c r="J3253" s="3" t="s">
        <v>5266</v>
      </c>
      <c r="K3253" s="4" t="s">
        <v>23</v>
      </c>
      <c r="L3253" s="5" t="s">
        <v>23</v>
      </c>
      <c r="M3253" s="6">
        <v>0</v>
      </c>
      <c r="N3253" s="7">
        <v>0</v>
      </c>
      <c r="O3253" t="s">
        <v>23</v>
      </c>
      <c r="P3253" s="3" t="s">
        <v>23</v>
      </c>
      <c r="Q3253" s="8" t="s">
        <v>23</v>
      </c>
    </row>
    <row r="3254" spans="1:17" hidden="1" x14ac:dyDescent="0.55000000000000004">
      <c r="A3254" s="3" t="s">
        <v>4815</v>
      </c>
      <c r="B3254" s="3" t="s">
        <v>5263</v>
      </c>
      <c r="C3254" t="s">
        <v>5263</v>
      </c>
      <c r="D3254" s="3" t="s">
        <v>7314</v>
      </c>
      <c r="E3254" t="s">
        <v>5270</v>
      </c>
      <c r="F3254" s="3" t="s">
        <v>5271</v>
      </c>
      <c r="G3254" t="s">
        <v>24</v>
      </c>
      <c r="H3254" s="3" t="s">
        <v>5267</v>
      </c>
      <c r="I3254" t="s">
        <v>52</v>
      </c>
      <c r="J3254" s="3" t="s">
        <v>5268</v>
      </c>
      <c r="K3254" s="4">
        <v>676</v>
      </c>
      <c r="L3254" s="5">
        <v>30.72</v>
      </c>
      <c r="M3254" s="6">
        <v>1</v>
      </c>
      <c r="N3254" s="7">
        <v>0</v>
      </c>
      <c r="O3254" t="s">
        <v>5269</v>
      </c>
      <c r="P3254" s="3" t="s">
        <v>55</v>
      </c>
      <c r="Q3254" s="8">
        <v>0.18478600000000001</v>
      </c>
    </row>
    <row r="3255" spans="1:17" hidden="1" x14ac:dyDescent="0.55000000000000004">
      <c r="A3255" s="3" t="s">
        <v>4815</v>
      </c>
      <c r="B3255" s="3" t="s">
        <v>5272</v>
      </c>
      <c r="C3255" t="s">
        <v>4988</v>
      </c>
      <c r="D3255" s="3" t="s">
        <v>7314</v>
      </c>
      <c r="E3255" t="s">
        <v>5273</v>
      </c>
      <c r="F3255" s="3" t="s">
        <v>5274</v>
      </c>
      <c r="G3255" t="s">
        <v>24</v>
      </c>
      <c r="H3255" s="3" t="s">
        <v>4991</v>
      </c>
      <c r="I3255" t="s">
        <v>52</v>
      </c>
      <c r="J3255" s="3" t="s">
        <v>4992</v>
      </c>
      <c r="K3255" s="4">
        <v>838</v>
      </c>
      <c r="L3255" s="5">
        <v>0</v>
      </c>
      <c r="M3255" s="6">
        <v>0</v>
      </c>
      <c r="N3255" s="7">
        <v>0</v>
      </c>
      <c r="O3255" t="s">
        <v>23</v>
      </c>
      <c r="P3255" s="3" t="s">
        <v>23</v>
      </c>
      <c r="Q3255" s="8" t="s">
        <v>23</v>
      </c>
    </row>
    <row r="3256" spans="1:17" hidden="1" x14ac:dyDescent="0.55000000000000004">
      <c r="A3256" s="3" t="s">
        <v>4815</v>
      </c>
      <c r="B3256" s="3" t="s">
        <v>5272</v>
      </c>
      <c r="C3256" t="s">
        <v>4988</v>
      </c>
      <c r="D3256" s="3" t="s">
        <v>7314</v>
      </c>
      <c r="E3256" t="s">
        <v>5273</v>
      </c>
      <c r="F3256" s="3" t="s">
        <v>5274</v>
      </c>
      <c r="G3256" t="s">
        <v>24</v>
      </c>
      <c r="H3256" s="3" t="s">
        <v>4993</v>
      </c>
      <c r="I3256" t="s">
        <v>296</v>
      </c>
      <c r="J3256" s="3" t="s">
        <v>4992</v>
      </c>
      <c r="K3256" s="4">
        <v>810</v>
      </c>
      <c r="L3256" s="5">
        <v>0</v>
      </c>
      <c r="M3256" s="6">
        <v>0</v>
      </c>
      <c r="N3256" s="7">
        <v>0</v>
      </c>
      <c r="O3256" t="s">
        <v>23</v>
      </c>
      <c r="P3256" s="3" t="s">
        <v>23</v>
      </c>
      <c r="Q3256" s="8" t="s">
        <v>23</v>
      </c>
    </row>
    <row r="3257" spans="1:17" hidden="1" x14ac:dyDescent="0.55000000000000004">
      <c r="A3257" s="3" t="s">
        <v>4815</v>
      </c>
      <c r="B3257" s="3" t="s">
        <v>5272</v>
      </c>
      <c r="C3257" t="s">
        <v>4988</v>
      </c>
      <c r="D3257" s="3" t="s">
        <v>7314</v>
      </c>
      <c r="E3257" t="s">
        <v>5273</v>
      </c>
      <c r="F3257" s="3" t="s">
        <v>5274</v>
      </c>
      <c r="G3257" t="s">
        <v>24</v>
      </c>
      <c r="H3257" s="3" t="s">
        <v>4994</v>
      </c>
      <c r="I3257" t="s">
        <v>298</v>
      </c>
      <c r="J3257" s="3" t="s">
        <v>4992</v>
      </c>
      <c r="K3257" s="4">
        <v>901</v>
      </c>
      <c r="L3257" s="5">
        <v>0</v>
      </c>
      <c r="M3257" s="6">
        <v>0</v>
      </c>
      <c r="N3257" s="7">
        <v>0</v>
      </c>
      <c r="O3257" t="s">
        <v>23</v>
      </c>
      <c r="P3257" s="3" t="s">
        <v>23</v>
      </c>
      <c r="Q3257" s="8" t="s">
        <v>23</v>
      </c>
    </row>
    <row r="3258" spans="1:17" hidden="1" x14ac:dyDescent="0.55000000000000004">
      <c r="A3258" s="3" t="s">
        <v>4815</v>
      </c>
      <c r="B3258" s="3" t="s">
        <v>5272</v>
      </c>
      <c r="C3258" t="s">
        <v>4988</v>
      </c>
      <c r="D3258" s="3" t="s">
        <v>7314</v>
      </c>
      <c r="E3258" t="s">
        <v>5273</v>
      </c>
      <c r="F3258" s="3" t="s">
        <v>5274</v>
      </c>
      <c r="G3258" t="s">
        <v>24</v>
      </c>
      <c r="H3258" s="3" t="s">
        <v>4995</v>
      </c>
      <c r="I3258" t="s">
        <v>304</v>
      </c>
      <c r="J3258" s="3" t="s">
        <v>4992</v>
      </c>
      <c r="K3258" s="4">
        <v>986</v>
      </c>
      <c r="L3258" s="5">
        <v>0</v>
      </c>
      <c r="M3258" s="6">
        <v>0</v>
      </c>
      <c r="N3258" s="7">
        <v>0</v>
      </c>
      <c r="O3258" t="s">
        <v>23</v>
      </c>
      <c r="P3258" s="3" t="s">
        <v>23</v>
      </c>
      <c r="Q3258" s="8" t="s">
        <v>23</v>
      </c>
    </row>
    <row r="3259" spans="1:17" hidden="1" x14ac:dyDescent="0.55000000000000004">
      <c r="A3259" s="3" t="s">
        <v>4815</v>
      </c>
      <c r="B3259" s="3" t="s">
        <v>5272</v>
      </c>
      <c r="C3259" t="s">
        <v>4988</v>
      </c>
      <c r="D3259" s="3" t="s">
        <v>7314</v>
      </c>
      <c r="E3259" t="s">
        <v>5273</v>
      </c>
      <c r="F3259" s="3" t="s">
        <v>5274</v>
      </c>
      <c r="G3259" t="s">
        <v>24</v>
      </c>
      <c r="H3259" s="3" t="s">
        <v>4996</v>
      </c>
      <c r="I3259" t="s">
        <v>300</v>
      </c>
      <c r="J3259" s="3" t="s">
        <v>4992</v>
      </c>
      <c r="K3259" s="4">
        <v>1002</v>
      </c>
      <c r="L3259" s="5">
        <v>0</v>
      </c>
      <c r="M3259" s="6">
        <v>0</v>
      </c>
      <c r="N3259" s="7">
        <v>0</v>
      </c>
      <c r="O3259" t="s">
        <v>23</v>
      </c>
      <c r="P3259" s="3" t="s">
        <v>23</v>
      </c>
      <c r="Q3259" s="8" t="s">
        <v>23</v>
      </c>
    </row>
    <row r="3260" spans="1:17" hidden="1" x14ac:dyDescent="0.55000000000000004">
      <c r="A3260" s="3" t="s">
        <v>4815</v>
      </c>
      <c r="B3260" s="3" t="s">
        <v>5272</v>
      </c>
      <c r="C3260" t="s">
        <v>4988</v>
      </c>
      <c r="D3260" s="3" t="s">
        <v>7314</v>
      </c>
      <c r="E3260" t="s">
        <v>5273</v>
      </c>
      <c r="F3260" s="3" t="s">
        <v>5274</v>
      </c>
      <c r="G3260" t="s">
        <v>24</v>
      </c>
      <c r="H3260" s="3" t="s">
        <v>4997</v>
      </c>
      <c r="I3260" t="s">
        <v>302</v>
      </c>
      <c r="J3260" s="3" t="s">
        <v>4992</v>
      </c>
      <c r="K3260" s="4">
        <v>1118</v>
      </c>
      <c r="L3260" s="5">
        <v>0</v>
      </c>
      <c r="M3260" s="6">
        <v>0</v>
      </c>
      <c r="N3260" s="7">
        <v>0</v>
      </c>
      <c r="O3260" t="s">
        <v>23</v>
      </c>
      <c r="P3260" s="3" t="s">
        <v>23</v>
      </c>
      <c r="Q3260" s="8" t="s">
        <v>23</v>
      </c>
    </row>
    <row r="3261" spans="1:17" hidden="1" x14ac:dyDescent="0.55000000000000004">
      <c r="A3261" s="3" t="s">
        <v>4815</v>
      </c>
      <c r="B3261" s="3" t="s">
        <v>5272</v>
      </c>
      <c r="C3261" t="s">
        <v>4988</v>
      </c>
      <c r="D3261" s="3" t="s">
        <v>7314</v>
      </c>
      <c r="E3261" t="s">
        <v>5273</v>
      </c>
      <c r="F3261" s="3" t="s">
        <v>5274</v>
      </c>
      <c r="G3261" t="s">
        <v>24</v>
      </c>
      <c r="H3261" s="3" t="s">
        <v>4998</v>
      </c>
      <c r="I3261" t="s">
        <v>26</v>
      </c>
      <c r="J3261" s="3" t="s">
        <v>4999</v>
      </c>
      <c r="K3261" s="4">
        <v>976</v>
      </c>
      <c r="L3261" s="5">
        <v>44.36</v>
      </c>
      <c r="M3261" s="6">
        <v>1</v>
      </c>
      <c r="N3261" s="7">
        <v>0</v>
      </c>
      <c r="O3261" t="s">
        <v>5000</v>
      </c>
      <c r="P3261" s="3" t="s">
        <v>76</v>
      </c>
      <c r="Q3261" s="8">
        <v>0.25116699999999997</v>
      </c>
    </row>
    <row r="3262" spans="1:17" hidden="1" x14ac:dyDescent="0.55000000000000004">
      <c r="A3262" s="3" t="s">
        <v>4815</v>
      </c>
      <c r="B3262" s="3" t="s">
        <v>5272</v>
      </c>
      <c r="C3262" t="s">
        <v>4988</v>
      </c>
      <c r="D3262" s="3" t="s">
        <v>7314</v>
      </c>
      <c r="E3262" t="s">
        <v>5273</v>
      </c>
      <c r="F3262" s="3" t="s">
        <v>5274</v>
      </c>
      <c r="G3262" t="s">
        <v>24</v>
      </c>
      <c r="H3262" s="3" t="s">
        <v>5004</v>
      </c>
      <c r="I3262" t="s">
        <v>309</v>
      </c>
      <c r="J3262" s="3" t="s">
        <v>4999</v>
      </c>
      <c r="K3262" s="4">
        <v>910</v>
      </c>
      <c r="L3262" s="5">
        <v>0</v>
      </c>
      <c r="M3262" s="6">
        <v>0</v>
      </c>
      <c r="N3262" s="7">
        <v>0</v>
      </c>
      <c r="O3262" t="s">
        <v>23</v>
      </c>
      <c r="P3262" s="3" t="s">
        <v>23</v>
      </c>
      <c r="Q3262" s="8" t="s">
        <v>23</v>
      </c>
    </row>
    <row r="3263" spans="1:17" hidden="1" x14ac:dyDescent="0.55000000000000004">
      <c r="A3263" s="3" t="s">
        <v>4815</v>
      </c>
      <c r="B3263" s="3" t="s">
        <v>5272</v>
      </c>
      <c r="C3263" t="s">
        <v>4988</v>
      </c>
      <c r="D3263" s="3" t="s">
        <v>7314</v>
      </c>
      <c r="E3263" t="s">
        <v>5273</v>
      </c>
      <c r="F3263" s="3" t="s">
        <v>5274</v>
      </c>
      <c r="G3263" t="s">
        <v>24</v>
      </c>
      <c r="H3263" s="3" t="s">
        <v>5005</v>
      </c>
      <c r="I3263" t="s">
        <v>218</v>
      </c>
      <c r="J3263" s="3" t="s">
        <v>4999</v>
      </c>
      <c r="K3263" s="4">
        <v>983</v>
      </c>
      <c r="L3263" s="5">
        <v>0</v>
      </c>
      <c r="M3263" s="6">
        <v>0</v>
      </c>
      <c r="N3263" s="7">
        <v>0</v>
      </c>
      <c r="O3263" t="s">
        <v>5006</v>
      </c>
      <c r="P3263" s="3" t="s">
        <v>23</v>
      </c>
      <c r="Q3263" s="8" t="s">
        <v>23</v>
      </c>
    </row>
    <row r="3264" spans="1:17" hidden="1" x14ac:dyDescent="0.55000000000000004">
      <c r="A3264" s="3" t="s">
        <v>4815</v>
      </c>
      <c r="B3264" s="3" t="s">
        <v>5272</v>
      </c>
      <c r="C3264" t="s">
        <v>4988</v>
      </c>
      <c r="D3264" s="3" t="s">
        <v>7314</v>
      </c>
      <c r="E3264" t="s">
        <v>5273</v>
      </c>
      <c r="F3264" s="3" t="s">
        <v>5274</v>
      </c>
      <c r="G3264" t="s">
        <v>24</v>
      </c>
      <c r="H3264" s="3" t="s">
        <v>5007</v>
      </c>
      <c r="I3264" t="s">
        <v>313</v>
      </c>
      <c r="J3264" s="3" t="s">
        <v>4999</v>
      </c>
      <c r="K3264" s="4">
        <v>1109</v>
      </c>
      <c r="L3264" s="5">
        <v>0</v>
      </c>
      <c r="M3264" s="6">
        <v>0</v>
      </c>
      <c r="N3264" s="7">
        <v>0</v>
      </c>
      <c r="O3264" t="s">
        <v>23</v>
      </c>
      <c r="P3264" s="3" t="s">
        <v>23</v>
      </c>
      <c r="Q3264" s="8" t="s">
        <v>23</v>
      </c>
    </row>
    <row r="3265" spans="1:17" hidden="1" x14ac:dyDescent="0.55000000000000004">
      <c r="A3265" s="3" t="s">
        <v>4815</v>
      </c>
      <c r="B3265" s="3" t="s">
        <v>5272</v>
      </c>
      <c r="C3265" t="s">
        <v>4988</v>
      </c>
      <c r="D3265" s="3" t="s">
        <v>7314</v>
      </c>
      <c r="E3265" t="s">
        <v>5273</v>
      </c>
      <c r="F3265" s="3" t="s">
        <v>5274</v>
      </c>
      <c r="G3265" t="s">
        <v>24</v>
      </c>
      <c r="H3265" s="3" t="s">
        <v>5008</v>
      </c>
      <c r="I3265" t="s">
        <v>315</v>
      </c>
      <c r="J3265" s="3" t="s">
        <v>4999</v>
      </c>
      <c r="K3265" s="4">
        <v>824</v>
      </c>
      <c r="L3265" s="5">
        <v>0</v>
      </c>
      <c r="M3265" s="6">
        <v>0</v>
      </c>
      <c r="N3265" s="7">
        <v>0</v>
      </c>
      <c r="O3265" t="s">
        <v>23</v>
      </c>
      <c r="P3265" s="3" t="s">
        <v>23</v>
      </c>
      <c r="Q3265" s="8" t="s">
        <v>23</v>
      </c>
    </row>
    <row r="3266" spans="1:17" hidden="1" x14ac:dyDescent="0.55000000000000004">
      <c r="A3266" s="3" t="s">
        <v>4815</v>
      </c>
      <c r="B3266" s="3" t="s">
        <v>5272</v>
      </c>
      <c r="C3266" t="s">
        <v>4988</v>
      </c>
      <c r="D3266" s="3" t="s">
        <v>7314</v>
      </c>
      <c r="E3266" t="s">
        <v>5273</v>
      </c>
      <c r="F3266" s="3" t="s">
        <v>5274</v>
      </c>
      <c r="G3266" t="s">
        <v>24</v>
      </c>
      <c r="H3266" s="3" t="s">
        <v>5009</v>
      </c>
      <c r="I3266" t="s">
        <v>317</v>
      </c>
      <c r="J3266" s="3" t="s">
        <v>4999</v>
      </c>
      <c r="K3266" s="4">
        <v>942</v>
      </c>
      <c r="L3266" s="5">
        <v>0</v>
      </c>
      <c r="M3266" s="6">
        <v>0</v>
      </c>
      <c r="N3266" s="7">
        <v>0</v>
      </c>
      <c r="O3266" t="s">
        <v>23</v>
      </c>
      <c r="P3266" s="3" t="s">
        <v>23</v>
      </c>
      <c r="Q3266" s="8" t="s">
        <v>23</v>
      </c>
    </row>
    <row r="3267" spans="1:17" hidden="1" x14ac:dyDescent="0.55000000000000004">
      <c r="A3267" s="3" t="s">
        <v>4815</v>
      </c>
      <c r="B3267" s="3" t="s">
        <v>5275</v>
      </c>
      <c r="C3267" t="s">
        <v>4887</v>
      </c>
      <c r="D3267" s="3" t="s">
        <v>7314</v>
      </c>
      <c r="E3267" t="s">
        <v>5277</v>
      </c>
      <c r="F3267" s="3" t="s">
        <v>5278</v>
      </c>
      <c r="G3267" t="s">
        <v>24</v>
      </c>
      <c r="H3267" s="3" t="s">
        <v>5279</v>
      </c>
      <c r="I3267" t="s">
        <v>52</v>
      </c>
      <c r="J3267" s="3" t="s">
        <v>5280</v>
      </c>
      <c r="K3267" s="4">
        <v>1012</v>
      </c>
      <c r="L3267" s="5">
        <v>46.01</v>
      </c>
      <c r="M3267" s="6">
        <v>0</v>
      </c>
      <c r="N3267" s="7">
        <v>0</v>
      </c>
      <c r="O3267" t="s">
        <v>5281</v>
      </c>
      <c r="P3267" s="3" t="s">
        <v>55</v>
      </c>
      <c r="Q3267" s="8">
        <v>0.25758900000000001</v>
      </c>
    </row>
    <row r="3268" spans="1:17" hidden="1" x14ac:dyDescent="0.55000000000000004">
      <c r="A3268" s="3" t="s">
        <v>4815</v>
      </c>
      <c r="B3268" s="3" t="s">
        <v>5275</v>
      </c>
      <c r="C3268" t="s">
        <v>4887</v>
      </c>
      <c r="D3268" s="3" t="s">
        <v>7314</v>
      </c>
      <c r="E3268" t="s">
        <v>5277</v>
      </c>
      <c r="F3268" s="3" t="s">
        <v>5278</v>
      </c>
      <c r="G3268" t="s">
        <v>24</v>
      </c>
      <c r="H3268" s="3" t="s">
        <v>5282</v>
      </c>
      <c r="I3268" t="s">
        <v>26</v>
      </c>
      <c r="J3268" s="3" t="s">
        <v>5283</v>
      </c>
      <c r="K3268" s="4">
        <v>878</v>
      </c>
      <c r="L3268" s="5">
        <v>39.909999999999997</v>
      </c>
      <c r="M3268" s="6">
        <v>1</v>
      </c>
      <c r="N3268" s="7">
        <v>0</v>
      </c>
      <c r="O3268" t="s">
        <v>5284</v>
      </c>
      <c r="P3268" s="3" t="s">
        <v>76</v>
      </c>
      <c r="Q3268" s="8">
        <v>0.20050000000000001</v>
      </c>
    </row>
    <row r="3269" spans="1:17" hidden="1" x14ac:dyDescent="0.55000000000000004">
      <c r="A3269" s="3" t="s">
        <v>4815</v>
      </c>
      <c r="B3269" s="3" t="s">
        <v>5275</v>
      </c>
      <c r="C3269" t="s">
        <v>4887</v>
      </c>
      <c r="D3269" s="3" t="s">
        <v>7314</v>
      </c>
      <c r="E3269" t="s">
        <v>5285</v>
      </c>
      <c r="F3269" s="3" t="s">
        <v>5286</v>
      </c>
      <c r="G3269" t="s">
        <v>24</v>
      </c>
      <c r="H3269" s="3" t="s">
        <v>5279</v>
      </c>
      <c r="I3269" t="s">
        <v>52</v>
      </c>
      <c r="J3269" s="3" t="s">
        <v>5280</v>
      </c>
      <c r="K3269" s="4">
        <v>1012</v>
      </c>
      <c r="L3269" s="5">
        <v>46.01</v>
      </c>
      <c r="M3269" s="6">
        <v>0</v>
      </c>
      <c r="N3269" s="7">
        <v>0</v>
      </c>
      <c r="O3269" t="s">
        <v>5281</v>
      </c>
      <c r="P3269" s="3" t="s">
        <v>55</v>
      </c>
      <c r="Q3269" s="8">
        <v>0.25758900000000001</v>
      </c>
    </row>
    <row r="3270" spans="1:17" hidden="1" x14ac:dyDescent="0.55000000000000004">
      <c r="A3270" s="3" t="s">
        <v>4815</v>
      </c>
      <c r="B3270" s="3" t="s">
        <v>5275</v>
      </c>
      <c r="C3270" t="s">
        <v>4887</v>
      </c>
      <c r="D3270" s="3" t="s">
        <v>7314</v>
      </c>
      <c r="E3270" t="s">
        <v>5285</v>
      </c>
      <c r="F3270" s="3" t="s">
        <v>5286</v>
      </c>
      <c r="G3270" t="s">
        <v>24</v>
      </c>
      <c r="H3270" s="3" t="s">
        <v>5282</v>
      </c>
      <c r="I3270" t="s">
        <v>26</v>
      </c>
      <c r="J3270" s="3" t="s">
        <v>5283</v>
      </c>
      <c r="K3270" s="4">
        <v>878</v>
      </c>
      <c r="L3270" s="5">
        <v>39.909999999999997</v>
      </c>
      <c r="M3270" s="6">
        <v>1</v>
      </c>
      <c r="N3270" s="7">
        <v>0</v>
      </c>
      <c r="O3270" t="s">
        <v>5284</v>
      </c>
      <c r="P3270" s="3" t="s">
        <v>76</v>
      </c>
      <c r="Q3270" s="8">
        <v>0.20050000000000001</v>
      </c>
    </row>
    <row r="3271" spans="1:17" hidden="1" x14ac:dyDescent="0.55000000000000004">
      <c r="A3271" s="3" t="s">
        <v>4815</v>
      </c>
      <c r="B3271" s="3" t="s">
        <v>5287</v>
      </c>
      <c r="C3271" t="s">
        <v>5287</v>
      </c>
      <c r="D3271" s="3" t="s">
        <v>7314</v>
      </c>
      <c r="E3271" t="s">
        <v>5288</v>
      </c>
      <c r="F3271" s="3" t="s">
        <v>5289</v>
      </c>
      <c r="G3271" t="s">
        <v>24</v>
      </c>
      <c r="H3271" s="3" t="s">
        <v>5290</v>
      </c>
      <c r="I3271" t="s">
        <v>26</v>
      </c>
      <c r="J3271" s="3" t="s">
        <v>5291</v>
      </c>
      <c r="K3271" s="4">
        <v>1070</v>
      </c>
      <c r="L3271" s="5">
        <v>48.64</v>
      </c>
      <c r="M3271" s="6">
        <v>1</v>
      </c>
      <c r="N3271" s="7">
        <v>0</v>
      </c>
      <c r="O3271" t="s">
        <v>5292</v>
      </c>
      <c r="P3271" s="3" t="s">
        <v>29</v>
      </c>
      <c r="Q3271" s="8">
        <v>0.25766699999999998</v>
      </c>
    </row>
    <row r="3272" spans="1:17" hidden="1" x14ac:dyDescent="0.55000000000000004">
      <c r="A3272" s="3" t="s">
        <v>4815</v>
      </c>
      <c r="B3272" s="3" t="s">
        <v>5293</v>
      </c>
      <c r="C3272" t="s">
        <v>5293</v>
      </c>
      <c r="D3272" s="3" t="s">
        <v>7314</v>
      </c>
      <c r="E3272" t="s">
        <v>5294</v>
      </c>
      <c r="F3272" s="3" t="s">
        <v>5295</v>
      </c>
      <c r="G3272" t="s">
        <v>24</v>
      </c>
      <c r="H3272" s="3" t="s">
        <v>5296</v>
      </c>
      <c r="I3272" t="s">
        <v>26</v>
      </c>
      <c r="J3272" s="3" t="s">
        <v>5297</v>
      </c>
      <c r="K3272" s="4">
        <v>613</v>
      </c>
      <c r="L3272" s="5">
        <v>27.88</v>
      </c>
      <c r="M3272" s="6">
        <v>1</v>
      </c>
      <c r="N3272" s="7">
        <v>0</v>
      </c>
      <c r="O3272" t="s">
        <v>5298</v>
      </c>
      <c r="P3272" s="3" t="s">
        <v>29</v>
      </c>
      <c r="Q3272" s="8">
        <v>0.21856300000000001</v>
      </c>
    </row>
    <row r="3273" spans="1:17" hidden="1" x14ac:dyDescent="0.55000000000000004">
      <c r="A3273" s="3" t="s">
        <v>4815</v>
      </c>
      <c r="B3273" s="3" t="s">
        <v>5299</v>
      </c>
      <c r="C3273" t="s">
        <v>7387</v>
      </c>
      <c r="D3273" s="3" t="s">
        <v>7314</v>
      </c>
      <c r="E3273" t="s">
        <v>5300</v>
      </c>
      <c r="F3273" s="3" t="s">
        <v>5301</v>
      </c>
      <c r="G3273" t="s">
        <v>24</v>
      </c>
      <c r="H3273" s="3" t="s">
        <v>5302</v>
      </c>
      <c r="I3273" t="s">
        <v>26</v>
      </c>
      <c r="J3273" s="3" t="s">
        <v>5303</v>
      </c>
      <c r="K3273" s="4">
        <v>1032</v>
      </c>
      <c r="L3273" s="5">
        <v>46.91</v>
      </c>
      <c r="M3273" s="6">
        <v>1</v>
      </c>
      <c r="N3273" s="7">
        <v>0</v>
      </c>
      <c r="O3273" t="s">
        <v>5304</v>
      </c>
      <c r="P3273" s="3" t="s">
        <v>29</v>
      </c>
      <c r="Q3273" s="8">
        <v>0.25766699999999998</v>
      </c>
    </row>
    <row r="3274" spans="1:17" hidden="1" x14ac:dyDescent="0.55000000000000004">
      <c r="A3274" s="3" t="s">
        <v>4815</v>
      </c>
      <c r="B3274" s="3" t="s">
        <v>5276</v>
      </c>
      <c r="C3274" t="s">
        <v>5276</v>
      </c>
      <c r="D3274" s="3" t="s">
        <v>7314</v>
      </c>
      <c r="E3274" t="s">
        <v>5305</v>
      </c>
      <c r="F3274" s="3" t="s">
        <v>5306</v>
      </c>
      <c r="G3274" t="s">
        <v>19</v>
      </c>
      <c r="H3274" s="3" t="s">
        <v>5307</v>
      </c>
      <c r="I3274" t="s">
        <v>4929</v>
      </c>
      <c r="J3274" s="3" t="s">
        <v>5308</v>
      </c>
      <c r="K3274" s="4">
        <v>184</v>
      </c>
      <c r="L3274" s="5">
        <v>39.89</v>
      </c>
      <c r="M3274" s="6">
        <v>1</v>
      </c>
      <c r="N3274" s="7">
        <v>0</v>
      </c>
      <c r="O3274" t="s">
        <v>5309</v>
      </c>
      <c r="P3274" s="3" t="s">
        <v>1610</v>
      </c>
      <c r="Q3274" s="8">
        <v>5.0048000000000002E-2</v>
      </c>
    </row>
    <row r="3275" spans="1:17" hidden="1" x14ac:dyDescent="0.55000000000000004">
      <c r="A3275" s="3" t="s">
        <v>4815</v>
      </c>
      <c r="B3275" s="3" t="s">
        <v>5276</v>
      </c>
      <c r="C3275" t="s">
        <v>5276</v>
      </c>
      <c r="D3275" s="3" t="s">
        <v>7314</v>
      </c>
      <c r="E3275" t="s">
        <v>5305</v>
      </c>
      <c r="F3275" s="3" t="s">
        <v>5306</v>
      </c>
      <c r="G3275" t="s">
        <v>19</v>
      </c>
      <c r="H3275" s="3" t="s">
        <v>5310</v>
      </c>
      <c r="I3275" t="s">
        <v>66</v>
      </c>
      <c r="J3275" s="3" t="s">
        <v>5311</v>
      </c>
      <c r="K3275" s="4">
        <v>283</v>
      </c>
      <c r="L3275" s="5">
        <v>61.54</v>
      </c>
      <c r="M3275" s="6">
        <v>0</v>
      </c>
      <c r="N3275" s="7">
        <v>0</v>
      </c>
      <c r="O3275" t="s">
        <v>5312</v>
      </c>
      <c r="P3275" s="3" t="s">
        <v>64</v>
      </c>
      <c r="Q3275" s="8">
        <v>7.4726000000000001E-2</v>
      </c>
    </row>
    <row r="3276" spans="1:17" hidden="1" x14ac:dyDescent="0.55000000000000004">
      <c r="A3276" s="3" t="s">
        <v>4815</v>
      </c>
      <c r="B3276" s="3" t="s">
        <v>5276</v>
      </c>
      <c r="C3276" t="s">
        <v>5276</v>
      </c>
      <c r="D3276" s="3" t="s">
        <v>7314</v>
      </c>
      <c r="E3276" t="s">
        <v>5305</v>
      </c>
      <c r="F3276" s="3" t="s">
        <v>5306</v>
      </c>
      <c r="G3276" t="s">
        <v>24</v>
      </c>
      <c r="H3276" s="3" t="s">
        <v>5313</v>
      </c>
      <c r="I3276" t="s">
        <v>218</v>
      </c>
      <c r="J3276" s="3" t="s">
        <v>5314</v>
      </c>
      <c r="K3276" s="4">
        <v>1194</v>
      </c>
      <c r="L3276" s="5">
        <v>54.26</v>
      </c>
      <c r="M3276" s="6">
        <v>0</v>
      </c>
      <c r="N3276" s="7">
        <v>0</v>
      </c>
      <c r="O3276" t="s">
        <v>5315</v>
      </c>
      <c r="P3276" s="3" t="s">
        <v>23</v>
      </c>
      <c r="Q3276" s="8" t="s">
        <v>23</v>
      </c>
    </row>
    <row r="3277" spans="1:17" hidden="1" x14ac:dyDescent="0.55000000000000004">
      <c r="A3277" s="3" t="s">
        <v>4815</v>
      </c>
      <c r="B3277" s="3" t="s">
        <v>5276</v>
      </c>
      <c r="C3277" t="s">
        <v>5276</v>
      </c>
      <c r="D3277" s="3" t="s">
        <v>7314</v>
      </c>
      <c r="E3277" t="s">
        <v>5305</v>
      </c>
      <c r="F3277" s="3" t="s">
        <v>5306</v>
      </c>
      <c r="G3277" t="s">
        <v>24</v>
      </c>
      <c r="H3277" s="3" t="s">
        <v>5316</v>
      </c>
      <c r="I3277" t="s">
        <v>26</v>
      </c>
      <c r="J3277" s="3" t="s">
        <v>5314</v>
      </c>
      <c r="K3277" s="4">
        <v>915</v>
      </c>
      <c r="L3277" s="5">
        <v>41.61</v>
      </c>
      <c r="M3277" s="6">
        <v>1</v>
      </c>
      <c r="N3277" s="7">
        <v>0</v>
      </c>
      <c r="O3277" t="s">
        <v>5317</v>
      </c>
      <c r="P3277" s="3" t="s">
        <v>76</v>
      </c>
      <c r="Q3277" s="8">
        <v>0.192167</v>
      </c>
    </row>
    <row r="3278" spans="1:17" hidden="1" x14ac:dyDescent="0.55000000000000004">
      <c r="A3278" s="3" t="s">
        <v>4815</v>
      </c>
      <c r="B3278" s="3" t="s">
        <v>5276</v>
      </c>
      <c r="C3278" t="s">
        <v>5276</v>
      </c>
      <c r="D3278" s="3" t="s">
        <v>7314</v>
      </c>
      <c r="E3278" t="s">
        <v>5318</v>
      </c>
      <c r="F3278" s="3" t="s">
        <v>5319</v>
      </c>
      <c r="G3278" t="s">
        <v>19</v>
      </c>
      <c r="H3278" s="3" t="s">
        <v>5307</v>
      </c>
      <c r="I3278" t="s">
        <v>4929</v>
      </c>
      <c r="J3278" s="3" t="s">
        <v>5308</v>
      </c>
      <c r="K3278" s="4">
        <v>184</v>
      </c>
      <c r="L3278" s="5">
        <v>39.89</v>
      </c>
      <c r="M3278" s="6">
        <v>1</v>
      </c>
      <c r="N3278" s="7">
        <v>1</v>
      </c>
      <c r="O3278" t="s">
        <v>5309</v>
      </c>
      <c r="P3278" s="3" t="s">
        <v>1610</v>
      </c>
      <c r="Q3278" s="8">
        <v>5.0048000000000002E-2</v>
      </c>
    </row>
    <row r="3279" spans="1:17" hidden="1" x14ac:dyDescent="0.55000000000000004">
      <c r="A3279" s="3" t="s">
        <v>4815</v>
      </c>
      <c r="B3279" s="3" t="s">
        <v>5276</v>
      </c>
      <c r="C3279" t="s">
        <v>5276</v>
      </c>
      <c r="D3279" s="3" t="s">
        <v>7314</v>
      </c>
      <c r="E3279" t="s">
        <v>5318</v>
      </c>
      <c r="F3279" s="3" t="s">
        <v>5319</v>
      </c>
      <c r="G3279" t="s">
        <v>24</v>
      </c>
      <c r="H3279" s="3" t="s">
        <v>5313</v>
      </c>
      <c r="I3279" t="s">
        <v>218</v>
      </c>
      <c r="J3279" s="3" t="s">
        <v>5314</v>
      </c>
      <c r="K3279" s="4">
        <v>1194</v>
      </c>
      <c r="L3279" s="5">
        <v>54.26</v>
      </c>
      <c r="M3279" s="6">
        <v>0</v>
      </c>
      <c r="N3279" s="7">
        <v>1</v>
      </c>
      <c r="O3279" t="s">
        <v>5315</v>
      </c>
      <c r="P3279" s="3" t="s">
        <v>23</v>
      </c>
      <c r="Q3279" s="8" t="s">
        <v>23</v>
      </c>
    </row>
    <row r="3280" spans="1:17" hidden="1" x14ac:dyDescent="0.55000000000000004">
      <c r="A3280" s="3" t="s">
        <v>4815</v>
      </c>
      <c r="B3280" s="3" t="s">
        <v>5276</v>
      </c>
      <c r="C3280" t="s">
        <v>5276</v>
      </c>
      <c r="D3280" s="3" t="s">
        <v>7314</v>
      </c>
      <c r="E3280" t="s">
        <v>5318</v>
      </c>
      <c r="F3280" s="3" t="s">
        <v>5319</v>
      </c>
      <c r="G3280" t="s">
        <v>24</v>
      </c>
      <c r="H3280" s="3" t="s">
        <v>5316</v>
      </c>
      <c r="I3280" t="s">
        <v>26</v>
      </c>
      <c r="J3280" s="3" t="s">
        <v>5314</v>
      </c>
      <c r="K3280" s="4">
        <v>915</v>
      </c>
      <c r="L3280" s="5">
        <v>41.61</v>
      </c>
      <c r="M3280" s="6">
        <v>1</v>
      </c>
      <c r="N3280" s="7">
        <v>1</v>
      </c>
      <c r="O3280" t="s">
        <v>5317</v>
      </c>
      <c r="P3280" s="3" t="s">
        <v>76</v>
      </c>
      <c r="Q3280" s="8">
        <v>0.192167</v>
      </c>
    </row>
    <row r="3281" spans="1:17" hidden="1" x14ac:dyDescent="0.55000000000000004">
      <c r="A3281" s="3" t="s">
        <v>4815</v>
      </c>
      <c r="B3281" s="3" t="s">
        <v>5276</v>
      </c>
      <c r="C3281" t="s">
        <v>5276</v>
      </c>
      <c r="D3281" s="3" t="s">
        <v>7314</v>
      </c>
      <c r="E3281" t="s">
        <v>5320</v>
      </c>
      <c r="F3281" s="3" t="s">
        <v>5321</v>
      </c>
      <c r="G3281" t="s">
        <v>19</v>
      </c>
      <c r="H3281" s="3" t="s">
        <v>5307</v>
      </c>
      <c r="I3281" t="s">
        <v>4929</v>
      </c>
      <c r="J3281" s="3" t="s">
        <v>5308</v>
      </c>
      <c r="K3281" s="4">
        <v>184</v>
      </c>
      <c r="L3281" s="5">
        <v>39.89</v>
      </c>
      <c r="M3281" s="6">
        <v>1</v>
      </c>
      <c r="N3281" s="7">
        <v>0</v>
      </c>
      <c r="O3281" t="s">
        <v>5309</v>
      </c>
      <c r="P3281" s="3" t="s">
        <v>1610</v>
      </c>
      <c r="Q3281" s="8">
        <v>5.0048000000000002E-2</v>
      </c>
    </row>
    <row r="3282" spans="1:17" hidden="1" x14ac:dyDescent="0.55000000000000004">
      <c r="A3282" s="3" t="s">
        <v>4815</v>
      </c>
      <c r="B3282" s="3" t="s">
        <v>5276</v>
      </c>
      <c r="C3282" t="s">
        <v>5276</v>
      </c>
      <c r="D3282" s="3" t="s">
        <v>7314</v>
      </c>
      <c r="E3282" t="s">
        <v>5320</v>
      </c>
      <c r="F3282" s="3" t="s">
        <v>5321</v>
      </c>
      <c r="G3282" t="s">
        <v>24</v>
      </c>
      <c r="H3282" s="3" t="s">
        <v>5313</v>
      </c>
      <c r="I3282" t="s">
        <v>218</v>
      </c>
      <c r="J3282" s="3" t="s">
        <v>5314</v>
      </c>
      <c r="K3282" s="4">
        <v>1194</v>
      </c>
      <c r="L3282" s="5">
        <v>54.26</v>
      </c>
      <c r="M3282" s="6">
        <v>0</v>
      </c>
      <c r="N3282" s="7">
        <v>0</v>
      </c>
      <c r="O3282" t="s">
        <v>5315</v>
      </c>
      <c r="P3282" s="3" t="s">
        <v>23</v>
      </c>
      <c r="Q3282" s="8" t="s">
        <v>23</v>
      </c>
    </row>
    <row r="3283" spans="1:17" hidden="1" x14ac:dyDescent="0.55000000000000004">
      <c r="A3283" s="3" t="s">
        <v>4815</v>
      </c>
      <c r="B3283" s="3" t="s">
        <v>5276</v>
      </c>
      <c r="C3283" t="s">
        <v>5276</v>
      </c>
      <c r="D3283" s="3" t="s">
        <v>7314</v>
      </c>
      <c r="E3283" t="s">
        <v>5320</v>
      </c>
      <c r="F3283" s="3" t="s">
        <v>5321</v>
      </c>
      <c r="G3283" t="s">
        <v>24</v>
      </c>
      <c r="H3283" s="3" t="s">
        <v>5316</v>
      </c>
      <c r="I3283" t="s">
        <v>26</v>
      </c>
      <c r="J3283" s="3" t="s">
        <v>5314</v>
      </c>
      <c r="K3283" s="4">
        <v>915</v>
      </c>
      <c r="L3283" s="5">
        <v>41.61</v>
      </c>
      <c r="M3283" s="6">
        <v>1</v>
      </c>
      <c r="N3283" s="7">
        <v>0</v>
      </c>
      <c r="O3283" t="s">
        <v>5317</v>
      </c>
      <c r="P3283" s="3" t="s">
        <v>76</v>
      </c>
      <c r="Q3283" s="8">
        <v>0.192167</v>
      </c>
    </row>
    <row r="3284" spans="1:17" hidden="1" x14ac:dyDescent="0.55000000000000004">
      <c r="A3284" s="3" t="s">
        <v>4815</v>
      </c>
      <c r="B3284" s="3" t="s">
        <v>5322</v>
      </c>
      <c r="C3284" t="s">
        <v>5322</v>
      </c>
      <c r="D3284" s="3" t="s">
        <v>7314</v>
      </c>
      <c r="E3284" t="s">
        <v>5323</v>
      </c>
      <c r="F3284" s="3" t="s">
        <v>5324</v>
      </c>
      <c r="G3284" t="s">
        <v>24</v>
      </c>
      <c r="H3284" s="3" t="s">
        <v>5325</v>
      </c>
      <c r="I3284" t="s">
        <v>26</v>
      </c>
      <c r="J3284" s="3" t="s">
        <v>5326</v>
      </c>
      <c r="K3284" s="4">
        <v>612</v>
      </c>
      <c r="L3284" s="5">
        <v>27.8</v>
      </c>
      <c r="M3284" s="6">
        <v>1</v>
      </c>
      <c r="N3284" s="7">
        <v>0</v>
      </c>
      <c r="O3284" t="s">
        <v>5327</v>
      </c>
      <c r="P3284" s="3" t="s">
        <v>29</v>
      </c>
      <c r="Q3284" s="8">
        <v>0.21853900000000001</v>
      </c>
    </row>
    <row r="3285" spans="1:17" hidden="1" x14ac:dyDescent="0.55000000000000004">
      <c r="A3285" s="9" t="s">
        <v>4815</v>
      </c>
      <c r="B3285" s="3" t="s">
        <v>5328</v>
      </c>
      <c r="C3285" t="s">
        <v>5328</v>
      </c>
      <c r="D3285" s="3" t="s">
        <v>7314</v>
      </c>
      <c r="E3285" t="s">
        <v>5329</v>
      </c>
      <c r="F3285" s="3" t="s">
        <v>5330</v>
      </c>
      <c r="G3285" t="s">
        <v>24</v>
      </c>
      <c r="H3285" s="3" t="s">
        <v>5331</v>
      </c>
      <c r="I3285" t="s">
        <v>52</v>
      </c>
      <c r="J3285" s="3" t="s">
        <v>5332</v>
      </c>
      <c r="K3285" s="4">
        <v>727</v>
      </c>
      <c r="L3285" s="5">
        <v>33.04</v>
      </c>
      <c r="M3285" s="6">
        <v>1</v>
      </c>
      <c r="N3285" s="7">
        <v>0</v>
      </c>
      <c r="O3285" t="s">
        <v>5333</v>
      </c>
      <c r="P3285" s="3" t="s">
        <v>55</v>
      </c>
      <c r="Q3285" s="8">
        <v>0.21743599999999999</v>
      </c>
    </row>
    <row r="3286" spans="1:17" hidden="1" x14ac:dyDescent="0.55000000000000004">
      <c r="A3286" s="3" t="s">
        <v>5334</v>
      </c>
      <c r="B3286" s="3" t="s">
        <v>5335</v>
      </c>
      <c r="C3286" t="s">
        <v>5335</v>
      </c>
      <c r="D3286" s="3" t="s">
        <v>7326</v>
      </c>
      <c r="E3286" t="s">
        <v>5336</v>
      </c>
      <c r="F3286" s="3" t="s">
        <v>5337</v>
      </c>
      <c r="G3286" t="s">
        <v>19</v>
      </c>
      <c r="H3286" s="3" t="s">
        <v>5338</v>
      </c>
      <c r="I3286" t="s">
        <v>3615</v>
      </c>
      <c r="J3286" s="3" t="s">
        <v>5339</v>
      </c>
      <c r="K3286" s="4">
        <v>270</v>
      </c>
      <c r="L3286" s="5">
        <v>58.65</v>
      </c>
      <c r="M3286" s="6">
        <v>0</v>
      </c>
      <c r="N3286" s="7">
        <v>0</v>
      </c>
      <c r="O3286" t="s">
        <v>5340</v>
      </c>
      <c r="P3286" s="3" t="s">
        <v>3618</v>
      </c>
      <c r="Q3286" s="8">
        <v>0.13059999999999999</v>
      </c>
    </row>
    <row r="3287" spans="1:17" hidden="1" x14ac:dyDescent="0.55000000000000004">
      <c r="A3287" s="3" t="s">
        <v>5334</v>
      </c>
      <c r="B3287" s="3" t="s">
        <v>5335</v>
      </c>
      <c r="C3287" t="s">
        <v>5335</v>
      </c>
      <c r="D3287" s="3" t="s">
        <v>7326</v>
      </c>
      <c r="E3287" t="s">
        <v>5336</v>
      </c>
      <c r="F3287" s="3" t="s">
        <v>5337</v>
      </c>
      <c r="G3287" t="s">
        <v>19</v>
      </c>
      <c r="H3287" s="3" t="s">
        <v>5341</v>
      </c>
      <c r="I3287" t="s">
        <v>3620</v>
      </c>
      <c r="J3287" s="3" t="s">
        <v>5339</v>
      </c>
      <c r="K3287" s="4">
        <v>274</v>
      </c>
      <c r="L3287" s="5">
        <v>59.52</v>
      </c>
      <c r="M3287" s="6">
        <v>1</v>
      </c>
      <c r="N3287" s="7">
        <v>0</v>
      </c>
      <c r="O3287" t="s">
        <v>5340</v>
      </c>
      <c r="P3287" s="3" t="s">
        <v>3618</v>
      </c>
      <c r="Q3287" s="8">
        <v>0.13059999999999999</v>
      </c>
    </row>
    <row r="3288" spans="1:17" hidden="1" x14ac:dyDescent="0.55000000000000004">
      <c r="A3288" s="3" t="s">
        <v>5334</v>
      </c>
      <c r="B3288" s="3" t="s">
        <v>5335</v>
      </c>
      <c r="C3288" t="s">
        <v>5335</v>
      </c>
      <c r="D3288" s="3" t="s">
        <v>7326</v>
      </c>
      <c r="E3288" t="s">
        <v>5336</v>
      </c>
      <c r="F3288" s="3" t="s">
        <v>5337</v>
      </c>
      <c r="G3288" t="s">
        <v>19</v>
      </c>
      <c r="H3288" s="3" t="s">
        <v>5341</v>
      </c>
      <c r="I3288" t="s">
        <v>3620</v>
      </c>
      <c r="J3288" s="3" t="s">
        <v>5339</v>
      </c>
      <c r="K3288" s="4">
        <v>274</v>
      </c>
      <c r="L3288" s="5">
        <v>59.52</v>
      </c>
      <c r="M3288" s="6">
        <v>1</v>
      </c>
      <c r="N3288" s="7">
        <v>0</v>
      </c>
      <c r="O3288" t="s">
        <v>3621</v>
      </c>
      <c r="P3288" s="3" t="s">
        <v>3622</v>
      </c>
      <c r="Q3288" s="8">
        <v>9.6430000000000005E-3</v>
      </c>
    </row>
    <row r="3289" spans="1:17" hidden="1" x14ac:dyDescent="0.55000000000000004">
      <c r="A3289" s="3" t="s">
        <v>5334</v>
      </c>
      <c r="B3289" s="3" t="s">
        <v>5335</v>
      </c>
      <c r="C3289" t="s">
        <v>5335</v>
      </c>
      <c r="D3289" s="3" t="s">
        <v>7326</v>
      </c>
      <c r="E3289" t="s">
        <v>5336</v>
      </c>
      <c r="F3289" s="3" t="s">
        <v>5337</v>
      </c>
      <c r="G3289" t="s">
        <v>19</v>
      </c>
      <c r="H3289" s="3" t="s">
        <v>5342</v>
      </c>
      <c r="I3289" t="s">
        <v>3624</v>
      </c>
      <c r="J3289" s="3" t="s">
        <v>5339</v>
      </c>
      <c r="K3289" s="4">
        <v>270</v>
      </c>
      <c r="L3289" s="5">
        <v>58.78</v>
      </c>
      <c r="M3289" s="6">
        <v>0</v>
      </c>
      <c r="N3289" s="7">
        <v>0</v>
      </c>
      <c r="O3289" t="s">
        <v>5340</v>
      </c>
      <c r="P3289" s="3" t="s">
        <v>3618</v>
      </c>
      <c r="Q3289" s="8">
        <v>0.13059999999999999</v>
      </c>
    </row>
    <row r="3290" spans="1:17" hidden="1" x14ac:dyDescent="0.55000000000000004">
      <c r="A3290" s="3" t="s">
        <v>5334</v>
      </c>
      <c r="B3290" s="3" t="s">
        <v>5335</v>
      </c>
      <c r="C3290" t="s">
        <v>5335</v>
      </c>
      <c r="D3290" s="3" t="s">
        <v>7326</v>
      </c>
      <c r="E3290" t="s">
        <v>5336</v>
      </c>
      <c r="F3290" s="3" t="s">
        <v>5337</v>
      </c>
      <c r="G3290" t="s">
        <v>19</v>
      </c>
      <c r="H3290" s="3" t="s">
        <v>5342</v>
      </c>
      <c r="I3290" t="s">
        <v>3624</v>
      </c>
      <c r="J3290" s="3" t="s">
        <v>5339</v>
      </c>
      <c r="K3290" s="4">
        <v>270</v>
      </c>
      <c r="L3290" s="5">
        <v>58.78</v>
      </c>
      <c r="M3290" s="6">
        <v>0</v>
      </c>
      <c r="N3290" s="7">
        <v>0</v>
      </c>
      <c r="O3290" t="s">
        <v>3625</v>
      </c>
      <c r="P3290" s="3" t="s">
        <v>3622</v>
      </c>
      <c r="Q3290" s="8">
        <v>9.6430000000000005E-3</v>
      </c>
    </row>
    <row r="3291" spans="1:17" hidden="1" x14ac:dyDescent="0.55000000000000004">
      <c r="A3291" s="3" t="s">
        <v>5334</v>
      </c>
      <c r="B3291" s="3" t="s">
        <v>5335</v>
      </c>
      <c r="C3291" t="s">
        <v>5335</v>
      </c>
      <c r="D3291" s="3" t="s">
        <v>7326</v>
      </c>
      <c r="E3291" t="s">
        <v>5336</v>
      </c>
      <c r="F3291" s="3" t="s">
        <v>5337</v>
      </c>
      <c r="G3291" t="s">
        <v>19</v>
      </c>
      <c r="H3291" s="3" t="s">
        <v>5343</v>
      </c>
      <c r="I3291" t="s">
        <v>3627</v>
      </c>
      <c r="J3291" s="3" t="s">
        <v>5339</v>
      </c>
      <c r="K3291" s="4">
        <v>563</v>
      </c>
      <c r="L3291" s="5">
        <v>122.3</v>
      </c>
      <c r="M3291" s="6">
        <v>0</v>
      </c>
      <c r="N3291" s="7">
        <v>0</v>
      </c>
      <c r="O3291" t="s">
        <v>5340</v>
      </c>
      <c r="P3291" s="3" t="s">
        <v>3618</v>
      </c>
      <c r="Q3291" s="8">
        <v>0.13059999999999999</v>
      </c>
    </row>
    <row r="3292" spans="1:17" hidden="1" x14ac:dyDescent="0.55000000000000004">
      <c r="A3292" s="3" t="s">
        <v>5334</v>
      </c>
      <c r="B3292" s="3" t="s">
        <v>5335</v>
      </c>
      <c r="C3292" t="s">
        <v>5335</v>
      </c>
      <c r="D3292" s="3" t="s">
        <v>7326</v>
      </c>
      <c r="E3292" t="s">
        <v>5336</v>
      </c>
      <c r="F3292" s="3" t="s">
        <v>5337</v>
      </c>
      <c r="G3292" t="s">
        <v>19</v>
      </c>
      <c r="H3292" s="3" t="s">
        <v>5343</v>
      </c>
      <c r="I3292" t="s">
        <v>3627</v>
      </c>
      <c r="J3292" s="3" t="s">
        <v>5339</v>
      </c>
      <c r="K3292" s="4">
        <v>563</v>
      </c>
      <c r="L3292" s="5">
        <v>122.3</v>
      </c>
      <c r="M3292" s="6">
        <v>0</v>
      </c>
      <c r="N3292" s="7">
        <v>0</v>
      </c>
      <c r="O3292" t="s">
        <v>3628</v>
      </c>
      <c r="P3292" s="3" t="s">
        <v>3629</v>
      </c>
      <c r="Q3292" s="8">
        <v>4.1879999999999999E-3</v>
      </c>
    </row>
    <row r="3293" spans="1:17" hidden="1" x14ac:dyDescent="0.55000000000000004">
      <c r="A3293" s="3" t="s">
        <v>5334</v>
      </c>
      <c r="B3293" s="3" t="s">
        <v>5335</v>
      </c>
      <c r="C3293" t="s">
        <v>5335</v>
      </c>
      <c r="D3293" s="3" t="s">
        <v>7326</v>
      </c>
      <c r="E3293" t="s">
        <v>5336</v>
      </c>
      <c r="F3293" s="3" t="s">
        <v>5337</v>
      </c>
      <c r="G3293" t="s">
        <v>19</v>
      </c>
      <c r="H3293" s="3" t="s">
        <v>5343</v>
      </c>
      <c r="I3293" t="s">
        <v>3627</v>
      </c>
      <c r="J3293" s="3" t="s">
        <v>5339</v>
      </c>
      <c r="K3293" s="4">
        <v>563</v>
      </c>
      <c r="L3293" s="5">
        <v>122.3</v>
      </c>
      <c r="M3293" s="6">
        <v>0</v>
      </c>
      <c r="N3293" s="7">
        <v>0</v>
      </c>
      <c r="O3293" t="s">
        <v>3630</v>
      </c>
      <c r="P3293" s="3" t="s">
        <v>3631</v>
      </c>
      <c r="Q3293" s="8">
        <v>6.8030999999999994E-2</v>
      </c>
    </row>
    <row r="3294" spans="1:17" hidden="1" x14ac:dyDescent="0.55000000000000004">
      <c r="A3294" s="3" t="s">
        <v>5334</v>
      </c>
      <c r="B3294" s="3" t="s">
        <v>5335</v>
      </c>
      <c r="C3294" t="s">
        <v>5335</v>
      </c>
      <c r="D3294" s="3" t="s">
        <v>7326</v>
      </c>
      <c r="E3294" t="s">
        <v>5336</v>
      </c>
      <c r="F3294" s="3" t="s">
        <v>5337</v>
      </c>
      <c r="G3294" t="s">
        <v>24</v>
      </c>
      <c r="H3294" s="3" t="s">
        <v>5344</v>
      </c>
      <c r="I3294" t="s">
        <v>26</v>
      </c>
      <c r="J3294" s="3" t="s">
        <v>5345</v>
      </c>
      <c r="K3294" s="4">
        <v>1296</v>
      </c>
      <c r="L3294" s="5">
        <v>58.91</v>
      </c>
      <c r="M3294" s="6">
        <v>1</v>
      </c>
      <c r="N3294" s="7">
        <v>0</v>
      </c>
      <c r="O3294" t="s">
        <v>5346</v>
      </c>
      <c r="P3294" s="3" t="s">
        <v>76</v>
      </c>
      <c r="Q3294" s="8">
        <v>0.29083300000000001</v>
      </c>
    </row>
    <row r="3295" spans="1:17" hidden="1" x14ac:dyDescent="0.55000000000000004">
      <c r="A3295" s="3" t="s">
        <v>5334</v>
      </c>
      <c r="B3295" s="3" t="s">
        <v>5335</v>
      </c>
      <c r="C3295" t="s">
        <v>5335</v>
      </c>
      <c r="D3295" s="3" t="s">
        <v>7326</v>
      </c>
      <c r="E3295" t="s">
        <v>5336</v>
      </c>
      <c r="F3295" s="3" t="s">
        <v>5337</v>
      </c>
      <c r="G3295" t="s">
        <v>24</v>
      </c>
      <c r="H3295" s="3" t="s">
        <v>5347</v>
      </c>
      <c r="I3295" t="s">
        <v>218</v>
      </c>
      <c r="J3295" s="3" t="s">
        <v>5345</v>
      </c>
      <c r="K3295" s="4">
        <v>1855</v>
      </c>
      <c r="L3295" s="5">
        <v>84.32</v>
      </c>
      <c r="M3295" s="6">
        <v>0</v>
      </c>
      <c r="N3295" s="7">
        <v>0</v>
      </c>
      <c r="O3295" t="s">
        <v>5348</v>
      </c>
      <c r="P3295" s="3" t="s">
        <v>23</v>
      </c>
      <c r="Q3295" s="8" t="s">
        <v>23</v>
      </c>
    </row>
    <row r="3296" spans="1:17" hidden="1" x14ac:dyDescent="0.55000000000000004">
      <c r="A3296" s="3" t="s">
        <v>5334</v>
      </c>
      <c r="B3296" s="3" t="s">
        <v>5349</v>
      </c>
      <c r="C3296" t="s">
        <v>5349</v>
      </c>
      <c r="D3296" s="3" t="s">
        <v>7326</v>
      </c>
      <c r="E3296" t="s">
        <v>5350</v>
      </c>
      <c r="F3296" s="3" t="s">
        <v>5351</v>
      </c>
      <c r="G3296" t="s">
        <v>24</v>
      </c>
      <c r="H3296" s="3" t="s">
        <v>5352</v>
      </c>
      <c r="I3296" t="s">
        <v>26</v>
      </c>
      <c r="J3296" s="3" t="s">
        <v>5353</v>
      </c>
      <c r="K3296" s="4">
        <v>1022</v>
      </c>
      <c r="L3296" s="5">
        <v>46.45</v>
      </c>
      <c r="M3296" s="6">
        <v>1</v>
      </c>
      <c r="N3296" s="7">
        <v>0</v>
      </c>
      <c r="O3296" t="s">
        <v>5354</v>
      </c>
      <c r="P3296" s="3" t="s">
        <v>76</v>
      </c>
      <c r="Q3296" s="8">
        <v>0.26083299999999998</v>
      </c>
    </row>
    <row r="3297" spans="1:17" hidden="1" x14ac:dyDescent="0.55000000000000004">
      <c r="A3297" s="3" t="s">
        <v>5334</v>
      </c>
      <c r="B3297" s="3" t="s">
        <v>5349</v>
      </c>
      <c r="C3297" t="s">
        <v>5349</v>
      </c>
      <c r="D3297" s="3" t="s">
        <v>7326</v>
      </c>
      <c r="E3297" t="s">
        <v>5350</v>
      </c>
      <c r="F3297" s="3" t="s">
        <v>5351</v>
      </c>
      <c r="G3297" t="s">
        <v>24</v>
      </c>
      <c r="H3297" s="3" t="s">
        <v>5355</v>
      </c>
      <c r="I3297" t="s">
        <v>218</v>
      </c>
      <c r="J3297" s="3" t="s">
        <v>5353</v>
      </c>
      <c r="K3297" s="4">
        <v>1687</v>
      </c>
      <c r="L3297" s="5">
        <v>76.69</v>
      </c>
      <c r="M3297" s="6">
        <v>0</v>
      </c>
      <c r="N3297" s="7">
        <v>0</v>
      </c>
      <c r="O3297" t="s">
        <v>5356</v>
      </c>
      <c r="P3297" s="3" t="s">
        <v>23</v>
      </c>
      <c r="Q3297" s="8" t="s">
        <v>23</v>
      </c>
    </row>
    <row r="3298" spans="1:17" hidden="1" x14ac:dyDescent="0.55000000000000004">
      <c r="A3298" s="3" t="s">
        <v>5334</v>
      </c>
      <c r="B3298" s="3" t="s">
        <v>5349</v>
      </c>
      <c r="C3298" t="s">
        <v>5349</v>
      </c>
      <c r="D3298" s="3" t="s">
        <v>7326</v>
      </c>
      <c r="E3298" t="s">
        <v>5357</v>
      </c>
      <c r="F3298" s="3" t="s">
        <v>5358</v>
      </c>
      <c r="G3298" t="s">
        <v>24</v>
      </c>
      <c r="H3298" s="3" t="s">
        <v>5352</v>
      </c>
      <c r="I3298" t="s">
        <v>26</v>
      </c>
      <c r="J3298" s="3" t="s">
        <v>5353</v>
      </c>
      <c r="K3298" s="4">
        <v>1022</v>
      </c>
      <c r="L3298" s="5">
        <v>46.45</v>
      </c>
      <c r="M3298" s="6">
        <v>1</v>
      </c>
      <c r="N3298" s="7">
        <v>0</v>
      </c>
      <c r="O3298" t="s">
        <v>5354</v>
      </c>
      <c r="P3298" s="3" t="s">
        <v>76</v>
      </c>
      <c r="Q3298" s="8">
        <v>0.26083299999999998</v>
      </c>
    </row>
    <row r="3299" spans="1:17" hidden="1" x14ac:dyDescent="0.55000000000000004">
      <c r="A3299" s="3" t="s">
        <v>5334</v>
      </c>
      <c r="B3299" s="3" t="s">
        <v>5349</v>
      </c>
      <c r="C3299" t="s">
        <v>5349</v>
      </c>
      <c r="D3299" s="3" t="s">
        <v>7326</v>
      </c>
      <c r="E3299" t="s">
        <v>5357</v>
      </c>
      <c r="F3299" s="3" t="s">
        <v>5358</v>
      </c>
      <c r="G3299" t="s">
        <v>24</v>
      </c>
      <c r="H3299" s="3" t="s">
        <v>5355</v>
      </c>
      <c r="I3299" t="s">
        <v>218</v>
      </c>
      <c r="J3299" s="3" t="s">
        <v>5353</v>
      </c>
      <c r="K3299" s="4">
        <v>1687</v>
      </c>
      <c r="L3299" s="5">
        <v>76.69</v>
      </c>
      <c r="M3299" s="6">
        <v>0</v>
      </c>
      <c r="N3299" s="7">
        <v>0</v>
      </c>
      <c r="O3299" t="s">
        <v>5356</v>
      </c>
      <c r="P3299" s="3" t="s">
        <v>23</v>
      </c>
      <c r="Q3299" s="8" t="s">
        <v>23</v>
      </c>
    </row>
    <row r="3300" spans="1:17" hidden="1" x14ac:dyDescent="0.55000000000000004">
      <c r="A3300" s="3" t="s">
        <v>5334</v>
      </c>
      <c r="B3300" s="3" t="s">
        <v>5349</v>
      </c>
      <c r="C3300" t="s">
        <v>5349</v>
      </c>
      <c r="D3300" s="3" t="s">
        <v>7326</v>
      </c>
      <c r="E3300" t="s">
        <v>5359</v>
      </c>
      <c r="F3300" s="3" t="s">
        <v>5360</v>
      </c>
      <c r="G3300" t="s">
        <v>24</v>
      </c>
      <c r="H3300" s="3" t="s">
        <v>5352</v>
      </c>
      <c r="I3300" t="s">
        <v>26</v>
      </c>
      <c r="J3300" s="3" t="s">
        <v>5353</v>
      </c>
      <c r="K3300" s="4">
        <v>1022</v>
      </c>
      <c r="L3300" s="5">
        <v>46.45</v>
      </c>
      <c r="M3300" s="6">
        <v>1</v>
      </c>
      <c r="N3300" s="7">
        <v>0</v>
      </c>
      <c r="O3300" t="s">
        <v>5354</v>
      </c>
      <c r="P3300" s="3" t="s">
        <v>76</v>
      </c>
      <c r="Q3300" s="8">
        <v>0.26083299999999998</v>
      </c>
    </row>
    <row r="3301" spans="1:17" hidden="1" x14ac:dyDescent="0.55000000000000004">
      <c r="A3301" s="3" t="s">
        <v>5334</v>
      </c>
      <c r="B3301" s="3" t="s">
        <v>5349</v>
      </c>
      <c r="C3301" t="s">
        <v>5349</v>
      </c>
      <c r="D3301" s="3" t="s">
        <v>7326</v>
      </c>
      <c r="E3301" t="s">
        <v>5359</v>
      </c>
      <c r="F3301" s="3" t="s">
        <v>5360</v>
      </c>
      <c r="G3301" t="s">
        <v>24</v>
      </c>
      <c r="H3301" s="3" t="s">
        <v>5355</v>
      </c>
      <c r="I3301" t="s">
        <v>218</v>
      </c>
      <c r="J3301" s="3" t="s">
        <v>5353</v>
      </c>
      <c r="K3301" s="4">
        <v>1687</v>
      </c>
      <c r="L3301" s="5">
        <v>76.69</v>
      </c>
      <c r="M3301" s="6">
        <v>0</v>
      </c>
      <c r="N3301" s="7">
        <v>0</v>
      </c>
      <c r="O3301" t="s">
        <v>5356</v>
      </c>
      <c r="P3301" s="3" t="s">
        <v>23</v>
      </c>
      <c r="Q3301" s="8" t="s">
        <v>23</v>
      </c>
    </row>
    <row r="3302" spans="1:17" hidden="1" x14ac:dyDescent="0.55000000000000004">
      <c r="A3302" s="3" t="s">
        <v>5334</v>
      </c>
      <c r="B3302" s="3" t="s">
        <v>5349</v>
      </c>
      <c r="C3302" t="s">
        <v>5349</v>
      </c>
      <c r="D3302" s="3" t="s">
        <v>7326</v>
      </c>
      <c r="E3302" t="s">
        <v>5361</v>
      </c>
      <c r="F3302" s="3" t="s">
        <v>5362</v>
      </c>
      <c r="G3302" t="s">
        <v>19</v>
      </c>
      <c r="H3302" s="3" t="s">
        <v>5363</v>
      </c>
      <c r="I3302" t="s">
        <v>3627</v>
      </c>
      <c r="J3302" s="3" t="s">
        <v>5364</v>
      </c>
      <c r="K3302" s="4">
        <v>290</v>
      </c>
      <c r="L3302" s="5">
        <v>63.11</v>
      </c>
      <c r="M3302" s="6">
        <v>1</v>
      </c>
      <c r="N3302" s="7">
        <v>1</v>
      </c>
      <c r="O3302" t="s">
        <v>3630</v>
      </c>
      <c r="P3302" s="3" t="s">
        <v>3631</v>
      </c>
      <c r="Q3302" s="8">
        <v>6.8030999999999994E-2</v>
      </c>
    </row>
    <row r="3303" spans="1:17" hidden="1" x14ac:dyDescent="0.55000000000000004">
      <c r="A3303" s="3" t="s">
        <v>5334</v>
      </c>
      <c r="B3303" s="3" t="s">
        <v>5349</v>
      </c>
      <c r="C3303" t="s">
        <v>5349</v>
      </c>
      <c r="D3303" s="3" t="s">
        <v>7326</v>
      </c>
      <c r="E3303" t="s">
        <v>5361</v>
      </c>
      <c r="F3303" s="3" t="s">
        <v>5362</v>
      </c>
      <c r="G3303" t="s">
        <v>24</v>
      </c>
      <c r="H3303" s="3" t="s">
        <v>5352</v>
      </c>
      <c r="I3303" t="s">
        <v>26</v>
      </c>
      <c r="J3303" s="3" t="s">
        <v>5353</v>
      </c>
      <c r="K3303" s="4">
        <v>1022</v>
      </c>
      <c r="L3303" s="5">
        <v>46.45</v>
      </c>
      <c r="M3303" s="6">
        <v>1</v>
      </c>
      <c r="N3303" s="7">
        <v>1</v>
      </c>
      <c r="O3303" t="s">
        <v>5354</v>
      </c>
      <c r="P3303" s="3" t="s">
        <v>76</v>
      </c>
      <c r="Q3303" s="8">
        <v>0.26083299999999998</v>
      </c>
    </row>
    <row r="3304" spans="1:17" hidden="1" x14ac:dyDescent="0.55000000000000004">
      <c r="A3304" s="3" t="s">
        <v>5334</v>
      </c>
      <c r="B3304" s="3" t="s">
        <v>5349</v>
      </c>
      <c r="C3304" t="s">
        <v>5349</v>
      </c>
      <c r="D3304" s="3" t="s">
        <v>7326</v>
      </c>
      <c r="E3304" t="s">
        <v>5361</v>
      </c>
      <c r="F3304" s="3" t="s">
        <v>5362</v>
      </c>
      <c r="G3304" t="s">
        <v>24</v>
      </c>
      <c r="H3304" s="3" t="s">
        <v>5355</v>
      </c>
      <c r="I3304" t="s">
        <v>218</v>
      </c>
      <c r="J3304" s="3" t="s">
        <v>5353</v>
      </c>
      <c r="K3304" s="4">
        <v>1687</v>
      </c>
      <c r="L3304" s="5">
        <v>76.69</v>
      </c>
      <c r="M3304" s="6">
        <v>0</v>
      </c>
      <c r="N3304" s="7">
        <v>1</v>
      </c>
      <c r="O3304" t="s">
        <v>5356</v>
      </c>
      <c r="P3304" s="3" t="s">
        <v>23</v>
      </c>
      <c r="Q3304" s="8" t="s">
        <v>23</v>
      </c>
    </row>
    <row r="3305" spans="1:17" hidden="1" x14ac:dyDescent="0.55000000000000004">
      <c r="A3305" s="3" t="s">
        <v>5334</v>
      </c>
      <c r="B3305" s="3" t="s">
        <v>5349</v>
      </c>
      <c r="C3305" t="s">
        <v>5349</v>
      </c>
      <c r="D3305" s="3" t="s">
        <v>7326</v>
      </c>
      <c r="E3305" t="s">
        <v>5365</v>
      </c>
      <c r="F3305" s="3" t="s">
        <v>5366</v>
      </c>
      <c r="G3305" t="s">
        <v>24</v>
      </c>
      <c r="H3305" s="3" t="s">
        <v>5352</v>
      </c>
      <c r="I3305" t="s">
        <v>26</v>
      </c>
      <c r="J3305" s="3" t="s">
        <v>5353</v>
      </c>
      <c r="K3305" s="4">
        <v>1022</v>
      </c>
      <c r="L3305" s="5">
        <v>46.45</v>
      </c>
      <c r="M3305" s="6">
        <v>1</v>
      </c>
      <c r="N3305" s="7">
        <v>0</v>
      </c>
      <c r="O3305" t="s">
        <v>5354</v>
      </c>
      <c r="P3305" s="3" t="s">
        <v>76</v>
      </c>
      <c r="Q3305" s="8">
        <v>0.26083299999999998</v>
      </c>
    </row>
    <row r="3306" spans="1:17" hidden="1" x14ac:dyDescent="0.55000000000000004">
      <c r="A3306" s="3" t="s">
        <v>5334</v>
      </c>
      <c r="B3306" s="3" t="s">
        <v>5349</v>
      </c>
      <c r="C3306" t="s">
        <v>5349</v>
      </c>
      <c r="D3306" s="3" t="s">
        <v>7326</v>
      </c>
      <c r="E3306" t="s">
        <v>5365</v>
      </c>
      <c r="F3306" s="3" t="s">
        <v>5366</v>
      </c>
      <c r="G3306" t="s">
        <v>24</v>
      </c>
      <c r="H3306" s="3" t="s">
        <v>5355</v>
      </c>
      <c r="I3306" t="s">
        <v>218</v>
      </c>
      <c r="J3306" s="3" t="s">
        <v>5353</v>
      </c>
      <c r="K3306" s="4">
        <v>1687</v>
      </c>
      <c r="L3306" s="5">
        <v>76.69</v>
      </c>
      <c r="M3306" s="6">
        <v>0</v>
      </c>
      <c r="N3306" s="7">
        <v>0</v>
      </c>
      <c r="O3306" t="s">
        <v>5356</v>
      </c>
      <c r="P3306" s="3" t="s">
        <v>23</v>
      </c>
      <c r="Q3306" s="8" t="s">
        <v>23</v>
      </c>
    </row>
    <row r="3307" spans="1:17" hidden="1" x14ac:dyDescent="0.55000000000000004">
      <c r="A3307" s="3" t="s">
        <v>5334</v>
      </c>
      <c r="B3307" s="3" t="s">
        <v>7393</v>
      </c>
      <c r="C3307" t="s">
        <v>5349</v>
      </c>
      <c r="D3307" s="3" t="s">
        <v>7326</v>
      </c>
      <c r="E3307" t="s">
        <v>5367</v>
      </c>
      <c r="F3307" s="3" t="s">
        <v>5368</v>
      </c>
      <c r="G3307" t="s">
        <v>24</v>
      </c>
      <c r="H3307" s="3" t="s">
        <v>5352</v>
      </c>
      <c r="I3307" t="s">
        <v>26</v>
      </c>
      <c r="J3307" s="3" t="s">
        <v>5353</v>
      </c>
      <c r="K3307" s="4">
        <v>1022</v>
      </c>
      <c r="L3307" s="5">
        <v>46.45</v>
      </c>
      <c r="M3307" s="6">
        <v>1</v>
      </c>
      <c r="N3307" s="7">
        <v>0</v>
      </c>
      <c r="O3307" t="s">
        <v>5354</v>
      </c>
      <c r="P3307" s="3" t="s">
        <v>76</v>
      </c>
      <c r="Q3307" s="8">
        <v>0.26083299999999998</v>
      </c>
    </row>
    <row r="3308" spans="1:17" hidden="1" x14ac:dyDescent="0.55000000000000004">
      <c r="A3308" s="3" t="s">
        <v>5334</v>
      </c>
      <c r="B3308" s="3" t="s">
        <v>7393</v>
      </c>
      <c r="C3308" t="s">
        <v>5349</v>
      </c>
      <c r="D3308" s="3" t="s">
        <v>7326</v>
      </c>
      <c r="E3308" t="s">
        <v>5367</v>
      </c>
      <c r="F3308" s="3" t="s">
        <v>5368</v>
      </c>
      <c r="G3308" t="s">
        <v>24</v>
      </c>
      <c r="H3308" s="3" t="s">
        <v>5355</v>
      </c>
      <c r="I3308" t="s">
        <v>218</v>
      </c>
      <c r="J3308" s="3" t="s">
        <v>5353</v>
      </c>
      <c r="K3308" s="4">
        <v>1687</v>
      </c>
      <c r="L3308" s="5">
        <v>76.69</v>
      </c>
      <c r="M3308" s="6">
        <v>0</v>
      </c>
      <c r="N3308" s="7">
        <v>0</v>
      </c>
      <c r="O3308" t="s">
        <v>5356</v>
      </c>
      <c r="P3308" s="3" t="s">
        <v>23</v>
      </c>
      <c r="Q3308" s="8" t="s">
        <v>23</v>
      </c>
    </row>
    <row r="3309" spans="1:17" hidden="1" x14ac:dyDescent="0.55000000000000004">
      <c r="A3309" s="3" t="s">
        <v>5334</v>
      </c>
      <c r="B3309" s="3" t="s">
        <v>5349</v>
      </c>
      <c r="C3309" t="s">
        <v>5349</v>
      </c>
      <c r="D3309" s="3" t="s">
        <v>7326</v>
      </c>
      <c r="E3309" t="s">
        <v>5369</v>
      </c>
      <c r="F3309" s="3" t="s">
        <v>5370</v>
      </c>
      <c r="G3309" t="s">
        <v>24</v>
      </c>
      <c r="H3309" s="3" t="s">
        <v>5352</v>
      </c>
      <c r="I3309" t="s">
        <v>26</v>
      </c>
      <c r="J3309" s="3" t="s">
        <v>5353</v>
      </c>
      <c r="K3309" s="4">
        <v>1022</v>
      </c>
      <c r="L3309" s="5">
        <v>46.45</v>
      </c>
      <c r="M3309" s="6">
        <v>1</v>
      </c>
      <c r="N3309" s="7">
        <v>0</v>
      </c>
      <c r="O3309" t="s">
        <v>5354</v>
      </c>
      <c r="P3309" s="3" t="s">
        <v>76</v>
      </c>
      <c r="Q3309" s="8">
        <v>0.26083299999999998</v>
      </c>
    </row>
    <row r="3310" spans="1:17" hidden="1" x14ac:dyDescent="0.55000000000000004">
      <c r="A3310" s="9" t="s">
        <v>5334</v>
      </c>
      <c r="B3310" s="3" t="s">
        <v>5349</v>
      </c>
      <c r="C3310" t="s">
        <v>5349</v>
      </c>
      <c r="D3310" s="3" t="s">
        <v>7326</v>
      </c>
      <c r="E3310" t="s">
        <v>5369</v>
      </c>
      <c r="F3310" s="3" t="s">
        <v>5370</v>
      </c>
      <c r="G3310" t="s">
        <v>24</v>
      </c>
      <c r="H3310" s="3" t="s">
        <v>5355</v>
      </c>
      <c r="I3310" t="s">
        <v>218</v>
      </c>
      <c r="J3310" s="3" t="s">
        <v>5353</v>
      </c>
      <c r="K3310" s="4">
        <v>1687</v>
      </c>
      <c r="L3310" s="5">
        <v>76.69</v>
      </c>
      <c r="M3310" s="6">
        <v>0</v>
      </c>
      <c r="N3310" s="7">
        <v>0</v>
      </c>
      <c r="O3310" t="s">
        <v>5356</v>
      </c>
      <c r="P3310" s="3" t="s">
        <v>23</v>
      </c>
      <c r="Q3310" s="8" t="s">
        <v>23</v>
      </c>
    </row>
    <row r="3311" spans="1:17" hidden="1" x14ac:dyDescent="0.55000000000000004">
      <c r="A3311" s="3" t="s">
        <v>5371</v>
      </c>
      <c r="B3311" s="3" t="s">
        <v>5372</v>
      </c>
      <c r="C3311" t="s">
        <v>5372</v>
      </c>
      <c r="D3311" s="3" t="s">
        <v>7329</v>
      </c>
      <c r="E3311" t="s">
        <v>5373</v>
      </c>
      <c r="F3311" s="3" t="s">
        <v>5374</v>
      </c>
      <c r="G3311" t="s">
        <v>19</v>
      </c>
      <c r="H3311" s="3" t="s">
        <v>5375</v>
      </c>
      <c r="I3311" t="s">
        <v>81</v>
      </c>
      <c r="J3311" s="3" t="s">
        <v>5376</v>
      </c>
      <c r="K3311" s="4">
        <v>1326</v>
      </c>
      <c r="L3311" s="5">
        <v>288.3</v>
      </c>
      <c r="M3311" s="6">
        <v>1</v>
      </c>
      <c r="N3311" s="7">
        <v>1</v>
      </c>
      <c r="O3311" t="s">
        <v>5377</v>
      </c>
      <c r="P3311" s="3" t="s">
        <v>84</v>
      </c>
      <c r="Q3311" s="8">
        <v>4.8980999999999997E-2</v>
      </c>
    </row>
    <row r="3312" spans="1:17" hidden="1" x14ac:dyDescent="0.55000000000000004">
      <c r="A3312" s="3" t="s">
        <v>5371</v>
      </c>
      <c r="B3312" s="3" t="s">
        <v>5372</v>
      </c>
      <c r="C3312" t="s">
        <v>5372</v>
      </c>
      <c r="D3312" s="3" t="s">
        <v>7329</v>
      </c>
      <c r="E3312" t="s">
        <v>5373</v>
      </c>
      <c r="F3312" s="3" t="s">
        <v>5374</v>
      </c>
      <c r="G3312" t="s">
        <v>24</v>
      </c>
      <c r="H3312" s="3" t="s">
        <v>5378</v>
      </c>
      <c r="I3312" t="s">
        <v>43</v>
      </c>
      <c r="J3312" s="3" t="s">
        <v>5379</v>
      </c>
      <c r="K3312" s="4">
        <v>869</v>
      </c>
      <c r="L3312" s="5">
        <v>39.5</v>
      </c>
      <c r="M3312" s="6">
        <v>1</v>
      </c>
      <c r="N3312" s="7">
        <v>1</v>
      </c>
      <c r="O3312" t="s">
        <v>5380</v>
      </c>
      <c r="P3312" s="3" t="s">
        <v>46</v>
      </c>
      <c r="Q3312" s="8">
        <v>0.25573299999999999</v>
      </c>
    </row>
    <row r="3313" spans="1:17" hidden="1" x14ac:dyDescent="0.55000000000000004">
      <c r="A3313" s="3" t="s">
        <v>5371</v>
      </c>
      <c r="B3313" s="3" t="s">
        <v>5372</v>
      </c>
      <c r="C3313" t="s">
        <v>5372</v>
      </c>
      <c r="D3313" s="3" t="s">
        <v>7329</v>
      </c>
      <c r="E3313" t="s">
        <v>5373</v>
      </c>
      <c r="F3313" s="3" t="s">
        <v>5374</v>
      </c>
      <c r="G3313" t="s">
        <v>24</v>
      </c>
      <c r="H3313" s="3" t="s">
        <v>5381</v>
      </c>
      <c r="I3313" t="s">
        <v>48</v>
      </c>
      <c r="J3313" s="3" t="s">
        <v>5379</v>
      </c>
      <c r="K3313" s="4">
        <v>792</v>
      </c>
      <c r="L3313" s="5">
        <v>36.01</v>
      </c>
      <c r="M3313" s="6">
        <v>0</v>
      </c>
      <c r="N3313" s="7">
        <v>1</v>
      </c>
      <c r="O3313" t="s">
        <v>5382</v>
      </c>
      <c r="P3313" s="3" t="s">
        <v>23</v>
      </c>
      <c r="Q3313" s="8" t="s">
        <v>23</v>
      </c>
    </row>
    <row r="3314" spans="1:17" hidden="1" x14ac:dyDescent="0.55000000000000004">
      <c r="A3314" s="3" t="s">
        <v>5371</v>
      </c>
      <c r="B3314" s="3" t="s">
        <v>5372</v>
      </c>
      <c r="C3314" t="s">
        <v>5372</v>
      </c>
      <c r="D3314" s="3" t="s">
        <v>7329</v>
      </c>
      <c r="E3314" t="s">
        <v>5383</v>
      </c>
      <c r="F3314" s="3" t="s">
        <v>5384</v>
      </c>
      <c r="G3314" t="s">
        <v>19</v>
      </c>
      <c r="H3314" s="3" t="s">
        <v>5375</v>
      </c>
      <c r="I3314" t="s">
        <v>81</v>
      </c>
      <c r="J3314" s="3" t="s">
        <v>5376</v>
      </c>
      <c r="K3314" s="4">
        <v>1326</v>
      </c>
      <c r="L3314" s="5">
        <v>288.3</v>
      </c>
      <c r="M3314" s="6">
        <v>1</v>
      </c>
      <c r="N3314" s="7">
        <v>0</v>
      </c>
      <c r="O3314" t="s">
        <v>5377</v>
      </c>
      <c r="P3314" s="3" t="s">
        <v>84</v>
      </c>
      <c r="Q3314" s="8">
        <v>4.8980999999999997E-2</v>
      </c>
    </row>
    <row r="3315" spans="1:17" hidden="1" x14ac:dyDescent="0.55000000000000004">
      <c r="A3315" s="3" t="s">
        <v>5371</v>
      </c>
      <c r="B3315" s="3" t="s">
        <v>5372</v>
      </c>
      <c r="C3315" t="s">
        <v>5372</v>
      </c>
      <c r="D3315" s="3" t="s">
        <v>7329</v>
      </c>
      <c r="E3315" t="s">
        <v>5383</v>
      </c>
      <c r="F3315" s="3" t="s">
        <v>5384</v>
      </c>
      <c r="G3315" t="s">
        <v>24</v>
      </c>
      <c r="H3315" s="3" t="s">
        <v>5378</v>
      </c>
      <c r="I3315" t="s">
        <v>43</v>
      </c>
      <c r="J3315" s="3" t="s">
        <v>5379</v>
      </c>
      <c r="K3315" s="4">
        <v>869</v>
      </c>
      <c r="L3315" s="5">
        <v>39.5</v>
      </c>
      <c r="M3315" s="6">
        <v>1</v>
      </c>
      <c r="N3315" s="7">
        <v>0</v>
      </c>
      <c r="O3315" t="s">
        <v>5380</v>
      </c>
      <c r="P3315" s="3" t="s">
        <v>46</v>
      </c>
      <c r="Q3315" s="8">
        <v>0.25573299999999999</v>
      </c>
    </row>
    <row r="3316" spans="1:17" hidden="1" x14ac:dyDescent="0.55000000000000004">
      <c r="A3316" s="3" t="s">
        <v>5371</v>
      </c>
      <c r="B3316" s="3" t="s">
        <v>5372</v>
      </c>
      <c r="C3316" t="s">
        <v>5372</v>
      </c>
      <c r="D3316" s="3" t="s">
        <v>7329</v>
      </c>
      <c r="E3316" t="s">
        <v>5383</v>
      </c>
      <c r="F3316" s="3" t="s">
        <v>5384</v>
      </c>
      <c r="G3316" t="s">
        <v>24</v>
      </c>
      <c r="H3316" s="3" t="s">
        <v>5381</v>
      </c>
      <c r="I3316" t="s">
        <v>48</v>
      </c>
      <c r="J3316" s="3" t="s">
        <v>5379</v>
      </c>
      <c r="K3316" s="4">
        <v>792</v>
      </c>
      <c r="L3316" s="5">
        <v>36.01</v>
      </c>
      <c r="M3316" s="6">
        <v>0</v>
      </c>
      <c r="N3316" s="7">
        <v>0</v>
      </c>
      <c r="O3316" t="s">
        <v>5382</v>
      </c>
      <c r="P3316" s="3" t="s">
        <v>23</v>
      </c>
      <c r="Q3316" s="8" t="s">
        <v>23</v>
      </c>
    </row>
    <row r="3317" spans="1:17" hidden="1" x14ac:dyDescent="0.55000000000000004">
      <c r="A3317" s="3" t="s">
        <v>5371</v>
      </c>
      <c r="B3317" s="3" t="s">
        <v>5372</v>
      </c>
      <c r="C3317" t="s">
        <v>5372</v>
      </c>
      <c r="D3317" s="3" t="s">
        <v>7329</v>
      </c>
      <c r="E3317" t="s">
        <v>5385</v>
      </c>
      <c r="F3317" s="3" t="s">
        <v>5386</v>
      </c>
      <c r="G3317" t="s">
        <v>19</v>
      </c>
      <c r="H3317" s="3" t="s">
        <v>5375</v>
      </c>
      <c r="I3317" t="s">
        <v>81</v>
      </c>
      <c r="J3317" s="3" t="s">
        <v>5376</v>
      </c>
      <c r="K3317" s="4">
        <v>1326</v>
      </c>
      <c r="L3317" s="5">
        <v>288.3</v>
      </c>
      <c r="M3317" s="6">
        <v>1</v>
      </c>
      <c r="N3317" s="7">
        <v>0</v>
      </c>
      <c r="O3317" t="s">
        <v>5377</v>
      </c>
      <c r="P3317" s="3" t="s">
        <v>84</v>
      </c>
      <c r="Q3317" s="8">
        <v>4.8980999999999997E-2</v>
      </c>
    </row>
    <row r="3318" spans="1:17" hidden="1" x14ac:dyDescent="0.55000000000000004">
      <c r="A3318" s="3" t="s">
        <v>5371</v>
      </c>
      <c r="B3318" s="3" t="s">
        <v>5372</v>
      </c>
      <c r="C3318" t="s">
        <v>5372</v>
      </c>
      <c r="D3318" s="3" t="s">
        <v>7329</v>
      </c>
      <c r="E3318" t="s">
        <v>5385</v>
      </c>
      <c r="F3318" s="3" t="s">
        <v>5386</v>
      </c>
      <c r="G3318" t="s">
        <v>24</v>
      </c>
      <c r="H3318" s="3" t="s">
        <v>5378</v>
      </c>
      <c r="I3318" t="s">
        <v>43</v>
      </c>
      <c r="J3318" s="3" t="s">
        <v>5379</v>
      </c>
      <c r="K3318" s="4">
        <v>869</v>
      </c>
      <c r="L3318" s="5">
        <v>39.5</v>
      </c>
      <c r="M3318" s="6">
        <v>1</v>
      </c>
      <c r="N3318" s="7">
        <v>0</v>
      </c>
      <c r="O3318" t="s">
        <v>5380</v>
      </c>
      <c r="P3318" s="3" t="s">
        <v>46</v>
      </c>
      <c r="Q3318" s="8">
        <v>0.25573299999999999</v>
      </c>
    </row>
    <row r="3319" spans="1:17" hidden="1" x14ac:dyDescent="0.55000000000000004">
      <c r="A3319" s="3" t="s">
        <v>5371</v>
      </c>
      <c r="B3319" s="3" t="s">
        <v>5372</v>
      </c>
      <c r="C3319" t="s">
        <v>5372</v>
      </c>
      <c r="D3319" s="3" t="s">
        <v>7329</v>
      </c>
      <c r="E3319" t="s">
        <v>5385</v>
      </c>
      <c r="F3319" s="3" t="s">
        <v>5386</v>
      </c>
      <c r="G3319" t="s">
        <v>24</v>
      </c>
      <c r="H3319" s="3" t="s">
        <v>5381</v>
      </c>
      <c r="I3319" t="s">
        <v>48</v>
      </c>
      <c r="J3319" s="3" t="s">
        <v>5379</v>
      </c>
      <c r="K3319" s="4">
        <v>792</v>
      </c>
      <c r="L3319" s="5">
        <v>36.01</v>
      </c>
      <c r="M3319" s="6">
        <v>0</v>
      </c>
      <c r="N3319" s="7">
        <v>0</v>
      </c>
      <c r="O3319" t="s">
        <v>5382</v>
      </c>
      <c r="P3319" s="3" t="s">
        <v>23</v>
      </c>
      <c r="Q3319" s="8" t="s">
        <v>23</v>
      </c>
    </row>
    <row r="3320" spans="1:17" hidden="1" x14ac:dyDescent="0.55000000000000004">
      <c r="A3320" s="3" t="s">
        <v>5371</v>
      </c>
      <c r="B3320" s="3" t="s">
        <v>5372</v>
      </c>
      <c r="C3320" t="s">
        <v>5372</v>
      </c>
      <c r="D3320" s="3" t="s">
        <v>7329</v>
      </c>
      <c r="E3320" t="s">
        <v>5387</v>
      </c>
      <c r="F3320" s="3" t="s">
        <v>5388</v>
      </c>
      <c r="G3320" t="s">
        <v>19</v>
      </c>
      <c r="H3320" s="3" t="s">
        <v>5375</v>
      </c>
      <c r="I3320" t="s">
        <v>81</v>
      </c>
      <c r="J3320" s="3" t="s">
        <v>5376</v>
      </c>
      <c r="K3320" s="4">
        <v>1326</v>
      </c>
      <c r="L3320" s="5">
        <v>288.3</v>
      </c>
      <c r="M3320" s="6">
        <v>1</v>
      </c>
      <c r="N3320" s="7">
        <v>0</v>
      </c>
      <c r="O3320" t="s">
        <v>5377</v>
      </c>
      <c r="P3320" s="3" t="s">
        <v>84</v>
      </c>
      <c r="Q3320" s="8">
        <v>4.8980999999999997E-2</v>
      </c>
    </row>
    <row r="3321" spans="1:17" hidden="1" x14ac:dyDescent="0.55000000000000004">
      <c r="A3321" s="3" t="s">
        <v>5371</v>
      </c>
      <c r="B3321" s="3" t="s">
        <v>5372</v>
      </c>
      <c r="C3321" t="s">
        <v>5372</v>
      </c>
      <c r="D3321" s="3" t="s">
        <v>7329</v>
      </c>
      <c r="E3321" t="s">
        <v>5387</v>
      </c>
      <c r="F3321" s="3" t="s">
        <v>5388</v>
      </c>
      <c r="G3321" t="s">
        <v>24</v>
      </c>
      <c r="H3321" s="3" t="s">
        <v>5378</v>
      </c>
      <c r="I3321" t="s">
        <v>43</v>
      </c>
      <c r="J3321" s="3" t="s">
        <v>5379</v>
      </c>
      <c r="K3321" s="4">
        <v>869</v>
      </c>
      <c r="L3321" s="5">
        <v>39.5</v>
      </c>
      <c r="M3321" s="6">
        <v>1</v>
      </c>
      <c r="N3321" s="7">
        <v>0</v>
      </c>
      <c r="O3321" t="s">
        <v>5380</v>
      </c>
      <c r="P3321" s="3" t="s">
        <v>46</v>
      </c>
      <c r="Q3321" s="8">
        <v>0.25573299999999999</v>
      </c>
    </row>
    <row r="3322" spans="1:17" hidden="1" x14ac:dyDescent="0.55000000000000004">
      <c r="A3322" s="3" t="s">
        <v>5371</v>
      </c>
      <c r="B3322" s="3" t="s">
        <v>5372</v>
      </c>
      <c r="C3322" t="s">
        <v>5372</v>
      </c>
      <c r="D3322" s="3" t="s">
        <v>7329</v>
      </c>
      <c r="E3322" t="s">
        <v>5387</v>
      </c>
      <c r="F3322" s="3" t="s">
        <v>5388</v>
      </c>
      <c r="G3322" t="s">
        <v>24</v>
      </c>
      <c r="H3322" s="3" t="s">
        <v>5381</v>
      </c>
      <c r="I3322" t="s">
        <v>48</v>
      </c>
      <c r="J3322" s="3" t="s">
        <v>5379</v>
      </c>
      <c r="K3322" s="4">
        <v>792</v>
      </c>
      <c r="L3322" s="5">
        <v>36.01</v>
      </c>
      <c r="M3322" s="6">
        <v>0</v>
      </c>
      <c r="N3322" s="7">
        <v>0</v>
      </c>
      <c r="O3322" t="s">
        <v>5382</v>
      </c>
      <c r="P3322" s="3" t="s">
        <v>23</v>
      </c>
      <c r="Q3322" s="8" t="s">
        <v>23</v>
      </c>
    </row>
    <row r="3323" spans="1:17" hidden="1" x14ac:dyDescent="0.55000000000000004">
      <c r="A3323" s="3" t="s">
        <v>5371</v>
      </c>
      <c r="B3323" s="3" t="s">
        <v>5372</v>
      </c>
      <c r="C3323" t="s">
        <v>5372</v>
      </c>
      <c r="D3323" s="3" t="s">
        <v>7329</v>
      </c>
      <c r="E3323" t="s">
        <v>5389</v>
      </c>
      <c r="F3323" s="3" t="s">
        <v>5390</v>
      </c>
      <c r="G3323" t="s">
        <v>24</v>
      </c>
      <c r="H3323" s="3" t="s">
        <v>5391</v>
      </c>
      <c r="I3323" t="s">
        <v>37</v>
      </c>
      <c r="J3323" s="3" t="s">
        <v>5392</v>
      </c>
      <c r="K3323" s="4">
        <v>811</v>
      </c>
      <c r="L3323" s="5">
        <v>36.85</v>
      </c>
      <c r="M3323" s="6">
        <v>1</v>
      </c>
      <c r="N3323" s="7">
        <v>0</v>
      </c>
      <c r="O3323" t="s">
        <v>5393</v>
      </c>
      <c r="P3323" s="3" t="s">
        <v>40</v>
      </c>
      <c r="Q3323" s="8">
        <v>0.218274</v>
      </c>
    </row>
    <row r="3324" spans="1:17" hidden="1" x14ac:dyDescent="0.55000000000000004">
      <c r="A3324" s="3" t="s">
        <v>5371</v>
      </c>
      <c r="B3324" s="3" t="s">
        <v>5394</v>
      </c>
      <c r="C3324" t="s">
        <v>5372</v>
      </c>
      <c r="D3324" s="3" t="s">
        <v>7329</v>
      </c>
      <c r="E3324" t="s">
        <v>5395</v>
      </c>
      <c r="F3324" s="3" t="s">
        <v>5396</v>
      </c>
      <c r="G3324" t="s">
        <v>19</v>
      </c>
      <c r="H3324" s="3" t="s">
        <v>5397</v>
      </c>
      <c r="I3324" t="s">
        <v>81</v>
      </c>
      <c r="J3324" s="3" t="s">
        <v>5398</v>
      </c>
      <c r="K3324" s="4">
        <v>1313</v>
      </c>
      <c r="L3324" s="5">
        <v>285.37</v>
      </c>
      <c r="M3324" s="6">
        <v>1</v>
      </c>
      <c r="N3324" s="7">
        <v>1</v>
      </c>
      <c r="O3324" t="s">
        <v>5399</v>
      </c>
      <c r="P3324" s="3" t="s">
        <v>84</v>
      </c>
      <c r="Q3324" s="8">
        <v>4.8980999999999997E-2</v>
      </c>
    </row>
    <row r="3325" spans="1:17" hidden="1" x14ac:dyDescent="0.55000000000000004">
      <c r="A3325" s="3" t="s">
        <v>5371</v>
      </c>
      <c r="B3325" s="3" t="s">
        <v>5394</v>
      </c>
      <c r="C3325" t="s">
        <v>5372</v>
      </c>
      <c r="D3325" s="3" t="s">
        <v>7329</v>
      </c>
      <c r="E3325" t="s">
        <v>5395</v>
      </c>
      <c r="F3325" s="3" t="s">
        <v>5396</v>
      </c>
      <c r="G3325" t="s">
        <v>24</v>
      </c>
      <c r="H3325" s="3" t="s">
        <v>5400</v>
      </c>
      <c r="I3325" t="s">
        <v>43</v>
      </c>
      <c r="J3325" s="3" t="s">
        <v>5401</v>
      </c>
      <c r="K3325" s="4">
        <v>854</v>
      </c>
      <c r="L3325" s="5">
        <v>38.81</v>
      </c>
      <c r="M3325" s="6">
        <v>1</v>
      </c>
      <c r="N3325" s="7">
        <v>1</v>
      </c>
      <c r="O3325" t="s">
        <v>5402</v>
      </c>
      <c r="P3325" s="3" t="s">
        <v>46</v>
      </c>
      <c r="Q3325" s="8">
        <v>0.25573299999999999</v>
      </c>
    </row>
    <row r="3326" spans="1:17" hidden="1" x14ac:dyDescent="0.55000000000000004">
      <c r="A3326" s="3" t="s">
        <v>5371</v>
      </c>
      <c r="B3326" s="3" t="s">
        <v>5394</v>
      </c>
      <c r="C3326" t="s">
        <v>5372</v>
      </c>
      <c r="D3326" s="3" t="s">
        <v>7329</v>
      </c>
      <c r="E3326" t="s">
        <v>5395</v>
      </c>
      <c r="F3326" s="3" t="s">
        <v>5396</v>
      </c>
      <c r="G3326" t="s">
        <v>24</v>
      </c>
      <c r="H3326" s="3" t="s">
        <v>5403</v>
      </c>
      <c r="I3326" t="s">
        <v>48</v>
      </c>
      <c r="J3326" s="3" t="s">
        <v>5401</v>
      </c>
      <c r="K3326" s="4">
        <v>779</v>
      </c>
      <c r="L3326" s="5">
        <v>35.409999999999997</v>
      </c>
      <c r="M3326" s="6">
        <v>0</v>
      </c>
      <c r="N3326" s="7">
        <v>1</v>
      </c>
      <c r="O3326" t="s">
        <v>5404</v>
      </c>
      <c r="P3326" s="3" t="s">
        <v>23</v>
      </c>
      <c r="Q3326" s="8" t="s">
        <v>23</v>
      </c>
    </row>
    <row r="3327" spans="1:17" hidden="1" x14ac:dyDescent="0.55000000000000004">
      <c r="A3327" s="3" t="s">
        <v>5371</v>
      </c>
      <c r="B3327" s="3" t="s">
        <v>5405</v>
      </c>
      <c r="C3327" t="s">
        <v>5406</v>
      </c>
      <c r="D3327" s="3" t="s">
        <v>7329</v>
      </c>
      <c r="E3327" t="s">
        <v>5407</v>
      </c>
      <c r="F3327" s="3" t="s">
        <v>5408</v>
      </c>
      <c r="G3327" t="s">
        <v>24</v>
      </c>
      <c r="H3327" s="3" t="s">
        <v>5409</v>
      </c>
      <c r="I3327" t="s">
        <v>43</v>
      </c>
      <c r="J3327" s="3" t="s">
        <v>5410</v>
      </c>
      <c r="K3327" s="4">
        <v>724</v>
      </c>
      <c r="L3327" s="5">
        <v>32.92</v>
      </c>
      <c r="M3327" s="6">
        <v>1</v>
      </c>
      <c r="N3327" s="7">
        <v>0</v>
      </c>
      <c r="O3327" t="s">
        <v>5411</v>
      </c>
      <c r="P3327" s="3" t="s">
        <v>138</v>
      </c>
      <c r="Q3327" s="8">
        <v>0.239533</v>
      </c>
    </row>
    <row r="3328" spans="1:17" hidden="1" x14ac:dyDescent="0.55000000000000004">
      <c r="A3328" s="3" t="s">
        <v>5371</v>
      </c>
      <c r="B3328" s="3" t="s">
        <v>5405</v>
      </c>
      <c r="C3328" t="s">
        <v>5406</v>
      </c>
      <c r="D3328" s="3" t="s">
        <v>7329</v>
      </c>
      <c r="E3328" t="s">
        <v>5412</v>
      </c>
      <c r="F3328" s="3" t="s">
        <v>5413</v>
      </c>
      <c r="G3328" t="s">
        <v>24</v>
      </c>
      <c r="H3328" s="3" t="s">
        <v>5409</v>
      </c>
      <c r="I3328" t="s">
        <v>43</v>
      </c>
      <c r="J3328" s="3" t="s">
        <v>5410</v>
      </c>
      <c r="K3328" s="4">
        <v>724</v>
      </c>
      <c r="L3328" s="5">
        <v>32.92</v>
      </c>
      <c r="M3328" s="6">
        <v>1</v>
      </c>
      <c r="N3328" s="7">
        <v>0</v>
      </c>
      <c r="O3328" t="s">
        <v>5411</v>
      </c>
      <c r="P3328" s="3" t="s">
        <v>138</v>
      </c>
      <c r="Q3328" s="8">
        <v>0.239533</v>
      </c>
    </row>
    <row r="3329" spans="1:17" hidden="1" x14ac:dyDescent="0.55000000000000004">
      <c r="A3329" s="3" t="s">
        <v>5371</v>
      </c>
      <c r="B3329" s="3" t="s">
        <v>5405</v>
      </c>
      <c r="C3329" t="s">
        <v>5406</v>
      </c>
      <c r="D3329" s="3" t="s">
        <v>7329</v>
      </c>
      <c r="E3329" t="s">
        <v>5414</v>
      </c>
      <c r="F3329" s="3" t="s">
        <v>5415</v>
      </c>
      <c r="G3329" t="s">
        <v>24</v>
      </c>
      <c r="H3329" s="3" t="s">
        <v>5409</v>
      </c>
      <c r="I3329" t="s">
        <v>43</v>
      </c>
      <c r="J3329" s="3" t="s">
        <v>5410</v>
      </c>
      <c r="K3329" s="4">
        <v>724</v>
      </c>
      <c r="L3329" s="5">
        <v>32.92</v>
      </c>
      <c r="M3329" s="6">
        <v>1</v>
      </c>
      <c r="N3329" s="7">
        <v>0</v>
      </c>
      <c r="O3329" t="s">
        <v>5411</v>
      </c>
      <c r="P3329" s="3" t="s">
        <v>138</v>
      </c>
      <c r="Q3329" s="8">
        <v>0.239533</v>
      </c>
    </row>
    <row r="3330" spans="1:17" hidden="1" x14ac:dyDescent="0.55000000000000004">
      <c r="A3330" s="3" t="s">
        <v>5371</v>
      </c>
      <c r="B3330" s="3" t="s">
        <v>5405</v>
      </c>
      <c r="C3330" t="s">
        <v>5406</v>
      </c>
      <c r="D3330" s="3" t="s">
        <v>7329</v>
      </c>
      <c r="E3330" t="s">
        <v>5416</v>
      </c>
      <c r="F3330" s="3" t="s">
        <v>5417</v>
      </c>
      <c r="G3330" t="s">
        <v>24</v>
      </c>
      <c r="H3330" s="3" t="s">
        <v>5409</v>
      </c>
      <c r="I3330" t="s">
        <v>43</v>
      </c>
      <c r="J3330" s="3" t="s">
        <v>5410</v>
      </c>
      <c r="K3330" s="4">
        <v>724</v>
      </c>
      <c r="L3330" s="5">
        <v>32.92</v>
      </c>
      <c r="M3330" s="6">
        <v>1</v>
      </c>
      <c r="N3330" s="7">
        <v>0</v>
      </c>
      <c r="O3330" t="s">
        <v>5411</v>
      </c>
      <c r="P3330" s="3" t="s">
        <v>138</v>
      </c>
      <c r="Q3330" s="8">
        <v>0.239533</v>
      </c>
    </row>
    <row r="3331" spans="1:17" hidden="1" x14ac:dyDescent="0.55000000000000004">
      <c r="A3331" s="3" t="s">
        <v>5371</v>
      </c>
      <c r="B3331" s="3" t="s">
        <v>5418</v>
      </c>
      <c r="C3331" t="s">
        <v>5372</v>
      </c>
      <c r="D3331" s="3" t="s">
        <v>7329</v>
      </c>
      <c r="E3331" t="s">
        <v>5419</v>
      </c>
      <c r="F3331" s="3" t="s">
        <v>5420</v>
      </c>
      <c r="G3331" t="s">
        <v>19</v>
      </c>
      <c r="H3331" s="3" t="s">
        <v>5421</v>
      </c>
      <c r="I3331" t="s">
        <v>86</v>
      </c>
      <c r="J3331" s="3" t="s">
        <v>5422</v>
      </c>
      <c r="K3331" s="4">
        <v>1076</v>
      </c>
      <c r="L3331" s="5">
        <v>233.85</v>
      </c>
      <c r="M3331" s="6">
        <v>1</v>
      </c>
      <c r="N3331" s="7">
        <v>0</v>
      </c>
      <c r="O3331" t="s">
        <v>5423</v>
      </c>
      <c r="P3331" s="3" t="s">
        <v>89</v>
      </c>
      <c r="Q3331" s="8">
        <v>4.5818999999999999E-2</v>
      </c>
    </row>
    <row r="3332" spans="1:17" hidden="1" x14ac:dyDescent="0.55000000000000004">
      <c r="A3332" s="3" t="s">
        <v>5371</v>
      </c>
      <c r="B3332" s="3" t="s">
        <v>5418</v>
      </c>
      <c r="C3332" t="s">
        <v>5372</v>
      </c>
      <c r="D3332" s="3" t="s">
        <v>7329</v>
      </c>
      <c r="E3332" t="s">
        <v>5419</v>
      </c>
      <c r="F3332" s="3" t="s">
        <v>5420</v>
      </c>
      <c r="G3332" t="s">
        <v>24</v>
      </c>
      <c r="H3332" s="3" t="s">
        <v>5424</v>
      </c>
      <c r="I3332" t="s">
        <v>37</v>
      </c>
      <c r="J3332" s="3" t="s">
        <v>5425</v>
      </c>
      <c r="K3332" s="4">
        <v>811</v>
      </c>
      <c r="L3332" s="5">
        <v>36.85</v>
      </c>
      <c r="M3332" s="6">
        <v>1</v>
      </c>
      <c r="N3332" s="7">
        <v>0</v>
      </c>
      <c r="O3332" t="s">
        <v>5426</v>
      </c>
      <c r="P3332" s="3" t="s">
        <v>40</v>
      </c>
      <c r="Q3332" s="8">
        <v>0.218274</v>
      </c>
    </row>
    <row r="3333" spans="1:17" hidden="1" x14ac:dyDescent="0.55000000000000004">
      <c r="A3333" s="3" t="s">
        <v>5371</v>
      </c>
      <c r="B3333" s="3" t="s">
        <v>7394</v>
      </c>
      <c r="C3333" t="s">
        <v>5372</v>
      </c>
      <c r="D3333" s="3" t="s">
        <v>7329</v>
      </c>
      <c r="E3333" t="s">
        <v>5427</v>
      </c>
      <c r="F3333" s="3" t="s">
        <v>5428</v>
      </c>
      <c r="G3333" t="s">
        <v>19</v>
      </c>
      <c r="H3333" s="3" t="s">
        <v>5421</v>
      </c>
      <c r="I3333" t="s">
        <v>86</v>
      </c>
      <c r="J3333" s="3" t="s">
        <v>5422</v>
      </c>
      <c r="K3333" s="4">
        <v>1076</v>
      </c>
      <c r="L3333" s="5">
        <v>233.85</v>
      </c>
      <c r="M3333" s="6">
        <v>1</v>
      </c>
      <c r="N3333" s="7">
        <v>1</v>
      </c>
      <c r="O3333" t="s">
        <v>5423</v>
      </c>
      <c r="P3333" s="3" t="s">
        <v>89</v>
      </c>
      <c r="Q3333" s="8">
        <v>4.5818999999999999E-2</v>
      </c>
    </row>
    <row r="3334" spans="1:17" hidden="1" x14ac:dyDescent="0.55000000000000004">
      <c r="A3334" s="3" t="s">
        <v>5371</v>
      </c>
      <c r="B3334" s="3" t="s">
        <v>7394</v>
      </c>
      <c r="C3334" t="s">
        <v>5372</v>
      </c>
      <c r="D3334" s="3" t="s">
        <v>7329</v>
      </c>
      <c r="E3334" t="s">
        <v>5427</v>
      </c>
      <c r="F3334" s="3" t="s">
        <v>5428</v>
      </c>
      <c r="G3334" t="s">
        <v>24</v>
      </c>
      <c r="H3334" s="3" t="s">
        <v>5424</v>
      </c>
      <c r="I3334" t="s">
        <v>37</v>
      </c>
      <c r="J3334" s="3" t="s">
        <v>5425</v>
      </c>
      <c r="K3334" s="4">
        <v>811</v>
      </c>
      <c r="L3334" s="5">
        <v>36.85</v>
      </c>
      <c r="M3334" s="6">
        <v>1</v>
      </c>
      <c r="N3334" s="7">
        <v>1</v>
      </c>
      <c r="O3334" t="s">
        <v>5426</v>
      </c>
      <c r="P3334" s="3" t="s">
        <v>40</v>
      </c>
      <c r="Q3334" s="8">
        <v>0.218274</v>
      </c>
    </row>
    <row r="3335" spans="1:17" hidden="1" x14ac:dyDescent="0.55000000000000004">
      <c r="A3335" s="3" t="s">
        <v>5371</v>
      </c>
      <c r="B3335" s="3" t="s">
        <v>5430</v>
      </c>
      <c r="C3335" t="s">
        <v>5429</v>
      </c>
      <c r="D3335" s="3" t="s">
        <v>7329</v>
      </c>
      <c r="E3335" t="s">
        <v>5431</v>
      </c>
      <c r="F3335" s="3" t="s">
        <v>5432</v>
      </c>
      <c r="G3335" t="s">
        <v>19</v>
      </c>
      <c r="H3335" s="3" t="s">
        <v>5433</v>
      </c>
      <c r="I3335" t="s">
        <v>81</v>
      </c>
      <c r="J3335" s="3" t="s">
        <v>5434</v>
      </c>
      <c r="K3335" s="4">
        <v>1370</v>
      </c>
      <c r="L3335" s="5">
        <v>297.8</v>
      </c>
      <c r="M3335" s="6">
        <v>1</v>
      </c>
      <c r="N3335" s="7">
        <v>1</v>
      </c>
      <c r="O3335" t="s">
        <v>5435</v>
      </c>
      <c r="P3335" s="3" t="s">
        <v>84</v>
      </c>
      <c r="Q3335" s="8">
        <v>4.8395000000000001E-2</v>
      </c>
    </row>
    <row r="3336" spans="1:17" hidden="1" x14ac:dyDescent="0.55000000000000004">
      <c r="A3336" s="3" t="s">
        <v>5371</v>
      </c>
      <c r="B3336" s="3" t="s">
        <v>5430</v>
      </c>
      <c r="C3336" t="s">
        <v>5429</v>
      </c>
      <c r="D3336" s="3" t="s">
        <v>7329</v>
      </c>
      <c r="E3336" t="s">
        <v>5431</v>
      </c>
      <c r="F3336" s="3" t="s">
        <v>5432</v>
      </c>
      <c r="G3336" t="s">
        <v>24</v>
      </c>
      <c r="H3336" s="3" t="s">
        <v>5436</v>
      </c>
      <c r="I3336" t="s">
        <v>43</v>
      </c>
      <c r="J3336" s="3" t="s">
        <v>5437</v>
      </c>
      <c r="K3336" s="4">
        <v>988</v>
      </c>
      <c r="L3336" s="5">
        <v>44.89</v>
      </c>
      <c r="M3336" s="6">
        <v>1</v>
      </c>
      <c r="N3336" s="7">
        <v>1</v>
      </c>
      <c r="O3336" t="s">
        <v>5438</v>
      </c>
      <c r="P3336" s="3" t="s">
        <v>46</v>
      </c>
      <c r="Q3336" s="8">
        <v>0.21546699999999999</v>
      </c>
    </row>
    <row r="3337" spans="1:17" hidden="1" x14ac:dyDescent="0.55000000000000004">
      <c r="A3337" s="3" t="s">
        <v>5371</v>
      </c>
      <c r="B3337" s="3" t="s">
        <v>5430</v>
      </c>
      <c r="C3337" t="s">
        <v>5429</v>
      </c>
      <c r="D3337" s="3" t="s">
        <v>7329</v>
      </c>
      <c r="E3337" t="s">
        <v>5431</v>
      </c>
      <c r="F3337" s="3" t="s">
        <v>5432</v>
      </c>
      <c r="G3337" t="s">
        <v>24</v>
      </c>
      <c r="H3337" s="3" t="s">
        <v>5439</v>
      </c>
      <c r="I3337" t="s">
        <v>48</v>
      </c>
      <c r="J3337" s="3" t="s">
        <v>5437</v>
      </c>
      <c r="K3337" s="4">
        <v>944</v>
      </c>
      <c r="L3337" s="5">
        <v>42.89</v>
      </c>
      <c r="M3337" s="6">
        <v>0</v>
      </c>
      <c r="N3337" s="7">
        <v>1</v>
      </c>
      <c r="O3337" t="s">
        <v>5440</v>
      </c>
      <c r="P3337" s="3" t="s">
        <v>23</v>
      </c>
      <c r="Q3337" s="8" t="s">
        <v>23</v>
      </c>
    </row>
    <row r="3338" spans="1:17" hidden="1" x14ac:dyDescent="0.55000000000000004">
      <c r="A3338" s="3" t="s">
        <v>5371</v>
      </c>
      <c r="B3338" s="3" t="s">
        <v>5430</v>
      </c>
      <c r="C3338" t="s">
        <v>5429</v>
      </c>
      <c r="D3338" s="3" t="s">
        <v>7329</v>
      </c>
      <c r="E3338" t="s">
        <v>5441</v>
      </c>
      <c r="F3338" s="3" t="s">
        <v>5442</v>
      </c>
      <c r="G3338" t="s">
        <v>19</v>
      </c>
      <c r="H3338" s="3" t="s">
        <v>5443</v>
      </c>
      <c r="I3338" t="s">
        <v>81</v>
      </c>
      <c r="J3338" s="3" t="s">
        <v>5444</v>
      </c>
      <c r="K3338" s="4">
        <v>1371</v>
      </c>
      <c r="L3338" s="5">
        <v>298.04000000000002</v>
      </c>
      <c r="M3338" s="6">
        <v>1</v>
      </c>
      <c r="N3338" s="7">
        <v>0</v>
      </c>
      <c r="O3338" t="s">
        <v>5445</v>
      </c>
      <c r="P3338" s="3" t="s">
        <v>84</v>
      </c>
      <c r="Q3338" s="8">
        <v>4.8395000000000001E-2</v>
      </c>
    </row>
    <row r="3339" spans="1:17" hidden="1" x14ac:dyDescent="0.55000000000000004">
      <c r="A3339" s="3" t="s">
        <v>5371</v>
      </c>
      <c r="B3339" s="3" t="s">
        <v>5430</v>
      </c>
      <c r="C3339" t="s">
        <v>5429</v>
      </c>
      <c r="D3339" s="3" t="s">
        <v>7329</v>
      </c>
      <c r="E3339" t="s">
        <v>5441</v>
      </c>
      <c r="F3339" s="3" t="s">
        <v>5442</v>
      </c>
      <c r="G3339" t="s">
        <v>24</v>
      </c>
      <c r="H3339" s="3" t="s">
        <v>5436</v>
      </c>
      <c r="I3339" t="s">
        <v>43</v>
      </c>
      <c r="J3339" s="3" t="s">
        <v>5437</v>
      </c>
      <c r="K3339" s="4">
        <v>988</v>
      </c>
      <c r="L3339" s="5">
        <v>44.89</v>
      </c>
      <c r="M3339" s="6">
        <v>1</v>
      </c>
      <c r="N3339" s="7">
        <v>0</v>
      </c>
      <c r="O3339" t="s">
        <v>5438</v>
      </c>
      <c r="P3339" s="3" t="s">
        <v>46</v>
      </c>
      <c r="Q3339" s="8">
        <v>0.21546699999999999</v>
      </c>
    </row>
    <row r="3340" spans="1:17" hidden="1" x14ac:dyDescent="0.55000000000000004">
      <c r="A3340" s="3" t="s">
        <v>5371</v>
      </c>
      <c r="B3340" s="3" t="s">
        <v>5430</v>
      </c>
      <c r="C3340" t="s">
        <v>5429</v>
      </c>
      <c r="D3340" s="3" t="s">
        <v>7329</v>
      </c>
      <c r="E3340" t="s">
        <v>5441</v>
      </c>
      <c r="F3340" s="3" t="s">
        <v>5442</v>
      </c>
      <c r="G3340" t="s">
        <v>24</v>
      </c>
      <c r="H3340" s="3" t="s">
        <v>5439</v>
      </c>
      <c r="I3340" t="s">
        <v>48</v>
      </c>
      <c r="J3340" s="3" t="s">
        <v>5437</v>
      </c>
      <c r="K3340" s="4">
        <v>944</v>
      </c>
      <c r="L3340" s="5">
        <v>42.89</v>
      </c>
      <c r="M3340" s="6">
        <v>0</v>
      </c>
      <c r="N3340" s="7">
        <v>0</v>
      </c>
      <c r="O3340" t="s">
        <v>5440</v>
      </c>
      <c r="P3340" s="3" t="s">
        <v>23</v>
      </c>
      <c r="Q3340" s="8" t="s">
        <v>23</v>
      </c>
    </row>
    <row r="3341" spans="1:17" hidden="1" x14ac:dyDescent="0.55000000000000004">
      <c r="A3341" s="3" t="s">
        <v>5371</v>
      </c>
      <c r="B3341" s="3" t="s">
        <v>5430</v>
      </c>
      <c r="C3341" t="s">
        <v>5429</v>
      </c>
      <c r="D3341" s="3" t="s">
        <v>7329</v>
      </c>
      <c r="E3341" t="s">
        <v>5446</v>
      </c>
      <c r="F3341" s="3" t="s">
        <v>5447</v>
      </c>
      <c r="G3341" t="s">
        <v>19</v>
      </c>
      <c r="H3341" s="3" t="s">
        <v>5433</v>
      </c>
      <c r="I3341" t="s">
        <v>81</v>
      </c>
      <c r="J3341" s="3" t="s">
        <v>5434</v>
      </c>
      <c r="K3341" s="4">
        <v>1370</v>
      </c>
      <c r="L3341" s="5">
        <v>297.8</v>
      </c>
      <c r="M3341" s="6">
        <v>1</v>
      </c>
      <c r="N3341" s="7">
        <v>0</v>
      </c>
      <c r="O3341" t="s">
        <v>5435</v>
      </c>
      <c r="P3341" s="3" t="s">
        <v>84</v>
      </c>
      <c r="Q3341" s="8">
        <v>4.8395000000000001E-2</v>
      </c>
    </row>
    <row r="3342" spans="1:17" hidden="1" x14ac:dyDescent="0.55000000000000004">
      <c r="A3342" s="3" t="s">
        <v>5371</v>
      </c>
      <c r="B3342" s="3" t="s">
        <v>5430</v>
      </c>
      <c r="C3342" t="s">
        <v>5429</v>
      </c>
      <c r="D3342" s="3" t="s">
        <v>7329</v>
      </c>
      <c r="E3342" t="s">
        <v>5446</v>
      </c>
      <c r="F3342" s="3" t="s">
        <v>5447</v>
      </c>
      <c r="G3342" t="s">
        <v>24</v>
      </c>
      <c r="H3342" s="3" t="s">
        <v>5436</v>
      </c>
      <c r="I3342" t="s">
        <v>43</v>
      </c>
      <c r="J3342" s="3" t="s">
        <v>5437</v>
      </c>
      <c r="K3342" s="4">
        <v>988</v>
      </c>
      <c r="L3342" s="5">
        <v>44.89</v>
      </c>
      <c r="M3342" s="6">
        <v>1</v>
      </c>
      <c r="N3342" s="7">
        <v>0</v>
      </c>
      <c r="O3342" t="s">
        <v>5438</v>
      </c>
      <c r="P3342" s="3" t="s">
        <v>46</v>
      </c>
      <c r="Q3342" s="8">
        <v>0.21546699999999999</v>
      </c>
    </row>
    <row r="3343" spans="1:17" hidden="1" x14ac:dyDescent="0.55000000000000004">
      <c r="A3343" s="3" t="s">
        <v>5371</v>
      </c>
      <c r="B3343" s="3" t="s">
        <v>5430</v>
      </c>
      <c r="C3343" t="s">
        <v>5429</v>
      </c>
      <c r="D3343" s="3" t="s">
        <v>7329</v>
      </c>
      <c r="E3343" t="s">
        <v>5446</v>
      </c>
      <c r="F3343" s="3" t="s">
        <v>5447</v>
      </c>
      <c r="G3343" t="s">
        <v>24</v>
      </c>
      <c r="H3343" s="3" t="s">
        <v>5439</v>
      </c>
      <c r="I3343" t="s">
        <v>48</v>
      </c>
      <c r="J3343" s="3" t="s">
        <v>5437</v>
      </c>
      <c r="K3343" s="4">
        <v>944</v>
      </c>
      <c r="L3343" s="5">
        <v>42.89</v>
      </c>
      <c r="M3343" s="6">
        <v>0</v>
      </c>
      <c r="N3343" s="7">
        <v>0</v>
      </c>
      <c r="O3343" t="s">
        <v>5440</v>
      </c>
      <c r="P3343" s="3" t="s">
        <v>23</v>
      </c>
      <c r="Q3343" s="8" t="s">
        <v>23</v>
      </c>
    </row>
    <row r="3344" spans="1:17" hidden="1" x14ac:dyDescent="0.55000000000000004">
      <c r="A3344" s="3" t="s">
        <v>5371</v>
      </c>
      <c r="B3344" s="3" t="s">
        <v>5430</v>
      </c>
      <c r="C3344" t="s">
        <v>5429</v>
      </c>
      <c r="D3344" s="3" t="s">
        <v>7329</v>
      </c>
      <c r="E3344" t="s">
        <v>5448</v>
      </c>
      <c r="F3344" s="3" t="s">
        <v>5449</v>
      </c>
      <c r="G3344" t="s">
        <v>19</v>
      </c>
      <c r="H3344" s="3" t="s">
        <v>5433</v>
      </c>
      <c r="I3344" t="s">
        <v>81</v>
      </c>
      <c r="J3344" s="3" t="s">
        <v>5434</v>
      </c>
      <c r="K3344" s="4">
        <v>1370</v>
      </c>
      <c r="L3344" s="5">
        <v>297.8</v>
      </c>
      <c r="M3344" s="6">
        <v>1</v>
      </c>
      <c r="N3344" s="7">
        <v>0</v>
      </c>
      <c r="O3344" t="s">
        <v>5435</v>
      </c>
      <c r="P3344" s="3" t="s">
        <v>84</v>
      </c>
      <c r="Q3344" s="8">
        <v>4.8395000000000001E-2</v>
      </c>
    </row>
    <row r="3345" spans="1:17" hidden="1" x14ac:dyDescent="0.55000000000000004">
      <c r="A3345" s="3" t="s">
        <v>5371</v>
      </c>
      <c r="B3345" s="3" t="s">
        <v>5430</v>
      </c>
      <c r="C3345" t="s">
        <v>5429</v>
      </c>
      <c r="D3345" s="3" t="s">
        <v>7329</v>
      </c>
      <c r="E3345" t="s">
        <v>5448</v>
      </c>
      <c r="F3345" s="3" t="s">
        <v>5449</v>
      </c>
      <c r="G3345" t="s">
        <v>24</v>
      </c>
      <c r="H3345" s="3" t="s">
        <v>5436</v>
      </c>
      <c r="I3345" t="s">
        <v>43</v>
      </c>
      <c r="J3345" s="3" t="s">
        <v>5437</v>
      </c>
      <c r="K3345" s="4">
        <v>988</v>
      </c>
      <c r="L3345" s="5">
        <v>44.89</v>
      </c>
      <c r="M3345" s="6">
        <v>1</v>
      </c>
      <c r="N3345" s="7">
        <v>0</v>
      </c>
      <c r="O3345" t="s">
        <v>5438</v>
      </c>
      <c r="P3345" s="3" t="s">
        <v>46</v>
      </c>
      <c r="Q3345" s="8">
        <v>0.21546699999999999</v>
      </c>
    </row>
    <row r="3346" spans="1:17" hidden="1" x14ac:dyDescent="0.55000000000000004">
      <c r="A3346" s="3" t="s">
        <v>5371</v>
      </c>
      <c r="B3346" s="3" t="s">
        <v>5430</v>
      </c>
      <c r="C3346" t="s">
        <v>5429</v>
      </c>
      <c r="D3346" s="3" t="s">
        <v>7329</v>
      </c>
      <c r="E3346" t="s">
        <v>5448</v>
      </c>
      <c r="F3346" s="3" t="s">
        <v>5449</v>
      </c>
      <c r="G3346" t="s">
        <v>24</v>
      </c>
      <c r="H3346" s="3" t="s">
        <v>5439</v>
      </c>
      <c r="I3346" t="s">
        <v>48</v>
      </c>
      <c r="J3346" s="3" t="s">
        <v>5437</v>
      </c>
      <c r="K3346" s="4">
        <v>944</v>
      </c>
      <c r="L3346" s="5">
        <v>42.89</v>
      </c>
      <c r="M3346" s="6">
        <v>0</v>
      </c>
      <c r="N3346" s="7">
        <v>0</v>
      </c>
      <c r="O3346" t="s">
        <v>5440</v>
      </c>
      <c r="P3346" s="3" t="s">
        <v>23</v>
      </c>
      <c r="Q3346" s="8" t="s">
        <v>23</v>
      </c>
    </row>
    <row r="3347" spans="1:17" hidden="1" x14ac:dyDescent="0.55000000000000004">
      <c r="A3347" s="3" t="s">
        <v>5371</v>
      </c>
      <c r="B3347" s="3" t="s">
        <v>5430</v>
      </c>
      <c r="C3347" t="s">
        <v>5429</v>
      </c>
      <c r="D3347" s="3" t="s">
        <v>7329</v>
      </c>
      <c r="E3347" t="s">
        <v>5450</v>
      </c>
      <c r="F3347" s="3" t="s">
        <v>5451</v>
      </c>
      <c r="G3347" t="s">
        <v>19</v>
      </c>
      <c r="H3347" s="3" t="s">
        <v>5433</v>
      </c>
      <c r="I3347" t="s">
        <v>81</v>
      </c>
      <c r="J3347" s="3" t="s">
        <v>5434</v>
      </c>
      <c r="K3347" s="4">
        <v>1370</v>
      </c>
      <c r="L3347" s="5">
        <v>297.8</v>
      </c>
      <c r="M3347" s="6">
        <v>1</v>
      </c>
      <c r="N3347" s="7">
        <v>0</v>
      </c>
      <c r="O3347" t="s">
        <v>5435</v>
      </c>
      <c r="P3347" s="3" t="s">
        <v>84</v>
      </c>
      <c r="Q3347" s="8">
        <v>4.8395000000000001E-2</v>
      </c>
    </row>
    <row r="3348" spans="1:17" hidden="1" x14ac:dyDescent="0.55000000000000004">
      <c r="A3348" s="3" t="s">
        <v>5371</v>
      </c>
      <c r="B3348" s="3" t="s">
        <v>5430</v>
      </c>
      <c r="C3348" t="s">
        <v>5429</v>
      </c>
      <c r="D3348" s="3" t="s">
        <v>7329</v>
      </c>
      <c r="E3348" t="s">
        <v>5450</v>
      </c>
      <c r="F3348" s="3" t="s">
        <v>5451</v>
      </c>
      <c r="G3348" t="s">
        <v>24</v>
      </c>
      <c r="H3348" s="3" t="s">
        <v>5436</v>
      </c>
      <c r="I3348" t="s">
        <v>43</v>
      </c>
      <c r="J3348" s="3" t="s">
        <v>5437</v>
      </c>
      <c r="K3348" s="4">
        <v>988</v>
      </c>
      <c r="L3348" s="5">
        <v>44.89</v>
      </c>
      <c r="M3348" s="6">
        <v>1</v>
      </c>
      <c r="N3348" s="7">
        <v>0</v>
      </c>
      <c r="O3348" t="s">
        <v>5438</v>
      </c>
      <c r="P3348" s="3" t="s">
        <v>46</v>
      </c>
      <c r="Q3348" s="8">
        <v>0.21546699999999999</v>
      </c>
    </row>
    <row r="3349" spans="1:17" hidden="1" x14ac:dyDescent="0.55000000000000004">
      <c r="A3349" s="3" t="s">
        <v>5371</v>
      </c>
      <c r="B3349" s="3" t="s">
        <v>5430</v>
      </c>
      <c r="C3349" t="s">
        <v>5429</v>
      </c>
      <c r="D3349" s="3" t="s">
        <v>7329</v>
      </c>
      <c r="E3349" t="s">
        <v>5450</v>
      </c>
      <c r="F3349" s="3" t="s">
        <v>5451</v>
      </c>
      <c r="G3349" t="s">
        <v>24</v>
      </c>
      <c r="H3349" s="3" t="s">
        <v>5439</v>
      </c>
      <c r="I3349" t="s">
        <v>48</v>
      </c>
      <c r="J3349" s="3" t="s">
        <v>5437</v>
      </c>
      <c r="K3349" s="4">
        <v>944</v>
      </c>
      <c r="L3349" s="5">
        <v>42.89</v>
      </c>
      <c r="M3349" s="6">
        <v>0</v>
      </c>
      <c r="N3349" s="7">
        <v>0</v>
      </c>
      <c r="O3349" t="s">
        <v>5440</v>
      </c>
      <c r="P3349" s="3" t="s">
        <v>23</v>
      </c>
      <c r="Q3349" s="8" t="s">
        <v>23</v>
      </c>
    </row>
    <row r="3350" spans="1:17" hidden="1" x14ac:dyDescent="0.55000000000000004">
      <c r="A3350" s="3" t="s">
        <v>5371</v>
      </c>
      <c r="B3350" s="3" t="s">
        <v>5430</v>
      </c>
      <c r="C3350" t="s">
        <v>5429</v>
      </c>
      <c r="D3350" s="3" t="s">
        <v>7329</v>
      </c>
      <c r="E3350" t="s">
        <v>5452</v>
      </c>
      <c r="F3350" s="3" t="s">
        <v>5453</v>
      </c>
      <c r="G3350" t="s">
        <v>19</v>
      </c>
      <c r="H3350" s="3" t="s">
        <v>5443</v>
      </c>
      <c r="I3350" t="s">
        <v>81</v>
      </c>
      <c r="J3350" s="3" t="s">
        <v>5444</v>
      </c>
      <c r="K3350" s="4">
        <v>1371</v>
      </c>
      <c r="L3350" s="5">
        <v>298.04000000000002</v>
      </c>
      <c r="M3350" s="6">
        <v>1</v>
      </c>
      <c r="N3350" s="7">
        <v>0</v>
      </c>
      <c r="O3350" t="s">
        <v>5445</v>
      </c>
      <c r="P3350" s="3" t="s">
        <v>84</v>
      </c>
      <c r="Q3350" s="8">
        <v>4.8395000000000001E-2</v>
      </c>
    </row>
    <row r="3351" spans="1:17" hidden="1" x14ac:dyDescent="0.55000000000000004">
      <c r="A3351" s="3" t="s">
        <v>5371</v>
      </c>
      <c r="B3351" s="3" t="s">
        <v>5430</v>
      </c>
      <c r="C3351" t="s">
        <v>5429</v>
      </c>
      <c r="D3351" s="3" t="s">
        <v>7329</v>
      </c>
      <c r="E3351" t="s">
        <v>5452</v>
      </c>
      <c r="F3351" s="3" t="s">
        <v>5453</v>
      </c>
      <c r="G3351" t="s">
        <v>24</v>
      </c>
      <c r="H3351" s="3" t="s">
        <v>5436</v>
      </c>
      <c r="I3351" t="s">
        <v>43</v>
      </c>
      <c r="J3351" s="3" t="s">
        <v>5437</v>
      </c>
      <c r="K3351" s="4">
        <v>988</v>
      </c>
      <c r="L3351" s="5">
        <v>44.89</v>
      </c>
      <c r="M3351" s="6">
        <v>1</v>
      </c>
      <c r="N3351" s="7">
        <v>0</v>
      </c>
      <c r="O3351" t="s">
        <v>5438</v>
      </c>
      <c r="P3351" s="3" t="s">
        <v>46</v>
      </c>
      <c r="Q3351" s="8">
        <v>0.21546699999999999</v>
      </c>
    </row>
    <row r="3352" spans="1:17" hidden="1" x14ac:dyDescent="0.55000000000000004">
      <c r="A3352" s="3" t="s">
        <v>5371</v>
      </c>
      <c r="B3352" s="3" t="s">
        <v>5430</v>
      </c>
      <c r="C3352" t="s">
        <v>5429</v>
      </c>
      <c r="D3352" s="3" t="s">
        <v>7329</v>
      </c>
      <c r="E3352" t="s">
        <v>5452</v>
      </c>
      <c r="F3352" s="3" t="s">
        <v>5453</v>
      </c>
      <c r="G3352" t="s">
        <v>24</v>
      </c>
      <c r="H3352" s="3" t="s">
        <v>5439</v>
      </c>
      <c r="I3352" t="s">
        <v>48</v>
      </c>
      <c r="J3352" s="3" t="s">
        <v>5437</v>
      </c>
      <c r="K3352" s="4">
        <v>944</v>
      </c>
      <c r="L3352" s="5">
        <v>42.89</v>
      </c>
      <c r="M3352" s="6">
        <v>0</v>
      </c>
      <c r="N3352" s="7">
        <v>0</v>
      </c>
      <c r="O3352" t="s">
        <v>5440</v>
      </c>
      <c r="P3352" s="3" t="s">
        <v>23</v>
      </c>
      <c r="Q3352" s="8" t="s">
        <v>23</v>
      </c>
    </row>
    <row r="3353" spans="1:17" hidden="1" x14ac:dyDescent="0.55000000000000004">
      <c r="A3353" s="3" t="s">
        <v>5371</v>
      </c>
      <c r="B3353" s="3" t="s">
        <v>5430</v>
      </c>
      <c r="C3353" t="s">
        <v>5429</v>
      </c>
      <c r="D3353" s="3" t="s">
        <v>7329</v>
      </c>
      <c r="E3353" t="s">
        <v>5454</v>
      </c>
      <c r="F3353" s="3" t="s">
        <v>5455</v>
      </c>
      <c r="G3353" t="s">
        <v>19</v>
      </c>
      <c r="H3353" s="3" t="s">
        <v>5443</v>
      </c>
      <c r="I3353" t="s">
        <v>81</v>
      </c>
      <c r="J3353" s="3" t="s">
        <v>5444</v>
      </c>
      <c r="K3353" s="4">
        <v>1371</v>
      </c>
      <c r="L3353" s="5">
        <v>298.04000000000002</v>
      </c>
      <c r="M3353" s="6">
        <v>1</v>
      </c>
      <c r="N3353" s="7">
        <v>0</v>
      </c>
      <c r="O3353" t="s">
        <v>5445</v>
      </c>
      <c r="P3353" s="3" t="s">
        <v>84</v>
      </c>
      <c r="Q3353" s="8">
        <v>4.8395000000000001E-2</v>
      </c>
    </row>
    <row r="3354" spans="1:17" hidden="1" x14ac:dyDescent="0.55000000000000004">
      <c r="A3354" s="3" t="s">
        <v>5371</v>
      </c>
      <c r="B3354" s="3" t="s">
        <v>5430</v>
      </c>
      <c r="C3354" t="s">
        <v>5429</v>
      </c>
      <c r="D3354" s="3" t="s">
        <v>7329</v>
      </c>
      <c r="E3354" t="s">
        <v>5454</v>
      </c>
      <c r="F3354" s="3" t="s">
        <v>5455</v>
      </c>
      <c r="G3354" t="s">
        <v>24</v>
      </c>
      <c r="H3354" s="3" t="s">
        <v>5436</v>
      </c>
      <c r="I3354" t="s">
        <v>43</v>
      </c>
      <c r="J3354" s="3" t="s">
        <v>5437</v>
      </c>
      <c r="K3354" s="4">
        <v>988</v>
      </c>
      <c r="L3354" s="5">
        <v>44.89</v>
      </c>
      <c r="M3354" s="6">
        <v>1</v>
      </c>
      <c r="N3354" s="7">
        <v>0</v>
      </c>
      <c r="O3354" t="s">
        <v>5438</v>
      </c>
      <c r="P3354" s="3" t="s">
        <v>46</v>
      </c>
      <c r="Q3354" s="8">
        <v>0.21546699999999999</v>
      </c>
    </row>
    <row r="3355" spans="1:17" hidden="1" x14ac:dyDescent="0.55000000000000004">
      <c r="A3355" s="3" t="s">
        <v>5371</v>
      </c>
      <c r="B3355" s="3" t="s">
        <v>5430</v>
      </c>
      <c r="C3355" t="s">
        <v>5429</v>
      </c>
      <c r="D3355" s="3" t="s">
        <v>7329</v>
      </c>
      <c r="E3355" t="s">
        <v>5454</v>
      </c>
      <c r="F3355" s="3" t="s">
        <v>5455</v>
      </c>
      <c r="G3355" t="s">
        <v>24</v>
      </c>
      <c r="H3355" s="3" t="s">
        <v>5439</v>
      </c>
      <c r="I3355" t="s">
        <v>48</v>
      </c>
      <c r="J3355" s="3" t="s">
        <v>5437</v>
      </c>
      <c r="K3355" s="4">
        <v>944</v>
      </c>
      <c r="L3355" s="5">
        <v>42.89</v>
      </c>
      <c r="M3355" s="6">
        <v>0</v>
      </c>
      <c r="N3355" s="7">
        <v>0</v>
      </c>
      <c r="O3355" t="s">
        <v>5440</v>
      </c>
      <c r="P3355" s="3" t="s">
        <v>23</v>
      </c>
      <c r="Q3355" s="8" t="s">
        <v>23</v>
      </c>
    </row>
    <row r="3356" spans="1:17" hidden="1" x14ac:dyDescent="0.55000000000000004">
      <c r="A3356" s="3" t="s">
        <v>5371</v>
      </c>
      <c r="B3356" s="3" t="s">
        <v>5456</v>
      </c>
      <c r="C3356" t="s">
        <v>5456</v>
      </c>
      <c r="D3356" s="3" t="s">
        <v>7329</v>
      </c>
      <c r="E3356" t="s">
        <v>5457</v>
      </c>
      <c r="F3356" s="3" t="s">
        <v>5458</v>
      </c>
      <c r="G3356" t="s">
        <v>19</v>
      </c>
      <c r="H3356" s="3" t="s">
        <v>5459</v>
      </c>
      <c r="I3356" t="s">
        <v>81</v>
      </c>
      <c r="J3356" s="3" t="s">
        <v>5460</v>
      </c>
      <c r="K3356" s="4">
        <v>1271</v>
      </c>
      <c r="L3356" s="5">
        <v>276.24</v>
      </c>
      <c r="M3356" s="6">
        <v>1</v>
      </c>
      <c r="N3356" s="7">
        <v>0</v>
      </c>
      <c r="O3356" t="s">
        <v>5461</v>
      </c>
      <c r="P3356" s="3" t="s">
        <v>84</v>
      </c>
      <c r="Q3356" s="8">
        <v>4.6775999999999998E-2</v>
      </c>
    </row>
    <row r="3357" spans="1:17" hidden="1" x14ac:dyDescent="0.55000000000000004">
      <c r="A3357" s="3" t="s">
        <v>5371</v>
      </c>
      <c r="B3357" s="3" t="s">
        <v>5456</v>
      </c>
      <c r="C3357" t="s">
        <v>5456</v>
      </c>
      <c r="D3357" s="3" t="s">
        <v>7329</v>
      </c>
      <c r="E3357" t="s">
        <v>5457</v>
      </c>
      <c r="F3357" s="3" t="s">
        <v>5458</v>
      </c>
      <c r="G3357" t="s">
        <v>24</v>
      </c>
      <c r="H3357" s="3" t="s">
        <v>5462</v>
      </c>
      <c r="I3357" t="s">
        <v>37</v>
      </c>
      <c r="J3357" s="3" t="s">
        <v>5463</v>
      </c>
      <c r="K3357" s="4">
        <v>657</v>
      </c>
      <c r="L3357" s="5">
        <v>0</v>
      </c>
      <c r="M3357" s="6">
        <v>0</v>
      </c>
      <c r="N3357" s="7">
        <v>0</v>
      </c>
      <c r="O3357" t="s">
        <v>23</v>
      </c>
      <c r="P3357" s="3" t="s">
        <v>23</v>
      </c>
      <c r="Q3357" s="8" t="s">
        <v>23</v>
      </c>
    </row>
    <row r="3358" spans="1:17" hidden="1" x14ac:dyDescent="0.55000000000000004">
      <c r="A3358" s="3" t="s">
        <v>5371</v>
      </c>
      <c r="B3358" s="3" t="s">
        <v>5456</v>
      </c>
      <c r="C3358" t="s">
        <v>5456</v>
      </c>
      <c r="D3358" s="3" t="s">
        <v>7329</v>
      </c>
      <c r="E3358" t="s">
        <v>5457</v>
      </c>
      <c r="F3358" s="3" t="s">
        <v>5458</v>
      </c>
      <c r="G3358" t="s">
        <v>24</v>
      </c>
      <c r="H3358" s="3" t="s">
        <v>5464</v>
      </c>
      <c r="I3358" t="s">
        <v>105</v>
      </c>
      <c r="J3358" s="3" t="s">
        <v>5463</v>
      </c>
      <c r="K3358" s="4">
        <v>532</v>
      </c>
      <c r="L3358" s="5">
        <v>0</v>
      </c>
      <c r="M3358" s="6">
        <v>0</v>
      </c>
      <c r="N3358" s="7">
        <v>0</v>
      </c>
      <c r="O3358" t="s">
        <v>23</v>
      </c>
      <c r="P3358" s="3" t="s">
        <v>23</v>
      </c>
      <c r="Q3358" s="8" t="s">
        <v>23</v>
      </c>
    </row>
    <row r="3359" spans="1:17" hidden="1" x14ac:dyDescent="0.55000000000000004">
      <c r="A3359" s="3" t="s">
        <v>5371</v>
      </c>
      <c r="B3359" s="3" t="s">
        <v>5456</v>
      </c>
      <c r="C3359" t="s">
        <v>5456</v>
      </c>
      <c r="D3359" s="3" t="s">
        <v>7329</v>
      </c>
      <c r="E3359" t="s">
        <v>5457</v>
      </c>
      <c r="F3359" s="3" t="s">
        <v>5458</v>
      </c>
      <c r="G3359" t="s">
        <v>24</v>
      </c>
      <c r="H3359" s="3" t="s">
        <v>5465</v>
      </c>
      <c r="I3359" t="s">
        <v>43</v>
      </c>
      <c r="J3359" s="3" t="s">
        <v>5466</v>
      </c>
      <c r="K3359" s="4">
        <v>888</v>
      </c>
      <c r="L3359" s="5">
        <v>40.369999999999997</v>
      </c>
      <c r="M3359" s="6">
        <v>1</v>
      </c>
      <c r="N3359" s="7">
        <v>0</v>
      </c>
      <c r="O3359" t="s">
        <v>5467</v>
      </c>
      <c r="P3359" s="3" t="s">
        <v>46</v>
      </c>
      <c r="Q3359" s="8">
        <v>0.22523299999999999</v>
      </c>
    </row>
    <row r="3360" spans="1:17" hidden="1" x14ac:dyDescent="0.55000000000000004">
      <c r="A3360" s="3" t="s">
        <v>5371</v>
      </c>
      <c r="B3360" s="3" t="s">
        <v>5456</v>
      </c>
      <c r="C3360" t="s">
        <v>5456</v>
      </c>
      <c r="D3360" s="3" t="s">
        <v>7329</v>
      </c>
      <c r="E3360" t="s">
        <v>5457</v>
      </c>
      <c r="F3360" s="3" t="s">
        <v>5458</v>
      </c>
      <c r="G3360" t="s">
        <v>24</v>
      </c>
      <c r="H3360" s="3" t="s">
        <v>5468</v>
      </c>
      <c r="I3360" t="s">
        <v>48</v>
      </c>
      <c r="J3360" s="3" t="s">
        <v>5466</v>
      </c>
      <c r="K3360" s="4">
        <v>839</v>
      </c>
      <c r="L3360" s="5">
        <v>38.14</v>
      </c>
      <c r="M3360" s="6">
        <v>0</v>
      </c>
      <c r="N3360" s="7">
        <v>0</v>
      </c>
      <c r="O3360" t="s">
        <v>5469</v>
      </c>
      <c r="P3360" s="3" t="s">
        <v>23</v>
      </c>
      <c r="Q3360" s="8" t="s">
        <v>23</v>
      </c>
    </row>
    <row r="3361" spans="1:17" hidden="1" x14ac:dyDescent="0.55000000000000004">
      <c r="A3361" s="3" t="s">
        <v>5371</v>
      </c>
      <c r="B3361" s="3" t="s">
        <v>5456</v>
      </c>
      <c r="C3361" t="s">
        <v>5456</v>
      </c>
      <c r="D3361" s="3" t="s">
        <v>7329</v>
      </c>
      <c r="E3361" t="s">
        <v>5470</v>
      </c>
      <c r="F3361" s="3" t="s">
        <v>5471</v>
      </c>
      <c r="G3361" t="s">
        <v>19</v>
      </c>
      <c r="H3361" s="3" t="s">
        <v>5472</v>
      </c>
      <c r="I3361" t="s">
        <v>81</v>
      </c>
      <c r="J3361" s="3" t="s">
        <v>5473</v>
      </c>
      <c r="K3361" s="4">
        <v>1272</v>
      </c>
      <c r="L3361" s="5">
        <v>276.63</v>
      </c>
      <c r="M3361" s="6">
        <v>1</v>
      </c>
      <c r="N3361" s="7">
        <v>1</v>
      </c>
      <c r="O3361" t="s">
        <v>5474</v>
      </c>
      <c r="P3361" s="3" t="s">
        <v>84</v>
      </c>
      <c r="Q3361" s="8">
        <v>4.6775999999999998E-2</v>
      </c>
    </row>
    <row r="3362" spans="1:17" hidden="1" x14ac:dyDescent="0.55000000000000004">
      <c r="A3362" s="3" t="s">
        <v>5371</v>
      </c>
      <c r="B3362" s="3" t="s">
        <v>5456</v>
      </c>
      <c r="C3362" t="s">
        <v>5456</v>
      </c>
      <c r="D3362" s="3" t="s">
        <v>7329</v>
      </c>
      <c r="E3362" t="s">
        <v>5470</v>
      </c>
      <c r="F3362" s="3" t="s">
        <v>5471</v>
      </c>
      <c r="G3362" t="s">
        <v>24</v>
      </c>
      <c r="H3362" s="3" t="s">
        <v>5462</v>
      </c>
      <c r="I3362" t="s">
        <v>37</v>
      </c>
      <c r="J3362" s="3" t="s">
        <v>5463</v>
      </c>
      <c r="K3362" s="4">
        <v>657</v>
      </c>
      <c r="L3362" s="5">
        <v>0</v>
      </c>
      <c r="M3362" s="6">
        <v>0</v>
      </c>
      <c r="N3362" s="7">
        <v>1</v>
      </c>
      <c r="O3362" t="s">
        <v>23</v>
      </c>
      <c r="P3362" s="3" t="s">
        <v>23</v>
      </c>
      <c r="Q3362" s="8" t="s">
        <v>23</v>
      </c>
    </row>
    <row r="3363" spans="1:17" hidden="1" x14ac:dyDescent="0.55000000000000004">
      <c r="A3363" s="3" t="s">
        <v>5371</v>
      </c>
      <c r="B3363" s="3" t="s">
        <v>5456</v>
      </c>
      <c r="C3363" t="s">
        <v>5456</v>
      </c>
      <c r="D3363" s="3" t="s">
        <v>7329</v>
      </c>
      <c r="E3363" t="s">
        <v>5470</v>
      </c>
      <c r="F3363" s="3" t="s">
        <v>5471</v>
      </c>
      <c r="G3363" t="s">
        <v>24</v>
      </c>
      <c r="H3363" s="3" t="s">
        <v>5464</v>
      </c>
      <c r="I3363" t="s">
        <v>105</v>
      </c>
      <c r="J3363" s="3" t="s">
        <v>5463</v>
      </c>
      <c r="K3363" s="4">
        <v>532</v>
      </c>
      <c r="L3363" s="5">
        <v>0</v>
      </c>
      <c r="M3363" s="6">
        <v>0</v>
      </c>
      <c r="N3363" s="7">
        <v>1</v>
      </c>
      <c r="O3363" t="s">
        <v>23</v>
      </c>
      <c r="P3363" s="3" t="s">
        <v>23</v>
      </c>
      <c r="Q3363" s="8" t="s">
        <v>23</v>
      </c>
    </row>
    <row r="3364" spans="1:17" hidden="1" x14ac:dyDescent="0.55000000000000004">
      <c r="A3364" s="3" t="s">
        <v>5371</v>
      </c>
      <c r="B3364" s="3" t="s">
        <v>5456</v>
      </c>
      <c r="C3364" t="s">
        <v>5456</v>
      </c>
      <c r="D3364" s="3" t="s">
        <v>7329</v>
      </c>
      <c r="E3364" t="s">
        <v>5470</v>
      </c>
      <c r="F3364" s="3" t="s">
        <v>5471</v>
      </c>
      <c r="G3364" t="s">
        <v>24</v>
      </c>
      <c r="H3364" s="3" t="s">
        <v>5465</v>
      </c>
      <c r="I3364" t="s">
        <v>43</v>
      </c>
      <c r="J3364" s="3" t="s">
        <v>5466</v>
      </c>
      <c r="K3364" s="4">
        <v>888</v>
      </c>
      <c r="L3364" s="5">
        <v>40.369999999999997</v>
      </c>
      <c r="M3364" s="6">
        <v>1</v>
      </c>
      <c r="N3364" s="7">
        <v>1</v>
      </c>
      <c r="O3364" t="s">
        <v>5467</v>
      </c>
      <c r="P3364" s="3" t="s">
        <v>46</v>
      </c>
      <c r="Q3364" s="8">
        <v>0.22523299999999999</v>
      </c>
    </row>
    <row r="3365" spans="1:17" hidden="1" x14ac:dyDescent="0.55000000000000004">
      <c r="A3365" s="3" t="s">
        <v>5371</v>
      </c>
      <c r="B3365" s="3" t="s">
        <v>5456</v>
      </c>
      <c r="C3365" t="s">
        <v>5456</v>
      </c>
      <c r="D3365" s="3" t="s">
        <v>7329</v>
      </c>
      <c r="E3365" t="s">
        <v>5470</v>
      </c>
      <c r="F3365" s="3" t="s">
        <v>5471</v>
      </c>
      <c r="G3365" t="s">
        <v>24</v>
      </c>
      <c r="H3365" s="3" t="s">
        <v>5468</v>
      </c>
      <c r="I3365" t="s">
        <v>48</v>
      </c>
      <c r="J3365" s="3" t="s">
        <v>5466</v>
      </c>
      <c r="K3365" s="4">
        <v>839</v>
      </c>
      <c r="L3365" s="5">
        <v>38.14</v>
      </c>
      <c r="M3365" s="6">
        <v>0</v>
      </c>
      <c r="N3365" s="7">
        <v>1</v>
      </c>
      <c r="O3365" t="s">
        <v>5469</v>
      </c>
      <c r="P3365" s="3" t="s">
        <v>23</v>
      </c>
      <c r="Q3365" s="8" t="s">
        <v>23</v>
      </c>
    </row>
    <row r="3366" spans="1:17" hidden="1" x14ac:dyDescent="0.55000000000000004">
      <c r="A3366" s="3" t="s">
        <v>5371</v>
      </c>
      <c r="B3366" s="3" t="s">
        <v>5456</v>
      </c>
      <c r="C3366" t="s">
        <v>5456</v>
      </c>
      <c r="D3366" s="3" t="s">
        <v>7329</v>
      </c>
      <c r="E3366" t="s">
        <v>5475</v>
      </c>
      <c r="F3366" s="3" t="s">
        <v>5476</v>
      </c>
      <c r="G3366" t="s">
        <v>19</v>
      </c>
      <c r="H3366" s="3" t="s">
        <v>5472</v>
      </c>
      <c r="I3366" t="s">
        <v>81</v>
      </c>
      <c r="J3366" s="3" t="s">
        <v>5473</v>
      </c>
      <c r="K3366" s="4">
        <v>1272</v>
      </c>
      <c r="L3366" s="5">
        <v>276.63</v>
      </c>
      <c r="M3366" s="6">
        <v>1</v>
      </c>
      <c r="N3366" s="7">
        <v>0</v>
      </c>
      <c r="O3366" t="s">
        <v>5474</v>
      </c>
      <c r="P3366" s="3" t="s">
        <v>84</v>
      </c>
      <c r="Q3366" s="8">
        <v>4.6775999999999998E-2</v>
      </c>
    </row>
    <row r="3367" spans="1:17" hidden="1" x14ac:dyDescent="0.55000000000000004">
      <c r="A3367" s="3" t="s">
        <v>5371</v>
      </c>
      <c r="B3367" s="3" t="s">
        <v>5456</v>
      </c>
      <c r="C3367" t="s">
        <v>5456</v>
      </c>
      <c r="D3367" s="3" t="s">
        <v>7329</v>
      </c>
      <c r="E3367" t="s">
        <v>5475</v>
      </c>
      <c r="F3367" s="3" t="s">
        <v>5476</v>
      </c>
      <c r="G3367" t="s">
        <v>24</v>
      </c>
      <c r="H3367" s="3" t="s">
        <v>5462</v>
      </c>
      <c r="I3367" t="s">
        <v>37</v>
      </c>
      <c r="J3367" s="3" t="s">
        <v>5463</v>
      </c>
      <c r="K3367" s="4">
        <v>657</v>
      </c>
      <c r="L3367" s="5">
        <v>0</v>
      </c>
      <c r="M3367" s="6">
        <v>0</v>
      </c>
      <c r="N3367" s="7">
        <v>0</v>
      </c>
      <c r="O3367" t="s">
        <v>23</v>
      </c>
      <c r="P3367" s="3" t="s">
        <v>23</v>
      </c>
      <c r="Q3367" s="8" t="s">
        <v>23</v>
      </c>
    </row>
    <row r="3368" spans="1:17" hidden="1" x14ac:dyDescent="0.55000000000000004">
      <c r="A3368" s="3" t="s">
        <v>5371</v>
      </c>
      <c r="B3368" s="3" t="s">
        <v>5456</v>
      </c>
      <c r="C3368" t="s">
        <v>5456</v>
      </c>
      <c r="D3368" s="3" t="s">
        <v>7329</v>
      </c>
      <c r="E3368" t="s">
        <v>5475</v>
      </c>
      <c r="F3368" s="3" t="s">
        <v>5476</v>
      </c>
      <c r="G3368" t="s">
        <v>24</v>
      </c>
      <c r="H3368" s="3" t="s">
        <v>5464</v>
      </c>
      <c r="I3368" t="s">
        <v>105</v>
      </c>
      <c r="J3368" s="3" t="s">
        <v>5463</v>
      </c>
      <c r="K3368" s="4">
        <v>532</v>
      </c>
      <c r="L3368" s="5">
        <v>0</v>
      </c>
      <c r="M3368" s="6">
        <v>0</v>
      </c>
      <c r="N3368" s="7">
        <v>0</v>
      </c>
      <c r="O3368" t="s">
        <v>23</v>
      </c>
      <c r="P3368" s="3" t="s">
        <v>23</v>
      </c>
      <c r="Q3368" s="8" t="s">
        <v>23</v>
      </c>
    </row>
    <row r="3369" spans="1:17" hidden="1" x14ac:dyDescent="0.55000000000000004">
      <c r="A3369" s="3" t="s">
        <v>5371</v>
      </c>
      <c r="B3369" s="3" t="s">
        <v>5456</v>
      </c>
      <c r="C3369" t="s">
        <v>5456</v>
      </c>
      <c r="D3369" s="3" t="s">
        <v>7329</v>
      </c>
      <c r="E3369" t="s">
        <v>5475</v>
      </c>
      <c r="F3369" s="3" t="s">
        <v>5476</v>
      </c>
      <c r="G3369" t="s">
        <v>24</v>
      </c>
      <c r="H3369" s="3" t="s">
        <v>5465</v>
      </c>
      <c r="I3369" t="s">
        <v>43</v>
      </c>
      <c r="J3369" s="3" t="s">
        <v>5466</v>
      </c>
      <c r="K3369" s="4">
        <v>888</v>
      </c>
      <c r="L3369" s="5">
        <v>40.369999999999997</v>
      </c>
      <c r="M3369" s="6">
        <v>1</v>
      </c>
      <c r="N3369" s="7">
        <v>0</v>
      </c>
      <c r="O3369" t="s">
        <v>5467</v>
      </c>
      <c r="P3369" s="3" t="s">
        <v>46</v>
      </c>
      <c r="Q3369" s="8">
        <v>0.22523299999999999</v>
      </c>
    </row>
    <row r="3370" spans="1:17" hidden="1" x14ac:dyDescent="0.55000000000000004">
      <c r="A3370" s="3" t="s">
        <v>5371</v>
      </c>
      <c r="B3370" s="3" t="s">
        <v>5456</v>
      </c>
      <c r="C3370" t="s">
        <v>5456</v>
      </c>
      <c r="D3370" s="3" t="s">
        <v>7329</v>
      </c>
      <c r="E3370" t="s">
        <v>5475</v>
      </c>
      <c r="F3370" s="3" t="s">
        <v>5476</v>
      </c>
      <c r="G3370" t="s">
        <v>24</v>
      </c>
      <c r="H3370" s="3" t="s">
        <v>5468</v>
      </c>
      <c r="I3370" t="s">
        <v>48</v>
      </c>
      <c r="J3370" s="3" t="s">
        <v>5466</v>
      </c>
      <c r="K3370" s="4">
        <v>839</v>
      </c>
      <c r="L3370" s="5">
        <v>38.14</v>
      </c>
      <c r="M3370" s="6">
        <v>0</v>
      </c>
      <c r="N3370" s="7">
        <v>0</v>
      </c>
      <c r="O3370" t="s">
        <v>5469</v>
      </c>
      <c r="P3370" s="3" t="s">
        <v>23</v>
      </c>
      <c r="Q3370" s="8" t="s">
        <v>23</v>
      </c>
    </row>
    <row r="3371" spans="1:17" hidden="1" x14ac:dyDescent="0.55000000000000004">
      <c r="A3371" s="3" t="s">
        <v>5371</v>
      </c>
      <c r="B3371" s="3" t="s">
        <v>5456</v>
      </c>
      <c r="C3371" t="s">
        <v>5456</v>
      </c>
      <c r="D3371" s="3" t="s">
        <v>7329</v>
      </c>
      <c r="E3371" t="s">
        <v>5477</v>
      </c>
      <c r="F3371" s="3" t="s">
        <v>5478</v>
      </c>
      <c r="G3371" t="s">
        <v>19</v>
      </c>
      <c r="H3371" s="3" t="s">
        <v>5472</v>
      </c>
      <c r="I3371" t="s">
        <v>81</v>
      </c>
      <c r="J3371" s="3" t="s">
        <v>5473</v>
      </c>
      <c r="K3371" s="4">
        <v>1272</v>
      </c>
      <c r="L3371" s="5">
        <v>276.63</v>
      </c>
      <c r="M3371" s="6">
        <v>1</v>
      </c>
      <c r="N3371" s="7">
        <v>0</v>
      </c>
      <c r="O3371" t="s">
        <v>5474</v>
      </c>
      <c r="P3371" s="3" t="s">
        <v>84</v>
      </c>
      <c r="Q3371" s="8">
        <v>4.6775999999999998E-2</v>
      </c>
    </row>
    <row r="3372" spans="1:17" hidden="1" x14ac:dyDescent="0.55000000000000004">
      <c r="A3372" s="3" t="s">
        <v>5371</v>
      </c>
      <c r="B3372" s="3" t="s">
        <v>5456</v>
      </c>
      <c r="C3372" t="s">
        <v>5456</v>
      </c>
      <c r="D3372" s="3" t="s">
        <v>7329</v>
      </c>
      <c r="E3372" t="s">
        <v>5477</v>
      </c>
      <c r="F3372" s="3" t="s">
        <v>5478</v>
      </c>
      <c r="G3372" t="s">
        <v>24</v>
      </c>
      <c r="H3372" s="3" t="s">
        <v>5462</v>
      </c>
      <c r="I3372" t="s">
        <v>37</v>
      </c>
      <c r="J3372" s="3" t="s">
        <v>5463</v>
      </c>
      <c r="K3372" s="4">
        <v>657</v>
      </c>
      <c r="L3372" s="5">
        <v>0</v>
      </c>
      <c r="M3372" s="6">
        <v>0</v>
      </c>
      <c r="N3372" s="7">
        <v>0</v>
      </c>
      <c r="O3372" t="s">
        <v>23</v>
      </c>
      <c r="P3372" s="3" t="s">
        <v>23</v>
      </c>
      <c r="Q3372" s="8" t="s">
        <v>23</v>
      </c>
    </row>
    <row r="3373" spans="1:17" hidden="1" x14ac:dyDescent="0.55000000000000004">
      <c r="A3373" s="3" t="s">
        <v>5371</v>
      </c>
      <c r="B3373" s="3" t="s">
        <v>5456</v>
      </c>
      <c r="C3373" t="s">
        <v>5456</v>
      </c>
      <c r="D3373" s="3" t="s">
        <v>7329</v>
      </c>
      <c r="E3373" t="s">
        <v>5477</v>
      </c>
      <c r="F3373" s="3" t="s">
        <v>5478</v>
      </c>
      <c r="G3373" t="s">
        <v>24</v>
      </c>
      <c r="H3373" s="3" t="s">
        <v>5464</v>
      </c>
      <c r="I3373" t="s">
        <v>105</v>
      </c>
      <c r="J3373" s="3" t="s">
        <v>5463</v>
      </c>
      <c r="K3373" s="4">
        <v>532</v>
      </c>
      <c r="L3373" s="5">
        <v>0</v>
      </c>
      <c r="M3373" s="6">
        <v>0</v>
      </c>
      <c r="N3373" s="7">
        <v>0</v>
      </c>
      <c r="O3373" t="s">
        <v>23</v>
      </c>
      <c r="P3373" s="3" t="s">
        <v>23</v>
      </c>
      <c r="Q3373" s="8" t="s">
        <v>23</v>
      </c>
    </row>
    <row r="3374" spans="1:17" hidden="1" x14ac:dyDescent="0.55000000000000004">
      <c r="A3374" s="3" t="s">
        <v>5371</v>
      </c>
      <c r="B3374" s="3" t="s">
        <v>5456</v>
      </c>
      <c r="C3374" t="s">
        <v>5456</v>
      </c>
      <c r="D3374" s="3" t="s">
        <v>7329</v>
      </c>
      <c r="E3374" t="s">
        <v>5477</v>
      </c>
      <c r="F3374" s="3" t="s">
        <v>5478</v>
      </c>
      <c r="G3374" t="s">
        <v>24</v>
      </c>
      <c r="H3374" s="3" t="s">
        <v>5465</v>
      </c>
      <c r="I3374" t="s">
        <v>43</v>
      </c>
      <c r="J3374" s="3" t="s">
        <v>5466</v>
      </c>
      <c r="K3374" s="4">
        <v>888</v>
      </c>
      <c r="L3374" s="5">
        <v>40.369999999999997</v>
      </c>
      <c r="M3374" s="6">
        <v>1</v>
      </c>
      <c r="N3374" s="7">
        <v>0</v>
      </c>
      <c r="O3374" t="s">
        <v>5467</v>
      </c>
      <c r="P3374" s="3" t="s">
        <v>46</v>
      </c>
      <c r="Q3374" s="8">
        <v>0.22523299999999999</v>
      </c>
    </row>
    <row r="3375" spans="1:17" hidden="1" x14ac:dyDescent="0.55000000000000004">
      <c r="A3375" s="3" t="s">
        <v>5371</v>
      </c>
      <c r="B3375" s="3" t="s">
        <v>5456</v>
      </c>
      <c r="C3375" t="s">
        <v>5456</v>
      </c>
      <c r="D3375" s="3" t="s">
        <v>7329</v>
      </c>
      <c r="E3375" t="s">
        <v>5477</v>
      </c>
      <c r="F3375" s="3" t="s">
        <v>5478</v>
      </c>
      <c r="G3375" t="s">
        <v>24</v>
      </c>
      <c r="H3375" s="3" t="s">
        <v>5468</v>
      </c>
      <c r="I3375" t="s">
        <v>48</v>
      </c>
      <c r="J3375" s="3" t="s">
        <v>5466</v>
      </c>
      <c r="K3375" s="4">
        <v>839</v>
      </c>
      <c r="L3375" s="5">
        <v>38.14</v>
      </c>
      <c r="M3375" s="6">
        <v>0</v>
      </c>
      <c r="N3375" s="7">
        <v>0</v>
      </c>
      <c r="O3375" t="s">
        <v>5469</v>
      </c>
      <c r="P3375" s="3" t="s">
        <v>23</v>
      </c>
      <c r="Q3375" s="8" t="s">
        <v>23</v>
      </c>
    </row>
    <row r="3376" spans="1:17" hidden="1" x14ac:dyDescent="0.55000000000000004">
      <c r="A3376" s="3" t="s">
        <v>5371</v>
      </c>
      <c r="B3376" s="3" t="s">
        <v>5456</v>
      </c>
      <c r="C3376" t="s">
        <v>5456</v>
      </c>
      <c r="D3376" s="3" t="s">
        <v>7329</v>
      </c>
      <c r="E3376" t="s">
        <v>5479</v>
      </c>
      <c r="F3376" s="3" t="s">
        <v>5480</v>
      </c>
      <c r="G3376" t="s">
        <v>19</v>
      </c>
      <c r="H3376" s="3" t="s">
        <v>5481</v>
      </c>
      <c r="I3376" t="s">
        <v>81</v>
      </c>
      <c r="J3376" s="3" t="s">
        <v>5482</v>
      </c>
      <c r="K3376" s="4">
        <v>1269</v>
      </c>
      <c r="L3376" s="5">
        <v>275.89</v>
      </c>
      <c r="M3376" s="6">
        <v>1</v>
      </c>
      <c r="N3376" s="7">
        <v>0</v>
      </c>
      <c r="O3376" t="s">
        <v>5483</v>
      </c>
      <c r="P3376" s="3" t="s">
        <v>84</v>
      </c>
      <c r="Q3376" s="8">
        <v>4.6775999999999998E-2</v>
      </c>
    </row>
    <row r="3377" spans="1:17" hidden="1" x14ac:dyDescent="0.55000000000000004">
      <c r="A3377" s="3" t="s">
        <v>5371</v>
      </c>
      <c r="B3377" s="3" t="s">
        <v>5456</v>
      </c>
      <c r="C3377" t="s">
        <v>5456</v>
      </c>
      <c r="D3377" s="3" t="s">
        <v>7329</v>
      </c>
      <c r="E3377" t="s">
        <v>5479</v>
      </c>
      <c r="F3377" s="3" t="s">
        <v>5480</v>
      </c>
      <c r="G3377" t="s">
        <v>19</v>
      </c>
      <c r="H3377" s="3" t="s">
        <v>5484</v>
      </c>
      <c r="I3377" t="s">
        <v>86</v>
      </c>
      <c r="J3377" s="3" t="s">
        <v>5485</v>
      </c>
      <c r="K3377" s="4">
        <v>989</v>
      </c>
      <c r="L3377" s="5">
        <v>215.09</v>
      </c>
      <c r="M3377" s="6">
        <v>0</v>
      </c>
      <c r="N3377" s="7">
        <v>0</v>
      </c>
      <c r="O3377" t="s">
        <v>5486</v>
      </c>
      <c r="P3377" s="3" t="s">
        <v>89</v>
      </c>
      <c r="Q3377" s="8">
        <v>4.3347999999999998E-2</v>
      </c>
    </row>
    <row r="3378" spans="1:17" hidden="1" x14ac:dyDescent="0.55000000000000004">
      <c r="A3378" s="3" t="s">
        <v>5371</v>
      </c>
      <c r="B3378" s="3" t="s">
        <v>5456</v>
      </c>
      <c r="C3378" t="s">
        <v>5456</v>
      </c>
      <c r="D3378" s="3" t="s">
        <v>7329</v>
      </c>
      <c r="E3378" t="s">
        <v>5479</v>
      </c>
      <c r="F3378" s="3" t="s">
        <v>5480</v>
      </c>
      <c r="G3378" t="s">
        <v>24</v>
      </c>
      <c r="H3378" s="3" t="s">
        <v>5462</v>
      </c>
      <c r="I3378" t="s">
        <v>37</v>
      </c>
      <c r="J3378" s="3" t="s">
        <v>5463</v>
      </c>
      <c r="K3378" s="4">
        <v>657</v>
      </c>
      <c r="L3378" s="5">
        <v>0</v>
      </c>
      <c r="M3378" s="6">
        <v>0</v>
      </c>
      <c r="N3378" s="7">
        <v>0</v>
      </c>
      <c r="O3378" t="s">
        <v>23</v>
      </c>
      <c r="P3378" s="3" t="s">
        <v>23</v>
      </c>
      <c r="Q3378" s="8" t="s">
        <v>23</v>
      </c>
    </row>
    <row r="3379" spans="1:17" hidden="1" x14ac:dyDescent="0.55000000000000004">
      <c r="A3379" s="3" t="s">
        <v>5371</v>
      </c>
      <c r="B3379" s="3" t="s">
        <v>5456</v>
      </c>
      <c r="C3379" t="s">
        <v>5456</v>
      </c>
      <c r="D3379" s="3" t="s">
        <v>7329</v>
      </c>
      <c r="E3379" t="s">
        <v>5479</v>
      </c>
      <c r="F3379" s="3" t="s">
        <v>5480</v>
      </c>
      <c r="G3379" t="s">
        <v>24</v>
      </c>
      <c r="H3379" s="3" t="s">
        <v>5464</v>
      </c>
      <c r="I3379" t="s">
        <v>105</v>
      </c>
      <c r="J3379" s="3" t="s">
        <v>5463</v>
      </c>
      <c r="K3379" s="4">
        <v>532</v>
      </c>
      <c r="L3379" s="5">
        <v>0</v>
      </c>
      <c r="M3379" s="6">
        <v>0</v>
      </c>
      <c r="N3379" s="7">
        <v>0</v>
      </c>
      <c r="O3379" t="s">
        <v>23</v>
      </c>
      <c r="P3379" s="3" t="s">
        <v>23</v>
      </c>
      <c r="Q3379" s="8" t="s">
        <v>23</v>
      </c>
    </row>
    <row r="3380" spans="1:17" hidden="1" x14ac:dyDescent="0.55000000000000004">
      <c r="A3380" s="3" t="s">
        <v>5371</v>
      </c>
      <c r="B3380" s="3" t="s">
        <v>5456</v>
      </c>
      <c r="C3380" t="s">
        <v>5456</v>
      </c>
      <c r="D3380" s="3" t="s">
        <v>7329</v>
      </c>
      <c r="E3380" t="s">
        <v>5479</v>
      </c>
      <c r="F3380" s="3" t="s">
        <v>5480</v>
      </c>
      <c r="G3380" t="s">
        <v>24</v>
      </c>
      <c r="H3380" s="3" t="s">
        <v>5465</v>
      </c>
      <c r="I3380" t="s">
        <v>43</v>
      </c>
      <c r="J3380" s="3" t="s">
        <v>5466</v>
      </c>
      <c r="K3380" s="4">
        <v>888</v>
      </c>
      <c r="L3380" s="5">
        <v>40.369999999999997</v>
      </c>
      <c r="M3380" s="6">
        <v>1</v>
      </c>
      <c r="N3380" s="7">
        <v>0</v>
      </c>
      <c r="O3380" t="s">
        <v>5467</v>
      </c>
      <c r="P3380" s="3" t="s">
        <v>46</v>
      </c>
      <c r="Q3380" s="8">
        <v>0.22523299999999999</v>
      </c>
    </row>
    <row r="3381" spans="1:17" hidden="1" x14ac:dyDescent="0.55000000000000004">
      <c r="A3381" s="3" t="s">
        <v>5371</v>
      </c>
      <c r="B3381" s="3" t="s">
        <v>5456</v>
      </c>
      <c r="C3381" t="s">
        <v>5456</v>
      </c>
      <c r="D3381" s="3" t="s">
        <v>7329</v>
      </c>
      <c r="E3381" t="s">
        <v>5479</v>
      </c>
      <c r="F3381" s="3" t="s">
        <v>5480</v>
      </c>
      <c r="G3381" t="s">
        <v>24</v>
      </c>
      <c r="H3381" s="3" t="s">
        <v>5468</v>
      </c>
      <c r="I3381" t="s">
        <v>48</v>
      </c>
      <c r="J3381" s="3" t="s">
        <v>5466</v>
      </c>
      <c r="K3381" s="4">
        <v>839</v>
      </c>
      <c r="L3381" s="5">
        <v>38.14</v>
      </c>
      <c r="M3381" s="6">
        <v>0</v>
      </c>
      <c r="N3381" s="7">
        <v>0</v>
      </c>
      <c r="O3381" t="s">
        <v>5469</v>
      </c>
      <c r="P3381" s="3" t="s">
        <v>23</v>
      </c>
      <c r="Q3381" s="8" t="s">
        <v>23</v>
      </c>
    </row>
    <row r="3382" spans="1:17" hidden="1" x14ac:dyDescent="0.55000000000000004">
      <c r="A3382" s="3" t="s">
        <v>5371</v>
      </c>
      <c r="B3382" s="3" t="s">
        <v>5456</v>
      </c>
      <c r="C3382" t="s">
        <v>5456</v>
      </c>
      <c r="D3382" s="3" t="s">
        <v>7329</v>
      </c>
      <c r="E3382" t="s">
        <v>5487</v>
      </c>
      <c r="F3382" s="3" t="s">
        <v>5488</v>
      </c>
      <c r="G3382" t="s">
        <v>19</v>
      </c>
      <c r="H3382" s="3" t="s">
        <v>5472</v>
      </c>
      <c r="I3382" t="s">
        <v>81</v>
      </c>
      <c r="J3382" s="3" t="s">
        <v>5473</v>
      </c>
      <c r="K3382" s="4">
        <v>1272</v>
      </c>
      <c r="L3382" s="5">
        <v>276.63</v>
      </c>
      <c r="M3382" s="6">
        <v>1</v>
      </c>
      <c r="N3382" s="7">
        <v>0</v>
      </c>
      <c r="O3382" t="s">
        <v>5474</v>
      </c>
      <c r="P3382" s="3" t="s">
        <v>84</v>
      </c>
      <c r="Q3382" s="8">
        <v>4.6775999999999998E-2</v>
      </c>
    </row>
    <row r="3383" spans="1:17" hidden="1" x14ac:dyDescent="0.55000000000000004">
      <c r="A3383" s="3" t="s">
        <v>5371</v>
      </c>
      <c r="B3383" s="3" t="s">
        <v>5456</v>
      </c>
      <c r="C3383" t="s">
        <v>5456</v>
      </c>
      <c r="D3383" s="3" t="s">
        <v>7329</v>
      </c>
      <c r="E3383" t="s">
        <v>5487</v>
      </c>
      <c r="F3383" s="3" t="s">
        <v>5488</v>
      </c>
      <c r="G3383" t="s">
        <v>24</v>
      </c>
      <c r="H3383" s="3" t="s">
        <v>5462</v>
      </c>
      <c r="I3383" t="s">
        <v>37</v>
      </c>
      <c r="J3383" s="3" t="s">
        <v>5463</v>
      </c>
      <c r="K3383" s="4">
        <v>657</v>
      </c>
      <c r="L3383" s="5">
        <v>0</v>
      </c>
      <c r="M3383" s="6">
        <v>0</v>
      </c>
      <c r="N3383" s="7">
        <v>0</v>
      </c>
      <c r="O3383" t="s">
        <v>23</v>
      </c>
      <c r="P3383" s="3" t="s">
        <v>23</v>
      </c>
      <c r="Q3383" s="8" t="s">
        <v>23</v>
      </c>
    </row>
    <row r="3384" spans="1:17" hidden="1" x14ac:dyDescent="0.55000000000000004">
      <c r="A3384" s="3" t="s">
        <v>5371</v>
      </c>
      <c r="B3384" s="3" t="s">
        <v>5456</v>
      </c>
      <c r="C3384" t="s">
        <v>5456</v>
      </c>
      <c r="D3384" s="3" t="s">
        <v>7329</v>
      </c>
      <c r="E3384" t="s">
        <v>5487</v>
      </c>
      <c r="F3384" s="3" t="s">
        <v>5488</v>
      </c>
      <c r="G3384" t="s">
        <v>24</v>
      </c>
      <c r="H3384" s="3" t="s">
        <v>5464</v>
      </c>
      <c r="I3384" t="s">
        <v>105</v>
      </c>
      <c r="J3384" s="3" t="s">
        <v>5463</v>
      </c>
      <c r="K3384" s="4">
        <v>532</v>
      </c>
      <c r="L3384" s="5">
        <v>0</v>
      </c>
      <c r="M3384" s="6">
        <v>0</v>
      </c>
      <c r="N3384" s="7">
        <v>0</v>
      </c>
      <c r="O3384" t="s">
        <v>23</v>
      </c>
      <c r="P3384" s="3" t="s">
        <v>23</v>
      </c>
      <c r="Q3384" s="8" t="s">
        <v>23</v>
      </c>
    </row>
    <row r="3385" spans="1:17" hidden="1" x14ac:dyDescent="0.55000000000000004">
      <c r="A3385" s="3" t="s">
        <v>5371</v>
      </c>
      <c r="B3385" s="3" t="s">
        <v>5456</v>
      </c>
      <c r="C3385" t="s">
        <v>5456</v>
      </c>
      <c r="D3385" s="3" t="s">
        <v>7329</v>
      </c>
      <c r="E3385" t="s">
        <v>5487</v>
      </c>
      <c r="F3385" s="3" t="s">
        <v>5488</v>
      </c>
      <c r="G3385" t="s">
        <v>24</v>
      </c>
      <c r="H3385" s="3" t="s">
        <v>5465</v>
      </c>
      <c r="I3385" t="s">
        <v>43</v>
      </c>
      <c r="J3385" s="3" t="s">
        <v>5466</v>
      </c>
      <c r="K3385" s="4">
        <v>888</v>
      </c>
      <c r="L3385" s="5">
        <v>40.369999999999997</v>
      </c>
      <c r="M3385" s="6">
        <v>1</v>
      </c>
      <c r="N3385" s="7">
        <v>0</v>
      </c>
      <c r="O3385" t="s">
        <v>5467</v>
      </c>
      <c r="P3385" s="3" t="s">
        <v>46</v>
      </c>
      <c r="Q3385" s="8">
        <v>0.22523299999999999</v>
      </c>
    </row>
    <row r="3386" spans="1:17" hidden="1" x14ac:dyDescent="0.55000000000000004">
      <c r="A3386" s="3" t="s">
        <v>5371</v>
      </c>
      <c r="B3386" s="3" t="s">
        <v>5456</v>
      </c>
      <c r="C3386" t="s">
        <v>5456</v>
      </c>
      <c r="D3386" s="3" t="s">
        <v>7329</v>
      </c>
      <c r="E3386" t="s">
        <v>5487</v>
      </c>
      <c r="F3386" s="3" t="s">
        <v>5488</v>
      </c>
      <c r="G3386" t="s">
        <v>24</v>
      </c>
      <c r="H3386" s="3" t="s">
        <v>5468</v>
      </c>
      <c r="I3386" t="s">
        <v>48</v>
      </c>
      <c r="J3386" s="3" t="s">
        <v>5466</v>
      </c>
      <c r="K3386" s="4">
        <v>839</v>
      </c>
      <c r="L3386" s="5">
        <v>38.14</v>
      </c>
      <c r="M3386" s="6">
        <v>0</v>
      </c>
      <c r="N3386" s="7">
        <v>0</v>
      </c>
      <c r="O3386" t="s">
        <v>5469</v>
      </c>
      <c r="P3386" s="3" t="s">
        <v>23</v>
      </c>
      <c r="Q3386" s="8" t="s">
        <v>23</v>
      </c>
    </row>
    <row r="3387" spans="1:17" hidden="1" x14ac:dyDescent="0.55000000000000004">
      <c r="A3387" s="3" t="s">
        <v>5371</v>
      </c>
      <c r="B3387" s="3" t="s">
        <v>5456</v>
      </c>
      <c r="C3387" t="s">
        <v>5456</v>
      </c>
      <c r="D3387" s="3" t="s">
        <v>7329</v>
      </c>
      <c r="E3387" t="s">
        <v>5489</v>
      </c>
      <c r="F3387" s="3" t="s">
        <v>5490</v>
      </c>
      <c r="G3387" t="s">
        <v>19</v>
      </c>
      <c r="H3387" s="3" t="s">
        <v>5481</v>
      </c>
      <c r="I3387" t="s">
        <v>81</v>
      </c>
      <c r="J3387" s="3" t="s">
        <v>5482</v>
      </c>
      <c r="K3387" s="4">
        <v>1269</v>
      </c>
      <c r="L3387" s="5">
        <v>275.89</v>
      </c>
      <c r="M3387" s="6">
        <v>1</v>
      </c>
      <c r="N3387" s="7">
        <v>0</v>
      </c>
      <c r="O3387" t="s">
        <v>5483</v>
      </c>
      <c r="P3387" s="3" t="s">
        <v>84</v>
      </c>
      <c r="Q3387" s="8">
        <v>4.6775999999999998E-2</v>
      </c>
    </row>
    <row r="3388" spans="1:17" hidden="1" x14ac:dyDescent="0.55000000000000004">
      <c r="A3388" s="3" t="s">
        <v>5371</v>
      </c>
      <c r="B3388" s="3" t="s">
        <v>5456</v>
      </c>
      <c r="C3388" t="s">
        <v>5456</v>
      </c>
      <c r="D3388" s="3" t="s">
        <v>7329</v>
      </c>
      <c r="E3388" t="s">
        <v>5489</v>
      </c>
      <c r="F3388" s="3" t="s">
        <v>5490</v>
      </c>
      <c r="G3388" t="s">
        <v>19</v>
      </c>
      <c r="H3388" s="3" t="s">
        <v>5484</v>
      </c>
      <c r="I3388" t="s">
        <v>86</v>
      </c>
      <c r="J3388" s="3" t="s">
        <v>5485</v>
      </c>
      <c r="K3388" s="4">
        <v>989</v>
      </c>
      <c r="L3388" s="5">
        <v>215.09</v>
      </c>
      <c r="M3388" s="6">
        <v>0</v>
      </c>
      <c r="N3388" s="7">
        <v>0</v>
      </c>
      <c r="O3388" t="s">
        <v>5486</v>
      </c>
      <c r="P3388" s="3" t="s">
        <v>89</v>
      </c>
      <c r="Q3388" s="8">
        <v>4.3347999999999998E-2</v>
      </c>
    </row>
    <row r="3389" spans="1:17" hidden="1" x14ac:dyDescent="0.55000000000000004">
      <c r="A3389" s="3" t="s">
        <v>5371</v>
      </c>
      <c r="B3389" s="3" t="s">
        <v>5456</v>
      </c>
      <c r="C3389" t="s">
        <v>5456</v>
      </c>
      <c r="D3389" s="3" t="s">
        <v>7329</v>
      </c>
      <c r="E3389" t="s">
        <v>5489</v>
      </c>
      <c r="F3389" s="3" t="s">
        <v>5490</v>
      </c>
      <c r="G3389" t="s">
        <v>24</v>
      </c>
      <c r="H3389" s="3" t="s">
        <v>5462</v>
      </c>
      <c r="I3389" t="s">
        <v>37</v>
      </c>
      <c r="J3389" s="3" t="s">
        <v>5463</v>
      </c>
      <c r="K3389" s="4">
        <v>657</v>
      </c>
      <c r="L3389" s="5">
        <v>0</v>
      </c>
      <c r="M3389" s="6">
        <v>0</v>
      </c>
      <c r="N3389" s="7">
        <v>0</v>
      </c>
      <c r="O3389" t="s">
        <v>23</v>
      </c>
      <c r="P3389" s="3" t="s">
        <v>23</v>
      </c>
      <c r="Q3389" s="8" t="s">
        <v>23</v>
      </c>
    </row>
    <row r="3390" spans="1:17" hidden="1" x14ac:dyDescent="0.55000000000000004">
      <c r="A3390" s="3" t="s">
        <v>5371</v>
      </c>
      <c r="B3390" s="3" t="s">
        <v>5456</v>
      </c>
      <c r="C3390" t="s">
        <v>5456</v>
      </c>
      <c r="D3390" s="3" t="s">
        <v>7329</v>
      </c>
      <c r="E3390" t="s">
        <v>5489</v>
      </c>
      <c r="F3390" s="3" t="s">
        <v>5490</v>
      </c>
      <c r="G3390" t="s">
        <v>24</v>
      </c>
      <c r="H3390" s="3" t="s">
        <v>5464</v>
      </c>
      <c r="I3390" t="s">
        <v>105</v>
      </c>
      <c r="J3390" s="3" t="s">
        <v>5463</v>
      </c>
      <c r="K3390" s="4">
        <v>532</v>
      </c>
      <c r="L3390" s="5">
        <v>0</v>
      </c>
      <c r="M3390" s="6">
        <v>0</v>
      </c>
      <c r="N3390" s="7">
        <v>0</v>
      </c>
      <c r="O3390" t="s">
        <v>23</v>
      </c>
      <c r="P3390" s="3" t="s">
        <v>23</v>
      </c>
      <c r="Q3390" s="8" t="s">
        <v>23</v>
      </c>
    </row>
    <row r="3391" spans="1:17" hidden="1" x14ac:dyDescent="0.55000000000000004">
      <c r="A3391" s="3" t="s">
        <v>5371</v>
      </c>
      <c r="B3391" s="3" t="s">
        <v>5456</v>
      </c>
      <c r="C3391" t="s">
        <v>5456</v>
      </c>
      <c r="D3391" s="3" t="s">
        <v>7329</v>
      </c>
      <c r="E3391" t="s">
        <v>5489</v>
      </c>
      <c r="F3391" s="3" t="s">
        <v>5490</v>
      </c>
      <c r="G3391" t="s">
        <v>24</v>
      </c>
      <c r="H3391" s="3" t="s">
        <v>5465</v>
      </c>
      <c r="I3391" t="s">
        <v>43</v>
      </c>
      <c r="J3391" s="3" t="s">
        <v>5466</v>
      </c>
      <c r="K3391" s="4">
        <v>888</v>
      </c>
      <c r="L3391" s="5">
        <v>40.369999999999997</v>
      </c>
      <c r="M3391" s="6">
        <v>1</v>
      </c>
      <c r="N3391" s="7">
        <v>0</v>
      </c>
      <c r="O3391" t="s">
        <v>5467</v>
      </c>
      <c r="P3391" s="3" t="s">
        <v>46</v>
      </c>
      <c r="Q3391" s="8">
        <v>0.22523299999999999</v>
      </c>
    </row>
    <row r="3392" spans="1:17" hidden="1" x14ac:dyDescent="0.55000000000000004">
      <c r="A3392" s="3" t="s">
        <v>5371</v>
      </c>
      <c r="B3392" s="3" t="s">
        <v>5456</v>
      </c>
      <c r="C3392" t="s">
        <v>5456</v>
      </c>
      <c r="D3392" s="3" t="s">
        <v>7329</v>
      </c>
      <c r="E3392" t="s">
        <v>5489</v>
      </c>
      <c r="F3392" s="3" t="s">
        <v>5490</v>
      </c>
      <c r="G3392" t="s">
        <v>24</v>
      </c>
      <c r="H3392" s="3" t="s">
        <v>5468</v>
      </c>
      <c r="I3392" t="s">
        <v>48</v>
      </c>
      <c r="J3392" s="3" t="s">
        <v>5466</v>
      </c>
      <c r="K3392" s="4">
        <v>839</v>
      </c>
      <c r="L3392" s="5">
        <v>38.14</v>
      </c>
      <c r="M3392" s="6">
        <v>0</v>
      </c>
      <c r="N3392" s="7">
        <v>0</v>
      </c>
      <c r="O3392" t="s">
        <v>5469</v>
      </c>
      <c r="P3392" s="3" t="s">
        <v>23</v>
      </c>
      <c r="Q3392" s="8" t="s">
        <v>23</v>
      </c>
    </row>
    <row r="3393" spans="1:17" hidden="1" x14ac:dyDescent="0.55000000000000004">
      <c r="A3393" s="3" t="s">
        <v>5371</v>
      </c>
      <c r="B3393" s="3" t="s">
        <v>5456</v>
      </c>
      <c r="C3393" t="s">
        <v>5456</v>
      </c>
      <c r="D3393" s="3" t="s">
        <v>7329</v>
      </c>
      <c r="E3393" t="s">
        <v>5491</v>
      </c>
      <c r="F3393" s="3" t="s">
        <v>5492</v>
      </c>
      <c r="G3393" t="s">
        <v>19</v>
      </c>
      <c r="H3393" s="3" t="s">
        <v>5472</v>
      </c>
      <c r="I3393" t="s">
        <v>81</v>
      </c>
      <c r="J3393" s="3" t="s">
        <v>5473</v>
      </c>
      <c r="K3393" s="4">
        <v>1272</v>
      </c>
      <c r="L3393" s="5">
        <v>276.63</v>
      </c>
      <c r="M3393" s="6">
        <v>1</v>
      </c>
      <c r="N3393" s="7">
        <v>0</v>
      </c>
      <c r="O3393" t="s">
        <v>5474</v>
      </c>
      <c r="P3393" s="3" t="s">
        <v>84</v>
      </c>
      <c r="Q3393" s="8">
        <v>4.6775999999999998E-2</v>
      </c>
    </row>
    <row r="3394" spans="1:17" hidden="1" x14ac:dyDescent="0.55000000000000004">
      <c r="A3394" s="3" t="s">
        <v>5371</v>
      </c>
      <c r="B3394" s="3" t="s">
        <v>5456</v>
      </c>
      <c r="C3394" t="s">
        <v>5456</v>
      </c>
      <c r="D3394" s="3" t="s">
        <v>7329</v>
      </c>
      <c r="E3394" t="s">
        <v>5491</v>
      </c>
      <c r="F3394" s="3" t="s">
        <v>5492</v>
      </c>
      <c r="G3394" t="s">
        <v>24</v>
      </c>
      <c r="H3394" s="3" t="s">
        <v>5462</v>
      </c>
      <c r="I3394" t="s">
        <v>37</v>
      </c>
      <c r="J3394" s="3" t="s">
        <v>5463</v>
      </c>
      <c r="K3394" s="4">
        <v>657</v>
      </c>
      <c r="L3394" s="5">
        <v>0</v>
      </c>
      <c r="M3394" s="6">
        <v>0</v>
      </c>
      <c r="N3394" s="7">
        <v>0</v>
      </c>
      <c r="O3394" t="s">
        <v>23</v>
      </c>
      <c r="P3394" s="3" t="s">
        <v>23</v>
      </c>
      <c r="Q3394" s="8" t="s">
        <v>23</v>
      </c>
    </row>
    <row r="3395" spans="1:17" hidden="1" x14ac:dyDescent="0.55000000000000004">
      <c r="A3395" s="3" t="s">
        <v>5371</v>
      </c>
      <c r="B3395" s="3" t="s">
        <v>5456</v>
      </c>
      <c r="C3395" t="s">
        <v>5456</v>
      </c>
      <c r="D3395" s="3" t="s">
        <v>7329</v>
      </c>
      <c r="E3395" t="s">
        <v>5491</v>
      </c>
      <c r="F3395" s="3" t="s">
        <v>5492</v>
      </c>
      <c r="G3395" t="s">
        <v>24</v>
      </c>
      <c r="H3395" s="3" t="s">
        <v>5464</v>
      </c>
      <c r="I3395" t="s">
        <v>105</v>
      </c>
      <c r="J3395" s="3" t="s">
        <v>5463</v>
      </c>
      <c r="K3395" s="4">
        <v>532</v>
      </c>
      <c r="L3395" s="5">
        <v>0</v>
      </c>
      <c r="M3395" s="6">
        <v>0</v>
      </c>
      <c r="N3395" s="7">
        <v>0</v>
      </c>
      <c r="O3395" t="s">
        <v>23</v>
      </c>
      <c r="P3395" s="3" t="s">
        <v>23</v>
      </c>
      <c r="Q3395" s="8" t="s">
        <v>23</v>
      </c>
    </row>
    <row r="3396" spans="1:17" hidden="1" x14ac:dyDescent="0.55000000000000004">
      <c r="A3396" s="3" t="s">
        <v>5371</v>
      </c>
      <c r="B3396" s="3" t="s">
        <v>5456</v>
      </c>
      <c r="C3396" t="s">
        <v>5456</v>
      </c>
      <c r="D3396" s="3" t="s">
        <v>7329</v>
      </c>
      <c r="E3396" t="s">
        <v>5491</v>
      </c>
      <c r="F3396" s="3" t="s">
        <v>5492</v>
      </c>
      <c r="G3396" t="s">
        <v>24</v>
      </c>
      <c r="H3396" s="3" t="s">
        <v>5465</v>
      </c>
      <c r="I3396" t="s">
        <v>43</v>
      </c>
      <c r="J3396" s="3" t="s">
        <v>5466</v>
      </c>
      <c r="K3396" s="4">
        <v>888</v>
      </c>
      <c r="L3396" s="5">
        <v>40.369999999999997</v>
      </c>
      <c r="M3396" s="6">
        <v>1</v>
      </c>
      <c r="N3396" s="7">
        <v>0</v>
      </c>
      <c r="O3396" t="s">
        <v>5467</v>
      </c>
      <c r="P3396" s="3" t="s">
        <v>46</v>
      </c>
      <c r="Q3396" s="8">
        <v>0.22523299999999999</v>
      </c>
    </row>
    <row r="3397" spans="1:17" hidden="1" x14ac:dyDescent="0.55000000000000004">
      <c r="A3397" s="3" t="s">
        <v>5371</v>
      </c>
      <c r="B3397" s="3" t="s">
        <v>5456</v>
      </c>
      <c r="C3397" t="s">
        <v>5456</v>
      </c>
      <c r="D3397" s="3" t="s">
        <v>7329</v>
      </c>
      <c r="E3397" t="s">
        <v>5491</v>
      </c>
      <c r="F3397" s="3" t="s">
        <v>5492</v>
      </c>
      <c r="G3397" t="s">
        <v>24</v>
      </c>
      <c r="H3397" s="3" t="s">
        <v>5468</v>
      </c>
      <c r="I3397" t="s">
        <v>48</v>
      </c>
      <c r="J3397" s="3" t="s">
        <v>5466</v>
      </c>
      <c r="K3397" s="4">
        <v>839</v>
      </c>
      <c r="L3397" s="5">
        <v>38.14</v>
      </c>
      <c r="M3397" s="6">
        <v>0</v>
      </c>
      <c r="N3397" s="7">
        <v>0</v>
      </c>
      <c r="O3397" t="s">
        <v>5469</v>
      </c>
      <c r="P3397" s="3" t="s">
        <v>23</v>
      </c>
      <c r="Q3397" s="8" t="s">
        <v>23</v>
      </c>
    </row>
    <row r="3398" spans="1:17" hidden="1" x14ac:dyDescent="0.55000000000000004">
      <c r="A3398" s="3" t="s">
        <v>5371</v>
      </c>
      <c r="B3398" s="3" t="s">
        <v>5456</v>
      </c>
      <c r="C3398" t="s">
        <v>5456</v>
      </c>
      <c r="D3398" s="3" t="s">
        <v>7329</v>
      </c>
      <c r="E3398" t="s">
        <v>5493</v>
      </c>
      <c r="F3398" s="3" t="s">
        <v>5494</v>
      </c>
      <c r="G3398" t="s">
        <v>19</v>
      </c>
      <c r="H3398" s="3" t="s">
        <v>5481</v>
      </c>
      <c r="I3398" t="s">
        <v>81</v>
      </c>
      <c r="J3398" s="3" t="s">
        <v>5482</v>
      </c>
      <c r="K3398" s="4">
        <v>1269</v>
      </c>
      <c r="L3398" s="5">
        <v>275.89</v>
      </c>
      <c r="M3398" s="6">
        <v>1</v>
      </c>
      <c r="N3398" s="7">
        <v>0</v>
      </c>
      <c r="O3398" t="s">
        <v>5483</v>
      </c>
      <c r="P3398" s="3" t="s">
        <v>84</v>
      </c>
      <c r="Q3398" s="8">
        <v>4.6775999999999998E-2</v>
      </c>
    </row>
    <row r="3399" spans="1:17" hidden="1" x14ac:dyDescent="0.55000000000000004">
      <c r="A3399" s="3" t="s">
        <v>5371</v>
      </c>
      <c r="B3399" s="3" t="s">
        <v>5456</v>
      </c>
      <c r="C3399" t="s">
        <v>5456</v>
      </c>
      <c r="D3399" s="3" t="s">
        <v>7329</v>
      </c>
      <c r="E3399" t="s">
        <v>5493</v>
      </c>
      <c r="F3399" s="3" t="s">
        <v>5494</v>
      </c>
      <c r="G3399" t="s">
        <v>24</v>
      </c>
      <c r="H3399" s="3" t="s">
        <v>5462</v>
      </c>
      <c r="I3399" t="s">
        <v>37</v>
      </c>
      <c r="J3399" s="3" t="s">
        <v>5463</v>
      </c>
      <c r="K3399" s="4">
        <v>657</v>
      </c>
      <c r="L3399" s="5">
        <v>0</v>
      </c>
      <c r="M3399" s="6">
        <v>0</v>
      </c>
      <c r="N3399" s="7">
        <v>0</v>
      </c>
      <c r="O3399" t="s">
        <v>23</v>
      </c>
      <c r="P3399" s="3" t="s">
        <v>23</v>
      </c>
      <c r="Q3399" s="8" t="s">
        <v>23</v>
      </c>
    </row>
    <row r="3400" spans="1:17" hidden="1" x14ac:dyDescent="0.55000000000000004">
      <c r="A3400" s="3" t="s">
        <v>5371</v>
      </c>
      <c r="B3400" s="3" t="s">
        <v>5456</v>
      </c>
      <c r="C3400" t="s">
        <v>5456</v>
      </c>
      <c r="D3400" s="3" t="s">
        <v>7329</v>
      </c>
      <c r="E3400" t="s">
        <v>5493</v>
      </c>
      <c r="F3400" s="3" t="s">
        <v>5494</v>
      </c>
      <c r="G3400" t="s">
        <v>24</v>
      </c>
      <c r="H3400" s="3" t="s">
        <v>5464</v>
      </c>
      <c r="I3400" t="s">
        <v>105</v>
      </c>
      <c r="J3400" s="3" t="s">
        <v>5463</v>
      </c>
      <c r="K3400" s="4">
        <v>532</v>
      </c>
      <c r="L3400" s="5">
        <v>0</v>
      </c>
      <c r="M3400" s="6">
        <v>0</v>
      </c>
      <c r="N3400" s="7">
        <v>0</v>
      </c>
      <c r="O3400" t="s">
        <v>23</v>
      </c>
      <c r="P3400" s="3" t="s">
        <v>23</v>
      </c>
      <c r="Q3400" s="8" t="s">
        <v>23</v>
      </c>
    </row>
    <row r="3401" spans="1:17" hidden="1" x14ac:dyDescent="0.55000000000000004">
      <c r="A3401" s="3" t="s">
        <v>5371</v>
      </c>
      <c r="B3401" s="3" t="s">
        <v>5456</v>
      </c>
      <c r="C3401" t="s">
        <v>5456</v>
      </c>
      <c r="D3401" s="3" t="s">
        <v>7329</v>
      </c>
      <c r="E3401" t="s">
        <v>5493</v>
      </c>
      <c r="F3401" s="3" t="s">
        <v>5494</v>
      </c>
      <c r="G3401" t="s">
        <v>24</v>
      </c>
      <c r="H3401" s="3" t="s">
        <v>5465</v>
      </c>
      <c r="I3401" t="s">
        <v>43</v>
      </c>
      <c r="J3401" s="3" t="s">
        <v>5466</v>
      </c>
      <c r="K3401" s="4">
        <v>888</v>
      </c>
      <c r="L3401" s="5">
        <v>40.369999999999997</v>
      </c>
      <c r="M3401" s="6">
        <v>1</v>
      </c>
      <c r="N3401" s="7">
        <v>0</v>
      </c>
      <c r="O3401" t="s">
        <v>5467</v>
      </c>
      <c r="P3401" s="3" t="s">
        <v>46</v>
      </c>
      <c r="Q3401" s="8">
        <v>0.22523299999999999</v>
      </c>
    </row>
    <row r="3402" spans="1:17" hidden="1" x14ac:dyDescent="0.55000000000000004">
      <c r="A3402" s="3" t="s">
        <v>5371</v>
      </c>
      <c r="B3402" s="3" t="s">
        <v>5456</v>
      </c>
      <c r="C3402" t="s">
        <v>5456</v>
      </c>
      <c r="D3402" s="3" t="s">
        <v>7329</v>
      </c>
      <c r="E3402" t="s">
        <v>5493</v>
      </c>
      <c r="F3402" s="3" t="s">
        <v>5494</v>
      </c>
      <c r="G3402" t="s">
        <v>24</v>
      </c>
      <c r="H3402" s="3" t="s">
        <v>5468</v>
      </c>
      <c r="I3402" t="s">
        <v>48</v>
      </c>
      <c r="J3402" s="3" t="s">
        <v>5466</v>
      </c>
      <c r="K3402" s="4">
        <v>839</v>
      </c>
      <c r="L3402" s="5">
        <v>38.14</v>
      </c>
      <c r="M3402" s="6">
        <v>0</v>
      </c>
      <c r="N3402" s="7">
        <v>0</v>
      </c>
      <c r="O3402" t="s">
        <v>5469</v>
      </c>
      <c r="P3402" s="3" t="s">
        <v>23</v>
      </c>
      <c r="Q3402" s="8" t="s">
        <v>23</v>
      </c>
    </row>
    <row r="3403" spans="1:17" hidden="1" x14ac:dyDescent="0.55000000000000004">
      <c r="A3403" s="3" t="s">
        <v>5371</v>
      </c>
      <c r="B3403" s="3" t="s">
        <v>5456</v>
      </c>
      <c r="C3403" t="s">
        <v>5456</v>
      </c>
      <c r="D3403" s="3" t="s">
        <v>7329</v>
      </c>
      <c r="E3403" t="s">
        <v>5495</v>
      </c>
      <c r="F3403" s="3" t="s">
        <v>5496</v>
      </c>
      <c r="G3403" t="s">
        <v>19</v>
      </c>
      <c r="H3403" s="3" t="s">
        <v>5472</v>
      </c>
      <c r="I3403" t="s">
        <v>81</v>
      </c>
      <c r="J3403" s="3" t="s">
        <v>5473</v>
      </c>
      <c r="K3403" s="4">
        <v>1272</v>
      </c>
      <c r="L3403" s="5">
        <v>276.63</v>
      </c>
      <c r="M3403" s="6">
        <v>1</v>
      </c>
      <c r="N3403" s="7">
        <v>0</v>
      </c>
      <c r="O3403" t="s">
        <v>5474</v>
      </c>
      <c r="P3403" s="3" t="s">
        <v>84</v>
      </c>
      <c r="Q3403" s="8">
        <v>4.6775999999999998E-2</v>
      </c>
    </row>
    <row r="3404" spans="1:17" hidden="1" x14ac:dyDescent="0.55000000000000004">
      <c r="A3404" s="3" t="s">
        <v>5371</v>
      </c>
      <c r="B3404" s="3" t="s">
        <v>5456</v>
      </c>
      <c r="C3404" t="s">
        <v>5456</v>
      </c>
      <c r="D3404" s="3" t="s">
        <v>7329</v>
      </c>
      <c r="E3404" t="s">
        <v>5495</v>
      </c>
      <c r="F3404" s="3" t="s">
        <v>5496</v>
      </c>
      <c r="G3404" t="s">
        <v>24</v>
      </c>
      <c r="H3404" s="3" t="s">
        <v>5462</v>
      </c>
      <c r="I3404" t="s">
        <v>37</v>
      </c>
      <c r="J3404" s="3" t="s">
        <v>5463</v>
      </c>
      <c r="K3404" s="4">
        <v>657</v>
      </c>
      <c r="L3404" s="5">
        <v>0</v>
      </c>
      <c r="M3404" s="6">
        <v>0</v>
      </c>
      <c r="N3404" s="7">
        <v>0</v>
      </c>
      <c r="O3404" t="s">
        <v>23</v>
      </c>
      <c r="P3404" s="3" t="s">
        <v>23</v>
      </c>
      <c r="Q3404" s="8" t="s">
        <v>23</v>
      </c>
    </row>
    <row r="3405" spans="1:17" hidden="1" x14ac:dyDescent="0.55000000000000004">
      <c r="A3405" s="3" t="s">
        <v>5371</v>
      </c>
      <c r="B3405" s="3" t="s">
        <v>5456</v>
      </c>
      <c r="C3405" t="s">
        <v>5456</v>
      </c>
      <c r="D3405" s="3" t="s">
        <v>7329</v>
      </c>
      <c r="E3405" t="s">
        <v>5495</v>
      </c>
      <c r="F3405" s="3" t="s">
        <v>5496</v>
      </c>
      <c r="G3405" t="s">
        <v>24</v>
      </c>
      <c r="H3405" s="3" t="s">
        <v>5464</v>
      </c>
      <c r="I3405" t="s">
        <v>105</v>
      </c>
      <c r="J3405" s="3" t="s">
        <v>5463</v>
      </c>
      <c r="K3405" s="4">
        <v>532</v>
      </c>
      <c r="L3405" s="5">
        <v>0</v>
      </c>
      <c r="M3405" s="6">
        <v>0</v>
      </c>
      <c r="N3405" s="7">
        <v>0</v>
      </c>
      <c r="O3405" t="s">
        <v>23</v>
      </c>
      <c r="P3405" s="3" t="s">
        <v>23</v>
      </c>
      <c r="Q3405" s="8" t="s">
        <v>23</v>
      </c>
    </row>
    <row r="3406" spans="1:17" hidden="1" x14ac:dyDescent="0.55000000000000004">
      <c r="A3406" s="3" t="s">
        <v>5371</v>
      </c>
      <c r="B3406" s="3" t="s">
        <v>5456</v>
      </c>
      <c r="C3406" t="s">
        <v>5456</v>
      </c>
      <c r="D3406" s="3" t="s">
        <v>7329</v>
      </c>
      <c r="E3406" t="s">
        <v>5495</v>
      </c>
      <c r="F3406" s="3" t="s">
        <v>5496</v>
      </c>
      <c r="G3406" t="s">
        <v>24</v>
      </c>
      <c r="H3406" s="3" t="s">
        <v>5465</v>
      </c>
      <c r="I3406" t="s">
        <v>43</v>
      </c>
      <c r="J3406" s="3" t="s">
        <v>5466</v>
      </c>
      <c r="K3406" s="4">
        <v>888</v>
      </c>
      <c r="L3406" s="5">
        <v>40.369999999999997</v>
      </c>
      <c r="M3406" s="6">
        <v>1</v>
      </c>
      <c r="N3406" s="7">
        <v>0</v>
      </c>
      <c r="O3406" t="s">
        <v>5467</v>
      </c>
      <c r="P3406" s="3" t="s">
        <v>46</v>
      </c>
      <c r="Q3406" s="8">
        <v>0.22523299999999999</v>
      </c>
    </row>
    <row r="3407" spans="1:17" hidden="1" x14ac:dyDescent="0.55000000000000004">
      <c r="A3407" s="3" t="s">
        <v>5371</v>
      </c>
      <c r="B3407" s="3" t="s">
        <v>5456</v>
      </c>
      <c r="C3407" t="s">
        <v>5456</v>
      </c>
      <c r="D3407" s="3" t="s">
        <v>7329</v>
      </c>
      <c r="E3407" t="s">
        <v>5495</v>
      </c>
      <c r="F3407" s="3" t="s">
        <v>5496</v>
      </c>
      <c r="G3407" t="s">
        <v>24</v>
      </c>
      <c r="H3407" s="3" t="s">
        <v>5468</v>
      </c>
      <c r="I3407" t="s">
        <v>48</v>
      </c>
      <c r="J3407" s="3" t="s">
        <v>5466</v>
      </c>
      <c r="K3407" s="4">
        <v>839</v>
      </c>
      <c r="L3407" s="5">
        <v>38.14</v>
      </c>
      <c r="M3407" s="6">
        <v>0</v>
      </c>
      <c r="N3407" s="7">
        <v>0</v>
      </c>
      <c r="O3407" t="s">
        <v>5469</v>
      </c>
      <c r="P3407" s="3" t="s">
        <v>23</v>
      </c>
      <c r="Q3407" s="8" t="s">
        <v>23</v>
      </c>
    </row>
    <row r="3408" spans="1:17" hidden="1" x14ac:dyDescent="0.55000000000000004">
      <c r="A3408" s="3" t="s">
        <v>5371</v>
      </c>
      <c r="B3408" s="3" t="s">
        <v>5456</v>
      </c>
      <c r="C3408" t="s">
        <v>5456</v>
      </c>
      <c r="D3408" s="3" t="s">
        <v>7329</v>
      </c>
      <c r="E3408" t="s">
        <v>5497</v>
      </c>
      <c r="F3408" s="3" t="s">
        <v>5498</v>
      </c>
      <c r="G3408" t="s">
        <v>24</v>
      </c>
      <c r="H3408" s="3" t="s">
        <v>5462</v>
      </c>
      <c r="I3408" t="s">
        <v>37</v>
      </c>
      <c r="J3408" s="3" t="s">
        <v>5463</v>
      </c>
      <c r="K3408" s="4">
        <v>657</v>
      </c>
      <c r="L3408" s="5">
        <v>0</v>
      </c>
      <c r="M3408" s="6">
        <v>0</v>
      </c>
      <c r="N3408" s="7">
        <v>0</v>
      </c>
      <c r="O3408" t="s">
        <v>23</v>
      </c>
      <c r="P3408" s="3" t="s">
        <v>23</v>
      </c>
      <c r="Q3408" s="8" t="s">
        <v>23</v>
      </c>
    </row>
    <row r="3409" spans="1:17" hidden="1" x14ac:dyDescent="0.55000000000000004">
      <c r="A3409" s="3" t="s">
        <v>5371</v>
      </c>
      <c r="B3409" s="3" t="s">
        <v>5456</v>
      </c>
      <c r="C3409" t="s">
        <v>5456</v>
      </c>
      <c r="D3409" s="3" t="s">
        <v>7329</v>
      </c>
      <c r="E3409" t="s">
        <v>5497</v>
      </c>
      <c r="F3409" s="3" t="s">
        <v>5498</v>
      </c>
      <c r="G3409" t="s">
        <v>24</v>
      </c>
      <c r="H3409" s="3" t="s">
        <v>5464</v>
      </c>
      <c r="I3409" t="s">
        <v>105</v>
      </c>
      <c r="J3409" s="3" t="s">
        <v>5463</v>
      </c>
      <c r="K3409" s="4">
        <v>532</v>
      </c>
      <c r="L3409" s="5">
        <v>0</v>
      </c>
      <c r="M3409" s="6">
        <v>0</v>
      </c>
      <c r="N3409" s="7">
        <v>0</v>
      </c>
      <c r="O3409" t="s">
        <v>23</v>
      </c>
      <c r="P3409" s="3" t="s">
        <v>23</v>
      </c>
      <c r="Q3409" s="8" t="s">
        <v>23</v>
      </c>
    </row>
    <row r="3410" spans="1:17" hidden="1" x14ac:dyDescent="0.55000000000000004">
      <c r="A3410" s="3" t="s">
        <v>5371</v>
      </c>
      <c r="B3410" s="3" t="s">
        <v>5456</v>
      </c>
      <c r="C3410" t="s">
        <v>5456</v>
      </c>
      <c r="D3410" s="3" t="s">
        <v>7329</v>
      </c>
      <c r="E3410" t="s">
        <v>5497</v>
      </c>
      <c r="F3410" s="3" t="s">
        <v>5498</v>
      </c>
      <c r="G3410" t="s">
        <v>24</v>
      </c>
      <c r="H3410" s="3" t="s">
        <v>5465</v>
      </c>
      <c r="I3410" t="s">
        <v>43</v>
      </c>
      <c r="J3410" s="3" t="s">
        <v>5466</v>
      </c>
      <c r="K3410" s="4">
        <v>888</v>
      </c>
      <c r="L3410" s="5">
        <v>40.369999999999997</v>
      </c>
      <c r="M3410" s="6">
        <v>1</v>
      </c>
      <c r="N3410" s="7">
        <v>0</v>
      </c>
      <c r="O3410" t="s">
        <v>5467</v>
      </c>
      <c r="P3410" s="3" t="s">
        <v>46</v>
      </c>
      <c r="Q3410" s="8">
        <v>0.22523299999999999</v>
      </c>
    </row>
    <row r="3411" spans="1:17" hidden="1" x14ac:dyDescent="0.55000000000000004">
      <c r="A3411" s="3" t="s">
        <v>5371</v>
      </c>
      <c r="B3411" s="3" t="s">
        <v>5456</v>
      </c>
      <c r="C3411" t="s">
        <v>5456</v>
      </c>
      <c r="D3411" s="3" t="s">
        <v>7329</v>
      </c>
      <c r="E3411" t="s">
        <v>5497</v>
      </c>
      <c r="F3411" s="3" t="s">
        <v>5498</v>
      </c>
      <c r="G3411" t="s">
        <v>24</v>
      </c>
      <c r="H3411" s="3" t="s">
        <v>5468</v>
      </c>
      <c r="I3411" t="s">
        <v>48</v>
      </c>
      <c r="J3411" s="3" t="s">
        <v>5466</v>
      </c>
      <c r="K3411" s="4">
        <v>839</v>
      </c>
      <c r="L3411" s="5">
        <v>38.14</v>
      </c>
      <c r="M3411" s="6">
        <v>0</v>
      </c>
      <c r="N3411" s="7">
        <v>0</v>
      </c>
      <c r="O3411" t="s">
        <v>5469</v>
      </c>
      <c r="P3411" s="3" t="s">
        <v>23</v>
      </c>
      <c r="Q3411" s="8" t="s">
        <v>23</v>
      </c>
    </row>
    <row r="3412" spans="1:17" hidden="1" x14ac:dyDescent="0.55000000000000004">
      <c r="A3412" s="3" t="s">
        <v>5371</v>
      </c>
      <c r="B3412" s="3" t="s">
        <v>5406</v>
      </c>
      <c r="C3412" t="s">
        <v>5406</v>
      </c>
      <c r="D3412" s="3" t="s">
        <v>7329</v>
      </c>
      <c r="E3412" t="s">
        <v>5499</v>
      </c>
      <c r="F3412" s="3" t="s">
        <v>5500</v>
      </c>
      <c r="G3412" t="s">
        <v>19</v>
      </c>
      <c r="H3412" s="3" t="s">
        <v>5501</v>
      </c>
      <c r="I3412" t="s">
        <v>86</v>
      </c>
      <c r="J3412" s="3" t="s">
        <v>5502</v>
      </c>
      <c r="K3412" s="4">
        <v>895</v>
      </c>
      <c r="L3412" s="5">
        <v>194.59</v>
      </c>
      <c r="M3412" s="6">
        <v>1</v>
      </c>
      <c r="N3412" s="7">
        <v>0</v>
      </c>
      <c r="O3412" t="s">
        <v>5503</v>
      </c>
      <c r="P3412" s="3" t="s">
        <v>89</v>
      </c>
      <c r="Q3412" s="8">
        <v>4.5088000000000003E-2</v>
      </c>
    </row>
    <row r="3413" spans="1:17" hidden="1" x14ac:dyDescent="0.55000000000000004">
      <c r="A3413" s="3" t="s">
        <v>5371</v>
      </c>
      <c r="B3413" s="3" t="s">
        <v>5406</v>
      </c>
      <c r="C3413" t="s">
        <v>5406</v>
      </c>
      <c r="D3413" s="3" t="s">
        <v>7329</v>
      </c>
      <c r="E3413" t="s">
        <v>5499</v>
      </c>
      <c r="F3413" s="3" t="s">
        <v>5500</v>
      </c>
      <c r="G3413" t="s">
        <v>24</v>
      </c>
      <c r="H3413" s="3" t="s">
        <v>5504</v>
      </c>
      <c r="I3413" t="s">
        <v>43</v>
      </c>
      <c r="J3413" s="3" t="s">
        <v>5505</v>
      </c>
      <c r="K3413" s="4">
        <v>723</v>
      </c>
      <c r="L3413" s="5">
        <v>32.869999999999997</v>
      </c>
      <c r="M3413" s="6">
        <v>1</v>
      </c>
      <c r="N3413" s="7">
        <v>0</v>
      </c>
      <c r="O3413" t="s">
        <v>5506</v>
      </c>
      <c r="P3413" s="3" t="s">
        <v>46</v>
      </c>
      <c r="Q3413" s="8">
        <v>0.22120000000000001</v>
      </c>
    </row>
    <row r="3414" spans="1:17" hidden="1" x14ac:dyDescent="0.55000000000000004">
      <c r="A3414" s="3" t="s">
        <v>5371</v>
      </c>
      <c r="B3414" s="3" t="s">
        <v>5406</v>
      </c>
      <c r="C3414" t="s">
        <v>5406</v>
      </c>
      <c r="D3414" s="3" t="s">
        <v>7329</v>
      </c>
      <c r="E3414" t="s">
        <v>5499</v>
      </c>
      <c r="F3414" s="3" t="s">
        <v>5500</v>
      </c>
      <c r="G3414" t="s">
        <v>24</v>
      </c>
      <c r="H3414" s="3" t="s">
        <v>5507</v>
      </c>
      <c r="I3414" t="s">
        <v>48</v>
      </c>
      <c r="J3414" s="3" t="s">
        <v>5505</v>
      </c>
      <c r="K3414" s="4">
        <v>703</v>
      </c>
      <c r="L3414" s="5">
        <v>31.94</v>
      </c>
      <c r="M3414" s="6">
        <v>0</v>
      </c>
      <c r="N3414" s="7">
        <v>0</v>
      </c>
      <c r="O3414" t="s">
        <v>5508</v>
      </c>
      <c r="P3414" s="3" t="s">
        <v>23</v>
      </c>
      <c r="Q3414" s="8" t="s">
        <v>23</v>
      </c>
    </row>
    <row r="3415" spans="1:17" hidden="1" x14ac:dyDescent="0.55000000000000004">
      <c r="A3415" s="3" t="s">
        <v>5371</v>
      </c>
      <c r="B3415" s="3" t="s">
        <v>5406</v>
      </c>
      <c r="C3415" t="s">
        <v>5406</v>
      </c>
      <c r="D3415" s="3" t="s">
        <v>7329</v>
      </c>
      <c r="E3415" t="s">
        <v>5509</v>
      </c>
      <c r="F3415" s="3" t="s">
        <v>5510</v>
      </c>
      <c r="G3415" t="s">
        <v>19</v>
      </c>
      <c r="H3415" s="3" t="s">
        <v>5501</v>
      </c>
      <c r="I3415" t="s">
        <v>86</v>
      </c>
      <c r="J3415" s="3" t="s">
        <v>5502</v>
      </c>
      <c r="K3415" s="4">
        <v>895</v>
      </c>
      <c r="L3415" s="5">
        <v>194.59</v>
      </c>
      <c r="M3415" s="6">
        <v>1</v>
      </c>
      <c r="N3415" s="7">
        <v>1</v>
      </c>
      <c r="O3415" t="s">
        <v>5503</v>
      </c>
      <c r="P3415" s="3" t="s">
        <v>89</v>
      </c>
      <c r="Q3415" s="8">
        <v>4.5088000000000003E-2</v>
      </c>
    </row>
    <row r="3416" spans="1:17" hidden="1" x14ac:dyDescent="0.55000000000000004">
      <c r="A3416" s="3" t="s">
        <v>5371</v>
      </c>
      <c r="B3416" s="3" t="s">
        <v>5406</v>
      </c>
      <c r="C3416" t="s">
        <v>5406</v>
      </c>
      <c r="D3416" s="3" t="s">
        <v>7329</v>
      </c>
      <c r="E3416" t="s">
        <v>5509</v>
      </c>
      <c r="F3416" s="3" t="s">
        <v>5510</v>
      </c>
      <c r="G3416" t="s">
        <v>24</v>
      </c>
      <c r="H3416" s="3" t="s">
        <v>5504</v>
      </c>
      <c r="I3416" t="s">
        <v>43</v>
      </c>
      <c r="J3416" s="3" t="s">
        <v>5505</v>
      </c>
      <c r="K3416" s="4">
        <v>723</v>
      </c>
      <c r="L3416" s="5">
        <v>32.869999999999997</v>
      </c>
      <c r="M3416" s="6">
        <v>1</v>
      </c>
      <c r="N3416" s="7">
        <v>1</v>
      </c>
      <c r="O3416" t="s">
        <v>5506</v>
      </c>
      <c r="P3416" s="3" t="s">
        <v>46</v>
      </c>
      <c r="Q3416" s="8">
        <v>0.22120000000000001</v>
      </c>
    </row>
    <row r="3417" spans="1:17" hidden="1" x14ac:dyDescent="0.55000000000000004">
      <c r="A3417" s="3" t="s">
        <v>5371</v>
      </c>
      <c r="B3417" s="3" t="s">
        <v>5406</v>
      </c>
      <c r="C3417" t="s">
        <v>5406</v>
      </c>
      <c r="D3417" s="3" t="s">
        <v>7329</v>
      </c>
      <c r="E3417" t="s">
        <v>5509</v>
      </c>
      <c r="F3417" s="3" t="s">
        <v>5510</v>
      </c>
      <c r="G3417" t="s">
        <v>24</v>
      </c>
      <c r="H3417" s="3" t="s">
        <v>5507</v>
      </c>
      <c r="I3417" t="s">
        <v>48</v>
      </c>
      <c r="J3417" s="3" t="s">
        <v>5505</v>
      </c>
      <c r="K3417" s="4">
        <v>703</v>
      </c>
      <c r="L3417" s="5">
        <v>31.94</v>
      </c>
      <c r="M3417" s="6">
        <v>0</v>
      </c>
      <c r="N3417" s="7">
        <v>1</v>
      </c>
      <c r="O3417" t="s">
        <v>5508</v>
      </c>
      <c r="P3417" s="3" t="s">
        <v>23</v>
      </c>
      <c r="Q3417" s="8" t="s">
        <v>23</v>
      </c>
    </row>
    <row r="3418" spans="1:17" hidden="1" x14ac:dyDescent="0.55000000000000004">
      <c r="A3418" s="3" t="s">
        <v>5371</v>
      </c>
      <c r="B3418" s="3" t="s">
        <v>5406</v>
      </c>
      <c r="C3418" t="s">
        <v>5406</v>
      </c>
      <c r="D3418" s="3" t="s">
        <v>7329</v>
      </c>
      <c r="E3418" t="s">
        <v>5511</v>
      </c>
      <c r="F3418" s="3" t="s">
        <v>5512</v>
      </c>
      <c r="G3418" t="s">
        <v>19</v>
      </c>
      <c r="H3418" s="3" t="s">
        <v>5501</v>
      </c>
      <c r="I3418" t="s">
        <v>86</v>
      </c>
      <c r="J3418" s="3" t="s">
        <v>5502</v>
      </c>
      <c r="K3418" s="4">
        <v>895</v>
      </c>
      <c r="L3418" s="5">
        <v>194.59</v>
      </c>
      <c r="M3418" s="6">
        <v>1</v>
      </c>
      <c r="N3418" s="7">
        <v>0</v>
      </c>
      <c r="O3418" t="s">
        <v>5503</v>
      </c>
      <c r="P3418" s="3" t="s">
        <v>89</v>
      </c>
      <c r="Q3418" s="8">
        <v>4.5088000000000003E-2</v>
      </c>
    </row>
    <row r="3419" spans="1:17" hidden="1" x14ac:dyDescent="0.55000000000000004">
      <c r="A3419" s="3" t="s">
        <v>5371</v>
      </c>
      <c r="B3419" s="3" t="s">
        <v>5406</v>
      </c>
      <c r="C3419" t="s">
        <v>5406</v>
      </c>
      <c r="D3419" s="3" t="s">
        <v>7329</v>
      </c>
      <c r="E3419" t="s">
        <v>5511</v>
      </c>
      <c r="F3419" s="3" t="s">
        <v>5512</v>
      </c>
      <c r="G3419" t="s">
        <v>24</v>
      </c>
      <c r="H3419" s="3" t="s">
        <v>5504</v>
      </c>
      <c r="I3419" t="s">
        <v>43</v>
      </c>
      <c r="J3419" s="3" t="s">
        <v>5505</v>
      </c>
      <c r="K3419" s="4">
        <v>723</v>
      </c>
      <c r="L3419" s="5">
        <v>32.869999999999997</v>
      </c>
      <c r="M3419" s="6">
        <v>1</v>
      </c>
      <c r="N3419" s="7">
        <v>0</v>
      </c>
      <c r="O3419" t="s">
        <v>5506</v>
      </c>
      <c r="P3419" s="3" t="s">
        <v>46</v>
      </c>
      <c r="Q3419" s="8">
        <v>0.22120000000000001</v>
      </c>
    </row>
    <row r="3420" spans="1:17" hidden="1" x14ac:dyDescent="0.55000000000000004">
      <c r="A3420" s="3" t="s">
        <v>5371</v>
      </c>
      <c r="B3420" s="3" t="s">
        <v>5406</v>
      </c>
      <c r="C3420" t="s">
        <v>5406</v>
      </c>
      <c r="D3420" s="3" t="s">
        <v>7329</v>
      </c>
      <c r="E3420" t="s">
        <v>5511</v>
      </c>
      <c r="F3420" s="3" t="s">
        <v>5512</v>
      </c>
      <c r="G3420" t="s">
        <v>24</v>
      </c>
      <c r="H3420" s="3" t="s">
        <v>5507</v>
      </c>
      <c r="I3420" t="s">
        <v>48</v>
      </c>
      <c r="J3420" s="3" t="s">
        <v>5505</v>
      </c>
      <c r="K3420" s="4">
        <v>703</v>
      </c>
      <c r="L3420" s="5">
        <v>31.94</v>
      </c>
      <c r="M3420" s="6">
        <v>0</v>
      </c>
      <c r="N3420" s="7">
        <v>0</v>
      </c>
      <c r="O3420" t="s">
        <v>5508</v>
      </c>
      <c r="P3420" s="3" t="s">
        <v>23</v>
      </c>
      <c r="Q3420" s="8" t="s">
        <v>23</v>
      </c>
    </row>
    <row r="3421" spans="1:17" hidden="1" x14ac:dyDescent="0.55000000000000004">
      <c r="A3421" s="9" t="s">
        <v>5371</v>
      </c>
      <c r="B3421" s="3" t="s">
        <v>5513</v>
      </c>
      <c r="C3421" t="s">
        <v>5429</v>
      </c>
      <c r="D3421" s="3" t="s">
        <v>7329</v>
      </c>
      <c r="E3421" t="s">
        <v>5514</v>
      </c>
      <c r="F3421" s="3" t="s">
        <v>5515</v>
      </c>
      <c r="G3421" t="s">
        <v>24</v>
      </c>
      <c r="H3421" s="3" t="s">
        <v>5516</v>
      </c>
      <c r="I3421" t="s">
        <v>37</v>
      </c>
      <c r="J3421" s="3" t="s">
        <v>5517</v>
      </c>
      <c r="K3421" s="4">
        <v>919</v>
      </c>
      <c r="L3421" s="5">
        <v>41.77</v>
      </c>
      <c r="M3421" s="6">
        <v>1</v>
      </c>
      <c r="N3421" s="7">
        <v>0</v>
      </c>
      <c r="O3421" t="s">
        <v>5518</v>
      </c>
      <c r="P3421" s="3" t="s">
        <v>40</v>
      </c>
      <c r="Q3421" s="8">
        <v>0.21935499999999999</v>
      </c>
    </row>
    <row r="3422" spans="1:17" hidden="1" x14ac:dyDescent="0.55000000000000004">
      <c r="A3422" s="3" t="s">
        <v>5519</v>
      </c>
      <c r="B3422" s="3" t="s">
        <v>5520</v>
      </c>
      <c r="C3422" t="s">
        <v>5520</v>
      </c>
      <c r="D3422" s="3" t="s">
        <v>7319</v>
      </c>
      <c r="E3422" t="s">
        <v>5521</v>
      </c>
      <c r="F3422" s="3" t="s">
        <v>5522</v>
      </c>
      <c r="G3422" t="s">
        <v>24</v>
      </c>
      <c r="H3422" s="3" t="s">
        <v>5523</v>
      </c>
      <c r="I3422" t="s">
        <v>52</v>
      </c>
      <c r="J3422" s="3" t="s">
        <v>5524</v>
      </c>
      <c r="K3422" s="4">
        <v>1873</v>
      </c>
      <c r="L3422" s="5">
        <v>85.15</v>
      </c>
      <c r="M3422" s="6">
        <v>1</v>
      </c>
      <c r="N3422" s="7">
        <v>0</v>
      </c>
      <c r="O3422" t="s">
        <v>5525</v>
      </c>
      <c r="P3422" s="3" t="s">
        <v>55</v>
      </c>
      <c r="Q3422" s="8">
        <v>0.296736</v>
      </c>
    </row>
    <row r="3423" spans="1:17" hidden="1" x14ac:dyDescent="0.55000000000000004">
      <c r="A3423" s="3" t="s">
        <v>5519</v>
      </c>
      <c r="B3423" s="3" t="s">
        <v>5520</v>
      </c>
      <c r="C3423" t="s">
        <v>5520</v>
      </c>
      <c r="D3423" s="3" t="s">
        <v>7319</v>
      </c>
      <c r="E3423" t="s">
        <v>5526</v>
      </c>
      <c r="F3423" s="3" t="s">
        <v>5527</v>
      </c>
      <c r="G3423" t="s">
        <v>24</v>
      </c>
      <c r="H3423" s="3" t="s">
        <v>5523</v>
      </c>
      <c r="I3423" t="s">
        <v>52</v>
      </c>
      <c r="J3423" s="3" t="s">
        <v>5524</v>
      </c>
      <c r="K3423" s="4">
        <v>1873</v>
      </c>
      <c r="L3423" s="5">
        <v>85.15</v>
      </c>
      <c r="M3423" s="6">
        <v>1</v>
      </c>
      <c r="N3423" s="7">
        <v>0</v>
      </c>
      <c r="O3423" t="s">
        <v>5525</v>
      </c>
      <c r="P3423" s="3" t="s">
        <v>55</v>
      </c>
      <c r="Q3423" s="8">
        <v>0.296736</v>
      </c>
    </row>
    <row r="3424" spans="1:17" hidden="1" x14ac:dyDescent="0.55000000000000004">
      <c r="A3424" s="3" t="s">
        <v>5519</v>
      </c>
      <c r="B3424" s="3" t="s">
        <v>5520</v>
      </c>
      <c r="C3424" t="s">
        <v>5520</v>
      </c>
      <c r="D3424" s="3" t="s">
        <v>7319</v>
      </c>
      <c r="E3424" t="s">
        <v>5529</v>
      </c>
      <c r="F3424" s="3" t="s">
        <v>5530</v>
      </c>
      <c r="G3424" t="s">
        <v>24</v>
      </c>
      <c r="H3424" s="3" t="s">
        <v>5531</v>
      </c>
      <c r="I3424" t="s">
        <v>52</v>
      </c>
      <c r="J3424" s="3" t="s">
        <v>5532</v>
      </c>
      <c r="K3424" s="4">
        <v>1877</v>
      </c>
      <c r="L3424" s="5">
        <v>85.33</v>
      </c>
      <c r="M3424" s="6">
        <v>1</v>
      </c>
      <c r="N3424" s="7">
        <v>0</v>
      </c>
      <c r="O3424" t="s">
        <v>5533</v>
      </c>
      <c r="P3424" s="3" t="s">
        <v>55</v>
      </c>
      <c r="Q3424" s="8">
        <v>0.29677500000000001</v>
      </c>
    </row>
    <row r="3425" spans="1:17" hidden="1" x14ac:dyDescent="0.55000000000000004">
      <c r="A3425" s="3" t="s">
        <v>5519</v>
      </c>
      <c r="B3425" s="3" t="s">
        <v>5520</v>
      </c>
      <c r="C3425" t="s">
        <v>5520</v>
      </c>
      <c r="D3425" s="3" t="s">
        <v>7319</v>
      </c>
      <c r="E3425" t="s">
        <v>5529</v>
      </c>
      <c r="F3425" s="3" t="s">
        <v>5530</v>
      </c>
      <c r="G3425" t="s">
        <v>24</v>
      </c>
      <c r="H3425" s="3" t="s">
        <v>5534</v>
      </c>
      <c r="I3425" t="s">
        <v>26</v>
      </c>
      <c r="J3425" s="3" t="s">
        <v>5535</v>
      </c>
      <c r="K3425" s="4">
        <v>2052</v>
      </c>
      <c r="L3425" s="5">
        <v>93.27</v>
      </c>
      <c r="M3425" s="6">
        <v>0</v>
      </c>
      <c r="N3425" s="7">
        <v>0</v>
      </c>
      <c r="O3425" t="s">
        <v>5536</v>
      </c>
      <c r="P3425" s="3" t="s">
        <v>29</v>
      </c>
      <c r="Q3425" s="8">
        <v>0.29416700000000001</v>
      </c>
    </row>
    <row r="3426" spans="1:17" hidden="1" x14ac:dyDescent="0.55000000000000004">
      <c r="A3426" s="3" t="s">
        <v>5519</v>
      </c>
      <c r="B3426" s="3" t="s">
        <v>5528</v>
      </c>
      <c r="C3426" t="s">
        <v>5520</v>
      </c>
      <c r="D3426" s="3" t="s">
        <v>7319</v>
      </c>
      <c r="E3426" t="s">
        <v>5537</v>
      </c>
      <c r="F3426" s="3" t="s">
        <v>5538</v>
      </c>
      <c r="G3426" t="s">
        <v>24</v>
      </c>
      <c r="H3426" s="3" t="s">
        <v>5531</v>
      </c>
      <c r="I3426" t="s">
        <v>52</v>
      </c>
      <c r="J3426" s="3" t="s">
        <v>5532</v>
      </c>
      <c r="K3426" s="4">
        <v>1877</v>
      </c>
      <c r="L3426" s="5">
        <v>85.33</v>
      </c>
      <c r="M3426" s="6">
        <v>1</v>
      </c>
      <c r="N3426" s="7">
        <v>0</v>
      </c>
      <c r="O3426" t="s">
        <v>5533</v>
      </c>
      <c r="P3426" s="3" t="s">
        <v>55</v>
      </c>
      <c r="Q3426" s="8">
        <v>0.29677500000000001</v>
      </c>
    </row>
    <row r="3427" spans="1:17" hidden="1" x14ac:dyDescent="0.55000000000000004">
      <c r="A3427" s="3" t="s">
        <v>5519</v>
      </c>
      <c r="B3427" s="3" t="s">
        <v>5528</v>
      </c>
      <c r="C3427" t="s">
        <v>5520</v>
      </c>
      <c r="D3427" s="3" t="s">
        <v>7319</v>
      </c>
      <c r="E3427" t="s">
        <v>5537</v>
      </c>
      <c r="F3427" s="3" t="s">
        <v>5538</v>
      </c>
      <c r="G3427" t="s">
        <v>24</v>
      </c>
      <c r="H3427" s="3" t="s">
        <v>5534</v>
      </c>
      <c r="I3427" t="s">
        <v>26</v>
      </c>
      <c r="J3427" s="3" t="s">
        <v>5535</v>
      </c>
      <c r="K3427" s="4">
        <v>2052</v>
      </c>
      <c r="L3427" s="5">
        <v>93.27</v>
      </c>
      <c r="M3427" s="6">
        <v>0</v>
      </c>
      <c r="N3427" s="7">
        <v>0</v>
      </c>
      <c r="O3427" t="s">
        <v>5536</v>
      </c>
      <c r="P3427" s="3" t="s">
        <v>29</v>
      </c>
      <c r="Q3427" s="8">
        <v>0.29416700000000001</v>
      </c>
    </row>
    <row r="3428" spans="1:17" hidden="1" x14ac:dyDescent="0.55000000000000004">
      <c r="A3428" s="3" t="s">
        <v>5519</v>
      </c>
      <c r="B3428" s="3" t="s">
        <v>5539</v>
      </c>
      <c r="C3428" t="s">
        <v>5539</v>
      </c>
      <c r="D3428" s="3" t="s">
        <v>7319</v>
      </c>
      <c r="E3428" t="s">
        <v>5540</v>
      </c>
      <c r="F3428" s="3" t="s">
        <v>5541</v>
      </c>
      <c r="G3428" t="s">
        <v>19</v>
      </c>
      <c r="H3428" s="3" t="s">
        <v>5542</v>
      </c>
      <c r="I3428" t="s">
        <v>5543</v>
      </c>
      <c r="J3428" s="3" t="s">
        <v>5544</v>
      </c>
      <c r="K3428" s="4">
        <v>103</v>
      </c>
      <c r="L3428" s="5">
        <v>22.43</v>
      </c>
      <c r="M3428" s="6">
        <v>0</v>
      </c>
      <c r="N3428" s="7">
        <v>0</v>
      </c>
      <c r="O3428" t="s">
        <v>5545</v>
      </c>
      <c r="P3428" s="3" t="s">
        <v>5546</v>
      </c>
      <c r="Q3428" s="8">
        <v>1.0657E-2</v>
      </c>
    </row>
    <row r="3429" spans="1:17" hidden="1" x14ac:dyDescent="0.55000000000000004">
      <c r="A3429" s="3" t="s">
        <v>5519</v>
      </c>
      <c r="B3429" s="3" t="s">
        <v>5539</v>
      </c>
      <c r="C3429" t="s">
        <v>5539</v>
      </c>
      <c r="D3429" s="3" t="s">
        <v>7319</v>
      </c>
      <c r="E3429" t="s">
        <v>5540</v>
      </c>
      <c r="F3429" s="3" t="s">
        <v>5541</v>
      </c>
      <c r="G3429" t="s">
        <v>19</v>
      </c>
      <c r="H3429" s="3" t="s">
        <v>5547</v>
      </c>
      <c r="I3429" t="s">
        <v>5548</v>
      </c>
      <c r="J3429" s="3" t="s">
        <v>5544</v>
      </c>
      <c r="K3429" s="4">
        <v>209</v>
      </c>
      <c r="L3429" s="5">
        <v>45.46</v>
      </c>
      <c r="M3429" s="6">
        <v>0</v>
      </c>
      <c r="N3429" s="7">
        <v>0</v>
      </c>
      <c r="O3429" t="s">
        <v>5549</v>
      </c>
      <c r="P3429" s="3" t="s">
        <v>5550</v>
      </c>
      <c r="Q3429" s="8">
        <v>2.4124E-2</v>
      </c>
    </row>
    <row r="3430" spans="1:17" hidden="1" x14ac:dyDescent="0.55000000000000004">
      <c r="A3430" s="3" t="s">
        <v>5519</v>
      </c>
      <c r="B3430" s="3" t="s">
        <v>5539</v>
      </c>
      <c r="C3430" t="s">
        <v>5539</v>
      </c>
      <c r="D3430" s="3" t="s">
        <v>7319</v>
      </c>
      <c r="E3430" t="s">
        <v>5540</v>
      </c>
      <c r="F3430" s="3" t="s">
        <v>5541</v>
      </c>
      <c r="G3430" t="s">
        <v>19</v>
      </c>
      <c r="H3430" s="3" t="s">
        <v>5547</v>
      </c>
      <c r="I3430" t="s">
        <v>5548</v>
      </c>
      <c r="J3430" s="3" t="s">
        <v>5544</v>
      </c>
      <c r="K3430" s="4">
        <v>209</v>
      </c>
      <c r="L3430" s="5">
        <v>45.46</v>
      </c>
      <c r="M3430" s="6">
        <v>0</v>
      </c>
      <c r="N3430" s="7">
        <v>0</v>
      </c>
      <c r="O3430" t="s">
        <v>5545</v>
      </c>
      <c r="P3430" s="3" t="s">
        <v>5546</v>
      </c>
      <c r="Q3430" s="8">
        <v>1.0657E-2</v>
      </c>
    </row>
    <row r="3431" spans="1:17" hidden="1" x14ac:dyDescent="0.55000000000000004">
      <c r="A3431" s="3" t="s">
        <v>5519</v>
      </c>
      <c r="B3431" s="3" t="s">
        <v>5539</v>
      </c>
      <c r="C3431" t="s">
        <v>5539</v>
      </c>
      <c r="D3431" s="3" t="s">
        <v>7319</v>
      </c>
      <c r="E3431" t="s">
        <v>5540</v>
      </c>
      <c r="F3431" s="3" t="s">
        <v>5541</v>
      </c>
      <c r="G3431" t="s">
        <v>24</v>
      </c>
      <c r="H3431" s="3" t="s">
        <v>5551</v>
      </c>
      <c r="I3431" t="s">
        <v>52</v>
      </c>
      <c r="J3431" s="3" t="s">
        <v>5552</v>
      </c>
      <c r="K3431" s="4">
        <v>1647</v>
      </c>
      <c r="L3431" s="5">
        <v>74.88</v>
      </c>
      <c r="M3431" s="6">
        <v>1</v>
      </c>
      <c r="N3431" s="7">
        <v>0</v>
      </c>
      <c r="O3431" t="s">
        <v>5553</v>
      </c>
      <c r="P3431" s="3" t="s">
        <v>55</v>
      </c>
      <c r="Q3431" s="8">
        <v>0.294458</v>
      </c>
    </row>
    <row r="3432" spans="1:17" hidden="1" x14ac:dyDescent="0.55000000000000004">
      <c r="A3432" s="3" t="s">
        <v>5519</v>
      </c>
      <c r="B3432" s="3" t="s">
        <v>5539</v>
      </c>
      <c r="C3432" t="s">
        <v>5539</v>
      </c>
      <c r="D3432" s="3" t="s">
        <v>7319</v>
      </c>
      <c r="E3432" t="s">
        <v>5540</v>
      </c>
      <c r="F3432" s="3" t="s">
        <v>5541</v>
      </c>
      <c r="G3432" t="s">
        <v>24</v>
      </c>
      <c r="H3432" s="3" t="s">
        <v>5554</v>
      </c>
      <c r="I3432" t="s">
        <v>26</v>
      </c>
      <c r="J3432" s="3" t="s">
        <v>5555</v>
      </c>
      <c r="K3432" s="4">
        <v>1715</v>
      </c>
      <c r="L3432" s="5">
        <v>77.95</v>
      </c>
      <c r="M3432" s="6">
        <v>0</v>
      </c>
      <c r="N3432" s="7">
        <v>0</v>
      </c>
      <c r="O3432" t="s">
        <v>5556</v>
      </c>
      <c r="P3432" s="3" t="s">
        <v>29</v>
      </c>
      <c r="Q3432" s="8">
        <v>0.29416700000000001</v>
      </c>
    </row>
    <row r="3433" spans="1:17" hidden="1" x14ac:dyDescent="0.55000000000000004">
      <c r="A3433" s="3" t="s">
        <v>5519</v>
      </c>
      <c r="B3433" s="3" t="s">
        <v>5557</v>
      </c>
      <c r="C3433" t="s">
        <v>5557</v>
      </c>
      <c r="D3433" s="3" t="s">
        <v>7319</v>
      </c>
      <c r="E3433" t="s">
        <v>5558</v>
      </c>
      <c r="F3433" s="3" t="s">
        <v>5559</v>
      </c>
      <c r="G3433" t="s">
        <v>19</v>
      </c>
      <c r="H3433" s="3" t="s">
        <v>5560</v>
      </c>
      <c r="I3433" t="s">
        <v>1483</v>
      </c>
      <c r="J3433" s="3" t="s">
        <v>5561</v>
      </c>
      <c r="K3433" s="4">
        <v>566</v>
      </c>
      <c r="L3433" s="5">
        <v>122.98</v>
      </c>
      <c r="M3433" s="6">
        <v>1</v>
      </c>
      <c r="N3433" s="7">
        <v>0</v>
      </c>
      <c r="O3433" t="s">
        <v>5562</v>
      </c>
      <c r="P3433" s="3" t="s">
        <v>1486</v>
      </c>
      <c r="Q3433" s="8">
        <v>6.7797999999999997E-2</v>
      </c>
    </row>
    <row r="3434" spans="1:17" hidden="1" x14ac:dyDescent="0.55000000000000004">
      <c r="A3434" s="3" t="s">
        <v>5519</v>
      </c>
      <c r="B3434" s="3" t="s">
        <v>5557</v>
      </c>
      <c r="C3434" t="s">
        <v>5557</v>
      </c>
      <c r="D3434" s="3" t="s">
        <v>7319</v>
      </c>
      <c r="E3434" t="s">
        <v>5558</v>
      </c>
      <c r="F3434" s="3" t="s">
        <v>5559</v>
      </c>
      <c r="G3434" t="s">
        <v>24</v>
      </c>
      <c r="H3434" s="3" t="s">
        <v>5563</v>
      </c>
      <c r="I3434" t="s">
        <v>26</v>
      </c>
      <c r="J3434" s="3" t="s">
        <v>5564</v>
      </c>
      <c r="K3434" s="4">
        <v>1628</v>
      </c>
      <c r="L3434" s="5">
        <v>74</v>
      </c>
      <c r="M3434" s="6">
        <v>1</v>
      </c>
      <c r="N3434" s="7">
        <v>0</v>
      </c>
      <c r="O3434" t="s">
        <v>5565</v>
      </c>
      <c r="P3434" s="3" t="s">
        <v>76</v>
      </c>
      <c r="Q3434" s="8">
        <v>0.29416700000000001</v>
      </c>
    </row>
    <row r="3435" spans="1:17" hidden="1" x14ac:dyDescent="0.55000000000000004">
      <c r="A3435" s="3" t="s">
        <v>5519</v>
      </c>
      <c r="B3435" s="3" t="s">
        <v>5557</v>
      </c>
      <c r="C3435" t="s">
        <v>5557</v>
      </c>
      <c r="D3435" s="3" t="s">
        <v>7319</v>
      </c>
      <c r="E3435" t="s">
        <v>5558</v>
      </c>
      <c r="F3435" s="3" t="s">
        <v>5559</v>
      </c>
      <c r="G3435" t="s">
        <v>24</v>
      </c>
      <c r="H3435" s="3" t="s">
        <v>5566</v>
      </c>
      <c r="I3435" t="s">
        <v>218</v>
      </c>
      <c r="J3435" s="3" t="s">
        <v>5564</v>
      </c>
      <c r="K3435" s="4">
        <v>2112</v>
      </c>
      <c r="L3435" s="5">
        <v>96.01</v>
      </c>
      <c r="M3435" s="6">
        <v>0</v>
      </c>
      <c r="N3435" s="7">
        <v>0</v>
      </c>
      <c r="O3435" t="s">
        <v>5567</v>
      </c>
      <c r="P3435" s="3" t="s">
        <v>23</v>
      </c>
      <c r="Q3435" s="8" t="s">
        <v>23</v>
      </c>
    </row>
    <row r="3436" spans="1:17" hidden="1" x14ac:dyDescent="0.55000000000000004">
      <c r="A3436" s="3" t="s">
        <v>5519</v>
      </c>
      <c r="B3436" s="3" t="s">
        <v>5557</v>
      </c>
      <c r="C3436" t="s">
        <v>5557</v>
      </c>
      <c r="D3436" s="3" t="s">
        <v>7319</v>
      </c>
      <c r="E3436" t="s">
        <v>5568</v>
      </c>
      <c r="F3436" s="3" t="s">
        <v>5569</v>
      </c>
      <c r="G3436" t="s">
        <v>19</v>
      </c>
      <c r="H3436" s="3" t="s">
        <v>5560</v>
      </c>
      <c r="I3436" t="s">
        <v>1483</v>
      </c>
      <c r="J3436" s="3" t="s">
        <v>5561</v>
      </c>
      <c r="K3436" s="4">
        <v>566</v>
      </c>
      <c r="L3436" s="5">
        <v>122.98</v>
      </c>
      <c r="M3436" s="6">
        <v>1</v>
      </c>
      <c r="N3436" s="7">
        <v>0</v>
      </c>
      <c r="O3436" t="s">
        <v>5562</v>
      </c>
      <c r="P3436" s="3" t="s">
        <v>1486</v>
      </c>
      <c r="Q3436" s="8">
        <v>6.7797999999999997E-2</v>
      </c>
    </row>
    <row r="3437" spans="1:17" hidden="1" x14ac:dyDescent="0.55000000000000004">
      <c r="A3437" s="3" t="s">
        <v>5519</v>
      </c>
      <c r="B3437" s="3" t="s">
        <v>5557</v>
      </c>
      <c r="C3437" t="s">
        <v>5557</v>
      </c>
      <c r="D3437" s="3" t="s">
        <v>7319</v>
      </c>
      <c r="E3437" t="s">
        <v>5568</v>
      </c>
      <c r="F3437" s="3" t="s">
        <v>5569</v>
      </c>
      <c r="G3437" t="s">
        <v>24</v>
      </c>
      <c r="H3437" s="3" t="s">
        <v>5563</v>
      </c>
      <c r="I3437" t="s">
        <v>26</v>
      </c>
      <c r="J3437" s="3" t="s">
        <v>5564</v>
      </c>
      <c r="K3437" s="4">
        <v>1628</v>
      </c>
      <c r="L3437" s="5">
        <v>74</v>
      </c>
      <c r="M3437" s="6">
        <v>1</v>
      </c>
      <c r="N3437" s="7">
        <v>0</v>
      </c>
      <c r="O3437" t="s">
        <v>5565</v>
      </c>
      <c r="P3437" s="3" t="s">
        <v>76</v>
      </c>
      <c r="Q3437" s="8">
        <v>0.29416700000000001</v>
      </c>
    </row>
    <row r="3438" spans="1:17" hidden="1" x14ac:dyDescent="0.55000000000000004">
      <c r="A3438" s="3" t="s">
        <v>5519</v>
      </c>
      <c r="B3438" s="3" t="s">
        <v>5557</v>
      </c>
      <c r="C3438" t="s">
        <v>5557</v>
      </c>
      <c r="D3438" s="3" t="s">
        <v>7319</v>
      </c>
      <c r="E3438" t="s">
        <v>5568</v>
      </c>
      <c r="F3438" s="3" t="s">
        <v>5569</v>
      </c>
      <c r="G3438" t="s">
        <v>24</v>
      </c>
      <c r="H3438" s="3" t="s">
        <v>5566</v>
      </c>
      <c r="I3438" t="s">
        <v>218</v>
      </c>
      <c r="J3438" s="3" t="s">
        <v>5564</v>
      </c>
      <c r="K3438" s="4">
        <v>2112</v>
      </c>
      <c r="L3438" s="5">
        <v>96.01</v>
      </c>
      <c r="M3438" s="6">
        <v>0</v>
      </c>
      <c r="N3438" s="7">
        <v>0</v>
      </c>
      <c r="O3438" t="s">
        <v>5567</v>
      </c>
      <c r="P3438" s="3" t="s">
        <v>23</v>
      </c>
      <c r="Q3438" s="8" t="s">
        <v>23</v>
      </c>
    </row>
    <row r="3439" spans="1:17" hidden="1" x14ac:dyDescent="0.55000000000000004">
      <c r="A3439" s="3" t="s">
        <v>5519</v>
      </c>
      <c r="B3439" s="3" t="s">
        <v>5570</v>
      </c>
      <c r="C3439" t="s">
        <v>5571</v>
      </c>
      <c r="D3439" s="3" t="s">
        <v>7319</v>
      </c>
      <c r="E3439" t="s">
        <v>5572</v>
      </c>
      <c r="F3439" s="3" t="s">
        <v>5573</v>
      </c>
      <c r="G3439" t="s">
        <v>19</v>
      </c>
      <c r="H3439" s="3" t="s">
        <v>5574</v>
      </c>
      <c r="I3439" t="s">
        <v>5575</v>
      </c>
      <c r="J3439" s="3" t="s">
        <v>5576</v>
      </c>
      <c r="K3439" s="4">
        <v>79</v>
      </c>
      <c r="L3439" s="5">
        <v>17.13</v>
      </c>
      <c r="M3439" s="6">
        <v>1</v>
      </c>
      <c r="N3439" s="7">
        <v>1</v>
      </c>
      <c r="O3439" t="s">
        <v>5577</v>
      </c>
      <c r="P3439" s="3" t="s">
        <v>5578</v>
      </c>
      <c r="Q3439" s="8">
        <v>6.679E-3</v>
      </c>
    </row>
    <row r="3440" spans="1:17" hidden="1" x14ac:dyDescent="0.55000000000000004">
      <c r="A3440" s="3" t="s">
        <v>5519</v>
      </c>
      <c r="B3440" s="3" t="s">
        <v>5570</v>
      </c>
      <c r="C3440" t="s">
        <v>5571</v>
      </c>
      <c r="D3440" s="3" t="s">
        <v>7319</v>
      </c>
      <c r="E3440" t="s">
        <v>5572</v>
      </c>
      <c r="F3440" s="3" t="s">
        <v>5573</v>
      </c>
      <c r="G3440" t="s">
        <v>24</v>
      </c>
      <c r="H3440" s="3" t="s">
        <v>5579</v>
      </c>
      <c r="I3440" t="s">
        <v>52</v>
      </c>
      <c r="J3440" s="3" t="s">
        <v>5580</v>
      </c>
      <c r="K3440" s="4">
        <v>1440</v>
      </c>
      <c r="L3440" s="5">
        <v>0</v>
      </c>
      <c r="M3440" s="6">
        <v>0</v>
      </c>
      <c r="N3440" s="7">
        <v>1</v>
      </c>
      <c r="O3440" t="s">
        <v>23</v>
      </c>
      <c r="P3440" s="3" t="s">
        <v>23</v>
      </c>
      <c r="Q3440" s="8" t="s">
        <v>23</v>
      </c>
    </row>
    <row r="3441" spans="1:17" hidden="1" x14ac:dyDescent="0.55000000000000004">
      <c r="A3441" s="3" t="s">
        <v>5519</v>
      </c>
      <c r="B3441" s="3" t="s">
        <v>5570</v>
      </c>
      <c r="C3441" t="s">
        <v>5571</v>
      </c>
      <c r="D3441" s="3" t="s">
        <v>7319</v>
      </c>
      <c r="E3441" t="s">
        <v>5572</v>
      </c>
      <c r="F3441" s="3" t="s">
        <v>5573</v>
      </c>
      <c r="G3441" t="s">
        <v>24</v>
      </c>
      <c r="H3441" s="3" t="s">
        <v>5581</v>
      </c>
      <c r="I3441" t="s">
        <v>296</v>
      </c>
      <c r="J3441" s="3" t="s">
        <v>5580</v>
      </c>
      <c r="K3441" s="4">
        <v>1341</v>
      </c>
      <c r="L3441" s="5">
        <v>0</v>
      </c>
      <c r="M3441" s="6">
        <v>0</v>
      </c>
      <c r="N3441" s="7">
        <v>1</v>
      </c>
      <c r="O3441" t="s">
        <v>23</v>
      </c>
      <c r="P3441" s="3" t="s">
        <v>23</v>
      </c>
      <c r="Q3441" s="8" t="s">
        <v>23</v>
      </c>
    </row>
    <row r="3442" spans="1:17" hidden="1" x14ac:dyDescent="0.55000000000000004">
      <c r="A3442" s="3" t="s">
        <v>5519</v>
      </c>
      <c r="B3442" s="3" t="s">
        <v>5570</v>
      </c>
      <c r="C3442" t="s">
        <v>5571</v>
      </c>
      <c r="D3442" s="3" t="s">
        <v>7319</v>
      </c>
      <c r="E3442" t="s">
        <v>5572</v>
      </c>
      <c r="F3442" s="3" t="s">
        <v>5573</v>
      </c>
      <c r="G3442" t="s">
        <v>24</v>
      </c>
      <c r="H3442" s="3" t="s">
        <v>5582</v>
      </c>
      <c r="I3442" t="s">
        <v>298</v>
      </c>
      <c r="J3442" s="3" t="s">
        <v>5580</v>
      </c>
      <c r="K3442" s="4">
        <v>1687</v>
      </c>
      <c r="L3442" s="5">
        <v>0</v>
      </c>
      <c r="M3442" s="6">
        <v>0</v>
      </c>
      <c r="N3442" s="7">
        <v>1</v>
      </c>
      <c r="O3442" t="s">
        <v>23</v>
      </c>
      <c r="P3442" s="3" t="s">
        <v>23</v>
      </c>
      <c r="Q3442" s="8" t="s">
        <v>23</v>
      </c>
    </row>
    <row r="3443" spans="1:17" hidden="1" x14ac:dyDescent="0.55000000000000004">
      <c r="A3443" s="3" t="s">
        <v>5519</v>
      </c>
      <c r="B3443" s="3" t="s">
        <v>5570</v>
      </c>
      <c r="C3443" t="s">
        <v>5571</v>
      </c>
      <c r="D3443" s="3" t="s">
        <v>7319</v>
      </c>
      <c r="E3443" t="s">
        <v>5572</v>
      </c>
      <c r="F3443" s="3" t="s">
        <v>5573</v>
      </c>
      <c r="G3443" t="s">
        <v>24</v>
      </c>
      <c r="H3443" s="3" t="s">
        <v>5583</v>
      </c>
      <c r="I3443" t="s">
        <v>300</v>
      </c>
      <c r="J3443" s="3" t="s">
        <v>5580</v>
      </c>
      <c r="K3443" s="4">
        <v>1304</v>
      </c>
      <c r="L3443" s="5">
        <v>0</v>
      </c>
      <c r="M3443" s="6">
        <v>0</v>
      </c>
      <c r="N3443" s="7">
        <v>1</v>
      </c>
      <c r="O3443" t="s">
        <v>23</v>
      </c>
      <c r="P3443" s="3" t="s">
        <v>23</v>
      </c>
      <c r="Q3443" s="8" t="s">
        <v>23</v>
      </c>
    </row>
    <row r="3444" spans="1:17" hidden="1" x14ac:dyDescent="0.55000000000000004">
      <c r="A3444" s="3" t="s">
        <v>5519</v>
      </c>
      <c r="B3444" s="3" t="s">
        <v>5570</v>
      </c>
      <c r="C3444" t="s">
        <v>5571</v>
      </c>
      <c r="D3444" s="3" t="s">
        <v>7319</v>
      </c>
      <c r="E3444" t="s">
        <v>5572</v>
      </c>
      <c r="F3444" s="3" t="s">
        <v>5573</v>
      </c>
      <c r="G3444" t="s">
        <v>24</v>
      </c>
      <c r="H3444" s="3" t="s">
        <v>5584</v>
      </c>
      <c r="I3444" t="s">
        <v>302</v>
      </c>
      <c r="J3444" s="3" t="s">
        <v>5580</v>
      </c>
      <c r="K3444" s="4">
        <v>1461</v>
      </c>
      <c r="L3444" s="5">
        <v>0</v>
      </c>
      <c r="M3444" s="6">
        <v>0</v>
      </c>
      <c r="N3444" s="7">
        <v>1</v>
      </c>
      <c r="O3444" t="s">
        <v>23</v>
      </c>
      <c r="P3444" s="3" t="s">
        <v>23</v>
      </c>
      <c r="Q3444" s="8" t="s">
        <v>23</v>
      </c>
    </row>
    <row r="3445" spans="1:17" hidden="1" x14ac:dyDescent="0.55000000000000004">
      <c r="A3445" s="3" t="s">
        <v>5519</v>
      </c>
      <c r="B3445" s="3" t="s">
        <v>5570</v>
      </c>
      <c r="C3445" t="s">
        <v>5571</v>
      </c>
      <c r="D3445" s="3" t="s">
        <v>7319</v>
      </c>
      <c r="E3445" t="s">
        <v>5572</v>
      </c>
      <c r="F3445" s="3" t="s">
        <v>5573</v>
      </c>
      <c r="G3445" t="s">
        <v>24</v>
      </c>
      <c r="H3445" s="3" t="s">
        <v>5585</v>
      </c>
      <c r="I3445" t="s">
        <v>304</v>
      </c>
      <c r="J3445" s="3" t="s">
        <v>5580</v>
      </c>
      <c r="K3445" s="4">
        <v>1818</v>
      </c>
      <c r="L3445" s="5">
        <v>0</v>
      </c>
      <c r="M3445" s="6">
        <v>0</v>
      </c>
      <c r="N3445" s="7">
        <v>1</v>
      </c>
      <c r="O3445" t="s">
        <v>23</v>
      </c>
      <c r="P3445" s="3" t="s">
        <v>23</v>
      </c>
      <c r="Q3445" s="8" t="s">
        <v>23</v>
      </c>
    </row>
    <row r="3446" spans="1:17" hidden="1" x14ac:dyDescent="0.55000000000000004">
      <c r="A3446" s="3" t="s">
        <v>5519</v>
      </c>
      <c r="B3446" s="3" t="s">
        <v>5570</v>
      </c>
      <c r="C3446" t="s">
        <v>5571</v>
      </c>
      <c r="D3446" s="3" t="s">
        <v>7319</v>
      </c>
      <c r="E3446" t="s">
        <v>5572</v>
      </c>
      <c r="F3446" s="3" t="s">
        <v>5573</v>
      </c>
      <c r="G3446" t="s">
        <v>24</v>
      </c>
      <c r="H3446" s="3" t="s">
        <v>5586</v>
      </c>
      <c r="I3446" t="s">
        <v>26</v>
      </c>
      <c r="J3446" s="3" t="s">
        <v>5587</v>
      </c>
      <c r="K3446" s="4">
        <v>1836</v>
      </c>
      <c r="L3446" s="5">
        <v>83.45</v>
      </c>
      <c r="M3446" s="6">
        <v>1</v>
      </c>
      <c r="N3446" s="7">
        <v>1</v>
      </c>
      <c r="O3446" t="s">
        <v>5588</v>
      </c>
      <c r="P3446" s="3" t="s">
        <v>76</v>
      </c>
      <c r="Q3446" s="8">
        <v>0.29416700000000001</v>
      </c>
    </row>
    <row r="3447" spans="1:17" hidden="1" x14ac:dyDescent="0.55000000000000004">
      <c r="A3447" s="3" t="s">
        <v>5519</v>
      </c>
      <c r="B3447" s="3" t="s">
        <v>5570</v>
      </c>
      <c r="C3447" t="s">
        <v>5571</v>
      </c>
      <c r="D3447" s="3" t="s">
        <v>7319</v>
      </c>
      <c r="E3447" t="s">
        <v>5572</v>
      </c>
      <c r="F3447" s="3" t="s">
        <v>5573</v>
      </c>
      <c r="G3447" t="s">
        <v>24</v>
      </c>
      <c r="H3447" s="3" t="s">
        <v>5589</v>
      </c>
      <c r="I3447" t="s">
        <v>218</v>
      </c>
      <c r="J3447" s="3" t="s">
        <v>5587</v>
      </c>
      <c r="K3447" s="4">
        <v>2312</v>
      </c>
      <c r="L3447" s="5">
        <v>105.08</v>
      </c>
      <c r="M3447" s="6">
        <v>0</v>
      </c>
      <c r="N3447" s="7">
        <v>1</v>
      </c>
      <c r="O3447" t="s">
        <v>5590</v>
      </c>
      <c r="P3447" s="3" t="s">
        <v>23</v>
      </c>
      <c r="Q3447" s="8" t="s">
        <v>23</v>
      </c>
    </row>
    <row r="3448" spans="1:17" hidden="1" x14ac:dyDescent="0.55000000000000004">
      <c r="A3448" s="3" t="s">
        <v>5519</v>
      </c>
      <c r="B3448" s="3" t="s">
        <v>7395</v>
      </c>
      <c r="C3448" t="s">
        <v>5571</v>
      </c>
      <c r="D3448" s="3" t="s">
        <v>7319</v>
      </c>
      <c r="E3448" t="s">
        <v>5591</v>
      </c>
      <c r="F3448" s="3" t="s">
        <v>5592</v>
      </c>
      <c r="G3448" t="s">
        <v>19</v>
      </c>
      <c r="H3448" s="3" t="s">
        <v>5593</v>
      </c>
      <c r="I3448" t="s">
        <v>5575</v>
      </c>
      <c r="J3448" s="3" t="s">
        <v>5594</v>
      </c>
      <c r="K3448" s="4">
        <v>90</v>
      </c>
      <c r="L3448" s="5">
        <v>19.5</v>
      </c>
      <c r="M3448" s="6">
        <v>1</v>
      </c>
      <c r="N3448" s="7">
        <v>1</v>
      </c>
      <c r="O3448" t="s">
        <v>5595</v>
      </c>
      <c r="P3448" s="3" t="s">
        <v>5578</v>
      </c>
      <c r="Q3448" s="8">
        <v>7.6360000000000004E-3</v>
      </c>
    </row>
    <row r="3449" spans="1:17" hidden="1" x14ac:dyDescent="0.55000000000000004">
      <c r="A3449" s="3" t="s">
        <v>5519</v>
      </c>
      <c r="B3449" s="3" t="s">
        <v>7395</v>
      </c>
      <c r="C3449" t="s">
        <v>5571</v>
      </c>
      <c r="D3449" s="3" t="s">
        <v>7319</v>
      </c>
      <c r="E3449" t="s">
        <v>5591</v>
      </c>
      <c r="F3449" s="3" t="s">
        <v>5592</v>
      </c>
      <c r="G3449" t="s">
        <v>24</v>
      </c>
      <c r="H3449" s="3" t="s">
        <v>5579</v>
      </c>
      <c r="I3449" t="s">
        <v>52</v>
      </c>
      <c r="J3449" s="3" t="s">
        <v>5580</v>
      </c>
      <c r="K3449" s="4">
        <v>1440</v>
      </c>
      <c r="L3449" s="5">
        <v>0</v>
      </c>
      <c r="M3449" s="6">
        <v>0</v>
      </c>
      <c r="N3449" s="7">
        <v>1</v>
      </c>
      <c r="O3449" t="s">
        <v>23</v>
      </c>
      <c r="P3449" s="3" t="s">
        <v>23</v>
      </c>
      <c r="Q3449" s="8" t="s">
        <v>23</v>
      </c>
    </row>
    <row r="3450" spans="1:17" hidden="1" x14ac:dyDescent="0.55000000000000004">
      <c r="A3450" s="3" t="s">
        <v>5519</v>
      </c>
      <c r="B3450" s="3" t="s">
        <v>7395</v>
      </c>
      <c r="C3450" t="s">
        <v>5571</v>
      </c>
      <c r="D3450" s="3" t="s">
        <v>7319</v>
      </c>
      <c r="E3450" t="s">
        <v>5591</v>
      </c>
      <c r="F3450" s="3" t="s">
        <v>5592</v>
      </c>
      <c r="G3450" t="s">
        <v>24</v>
      </c>
      <c r="H3450" s="3" t="s">
        <v>5581</v>
      </c>
      <c r="I3450" t="s">
        <v>296</v>
      </c>
      <c r="J3450" s="3" t="s">
        <v>5580</v>
      </c>
      <c r="K3450" s="4">
        <v>1341</v>
      </c>
      <c r="L3450" s="5">
        <v>0</v>
      </c>
      <c r="M3450" s="6">
        <v>0</v>
      </c>
      <c r="N3450" s="7">
        <v>1</v>
      </c>
      <c r="O3450" t="s">
        <v>23</v>
      </c>
      <c r="P3450" s="3" t="s">
        <v>23</v>
      </c>
      <c r="Q3450" s="8" t="s">
        <v>23</v>
      </c>
    </row>
    <row r="3451" spans="1:17" hidden="1" x14ac:dyDescent="0.55000000000000004">
      <c r="A3451" s="3" t="s">
        <v>5519</v>
      </c>
      <c r="B3451" s="3" t="s">
        <v>7395</v>
      </c>
      <c r="C3451" t="s">
        <v>5571</v>
      </c>
      <c r="D3451" s="3" t="s">
        <v>7319</v>
      </c>
      <c r="E3451" t="s">
        <v>5591</v>
      </c>
      <c r="F3451" s="3" t="s">
        <v>5592</v>
      </c>
      <c r="G3451" t="s">
        <v>24</v>
      </c>
      <c r="H3451" s="3" t="s">
        <v>5582</v>
      </c>
      <c r="I3451" t="s">
        <v>298</v>
      </c>
      <c r="J3451" s="3" t="s">
        <v>5580</v>
      </c>
      <c r="K3451" s="4">
        <v>1687</v>
      </c>
      <c r="L3451" s="5">
        <v>0</v>
      </c>
      <c r="M3451" s="6">
        <v>0</v>
      </c>
      <c r="N3451" s="7">
        <v>1</v>
      </c>
      <c r="O3451" t="s">
        <v>23</v>
      </c>
      <c r="P3451" s="3" t="s">
        <v>23</v>
      </c>
      <c r="Q3451" s="8" t="s">
        <v>23</v>
      </c>
    </row>
    <row r="3452" spans="1:17" hidden="1" x14ac:dyDescent="0.55000000000000004">
      <c r="A3452" s="3" t="s">
        <v>5519</v>
      </c>
      <c r="B3452" s="3" t="s">
        <v>7395</v>
      </c>
      <c r="C3452" t="s">
        <v>5571</v>
      </c>
      <c r="D3452" s="3" t="s">
        <v>7319</v>
      </c>
      <c r="E3452" t="s">
        <v>5591</v>
      </c>
      <c r="F3452" s="3" t="s">
        <v>5592</v>
      </c>
      <c r="G3452" t="s">
        <v>24</v>
      </c>
      <c r="H3452" s="3" t="s">
        <v>5583</v>
      </c>
      <c r="I3452" t="s">
        <v>300</v>
      </c>
      <c r="J3452" s="3" t="s">
        <v>5580</v>
      </c>
      <c r="K3452" s="4">
        <v>1304</v>
      </c>
      <c r="L3452" s="5">
        <v>0</v>
      </c>
      <c r="M3452" s="6">
        <v>0</v>
      </c>
      <c r="N3452" s="7">
        <v>1</v>
      </c>
      <c r="O3452" t="s">
        <v>23</v>
      </c>
      <c r="P3452" s="3" t="s">
        <v>23</v>
      </c>
      <c r="Q3452" s="8" t="s">
        <v>23</v>
      </c>
    </row>
    <row r="3453" spans="1:17" hidden="1" x14ac:dyDescent="0.55000000000000004">
      <c r="A3453" s="3" t="s">
        <v>5519</v>
      </c>
      <c r="B3453" s="3" t="s">
        <v>7395</v>
      </c>
      <c r="C3453" t="s">
        <v>5571</v>
      </c>
      <c r="D3453" s="3" t="s">
        <v>7319</v>
      </c>
      <c r="E3453" t="s">
        <v>5591</v>
      </c>
      <c r="F3453" s="3" t="s">
        <v>5592</v>
      </c>
      <c r="G3453" t="s">
        <v>24</v>
      </c>
      <c r="H3453" s="3" t="s">
        <v>5584</v>
      </c>
      <c r="I3453" t="s">
        <v>302</v>
      </c>
      <c r="J3453" s="3" t="s">
        <v>5580</v>
      </c>
      <c r="K3453" s="4">
        <v>1461</v>
      </c>
      <c r="L3453" s="5">
        <v>0</v>
      </c>
      <c r="M3453" s="6">
        <v>0</v>
      </c>
      <c r="N3453" s="7">
        <v>1</v>
      </c>
      <c r="O3453" t="s">
        <v>23</v>
      </c>
      <c r="P3453" s="3" t="s">
        <v>23</v>
      </c>
      <c r="Q3453" s="8" t="s">
        <v>23</v>
      </c>
    </row>
    <row r="3454" spans="1:17" hidden="1" x14ac:dyDescent="0.55000000000000004">
      <c r="A3454" s="3" t="s">
        <v>5519</v>
      </c>
      <c r="B3454" s="3" t="s">
        <v>7395</v>
      </c>
      <c r="C3454" t="s">
        <v>5571</v>
      </c>
      <c r="D3454" s="3" t="s">
        <v>7319</v>
      </c>
      <c r="E3454" t="s">
        <v>5591</v>
      </c>
      <c r="F3454" s="3" t="s">
        <v>5592</v>
      </c>
      <c r="G3454" t="s">
        <v>24</v>
      </c>
      <c r="H3454" s="3" t="s">
        <v>5585</v>
      </c>
      <c r="I3454" t="s">
        <v>304</v>
      </c>
      <c r="J3454" s="3" t="s">
        <v>5580</v>
      </c>
      <c r="K3454" s="4">
        <v>1818</v>
      </c>
      <c r="L3454" s="5">
        <v>0</v>
      </c>
      <c r="M3454" s="6">
        <v>0</v>
      </c>
      <c r="N3454" s="7">
        <v>1</v>
      </c>
      <c r="O3454" t="s">
        <v>23</v>
      </c>
      <c r="P3454" s="3" t="s">
        <v>23</v>
      </c>
      <c r="Q3454" s="8" t="s">
        <v>23</v>
      </c>
    </row>
    <row r="3455" spans="1:17" hidden="1" x14ac:dyDescent="0.55000000000000004">
      <c r="A3455" s="3" t="s">
        <v>5519</v>
      </c>
      <c r="B3455" s="3" t="s">
        <v>7395</v>
      </c>
      <c r="C3455" t="s">
        <v>5571</v>
      </c>
      <c r="D3455" s="3" t="s">
        <v>7319</v>
      </c>
      <c r="E3455" t="s">
        <v>5591</v>
      </c>
      <c r="F3455" s="3" t="s">
        <v>5592</v>
      </c>
      <c r="G3455" t="s">
        <v>24</v>
      </c>
      <c r="H3455" s="3" t="s">
        <v>5596</v>
      </c>
      <c r="I3455" t="s">
        <v>26</v>
      </c>
      <c r="J3455" s="3" t="s">
        <v>5597</v>
      </c>
      <c r="K3455" s="4">
        <v>1945</v>
      </c>
      <c r="L3455" s="5">
        <v>88.41</v>
      </c>
      <c r="M3455" s="6">
        <v>1</v>
      </c>
      <c r="N3455" s="7">
        <v>1</v>
      </c>
      <c r="O3455" t="s">
        <v>5598</v>
      </c>
      <c r="P3455" s="3" t="s">
        <v>76</v>
      </c>
      <c r="Q3455" s="8">
        <v>0.29416700000000001</v>
      </c>
    </row>
    <row r="3456" spans="1:17" hidden="1" x14ac:dyDescent="0.55000000000000004">
      <c r="A3456" s="3" t="s">
        <v>5519</v>
      </c>
      <c r="B3456" s="3" t="s">
        <v>7395</v>
      </c>
      <c r="C3456" t="s">
        <v>5571</v>
      </c>
      <c r="D3456" s="3" t="s">
        <v>7319</v>
      </c>
      <c r="E3456" t="s">
        <v>5591</v>
      </c>
      <c r="F3456" s="3" t="s">
        <v>5592</v>
      </c>
      <c r="G3456" t="s">
        <v>24</v>
      </c>
      <c r="H3456" s="3" t="s">
        <v>5599</v>
      </c>
      <c r="I3456" t="s">
        <v>218</v>
      </c>
      <c r="J3456" s="3" t="s">
        <v>5597</v>
      </c>
      <c r="K3456" s="4">
        <v>2320</v>
      </c>
      <c r="L3456" s="5">
        <v>105.44</v>
      </c>
      <c r="M3456" s="6">
        <v>0</v>
      </c>
      <c r="N3456" s="7">
        <v>1</v>
      </c>
      <c r="O3456" t="s">
        <v>5600</v>
      </c>
      <c r="P3456" s="3" t="s">
        <v>23</v>
      </c>
      <c r="Q3456" s="8" t="s">
        <v>23</v>
      </c>
    </row>
    <row r="3457" spans="1:17" hidden="1" x14ac:dyDescent="0.55000000000000004">
      <c r="A3457" s="3" t="s">
        <v>5519</v>
      </c>
      <c r="B3457" s="3" t="s">
        <v>5571</v>
      </c>
      <c r="C3457" t="s">
        <v>5571</v>
      </c>
      <c r="D3457" s="3" t="s">
        <v>7319</v>
      </c>
      <c r="E3457" t="s">
        <v>5601</v>
      </c>
      <c r="F3457" s="3" t="s">
        <v>5602</v>
      </c>
      <c r="G3457" t="s">
        <v>19</v>
      </c>
      <c r="H3457" s="3" t="s">
        <v>5593</v>
      </c>
      <c r="I3457" t="s">
        <v>5575</v>
      </c>
      <c r="J3457" s="3" t="s">
        <v>5594</v>
      </c>
      <c r="K3457" s="4">
        <v>90</v>
      </c>
      <c r="L3457" s="5">
        <v>19.5</v>
      </c>
      <c r="M3457" s="6">
        <v>1</v>
      </c>
      <c r="N3457" s="7">
        <v>0</v>
      </c>
      <c r="O3457" t="s">
        <v>5595</v>
      </c>
      <c r="P3457" s="3" t="s">
        <v>5578</v>
      </c>
      <c r="Q3457" s="8">
        <v>7.6360000000000004E-3</v>
      </c>
    </row>
    <row r="3458" spans="1:17" hidden="1" x14ac:dyDescent="0.55000000000000004">
      <c r="A3458" s="3" t="s">
        <v>5519</v>
      </c>
      <c r="B3458" s="3" t="s">
        <v>5571</v>
      </c>
      <c r="C3458" t="s">
        <v>5571</v>
      </c>
      <c r="D3458" s="3" t="s">
        <v>7319</v>
      </c>
      <c r="E3458" t="s">
        <v>5601</v>
      </c>
      <c r="F3458" s="3" t="s">
        <v>5602</v>
      </c>
      <c r="G3458" t="s">
        <v>24</v>
      </c>
      <c r="H3458" s="3" t="s">
        <v>5579</v>
      </c>
      <c r="I3458" t="s">
        <v>52</v>
      </c>
      <c r="J3458" s="3" t="s">
        <v>5580</v>
      </c>
      <c r="K3458" s="4">
        <v>1440</v>
      </c>
      <c r="L3458" s="5">
        <v>0</v>
      </c>
      <c r="M3458" s="6">
        <v>0</v>
      </c>
      <c r="N3458" s="7">
        <v>0</v>
      </c>
      <c r="O3458" t="s">
        <v>23</v>
      </c>
      <c r="P3458" s="3" t="s">
        <v>23</v>
      </c>
      <c r="Q3458" s="8" t="s">
        <v>23</v>
      </c>
    </row>
    <row r="3459" spans="1:17" hidden="1" x14ac:dyDescent="0.55000000000000004">
      <c r="A3459" s="3" t="s">
        <v>5519</v>
      </c>
      <c r="B3459" s="3" t="s">
        <v>5571</v>
      </c>
      <c r="C3459" t="s">
        <v>5571</v>
      </c>
      <c r="D3459" s="3" t="s">
        <v>7319</v>
      </c>
      <c r="E3459" t="s">
        <v>5601</v>
      </c>
      <c r="F3459" s="3" t="s">
        <v>5602</v>
      </c>
      <c r="G3459" t="s">
        <v>24</v>
      </c>
      <c r="H3459" s="3" t="s">
        <v>5581</v>
      </c>
      <c r="I3459" t="s">
        <v>296</v>
      </c>
      <c r="J3459" s="3" t="s">
        <v>5580</v>
      </c>
      <c r="K3459" s="4">
        <v>1341</v>
      </c>
      <c r="L3459" s="5">
        <v>0</v>
      </c>
      <c r="M3459" s="6">
        <v>0</v>
      </c>
      <c r="N3459" s="7">
        <v>0</v>
      </c>
      <c r="O3459" t="s">
        <v>23</v>
      </c>
      <c r="P3459" s="3" t="s">
        <v>23</v>
      </c>
      <c r="Q3459" s="8" t="s">
        <v>23</v>
      </c>
    </row>
    <row r="3460" spans="1:17" hidden="1" x14ac:dyDescent="0.55000000000000004">
      <c r="A3460" s="3" t="s">
        <v>5519</v>
      </c>
      <c r="B3460" s="3" t="s">
        <v>5571</v>
      </c>
      <c r="C3460" t="s">
        <v>5571</v>
      </c>
      <c r="D3460" s="3" t="s">
        <v>7319</v>
      </c>
      <c r="E3460" t="s">
        <v>5601</v>
      </c>
      <c r="F3460" s="3" t="s">
        <v>5602</v>
      </c>
      <c r="G3460" t="s">
        <v>24</v>
      </c>
      <c r="H3460" s="3" t="s">
        <v>5582</v>
      </c>
      <c r="I3460" t="s">
        <v>298</v>
      </c>
      <c r="J3460" s="3" t="s">
        <v>5580</v>
      </c>
      <c r="K3460" s="4">
        <v>1687</v>
      </c>
      <c r="L3460" s="5">
        <v>0</v>
      </c>
      <c r="M3460" s="6">
        <v>0</v>
      </c>
      <c r="N3460" s="7">
        <v>0</v>
      </c>
      <c r="O3460" t="s">
        <v>23</v>
      </c>
      <c r="P3460" s="3" t="s">
        <v>23</v>
      </c>
      <c r="Q3460" s="8" t="s">
        <v>23</v>
      </c>
    </row>
    <row r="3461" spans="1:17" hidden="1" x14ac:dyDescent="0.55000000000000004">
      <c r="A3461" s="3" t="s">
        <v>5519</v>
      </c>
      <c r="B3461" s="3" t="s">
        <v>5571</v>
      </c>
      <c r="C3461" t="s">
        <v>5571</v>
      </c>
      <c r="D3461" s="3" t="s">
        <v>7319</v>
      </c>
      <c r="E3461" t="s">
        <v>5601</v>
      </c>
      <c r="F3461" s="3" t="s">
        <v>5602</v>
      </c>
      <c r="G3461" t="s">
        <v>24</v>
      </c>
      <c r="H3461" s="3" t="s">
        <v>5583</v>
      </c>
      <c r="I3461" t="s">
        <v>300</v>
      </c>
      <c r="J3461" s="3" t="s">
        <v>5580</v>
      </c>
      <c r="K3461" s="4">
        <v>1304</v>
      </c>
      <c r="L3461" s="5">
        <v>0</v>
      </c>
      <c r="M3461" s="6">
        <v>0</v>
      </c>
      <c r="N3461" s="7">
        <v>0</v>
      </c>
      <c r="O3461" t="s">
        <v>23</v>
      </c>
      <c r="P3461" s="3" t="s">
        <v>23</v>
      </c>
      <c r="Q3461" s="8" t="s">
        <v>23</v>
      </c>
    </row>
    <row r="3462" spans="1:17" hidden="1" x14ac:dyDescent="0.55000000000000004">
      <c r="A3462" s="3" t="s">
        <v>5519</v>
      </c>
      <c r="B3462" s="3" t="s">
        <v>5571</v>
      </c>
      <c r="C3462" t="s">
        <v>5571</v>
      </c>
      <c r="D3462" s="3" t="s">
        <v>7319</v>
      </c>
      <c r="E3462" t="s">
        <v>5601</v>
      </c>
      <c r="F3462" s="3" t="s">
        <v>5602</v>
      </c>
      <c r="G3462" t="s">
        <v>24</v>
      </c>
      <c r="H3462" s="3" t="s">
        <v>5584</v>
      </c>
      <c r="I3462" t="s">
        <v>302</v>
      </c>
      <c r="J3462" s="3" t="s">
        <v>5580</v>
      </c>
      <c r="K3462" s="4">
        <v>1461</v>
      </c>
      <c r="L3462" s="5">
        <v>0</v>
      </c>
      <c r="M3462" s="6">
        <v>0</v>
      </c>
      <c r="N3462" s="7">
        <v>0</v>
      </c>
      <c r="O3462" t="s">
        <v>23</v>
      </c>
      <c r="P3462" s="3" t="s">
        <v>23</v>
      </c>
      <c r="Q3462" s="8" t="s">
        <v>23</v>
      </c>
    </row>
    <row r="3463" spans="1:17" hidden="1" x14ac:dyDescent="0.55000000000000004">
      <c r="A3463" s="3" t="s">
        <v>5519</v>
      </c>
      <c r="B3463" s="3" t="s">
        <v>5571</v>
      </c>
      <c r="C3463" t="s">
        <v>5571</v>
      </c>
      <c r="D3463" s="3" t="s">
        <v>7319</v>
      </c>
      <c r="E3463" t="s">
        <v>5601</v>
      </c>
      <c r="F3463" s="3" t="s">
        <v>5602</v>
      </c>
      <c r="G3463" t="s">
        <v>24</v>
      </c>
      <c r="H3463" s="3" t="s">
        <v>5585</v>
      </c>
      <c r="I3463" t="s">
        <v>304</v>
      </c>
      <c r="J3463" s="3" t="s">
        <v>5580</v>
      </c>
      <c r="K3463" s="4">
        <v>1818</v>
      </c>
      <c r="L3463" s="5">
        <v>0</v>
      </c>
      <c r="M3463" s="6">
        <v>0</v>
      </c>
      <c r="N3463" s="7">
        <v>0</v>
      </c>
      <c r="O3463" t="s">
        <v>23</v>
      </c>
      <c r="P3463" s="3" t="s">
        <v>23</v>
      </c>
      <c r="Q3463" s="8" t="s">
        <v>23</v>
      </c>
    </row>
    <row r="3464" spans="1:17" hidden="1" x14ac:dyDescent="0.55000000000000004">
      <c r="A3464" s="3" t="s">
        <v>5519</v>
      </c>
      <c r="B3464" s="3" t="s">
        <v>5571</v>
      </c>
      <c r="C3464" t="s">
        <v>5571</v>
      </c>
      <c r="D3464" s="3" t="s">
        <v>7319</v>
      </c>
      <c r="E3464" t="s">
        <v>5601</v>
      </c>
      <c r="F3464" s="3" t="s">
        <v>5602</v>
      </c>
      <c r="G3464" t="s">
        <v>24</v>
      </c>
      <c r="H3464" s="3" t="s">
        <v>5596</v>
      </c>
      <c r="I3464" t="s">
        <v>26</v>
      </c>
      <c r="J3464" s="3" t="s">
        <v>5597</v>
      </c>
      <c r="K3464" s="4">
        <v>1945</v>
      </c>
      <c r="L3464" s="5">
        <v>88.41</v>
      </c>
      <c r="M3464" s="6">
        <v>1</v>
      </c>
      <c r="N3464" s="7">
        <v>0</v>
      </c>
      <c r="O3464" t="s">
        <v>5598</v>
      </c>
      <c r="P3464" s="3" t="s">
        <v>76</v>
      </c>
      <c r="Q3464" s="8">
        <v>0.29416700000000001</v>
      </c>
    </row>
    <row r="3465" spans="1:17" hidden="1" x14ac:dyDescent="0.55000000000000004">
      <c r="A3465" s="3" t="s">
        <v>5519</v>
      </c>
      <c r="B3465" s="3" t="s">
        <v>5571</v>
      </c>
      <c r="C3465" t="s">
        <v>5571</v>
      </c>
      <c r="D3465" s="3" t="s">
        <v>7319</v>
      </c>
      <c r="E3465" t="s">
        <v>5601</v>
      </c>
      <c r="F3465" s="3" t="s">
        <v>5602</v>
      </c>
      <c r="G3465" t="s">
        <v>24</v>
      </c>
      <c r="H3465" s="3" t="s">
        <v>5599</v>
      </c>
      <c r="I3465" t="s">
        <v>218</v>
      </c>
      <c r="J3465" s="3" t="s">
        <v>5597</v>
      </c>
      <c r="K3465" s="4">
        <v>2320</v>
      </c>
      <c r="L3465" s="5">
        <v>105.44</v>
      </c>
      <c r="M3465" s="6">
        <v>0</v>
      </c>
      <c r="N3465" s="7">
        <v>0</v>
      </c>
      <c r="O3465" t="s">
        <v>5600</v>
      </c>
      <c r="P3465" s="3" t="s">
        <v>23</v>
      </c>
      <c r="Q3465" s="8" t="s">
        <v>23</v>
      </c>
    </row>
    <row r="3466" spans="1:17" hidden="1" x14ac:dyDescent="0.55000000000000004">
      <c r="A3466" s="3" t="s">
        <v>5519</v>
      </c>
      <c r="B3466" s="3" t="s">
        <v>7395</v>
      </c>
      <c r="C3466" t="s">
        <v>5571</v>
      </c>
      <c r="D3466" s="3" t="s">
        <v>7319</v>
      </c>
      <c r="E3466" t="s">
        <v>5603</v>
      </c>
      <c r="F3466" s="3" t="s">
        <v>5604</v>
      </c>
      <c r="G3466" t="s">
        <v>19</v>
      </c>
      <c r="H3466" s="3" t="s">
        <v>5593</v>
      </c>
      <c r="I3466" t="s">
        <v>5575</v>
      </c>
      <c r="J3466" s="3" t="s">
        <v>5594</v>
      </c>
      <c r="K3466" s="4">
        <v>90</v>
      </c>
      <c r="L3466" s="5">
        <v>19.5</v>
      </c>
      <c r="M3466" s="6">
        <v>1</v>
      </c>
      <c r="N3466" s="7">
        <v>0</v>
      </c>
      <c r="O3466" t="s">
        <v>5595</v>
      </c>
      <c r="P3466" s="3" t="s">
        <v>5578</v>
      </c>
      <c r="Q3466" s="8">
        <v>7.6360000000000004E-3</v>
      </c>
    </row>
    <row r="3467" spans="1:17" hidden="1" x14ac:dyDescent="0.55000000000000004">
      <c r="A3467" s="3" t="s">
        <v>5519</v>
      </c>
      <c r="B3467" s="3" t="s">
        <v>7395</v>
      </c>
      <c r="C3467" t="s">
        <v>5571</v>
      </c>
      <c r="D3467" s="3" t="s">
        <v>7319</v>
      </c>
      <c r="E3467" t="s">
        <v>5603</v>
      </c>
      <c r="F3467" s="3" t="s">
        <v>5604</v>
      </c>
      <c r="G3467" t="s">
        <v>24</v>
      </c>
      <c r="H3467" s="3" t="s">
        <v>5579</v>
      </c>
      <c r="I3467" t="s">
        <v>52</v>
      </c>
      <c r="J3467" s="3" t="s">
        <v>5580</v>
      </c>
      <c r="K3467" s="4">
        <v>1440</v>
      </c>
      <c r="L3467" s="5">
        <v>0</v>
      </c>
      <c r="M3467" s="6">
        <v>0</v>
      </c>
      <c r="N3467" s="7">
        <v>0</v>
      </c>
      <c r="O3467" t="s">
        <v>23</v>
      </c>
      <c r="P3467" s="3" t="s">
        <v>23</v>
      </c>
      <c r="Q3467" s="8" t="s">
        <v>23</v>
      </c>
    </row>
    <row r="3468" spans="1:17" hidden="1" x14ac:dyDescent="0.55000000000000004">
      <c r="A3468" s="3" t="s">
        <v>5519</v>
      </c>
      <c r="B3468" s="3" t="s">
        <v>7395</v>
      </c>
      <c r="C3468" t="s">
        <v>5571</v>
      </c>
      <c r="D3468" s="3" t="s">
        <v>7319</v>
      </c>
      <c r="E3468" t="s">
        <v>5603</v>
      </c>
      <c r="F3468" s="3" t="s">
        <v>5604</v>
      </c>
      <c r="G3468" t="s">
        <v>24</v>
      </c>
      <c r="H3468" s="3" t="s">
        <v>5581</v>
      </c>
      <c r="I3468" t="s">
        <v>296</v>
      </c>
      <c r="J3468" s="3" t="s">
        <v>5580</v>
      </c>
      <c r="K3468" s="4">
        <v>1341</v>
      </c>
      <c r="L3468" s="5">
        <v>0</v>
      </c>
      <c r="M3468" s="6">
        <v>0</v>
      </c>
      <c r="N3468" s="7">
        <v>0</v>
      </c>
      <c r="O3468" t="s">
        <v>23</v>
      </c>
      <c r="P3468" s="3" t="s">
        <v>23</v>
      </c>
      <c r="Q3468" s="8" t="s">
        <v>23</v>
      </c>
    </row>
    <row r="3469" spans="1:17" hidden="1" x14ac:dyDescent="0.55000000000000004">
      <c r="A3469" s="3" t="s">
        <v>5519</v>
      </c>
      <c r="B3469" s="3" t="s">
        <v>7395</v>
      </c>
      <c r="C3469" t="s">
        <v>5571</v>
      </c>
      <c r="D3469" s="3" t="s">
        <v>7319</v>
      </c>
      <c r="E3469" t="s">
        <v>5603</v>
      </c>
      <c r="F3469" s="3" t="s">
        <v>5604</v>
      </c>
      <c r="G3469" t="s">
        <v>24</v>
      </c>
      <c r="H3469" s="3" t="s">
        <v>5582</v>
      </c>
      <c r="I3469" t="s">
        <v>298</v>
      </c>
      <c r="J3469" s="3" t="s">
        <v>5580</v>
      </c>
      <c r="K3469" s="4">
        <v>1687</v>
      </c>
      <c r="L3469" s="5">
        <v>0</v>
      </c>
      <c r="M3469" s="6">
        <v>0</v>
      </c>
      <c r="N3469" s="7">
        <v>0</v>
      </c>
      <c r="O3469" t="s">
        <v>23</v>
      </c>
      <c r="P3469" s="3" t="s">
        <v>23</v>
      </c>
      <c r="Q3469" s="8" t="s">
        <v>23</v>
      </c>
    </row>
    <row r="3470" spans="1:17" hidden="1" x14ac:dyDescent="0.55000000000000004">
      <c r="A3470" s="3" t="s">
        <v>5519</v>
      </c>
      <c r="B3470" s="3" t="s">
        <v>7395</v>
      </c>
      <c r="C3470" t="s">
        <v>5571</v>
      </c>
      <c r="D3470" s="3" t="s">
        <v>7319</v>
      </c>
      <c r="E3470" t="s">
        <v>5603</v>
      </c>
      <c r="F3470" s="3" t="s">
        <v>5604</v>
      </c>
      <c r="G3470" t="s">
        <v>24</v>
      </c>
      <c r="H3470" s="3" t="s">
        <v>5583</v>
      </c>
      <c r="I3470" t="s">
        <v>300</v>
      </c>
      <c r="J3470" s="3" t="s">
        <v>5580</v>
      </c>
      <c r="K3470" s="4">
        <v>1304</v>
      </c>
      <c r="L3470" s="5">
        <v>0</v>
      </c>
      <c r="M3470" s="6">
        <v>0</v>
      </c>
      <c r="N3470" s="7">
        <v>0</v>
      </c>
      <c r="O3470" t="s">
        <v>23</v>
      </c>
      <c r="P3470" s="3" t="s">
        <v>23</v>
      </c>
      <c r="Q3470" s="8" t="s">
        <v>23</v>
      </c>
    </row>
    <row r="3471" spans="1:17" hidden="1" x14ac:dyDescent="0.55000000000000004">
      <c r="A3471" s="3" t="s">
        <v>5519</v>
      </c>
      <c r="B3471" s="3" t="s">
        <v>7395</v>
      </c>
      <c r="C3471" t="s">
        <v>5571</v>
      </c>
      <c r="D3471" s="3" t="s">
        <v>7319</v>
      </c>
      <c r="E3471" t="s">
        <v>5603</v>
      </c>
      <c r="F3471" s="3" t="s">
        <v>5604</v>
      </c>
      <c r="G3471" t="s">
        <v>24</v>
      </c>
      <c r="H3471" s="3" t="s">
        <v>5584</v>
      </c>
      <c r="I3471" t="s">
        <v>302</v>
      </c>
      <c r="J3471" s="3" t="s">
        <v>5580</v>
      </c>
      <c r="K3471" s="4">
        <v>1461</v>
      </c>
      <c r="L3471" s="5">
        <v>0</v>
      </c>
      <c r="M3471" s="6">
        <v>0</v>
      </c>
      <c r="N3471" s="7">
        <v>0</v>
      </c>
      <c r="O3471" t="s">
        <v>23</v>
      </c>
      <c r="P3471" s="3" t="s">
        <v>23</v>
      </c>
      <c r="Q3471" s="8" t="s">
        <v>23</v>
      </c>
    </row>
    <row r="3472" spans="1:17" hidden="1" x14ac:dyDescent="0.55000000000000004">
      <c r="A3472" s="3" t="s">
        <v>5519</v>
      </c>
      <c r="B3472" s="3" t="s">
        <v>7395</v>
      </c>
      <c r="C3472" t="s">
        <v>5571</v>
      </c>
      <c r="D3472" s="3" t="s">
        <v>7319</v>
      </c>
      <c r="E3472" t="s">
        <v>5603</v>
      </c>
      <c r="F3472" s="3" t="s">
        <v>5604</v>
      </c>
      <c r="G3472" t="s">
        <v>24</v>
      </c>
      <c r="H3472" s="3" t="s">
        <v>5585</v>
      </c>
      <c r="I3472" t="s">
        <v>304</v>
      </c>
      <c r="J3472" s="3" t="s">
        <v>5580</v>
      </c>
      <c r="K3472" s="4">
        <v>1818</v>
      </c>
      <c r="L3472" s="5">
        <v>0</v>
      </c>
      <c r="M3472" s="6">
        <v>0</v>
      </c>
      <c r="N3472" s="7">
        <v>0</v>
      </c>
      <c r="O3472" t="s">
        <v>23</v>
      </c>
      <c r="P3472" s="3" t="s">
        <v>23</v>
      </c>
      <c r="Q3472" s="8" t="s">
        <v>23</v>
      </c>
    </row>
    <row r="3473" spans="1:17" hidden="1" x14ac:dyDescent="0.55000000000000004">
      <c r="A3473" s="3" t="s">
        <v>5519</v>
      </c>
      <c r="B3473" s="3" t="s">
        <v>7395</v>
      </c>
      <c r="C3473" t="s">
        <v>5571</v>
      </c>
      <c r="D3473" s="3" t="s">
        <v>7319</v>
      </c>
      <c r="E3473" t="s">
        <v>5603</v>
      </c>
      <c r="F3473" s="3" t="s">
        <v>5604</v>
      </c>
      <c r="G3473" t="s">
        <v>24</v>
      </c>
      <c r="H3473" s="3" t="s">
        <v>5596</v>
      </c>
      <c r="I3473" t="s">
        <v>26</v>
      </c>
      <c r="J3473" s="3" t="s">
        <v>5597</v>
      </c>
      <c r="K3473" s="4">
        <v>1945</v>
      </c>
      <c r="L3473" s="5">
        <v>88.41</v>
      </c>
      <c r="M3473" s="6">
        <v>1</v>
      </c>
      <c r="N3473" s="7">
        <v>0</v>
      </c>
      <c r="O3473" t="s">
        <v>5598</v>
      </c>
      <c r="P3473" s="3" t="s">
        <v>76</v>
      </c>
      <c r="Q3473" s="8">
        <v>0.29416700000000001</v>
      </c>
    </row>
    <row r="3474" spans="1:17" hidden="1" x14ac:dyDescent="0.55000000000000004">
      <c r="A3474" s="3" t="s">
        <v>5519</v>
      </c>
      <c r="B3474" s="3" t="s">
        <v>7395</v>
      </c>
      <c r="C3474" t="s">
        <v>5571</v>
      </c>
      <c r="D3474" s="3" t="s">
        <v>7319</v>
      </c>
      <c r="E3474" t="s">
        <v>5603</v>
      </c>
      <c r="F3474" s="3" t="s">
        <v>5604</v>
      </c>
      <c r="G3474" t="s">
        <v>24</v>
      </c>
      <c r="H3474" s="3" t="s">
        <v>5599</v>
      </c>
      <c r="I3474" t="s">
        <v>218</v>
      </c>
      <c r="J3474" s="3" t="s">
        <v>5597</v>
      </c>
      <c r="K3474" s="4">
        <v>2320</v>
      </c>
      <c r="L3474" s="5">
        <v>105.44</v>
      </c>
      <c r="M3474" s="6">
        <v>0</v>
      </c>
      <c r="N3474" s="7">
        <v>0</v>
      </c>
      <c r="O3474" t="s">
        <v>5600</v>
      </c>
      <c r="P3474" s="3" t="s">
        <v>23</v>
      </c>
      <c r="Q3474" s="8" t="s">
        <v>23</v>
      </c>
    </row>
    <row r="3475" spans="1:17" hidden="1" x14ac:dyDescent="0.55000000000000004">
      <c r="A3475" s="3" t="s">
        <v>5519</v>
      </c>
      <c r="B3475" s="3" t="s">
        <v>5605</v>
      </c>
      <c r="C3475" t="s">
        <v>5605</v>
      </c>
      <c r="D3475" s="3" t="s">
        <v>7319</v>
      </c>
      <c r="E3475" t="s">
        <v>5606</v>
      </c>
      <c r="F3475" s="3" t="s">
        <v>5607</v>
      </c>
      <c r="G3475" t="s">
        <v>19</v>
      </c>
      <c r="H3475" s="3" t="s">
        <v>5608</v>
      </c>
      <c r="I3475" t="s">
        <v>5609</v>
      </c>
      <c r="J3475" s="3" t="s">
        <v>5543</v>
      </c>
      <c r="K3475" s="4">
        <v>5</v>
      </c>
      <c r="L3475" s="5">
        <v>1.1100000000000001</v>
      </c>
      <c r="M3475" s="6">
        <v>0</v>
      </c>
      <c r="N3475" s="7">
        <v>0</v>
      </c>
      <c r="O3475" t="s">
        <v>23</v>
      </c>
      <c r="P3475" s="3" t="s">
        <v>23</v>
      </c>
      <c r="Q3475" s="8" t="s">
        <v>23</v>
      </c>
    </row>
    <row r="3476" spans="1:17" hidden="1" x14ac:dyDescent="0.55000000000000004">
      <c r="A3476" s="3" t="s">
        <v>5519</v>
      </c>
      <c r="B3476" s="3" t="s">
        <v>5605</v>
      </c>
      <c r="C3476" t="s">
        <v>5605</v>
      </c>
      <c r="D3476" s="3" t="s">
        <v>7319</v>
      </c>
      <c r="E3476" t="s">
        <v>5606</v>
      </c>
      <c r="F3476" s="3" t="s">
        <v>5607</v>
      </c>
      <c r="G3476" t="s">
        <v>19</v>
      </c>
      <c r="H3476" s="3" t="s">
        <v>5610</v>
      </c>
      <c r="I3476" t="s">
        <v>5611</v>
      </c>
      <c r="J3476" s="3" t="s">
        <v>5543</v>
      </c>
      <c r="K3476" s="4">
        <v>4</v>
      </c>
      <c r="L3476" s="5">
        <v>0.85</v>
      </c>
      <c r="M3476" s="6">
        <v>0</v>
      </c>
      <c r="N3476" s="7">
        <v>0</v>
      </c>
      <c r="O3476" t="s">
        <v>23</v>
      </c>
      <c r="P3476" s="3" t="s">
        <v>23</v>
      </c>
      <c r="Q3476" s="8" t="s">
        <v>23</v>
      </c>
    </row>
    <row r="3477" spans="1:17" hidden="1" x14ac:dyDescent="0.55000000000000004">
      <c r="A3477" s="3" t="s">
        <v>5519</v>
      </c>
      <c r="B3477" s="3" t="s">
        <v>5605</v>
      </c>
      <c r="C3477" t="s">
        <v>5605</v>
      </c>
      <c r="D3477" s="3" t="s">
        <v>7319</v>
      </c>
      <c r="E3477" t="s">
        <v>5606</v>
      </c>
      <c r="F3477" s="3" t="s">
        <v>5607</v>
      </c>
      <c r="G3477" t="s">
        <v>19</v>
      </c>
      <c r="H3477" s="3" t="s">
        <v>5612</v>
      </c>
      <c r="I3477" t="s">
        <v>5548</v>
      </c>
      <c r="J3477" s="3" t="s">
        <v>5543</v>
      </c>
      <c r="K3477" s="4">
        <v>106</v>
      </c>
      <c r="L3477" s="5">
        <v>23.02</v>
      </c>
      <c r="M3477" s="6">
        <v>0</v>
      </c>
      <c r="N3477" s="7">
        <v>0</v>
      </c>
      <c r="O3477" t="s">
        <v>5549</v>
      </c>
      <c r="P3477" s="3" t="s">
        <v>5550</v>
      </c>
      <c r="Q3477" s="8">
        <v>2.4124E-2</v>
      </c>
    </row>
    <row r="3478" spans="1:17" hidden="1" x14ac:dyDescent="0.55000000000000004">
      <c r="A3478" s="3" t="s">
        <v>5519</v>
      </c>
      <c r="B3478" s="3" t="s">
        <v>5605</v>
      </c>
      <c r="C3478" t="s">
        <v>5605</v>
      </c>
      <c r="D3478" s="3" t="s">
        <v>7319</v>
      </c>
      <c r="E3478" t="s">
        <v>5606</v>
      </c>
      <c r="F3478" s="3" t="s">
        <v>5607</v>
      </c>
      <c r="G3478" t="s">
        <v>24</v>
      </c>
      <c r="H3478" s="3" t="s">
        <v>5613</v>
      </c>
      <c r="I3478" t="s">
        <v>52</v>
      </c>
      <c r="J3478" s="3" t="s">
        <v>5614</v>
      </c>
      <c r="K3478" s="4">
        <v>1546</v>
      </c>
      <c r="L3478" s="5">
        <v>70.28</v>
      </c>
      <c r="M3478" s="6">
        <v>1</v>
      </c>
      <c r="N3478" s="7">
        <v>0</v>
      </c>
      <c r="O3478" t="s">
        <v>5615</v>
      </c>
      <c r="P3478" s="3" t="s">
        <v>55</v>
      </c>
      <c r="Q3478" s="8">
        <v>0.29343799999999998</v>
      </c>
    </row>
    <row r="3479" spans="1:17" hidden="1" x14ac:dyDescent="0.55000000000000004">
      <c r="A3479" s="3" t="s">
        <v>5519</v>
      </c>
      <c r="B3479" s="3" t="s">
        <v>5605</v>
      </c>
      <c r="C3479" t="s">
        <v>5605</v>
      </c>
      <c r="D3479" s="3" t="s">
        <v>7319</v>
      </c>
      <c r="E3479" t="s">
        <v>5616</v>
      </c>
      <c r="F3479" s="3" t="s">
        <v>5617</v>
      </c>
      <c r="G3479" t="s">
        <v>19</v>
      </c>
      <c r="H3479" s="3" t="s">
        <v>5608</v>
      </c>
      <c r="I3479" t="s">
        <v>5609</v>
      </c>
      <c r="J3479" s="3" t="s">
        <v>5543</v>
      </c>
      <c r="K3479" s="4">
        <v>5</v>
      </c>
      <c r="L3479" s="5">
        <v>1.1100000000000001</v>
      </c>
      <c r="M3479" s="6">
        <v>0</v>
      </c>
      <c r="N3479" s="7">
        <v>0</v>
      </c>
      <c r="O3479" t="s">
        <v>23</v>
      </c>
      <c r="P3479" s="3" t="s">
        <v>23</v>
      </c>
      <c r="Q3479" s="8" t="s">
        <v>23</v>
      </c>
    </row>
    <row r="3480" spans="1:17" hidden="1" x14ac:dyDescent="0.55000000000000004">
      <c r="A3480" s="3" t="s">
        <v>5519</v>
      </c>
      <c r="B3480" s="3" t="s">
        <v>5605</v>
      </c>
      <c r="C3480" t="s">
        <v>5605</v>
      </c>
      <c r="D3480" s="3" t="s">
        <v>7319</v>
      </c>
      <c r="E3480" t="s">
        <v>5616</v>
      </c>
      <c r="F3480" s="3" t="s">
        <v>5617</v>
      </c>
      <c r="G3480" t="s">
        <v>19</v>
      </c>
      <c r="H3480" s="3" t="s">
        <v>5610</v>
      </c>
      <c r="I3480" t="s">
        <v>5611</v>
      </c>
      <c r="J3480" s="3" t="s">
        <v>5543</v>
      </c>
      <c r="K3480" s="4">
        <v>4</v>
      </c>
      <c r="L3480" s="5">
        <v>0.85</v>
      </c>
      <c r="M3480" s="6">
        <v>0</v>
      </c>
      <c r="N3480" s="7">
        <v>0</v>
      </c>
      <c r="O3480" t="s">
        <v>23</v>
      </c>
      <c r="P3480" s="3" t="s">
        <v>23</v>
      </c>
      <c r="Q3480" s="8" t="s">
        <v>23</v>
      </c>
    </row>
    <row r="3481" spans="1:17" hidden="1" x14ac:dyDescent="0.55000000000000004">
      <c r="A3481" s="3" t="s">
        <v>5519</v>
      </c>
      <c r="B3481" s="3" t="s">
        <v>5605</v>
      </c>
      <c r="C3481" t="s">
        <v>5605</v>
      </c>
      <c r="D3481" s="3" t="s">
        <v>7319</v>
      </c>
      <c r="E3481" t="s">
        <v>5616</v>
      </c>
      <c r="F3481" s="3" t="s">
        <v>5617</v>
      </c>
      <c r="G3481" t="s">
        <v>19</v>
      </c>
      <c r="H3481" s="3" t="s">
        <v>5612</v>
      </c>
      <c r="I3481" t="s">
        <v>5548</v>
      </c>
      <c r="J3481" s="3" t="s">
        <v>5543</v>
      </c>
      <c r="K3481" s="4">
        <v>106</v>
      </c>
      <c r="L3481" s="5">
        <v>23.02</v>
      </c>
      <c r="M3481" s="6">
        <v>0</v>
      </c>
      <c r="N3481" s="7">
        <v>0</v>
      </c>
      <c r="O3481" t="s">
        <v>5549</v>
      </c>
      <c r="P3481" s="3" t="s">
        <v>5550</v>
      </c>
      <c r="Q3481" s="8">
        <v>2.4124E-2</v>
      </c>
    </row>
    <row r="3482" spans="1:17" hidden="1" x14ac:dyDescent="0.55000000000000004">
      <c r="A3482" s="3" t="s">
        <v>5519</v>
      </c>
      <c r="B3482" s="3" t="s">
        <v>5605</v>
      </c>
      <c r="C3482" t="s">
        <v>5605</v>
      </c>
      <c r="D3482" s="3" t="s">
        <v>7319</v>
      </c>
      <c r="E3482" t="s">
        <v>5616</v>
      </c>
      <c r="F3482" s="3" t="s">
        <v>5617</v>
      </c>
      <c r="G3482" t="s">
        <v>24</v>
      </c>
      <c r="H3482" s="3" t="s">
        <v>5613</v>
      </c>
      <c r="I3482" t="s">
        <v>52</v>
      </c>
      <c r="J3482" s="3" t="s">
        <v>5614</v>
      </c>
      <c r="K3482" s="4">
        <v>1546</v>
      </c>
      <c r="L3482" s="5">
        <v>70.28</v>
      </c>
      <c r="M3482" s="6">
        <v>1</v>
      </c>
      <c r="N3482" s="7">
        <v>0</v>
      </c>
      <c r="O3482" t="s">
        <v>5615</v>
      </c>
      <c r="P3482" s="3" t="s">
        <v>55</v>
      </c>
      <c r="Q3482" s="8">
        <v>0.29343799999999998</v>
      </c>
    </row>
    <row r="3483" spans="1:17" hidden="1" x14ac:dyDescent="0.55000000000000004">
      <c r="A3483" s="3" t="s">
        <v>5519</v>
      </c>
      <c r="B3483" s="3" t="s">
        <v>5605</v>
      </c>
      <c r="C3483" t="s">
        <v>5605</v>
      </c>
      <c r="D3483" s="3" t="s">
        <v>7319</v>
      </c>
      <c r="E3483" t="s">
        <v>5618</v>
      </c>
      <c r="F3483" s="3" t="s">
        <v>5619</v>
      </c>
      <c r="G3483" t="s">
        <v>19</v>
      </c>
      <c r="H3483" s="3" t="s">
        <v>5620</v>
      </c>
      <c r="I3483" t="s">
        <v>1483</v>
      </c>
      <c r="J3483" s="3" t="s">
        <v>5621</v>
      </c>
      <c r="K3483" s="4">
        <v>705</v>
      </c>
      <c r="L3483" s="5">
        <v>153.28</v>
      </c>
      <c r="M3483" s="6">
        <v>1</v>
      </c>
      <c r="N3483" s="7">
        <v>1</v>
      </c>
      <c r="O3483" t="s">
        <v>5562</v>
      </c>
      <c r="P3483" s="3" t="s">
        <v>1486</v>
      </c>
      <c r="Q3483" s="8">
        <v>6.7797999999999997E-2</v>
      </c>
    </row>
    <row r="3484" spans="1:17" hidden="1" x14ac:dyDescent="0.55000000000000004">
      <c r="A3484" s="3" t="s">
        <v>5519</v>
      </c>
      <c r="B3484" s="3" t="s">
        <v>5605</v>
      </c>
      <c r="C3484" t="s">
        <v>5605</v>
      </c>
      <c r="D3484" s="3" t="s">
        <v>7319</v>
      </c>
      <c r="E3484" t="s">
        <v>5618</v>
      </c>
      <c r="F3484" s="3" t="s">
        <v>5619</v>
      </c>
      <c r="G3484" t="s">
        <v>19</v>
      </c>
      <c r="H3484" s="3" t="s">
        <v>5620</v>
      </c>
      <c r="I3484" t="s">
        <v>1483</v>
      </c>
      <c r="J3484" s="3" t="s">
        <v>5621</v>
      </c>
      <c r="K3484" s="4">
        <v>705</v>
      </c>
      <c r="L3484" s="5">
        <v>153.28</v>
      </c>
      <c r="M3484" s="6">
        <v>1</v>
      </c>
      <c r="N3484" s="7">
        <v>1</v>
      </c>
      <c r="O3484" t="s">
        <v>5622</v>
      </c>
      <c r="P3484" s="3" t="s">
        <v>5623</v>
      </c>
      <c r="Q3484" s="8">
        <v>1.5598000000000001E-2</v>
      </c>
    </row>
    <row r="3485" spans="1:17" hidden="1" x14ac:dyDescent="0.55000000000000004">
      <c r="A3485" s="3" t="s">
        <v>5519</v>
      </c>
      <c r="B3485" s="3" t="s">
        <v>5605</v>
      </c>
      <c r="C3485" t="s">
        <v>5605</v>
      </c>
      <c r="D3485" s="3" t="s">
        <v>7319</v>
      </c>
      <c r="E3485" t="s">
        <v>5618</v>
      </c>
      <c r="F3485" s="3" t="s">
        <v>5619</v>
      </c>
      <c r="G3485" t="s">
        <v>19</v>
      </c>
      <c r="H3485" s="3" t="s">
        <v>5624</v>
      </c>
      <c r="I3485" t="s">
        <v>5561</v>
      </c>
      <c r="J3485" s="3" t="s">
        <v>5621</v>
      </c>
      <c r="K3485" s="4">
        <v>139</v>
      </c>
      <c r="L3485" s="5">
        <v>30.3</v>
      </c>
      <c r="M3485" s="6">
        <v>0</v>
      </c>
      <c r="N3485" s="7">
        <v>1</v>
      </c>
      <c r="O3485" t="s">
        <v>5622</v>
      </c>
      <c r="P3485" s="3" t="s">
        <v>5623</v>
      </c>
      <c r="Q3485" s="8">
        <v>1.5598000000000001E-2</v>
      </c>
    </row>
    <row r="3486" spans="1:17" hidden="1" x14ac:dyDescent="0.55000000000000004">
      <c r="A3486" s="3" t="s">
        <v>5519</v>
      </c>
      <c r="B3486" s="3" t="s">
        <v>5605</v>
      </c>
      <c r="C3486" t="s">
        <v>5605</v>
      </c>
      <c r="D3486" s="3" t="s">
        <v>7319</v>
      </c>
      <c r="E3486" t="s">
        <v>5618</v>
      </c>
      <c r="F3486" s="3" t="s">
        <v>5619</v>
      </c>
      <c r="G3486" t="s">
        <v>19</v>
      </c>
      <c r="H3486" s="3" t="s">
        <v>5625</v>
      </c>
      <c r="I3486" t="s">
        <v>5611</v>
      </c>
      <c r="J3486" s="3" t="s">
        <v>5609</v>
      </c>
      <c r="K3486" s="4">
        <v>1</v>
      </c>
      <c r="L3486" s="5">
        <v>0.26</v>
      </c>
      <c r="M3486" s="6">
        <v>0</v>
      </c>
      <c r="N3486" s="7">
        <v>1</v>
      </c>
      <c r="O3486" t="s">
        <v>5626</v>
      </c>
      <c r="P3486" s="3" t="s">
        <v>5546</v>
      </c>
      <c r="Q3486" s="8">
        <v>1.0480000000000001E-3</v>
      </c>
    </row>
    <row r="3487" spans="1:17" hidden="1" x14ac:dyDescent="0.55000000000000004">
      <c r="A3487" s="3" t="s">
        <v>5519</v>
      </c>
      <c r="B3487" s="3" t="s">
        <v>5605</v>
      </c>
      <c r="C3487" t="s">
        <v>5605</v>
      </c>
      <c r="D3487" s="3" t="s">
        <v>7319</v>
      </c>
      <c r="E3487" t="s">
        <v>5618</v>
      </c>
      <c r="F3487" s="3" t="s">
        <v>5619</v>
      </c>
      <c r="G3487" t="s">
        <v>19</v>
      </c>
      <c r="H3487" s="3" t="s">
        <v>5627</v>
      </c>
      <c r="I3487" t="s">
        <v>5543</v>
      </c>
      <c r="J3487" s="3" t="s">
        <v>5609</v>
      </c>
      <c r="K3487" s="4">
        <v>5</v>
      </c>
      <c r="L3487" s="5">
        <v>1.1100000000000001</v>
      </c>
      <c r="M3487" s="6">
        <v>0</v>
      </c>
      <c r="N3487" s="7">
        <v>1</v>
      </c>
      <c r="O3487" t="s">
        <v>5628</v>
      </c>
      <c r="P3487" s="3" t="s">
        <v>5546</v>
      </c>
      <c r="Q3487" s="8">
        <v>3.6549999999999998E-3</v>
      </c>
    </row>
    <row r="3488" spans="1:17" hidden="1" x14ac:dyDescent="0.55000000000000004">
      <c r="A3488" s="3" t="s">
        <v>5519</v>
      </c>
      <c r="B3488" s="3" t="s">
        <v>5605</v>
      </c>
      <c r="C3488" t="s">
        <v>5605</v>
      </c>
      <c r="D3488" s="3" t="s">
        <v>7319</v>
      </c>
      <c r="E3488" t="s">
        <v>5618</v>
      </c>
      <c r="F3488" s="3" t="s">
        <v>5619</v>
      </c>
      <c r="G3488" t="s">
        <v>19</v>
      </c>
      <c r="H3488" s="3" t="s">
        <v>5629</v>
      </c>
      <c r="I3488" t="s">
        <v>5548</v>
      </c>
      <c r="J3488" s="3" t="s">
        <v>5609</v>
      </c>
      <c r="K3488" s="4">
        <v>111</v>
      </c>
      <c r="L3488" s="5">
        <v>24.13</v>
      </c>
      <c r="M3488" s="6">
        <v>0</v>
      </c>
      <c r="N3488" s="7">
        <v>1</v>
      </c>
      <c r="O3488" t="s">
        <v>5626</v>
      </c>
      <c r="P3488" s="3" t="s">
        <v>5546</v>
      </c>
      <c r="Q3488" s="8">
        <v>1.0480000000000001E-3</v>
      </c>
    </row>
    <row r="3489" spans="1:17" hidden="1" x14ac:dyDescent="0.55000000000000004">
      <c r="A3489" s="3" t="s">
        <v>5519</v>
      </c>
      <c r="B3489" s="3" t="s">
        <v>5605</v>
      </c>
      <c r="C3489" t="s">
        <v>5605</v>
      </c>
      <c r="D3489" s="3" t="s">
        <v>7319</v>
      </c>
      <c r="E3489" t="s">
        <v>5618</v>
      </c>
      <c r="F3489" s="3" t="s">
        <v>5619</v>
      </c>
      <c r="G3489" t="s">
        <v>19</v>
      </c>
      <c r="H3489" s="3" t="s">
        <v>5629</v>
      </c>
      <c r="I3489" t="s">
        <v>5548</v>
      </c>
      <c r="J3489" s="3" t="s">
        <v>5609</v>
      </c>
      <c r="K3489" s="4">
        <v>111</v>
      </c>
      <c r="L3489" s="5">
        <v>24.13</v>
      </c>
      <c r="M3489" s="6">
        <v>0</v>
      </c>
      <c r="N3489" s="7">
        <v>1</v>
      </c>
      <c r="O3489" t="s">
        <v>5630</v>
      </c>
      <c r="P3489" s="3" t="s">
        <v>5550</v>
      </c>
      <c r="Q3489" s="8">
        <v>2.6728999999999999E-2</v>
      </c>
    </row>
    <row r="3490" spans="1:17" hidden="1" x14ac:dyDescent="0.55000000000000004">
      <c r="A3490" s="3" t="s">
        <v>5519</v>
      </c>
      <c r="B3490" s="3" t="s">
        <v>5605</v>
      </c>
      <c r="C3490" t="s">
        <v>5605</v>
      </c>
      <c r="D3490" s="3" t="s">
        <v>7319</v>
      </c>
      <c r="E3490" t="s">
        <v>5618</v>
      </c>
      <c r="F3490" s="3" t="s">
        <v>5619</v>
      </c>
      <c r="G3490" t="s">
        <v>24</v>
      </c>
      <c r="H3490" s="3" t="s">
        <v>5613</v>
      </c>
      <c r="I3490" t="s">
        <v>52</v>
      </c>
      <c r="J3490" s="3" t="s">
        <v>5614</v>
      </c>
      <c r="K3490" s="4">
        <v>1546</v>
      </c>
      <c r="L3490" s="5">
        <v>70.28</v>
      </c>
      <c r="M3490" s="6">
        <v>1</v>
      </c>
      <c r="N3490" s="7">
        <v>1</v>
      </c>
      <c r="O3490" t="s">
        <v>5615</v>
      </c>
      <c r="P3490" s="3" t="s">
        <v>55</v>
      </c>
      <c r="Q3490" s="8">
        <v>0.29343799999999998</v>
      </c>
    </row>
    <row r="3491" spans="1:17" hidden="1" x14ac:dyDescent="0.55000000000000004">
      <c r="A3491" s="3" t="s">
        <v>5519</v>
      </c>
      <c r="B3491" s="3" t="s">
        <v>5631</v>
      </c>
      <c r="C3491" t="s">
        <v>5631</v>
      </c>
      <c r="D3491" s="3" t="s">
        <v>7319</v>
      </c>
      <c r="E3491" t="s">
        <v>5632</v>
      </c>
      <c r="F3491" s="3" t="s">
        <v>5633</v>
      </c>
      <c r="G3491" t="s">
        <v>19</v>
      </c>
      <c r="H3491" s="3" t="s">
        <v>5634</v>
      </c>
      <c r="I3491" t="s">
        <v>5575</v>
      </c>
      <c r="J3491" s="3" t="s">
        <v>5635</v>
      </c>
      <c r="K3491" s="4">
        <v>101</v>
      </c>
      <c r="L3491" s="5">
        <v>22</v>
      </c>
      <c r="M3491" s="6">
        <v>1</v>
      </c>
      <c r="N3491" s="7">
        <v>1</v>
      </c>
      <c r="O3491" t="s">
        <v>5636</v>
      </c>
      <c r="P3491" s="3" t="s">
        <v>5578</v>
      </c>
      <c r="Q3491" s="8">
        <v>9.1070000000000005E-3</v>
      </c>
    </row>
    <row r="3492" spans="1:17" hidden="1" x14ac:dyDescent="0.55000000000000004">
      <c r="A3492" s="3" t="s">
        <v>5519</v>
      </c>
      <c r="B3492" s="3" t="s">
        <v>5631</v>
      </c>
      <c r="C3492" t="s">
        <v>5631</v>
      </c>
      <c r="D3492" s="3" t="s">
        <v>7319</v>
      </c>
      <c r="E3492" t="s">
        <v>5632</v>
      </c>
      <c r="F3492" s="3" t="s">
        <v>5633</v>
      </c>
      <c r="G3492" t="s">
        <v>24</v>
      </c>
      <c r="H3492" s="3" t="s">
        <v>5579</v>
      </c>
      <c r="I3492" t="s">
        <v>52</v>
      </c>
      <c r="J3492" s="3" t="s">
        <v>5580</v>
      </c>
      <c r="K3492" s="4">
        <v>1440</v>
      </c>
      <c r="L3492" s="5">
        <v>0</v>
      </c>
      <c r="M3492" s="6">
        <v>0</v>
      </c>
      <c r="N3492" s="7">
        <v>1</v>
      </c>
      <c r="O3492" t="s">
        <v>23</v>
      </c>
      <c r="P3492" s="3" t="s">
        <v>23</v>
      </c>
      <c r="Q3492" s="8" t="s">
        <v>23</v>
      </c>
    </row>
    <row r="3493" spans="1:17" hidden="1" x14ac:dyDescent="0.55000000000000004">
      <c r="A3493" s="3" t="s">
        <v>5519</v>
      </c>
      <c r="B3493" s="3" t="s">
        <v>5631</v>
      </c>
      <c r="C3493" t="s">
        <v>5631</v>
      </c>
      <c r="D3493" s="3" t="s">
        <v>7319</v>
      </c>
      <c r="E3493" t="s">
        <v>5632</v>
      </c>
      <c r="F3493" s="3" t="s">
        <v>5633</v>
      </c>
      <c r="G3493" t="s">
        <v>24</v>
      </c>
      <c r="H3493" s="3" t="s">
        <v>5581</v>
      </c>
      <c r="I3493" t="s">
        <v>296</v>
      </c>
      <c r="J3493" s="3" t="s">
        <v>5580</v>
      </c>
      <c r="K3493" s="4">
        <v>1341</v>
      </c>
      <c r="L3493" s="5">
        <v>0</v>
      </c>
      <c r="M3493" s="6">
        <v>0</v>
      </c>
      <c r="N3493" s="7">
        <v>1</v>
      </c>
      <c r="O3493" t="s">
        <v>23</v>
      </c>
      <c r="P3493" s="3" t="s">
        <v>23</v>
      </c>
      <c r="Q3493" s="8" t="s">
        <v>23</v>
      </c>
    </row>
    <row r="3494" spans="1:17" hidden="1" x14ac:dyDescent="0.55000000000000004">
      <c r="A3494" s="3" t="s">
        <v>5519</v>
      </c>
      <c r="B3494" s="3" t="s">
        <v>5631</v>
      </c>
      <c r="C3494" t="s">
        <v>5631</v>
      </c>
      <c r="D3494" s="3" t="s">
        <v>7319</v>
      </c>
      <c r="E3494" t="s">
        <v>5632</v>
      </c>
      <c r="F3494" s="3" t="s">
        <v>5633</v>
      </c>
      <c r="G3494" t="s">
        <v>24</v>
      </c>
      <c r="H3494" s="3" t="s">
        <v>5582</v>
      </c>
      <c r="I3494" t="s">
        <v>298</v>
      </c>
      <c r="J3494" s="3" t="s">
        <v>5580</v>
      </c>
      <c r="K3494" s="4">
        <v>1687</v>
      </c>
      <c r="L3494" s="5">
        <v>0</v>
      </c>
      <c r="M3494" s="6">
        <v>0</v>
      </c>
      <c r="N3494" s="7">
        <v>1</v>
      </c>
      <c r="O3494" t="s">
        <v>23</v>
      </c>
      <c r="P3494" s="3" t="s">
        <v>23</v>
      </c>
      <c r="Q3494" s="8" t="s">
        <v>23</v>
      </c>
    </row>
    <row r="3495" spans="1:17" hidden="1" x14ac:dyDescent="0.55000000000000004">
      <c r="A3495" s="3" t="s">
        <v>5519</v>
      </c>
      <c r="B3495" s="3" t="s">
        <v>5631</v>
      </c>
      <c r="C3495" t="s">
        <v>5631</v>
      </c>
      <c r="D3495" s="3" t="s">
        <v>7319</v>
      </c>
      <c r="E3495" t="s">
        <v>5632</v>
      </c>
      <c r="F3495" s="3" t="s">
        <v>5633</v>
      </c>
      <c r="G3495" t="s">
        <v>24</v>
      </c>
      <c r="H3495" s="3" t="s">
        <v>5583</v>
      </c>
      <c r="I3495" t="s">
        <v>300</v>
      </c>
      <c r="J3495" s="3" t="s">
        <v>5580</v>
      </c>
      <c r="K3495" s="4">
        <v>1304</v>
      </c>
      <c r="L3495" s="5">
        <v>0</v>
      </c>
      <c r="M3495" s="6">
        <v>0</v>
      </c>
      <c r="N3495" s="7">
        <v>1</v>
      </c>
      <c r="O3495" t="s">
        <v>23</v>
      </c>
      <c r="P3495" s="3" t="s">
        <v>23</v>
      </c>
      <c r="Q3495" s="8" t="s">
        <v>23</v>
      </c>
    </row>
    <row r="3496" spans="1:17" hidden="1" x14ac:dyDescent="0.55000000000000004">
      <c r="A3496" s="3" t="s">
        <v>5519</v>
      </c>
      <c r="B3496" s="3" t="s">
        <v>5631</v>
      </c>
      <c r="C3496" t="s">
        <v>5631</v>
      </c>
      <c r="D3496" s="3" t="s">
        <v>7319</v>
      </c>
      <c r="E3496" t="s">
        <v>5632</v>
      </c>
      <c r="F3496" s="3" t="s">
        <v>5633</v>
      </c>
      <c r="G3496" t="s">
        <v>24</v>
      </c>
      <c r="H3496" s="3" t="s">
        <v>5584</v>
      </c>
      <c r="I3496" t="s">
        <v>302</v>
      </c>
      <c r="J3496" s="3" t="s">
        <v>5580</v>
      </c>
      <c r="K3496" s="4">
        <v>1461</v>
      </c>
      <c r="L3496" s="5">
        <v>0</v>
      </c>
      <c r="M3496" s="6">
        <v>0</v>
      </c>
      <c r="N3496" s="7">
        <v>1</v>
      </c>
      <c r="O3496" t="s">
        <v>23</v>
      </c>
      <c r="P3496" s="3" t="s">
        <v>23</v>
      </c>
      <c r="Q3496" s="8" t="s">
        <v>23</v>
      </c>
    </row>
    <row r="3497" spans="1:17" hidden="1" x14ac:dyDescent="0.55000000000000004">
      <c r="A3497" s="3" t="s">
        <v>5519</v>
      </c>
      <c r="B3497" s="3" t="s">
        <v>5631</v>
      </c>
      <c r="C3497" t="s">
        <v>5631</v>
      </c>
      <c r="D3497" s="3" t="s">
        <v>7319</v>
      </c>
      <c r="E3497" t="s">
        <v>5632</v>
      </c>
      <c r="F3497" s="3" t="s">
        <v>5633</v>
      </c>
      <c r="G3497" t="s">
        <v>24</v>
      </c>
      <c r="H3497" s="3" t="s">
        <v>5585</v>
      </c>
      <c r="I3497" t="s">
        <v>304</v>
      </c>
      <c r="J3497" s="3" t="s">
        <v>5580</v>
      </c>
      <c r="K3497" s="4">
        <v>1818</v>
      </c>
      <c r="L3497" s="5">
        <v>0</v>
      </c>
      <c r="M3497" s="6">
        <v>0</v>
      </c>
      <c r="N3497" s="7">
        <v>1</v>
      </c>
      <c r="O3497" t="s">
        <v>23</v>
      </c>
      <c r="P3497" s="3" t="s">
        <v>23</v>
      </c>
      <c r="Q3497" s="8" t="s">
        <v>23</v>
      </c>
    </row>
    <row r="3498" spans="1:17" hidden="1" x14ac:dyDescent="0.55000000000000004">
      <c r="A3498" s="3" t="s">
        <v>5519</v>
      </c>
      <c r="B3498" s="3" t="s">
        <v>5631</v>
      </c>
      <c r="C3498" t="s">
        <v>5631</v>
      </c>
      <c r="D3498" s="3" t="s">
        <v>7319</v>
      </c>
      <c r="E3498" t="s">
        <v>5632</v>
      </c>
      <c r="F3498" s="3" t="s">
        <v>5633</v>
      </c>
      <c r="G3498" t="s">
        <v>24</v>
      </c>
      <c r="H3498" s="3" t="s">
        <v>5637</v>
      </c>
      <c r="I3498" t="s">
        <v>26</v>
      </c>
      <c r="J3498" s="3" t="s">
        <v>5638</v>
      </c>
      <c r="K3498" s="4">
        <v>1908</v>
      </c>
      <c r="L3498" s="5">
        <v>86.73</v>
      </c>
      <c r="M3498" s="6">
        <v>1</v>
      </c>
      <c r="N3498" s="7">
        <v>1</v>
      </c>
      <c r="O3498" t="s">
        <v>5639</v>
      </c>
      <c r="P3498" s="3" t="s">
        <v>76</v>
      </c>
      <c r="Q3498" s="8">
        <v>0.29416700000000001</v>
      </c>
    </row>
    <row r="3499" spans="1:17" hidden="1" x14ac:dyDescent="0.55000000000000004">
      <c r="A3499" s="3" t="s">
        <v>5519</v>
      </c>
      <c r="B3499" s="3" t="s">
        <v>5631</v>
      </c>
      <c r="C3499" t="s">
        <v>5631</v>
      </c>
      <c r="D3499" s="3" t="s">
        <v>7319</v>
      </c>
      <c r="E3499" t="s">
        <v>5632</v>
      </c>
      <c r="F3499" s="3" t="s">
        <v>5633</v>
      </c>
      <c r="G3499" t="s">
        <v>24</v>
      </c>
      <c r="H3499" s="3" t="s">
        <v>5640</v>
      </c>
      <c r="I3499" t="s">
        <v>218</v>
      </c>
      <c r="J3499" s="3" t="s">
        <v>5638</v>
      </c>
      <c r="K3499" s="4">
        <v>2325</v>
      </c>
      <c r="L3499" s="5">
        <v>105.67</v>
      </c>
      <c r="M3499" s="6">
        <v>0</v>
      </c>
      <c r="N3499" s="7">
        <v>1</v>
      </c>
      <c r="O3499" t="s">
        <v>5641</v>
      </c>
      <c r="P3499" s="3" t="s">
        <v>23</v>
      </c>
      <c r="Q3499" s="8" t="s">
        <v>23</v>
      </c>
    </row>
    <row r="3500" spans="1:17" hidden="1" x14ac:dyDescent="0.55000000000000004">
      <c r="A3500" s="3" t="s">
        <v>5519</v>
      </c>
      <c r="B3500" s="3" t="s">
        <v>5631</v>
      </c>
      <c r="C3500" t="s">
        <v>5631</v>
      </c>
      <c r="D3500" s="3" t="s">
        <v>7319</v>
      </c>
      <c r="E3500" t="s">
        <v>5642</v>
      </c>
      <c r="F3500" s="3" t="s">
        <v>5643</v>
      </c>
      <c r="G3500" t="s">
        <v>24</v>
      </c>
      <c r="H3500" s="3" t="s">
        <v>5579</v>
      </c>
      <c r="I3500" t="s">
        <v>52</v>
      </c>
      <c r="J3500" s="3" t="s">
        <v>5580</v>
      </c>
      <c r="K3500" s="4">
        <v>1440</v>
      </c>
      <c r="L3500" s="5">
        <v>0</v>
      </c>
      <c r="M3500" s="6">
        <v>0</v>
      </c>
      <c r="N3500" s="7">
        <v>0</v>
      </c>
      <c r="O3500" t="s">
        <v>23</v>
      </c>
      <c r="P3500" s="3" t="s">
        <v>23</v>
      </c>
      <c r="Q3500" s="8" t="s">
        <v>23</v>
      </c>
    </row>
    <row r="3501" spans="1:17" hidden="1" x14ac:dyDescent="0.55000000000000004">
      <c r="A3501" s="3" t="s">
        <v>5519</v>
      </c>
      <c r="B3501" s="3" t="s">
        <v>5631</v>
      </c>
      <c r="C3501" t="s">
        <v>5631</v>
      </c>
      <c r="D3501" s="3" t="s">
        <v>7319</v>
      </c>
      <c r="E3501" t="s">
        <v>5642</v>
      </c>
      <c r="F3501" s="3" t="s">
        <v>5643</v>
      </c>
      <c r="G3501" t="s">
        <v>24</v>
      </c>
      <c r="H3501" s="3" t="s">
        <v>5581</v>
      </c>
      <c r="I3501" t="s">
        <v>296</v>
      </c>
      <c r="J3501" s="3" t="s">
        <v>5580</v>
      </c>
      <c r="K3501" s="4">
        <v>1341</v>
      </c>
      <c r="L3501" s="5">
        <v>0</v>
      </c>
      <c r="M3501" s="6">
        <v>0</v>
      </c>
      <c r="N3501" s="7">
        <v>0</v>
      </c>
      <c r="O3501" t="s">
        <v>23</v>
      </c>
      <c r="P3501" s="3" t="s">
        <v>23</v>
      </c>
      <c r="Q3501" s="8" t="s">
        <v>23</v>
      </c>
    </row>
    <row r="3502" spans="1:17" hidden="1" x14ac:dyDescent="0.55000000000000004">
      <c r="A3502" s="3" t="s">
        <v>5519</v>
      </c>
      <c r="B3502" s="3" t="s">
        <v>5631</v>
      </c>
      <c r="C3502" t="s">
        <v>5631</v>
      </c>
      <c r="D3502" s="3" t="s">
        <v>7319</v>
      </c>
      <c r="E3502" t="s">
        <v>5642</v>
      </c>
      <c r="F3502" s="3" t="s">
        <v>5643</v>
      </c>
      <c r="G3502" t="s">
        <v>24</v>
      </c>
      <c r="H3502" s="3" t="s">
        <v>5582</v>
      </c>
      <c r="I3502" t="s">
        <v>298</v>
      </c>
      <c r="J3502" s="3" t="s">
        <v>5580</v>
      </c>
      <c r="K3502" s="4">
        <v>1687</v>
      </c>
      <c r="L3502" s="5">
        <v>0</v>
      </c>
      <c r="M3502" s="6">
        <v>0</v>
      </c>
      <c r="N3502" s="7">
        <v>0</v>
      </c>
      <c r="O3502" t="s">
        <v>23</v>
      </c>
      <c r="P3502" s="3" t="s">
        <v>23</v>
      </c>
      <c r="Q3502" s="8" t="s">
        <v>23</v>
      </c>
    </row>
    <row r="3503" spans="1:17" hidden="1" x14ac:dyDescent="0.55000000000000004">
      <c r="A3503" s="3" t="s">
        <v>5519</v>
      </c>
      <c r="B3503" s="3" t="s">
        <v>5631</v>
      </c>
      <c r="C3503" t="s">
        <v>5631</v>
      </c>
      <c r="D3503" s="3" t="s">
        <v>7319</v>
      </c>
      <c r="E3503" t="s">
        <v>5642</v>
      </c>
      <c r="F3503" s="3" t="s">
        <v>5643</v>
      </c>
      <c r="G3503" t="s">
        <v>24</v>
      </c>
      <c r="H3503" s="3" t="s">
        <v>5583</v>
      </c>
      <c r="I3503" t="s">
        <v>300</v>
      </c>
      <c r="J3503" s="3" t="s">
        <v>5580</v>
      </c>
      <c r="K3503" s="4">
        <v>1304</v>
      </c>
      <c r="L3503" s="5">
        <v>0</v>
      </c>
      <c r="M3503" s="6">
        <v>0</v>
      </c>
      <c r="N3503" s="7">
        <v>0</v>
      </c>
      <c r="O3503" t="s">
        <v>23</v>
      </c>
      <c r="P3503" s="3" t="s">
        <v>23</v>
      </c>
      <c r="Q3503" s="8" t="s">
        <v>23</v>
      </c>
    </row>
    <row r="3504" spans="1:17" hidden="1" x14ac:dyDescent="0.55000000000000004">
      <c r="A3504" s="3" t="s">
        <v>5519</v>
      </c>
      <c r="B3504" s="3" t="s">
        <v>5631</v>
      </c>
      <c r="C3504" t="s">
        <v>5631</v>
      </c>
      <c r="D3504" s="3" t="s">
        <v>7319</v>
      </c>
      <c r="E3504" t="s">
        <v>5642</v>
      </c>
      <c r="F3504" s="3" t="s">
        <v>5643</v>
      </c>
      <c r="G3504" t="s">
        <v>24</v>
      </c>
      <c r="H3504" s="3" t="s">
        <v>5584</v>
      </c>
      <c r="I3504" t="s">
        <v>302</v>
      </c>
      <c r="J3504" s="3" t="s">
        <v>5580</v>
      </c>
      <c r="K3504" s="4">
        <v>1461</v>
      </c>
      <c r="L3504" s="5">
        <v>0</v>
      </c>
      <c r="M3504" s="6">
        <v>0</v>
      </c>
      <c r="N3504" s="7">
        <v>0</v>
      </c>
      <c r="O3504" t="s">
        <v>23</v>
      </c>
      <c r="P3504" s="3" t="s">
        <v>23</v>
      </c>
      <c r="Q3504" s="8" t="s">
        <v>23</v>
      </c>
    </row>
    <row r="3505" spans="1:17" hidden="1" x14ac:dyDescent="0.55000000000000004">
      <c r="A3505" s="3" t="s">
        <v>5519</v>
      </c>
      <c r="B3505" s="3" t="s">
        <v>5631</v>
      </c>
      <c r="C3505" t="s">
        <v>5631</v>
      </c>
      <c r="D3505" s="3" t="s">
        <v>7319</v>
      </c>
      <c r="E3505" t="s">
        <v>5642</v>
      </c>
      <c r="F3505" s="3" t="s">
        <v>5643</v>
      </c>
      <c r="G3505" t="s">
        <v>24</v>
      </c>
      <c r="H3505" s="3" t="s">
        <v>5585</v>
      </c>
      <c r="I3505" t="s">
        <v>304</v>
      </c>
      <c r="J3505" s="3" t="s">
        <v>5580</v>
      </c>
      <c r="K3505" s="4">
        <v>1818</v>
      </c>
      <c r="L3505" s="5">
        <v>0</v>
      </c>
      <c r="M3505" s="6">
        <v>0</v>
      </c>
      <c r="N3505" s="7">
        <v>0</v>
      </c>
      <c r="O3505" t="s">
        <v>23</v>
      </c>
      <c r="P3505" s="3" t="s">
        <v>23</v>
      </c>
      <c r="Q3505" s="8" t="s">
        <v>23</v>
      </c>
    </row>
    <row r="3506" spans="1:17" hidden="1" x14ac:dyDescent="0.55000000000000004">
      <c r="A3506" s="3" t="s">
        <v>5519</v>
      </c>
      <c r="B3506" s="3" t="s">
        <v>5631</v>
      </c>
      <c r="C3506" t="s">
        <v>5631</v>
      </c>
      <c r="D3506" s="3" t="s">
        <v>7319</v>
      </c>
      <c r="E3506" t="s">
        <v>5642</v>
      </c>
      <c r="F3506" s="3" t="s">
        <v>5643</v>
      </c>
      <c r="G3506" t="s">
        <v>24</v>
      </c>
      <c r="H3506" s="3" t="s">
        <v>5637</v>
      </c>
      <c r="I3506" t="s">
        <v>26</v>
      </c>
      <c r="J3506" s="3" t="s">
        <v>5638</v>
      </c>
      <c r="K3506" s="4">
        <v>1908</v>
      </c>
      <c r="L3506" s="5">
        <v>86.73</v>
      </c>
      <c r="M3506" s="6">
        <v>1</v>
      </c>
      <c r="N3506" s="7">
        <v>0</v>
      </c>
      <c r="O3506" t="s">
        <v>5639</v>
      </c>
      <c r="P3506" s="3" t="s">
        <v>76</v>
      </c>
      <c r="Q3506" s="8">
        <v>0.29416700000000001</v>
      </c>
    </row>
    <row r="3507" spans="1:17" hidden="1" x14ac:dyDescent="0.55000000000000004">
      <c r="A3507" s="3" t="s">
        <v>5519</v>
      </c>
      <c r="B3507" s="3" t="s">
        <v>5631</v>
      </c>
      <c r="C3507" t="s">
        <v>5631</v>
      </c>
      <c r="D3507" s="3" t="s">
        <v>7319</v>
      </c>
      <c r="E3507" t="s">
        <v>5642</v>
      </c>
      <c r="F3507" s="3" t="s">
        <v>5643</v>
      </c>
      <c r="G3507" t="s">
        <v>24</v>
      </c>
      <c r="H3507" s="3" t="s">
        <v>5640</v>
      </c>
      <c r="I3507" t="s">
        <v>218</v>
      </c>
      <c r="J3507" s="3" t="s">
        <v>5638</v>
      </c>
      <c r="K3507" s="4">
        <v>2325</v>
      </c>
      <c r="L3507" s="5">
        <v>105.67</v>
      </c>
      <c r="M3507" s="6">
        <v>0</v>
      </c>
      <c r="N3507" s="7">
        <v>0</v>
      </c>
      <c r="O3507" t="s">
        <v>5641</v>
      </c>
      <c r="P3507" s="3" t="s">
        <v>23</v>
      </c>
      <c r="Q3507" s="8" t="s">
        <v>23</v>
      </c>
    </row>
    <row r="3508" spans="1:17" hidden="1" x14ac:dyDescent="0.55000000000000004">
      <c r="A3508" s="3" t="s">
        <v>5519</v>
      </c>
      <c r="B3508" s="3" t="s">
        <v>5631</v>
      </c>
      <c r="C3508" t="s">
        <v>5631</v>
      </c>
      <c r="D3508" s="3" t="s">
        <v>7319</v>
      </c>
      <c r="E3508" t="s">
        <v>5644</v>
      </c>
      <c r="F3508" s="3" t="s">
        <v>5645</v>
      </c>
      <c r="G3508" t="s">
        <v>19</v>
      </c>
      <c r="H3508" s="3" t="s">
        <v>5634</v>
      </c>
      <c r="I3508" t="s">
        <v>5575</v>
      </c>
      <c r="J3508" s="3" t="s">
        <v>5635</v>
      </c>
      <c r="K3508" s="4">
        <v>101</v>
      </c>
      <c r="L3508" s="5">
        <v>22</v>
      </c>
      <c r="M3508" s="6">
        <v>1</v>
      </c>
      <c r="N3508" s="7">
        <v>0</v>
      </c>
      <c r="O3508" t="s">
        <v>5636</v>
      </c>
      <c r="P3508" s="3" t="s">
        <v>5578</v>
      </c>
      <c r="Q3508" s="8">
        <v>9.1070000000000005E-3</v>
      </c>
    </row>
    <row r="3509" spans="1:17" hidden="1" x14ac:dyDescent="0.55000000000000004">
      <c r="A3509" s="3" t="s">
        <v>5519</v>
      </c>
      <c r="B3509" s="3" t="s">
        <v>5631</v>
      </c>
      <c r="C3509" t="s">
        <v>5631</v>
      </c>
      <c r="D3509" s="3" t="s">
        <v>7319</v>
      </c>
      <c r="E3509" t="s">
        <v>5644</v>
      </c>
      <c r="F3509" s="3" t="s">
        <v>5645</v>
      </c>
      <c r="G3509" t="s">
        <v>24</v>
      </c>
      <c r="H3509" s="3" t="s">
        <v>5579</v>
      </c>
      <c r="I3509" t="s">
        <v>52</v>
      </c>
      <c r="J3509" s="3" t="s">
        <v>5580</v>
      </c>
      <c r="K3509" s="4">
        <v>1440</v>
      </c>
      <c r="L3509" s="5">
        <v>0</v>
      </c>
      <c r="M3509" s="6">
        <v>0</v>
      </c>
      <c r="N3509" s="7">
        <v>0</v>
      </c>
      <c r="O3509" t="s">
        <v>23</v>
      </c>
      <c r="P3509" s="3" t="s">
        <v>23</v>
      </c>
      <c r="Q3509" s="8" t="s">
        <v>23</v>
      </c>
    </row>
    <row r="3510" spans="1:17" hidden="1" x14ac:dyDescent="0.55000000000000004">
      <c r="A3510" s="3" t="s">
        <v>5519</v>
      </c>
      <c r="B3510" s="3" t="s">
        <v>5631</v>
      </c>
      <c r="C3510" t="s">
        <v>5631</v>
      </c>
      <c r="D3510" s="3" t="s">
        <v>7319</v>
      </c>
      <c r="E3510" t="s">
        <v>5644</v>
      </c>
      <c r="F3510" s="3" t="s">
        <v>5645</v>
      </c>
      <c r="G3510" t="s">
        <v>24</v>
      </c>
      <c r="H3510" s="3" t="s">
        <v>5581</v>
      </c>
      <c r="I3510" t="s">
        <v>296</v>
      </c>
      <c r="J3510" s="3" t="s">
        <v>5580</v>
      </c>
      <c r="K3510" s="4">
        <v>1341</v>
      </c>
      <c r="L3510" s="5">
        <v>0</v>
      </c>
      <c r="M3510" s="6">
        <v>0</v>
      </c>
      <c r="N3510" s="7">
        <v>0</v>
      </c>
      <c r="O3510" t="s">
        <v>23</v>
      </c>
      <c r="P3510" s="3" t="s">
        <v>23</v>
      </c>
      <c r="Q3510" s="8" t="s">
        <v>23</v>
      </c>
    </row>
    <row r="3511" spans="1:17" hidden="1" x14ac:dyDescent="0.55000000000000004">
      <c r="A3511" s="3" t="s">
        <v>5519</v>
      </c>
      <c r="B3511" s="3" t="s">
        <v>5631</v>
      </c>
      <c r="C3511" t="s">
        <v>5631</v>
      </c>
      <c r="D3511" s="3" t="s">
        <v>7319</v>
      </c>
      <c r="E3511" t="s">
        <v>5644</v>
      </c>
      <c r="F3511" s="3" t="s">
        <v>5645</v>
      </c>
      <c r="G3511" t="s">
        <v>24</v>
      </c>
      <c r="H3511" s="3" t="s">
        <v>5582</v>
      </c>
      <c r="I3511" t="s">
        <v>298</v>
      </c>
      <c r="J3511" s="3" t="s">
        <v>5580</v>
      </c>
      <c r="K3511" s="4">
        <v>1687</v>
      </c>
      <c r="L3511" s="5">
        <v>0</v>
      </c>
      <c r="M3511" s="6">
        <v>0</v>
      </c>
      <c r="N3511" s="7">
        <v>0</v>
      </c>
      <c r="O3511" t="s">
        <v>23</v>
      </c>
      <c r="P3511" s="3" t="s">
        <v>23</v>
      </c>
      <c r="Q3511" s="8" t="s">
        <v>23</v>
      </c>
    </row>
    <row r="3512" spans="1:17" hidden="1" x14ac:dyDescent="0.55000000000000004">
      <c r="A3512" s="3" t="s">
        <v>5519</v>
      </c>
      <c r="B3512" s="3" t="s">
        <v>5631</v>
      </c>
      <c r="C3512" t="s">
        <v>5631</v>
      </c>
      <c r="D3512" s="3" t="s">
        <v>7319</v>
      </c>
      <c r="E3512" t="s">
        <v>5644</v>
      </c>
      <c r="F3512" s="3" t="s">
        <v>5645</v>
      </c>
      <c r="G3512" t="s">
        <v>24</v>
      </c>
      <c r="H3512" s="3" t="s">
        <v>5583</v>
      </c>
      <c r="I3512" t="s">
        <v>300</v>
      </c>
      <c r="J3512" s="3" t="s">
        <v>5580</v>
      </c>
      <c r="K3512" s="4">
        <v>1304</v>
      </c>
      <c r="L3512" s="5">
        <v>0</v>
      </c>
      <c r="M3512" s="6">
        <v>0</v>
      </c>
      <c r="N3512" s="7">
        <v>0</v>
      </c>
      <c r="O3512" t="s">
        <v>23</v>
      </c>
      <c r="P3512" s="3" t="s">
        <v>23</v>
      </c>
      <c r="Q3512" s="8" t="s">
        <v>23</v>
      </c>
    </row>
    <row r="3513" spans="1:17" hidden="1" x14ac:dyDescent="0.55000000000000004">
      <c r="A3513" s="3" t="s">
        <v>5519</v>
      </c>
      <c r="B3513" s="3" t="s">
        <v>5631</v>
      </c>
      <c r="C3513" t="s">
        <v>5631</v>
      </c>
      <c r="D3513" s="3" t="s">
        <v>7319</v>
      </c>
      <c r="E3513" t="s">
        <v>5644</v>
      </c>
      <c r="F3513" s="3" t="s">
        <v>5645</v>
      </c>
      <c r="G3513" t="s">
        <v>24</v>
      </c>
      <c r="H3513" s="3" t="s">
        <v>5584</v>
      </c>
      <c r="I3513" t="s">
        <v>302</v>
      </c>
      <c r="J3513" s="3" t="s">
        <v>5580</v>
      </c>
      <c r="K3513" s="4">
        <v>1461</v>
      </c>
      <c r="L3513" s="5">
        <v>0</v>
      </c>
      <c r="M3513" s="6">
        <v>0</v>
      </c>
      <c r="N3513" s="7">
        <v>0</v>
      </c>
      <c r="O3513" t="s">
        <v>23</v>
      </c>
      <c r="P3513" s="3" t="s">
        <v>23</v>
      </c>
      <c r="Q3513" s="8" t="s">
        <v>23</v>
      </c>
    </row>
    <row r="3514" spans="1:17" hidden="1" x14ac:dyDescent="0.55000000000000004">
      <c r="A3514" s="3" t="s">
        <v>5519</v>
      </c>
      <c r="B3514" s="3" t="s">
        <v>5631</v>
      </c>
      <c r="C3514" t="s">
        <v>5631</v>
      </c>
      <c r="D3514" s="3" t="s">
        <v>7319</v>
      </c>
      <c r="E3514" t="s">
        <v>5644</v>
      </c>
      <c r="F3514" s="3" t="s">
        <v>5645</v>
      </c>
      <c r="G3514" t="s">
        <v>24</v>
      </c>
      <c r="H3514" s="3" t="s">
        <v>5585</v>
      </c>
      <c r="I3514" t="s">
        <v>304</v>
      </c>
      <c r="J3514" s="3" t="s">
        <v>5580</v>
      </c>
      <c r="K3514" s="4">
        <v>1818</v>
      </c>
      <c r="L3514" s="5">
        <v>0</v>
      </c>
      <c r="M3514" s="6">
        <v>0</v>
      </c>
      <c r="N3514" s="7">
        <v>0</v>
      </c>
      <c r="O3514" t="s">
        <v>23</v>
      </c>
      <c r="P3514" s="3" t="s">
        <v>23</v>
      </c>
      <c r="Q3514" s="8" t="s">
        <v>23</v>
      </c>
    </row>
    <row r="3515" spans="1:17" hidden="1" x14ac:dyDescent="0.55000000000000004">
      <c r="A3515" s="3" t="s">
        <v>5519</v>
      </c>
      <c r="B3515" s="3" t="s">
        <v>5631</v>
      </c>
      <c r="C3515" t="s">
        <v>5631</v>
      </c>
      <c r="D3515" s="3" t="s">
        <v>7319</v>
      </c>
      <c r="E3515" t="s">
        <v>5644</v>
      </c>
      <c r="F3515" s="3" t="s">
        <v>5645</v>
      </c>
      <c r="G3515" t="s">
        <v>24</v>
      </c>
      <c r="H3515" s="3" t="s">
        <v>5637</v>
      </c>
      <c r="I3515" t="s">
        <v>26</v>
      </c>
      <c r="J3515" s="3" t="s">
        <v>5638</v>
      </c>
      <c r="K3515" s="4">
        <v>1908</v>
      </c>
      <c r="L3515" s="5">
        <v>86.73</v>
      </c>
      <c r="M3515" s="6">
        <v>1</v>
      </c>
      <c r="N3515" s="7">
        <v>0</v>
      </c>
      <c r="O3515" t="s">
        <v>5639</v>
      </c>
      <c r="P3515" s="3" t="s">
        <v>76</v>
      </c>
      <c r="Q3515" s="8">
        <v>0.29416700000000001</v>
      </c>
    </row>
    <row r="3516" spans="1:17" hidden="1" x14ac:dyDescent="0.55000000000000004">
      <c r="A3516" s="3" t="s">
        <v>5519</v>
      </c>
      <c r="B3516" s="3" t="s">
        <v>5631</v>
      </c>
      <c r="C3516" t="s">
        <v>5631</v>
      </c>
      <c r="D3516" s="3" t="s">
        <v>7319</v>
      </c>
      <c r="E3516" t="s">
        <v>5644</v>
      </c>
      <c r="F3516" s="3" t="s">
        <v>5645</v>
      </c>
      <c r="G3516" t="s">
        <v>24</v>
      </c>
      <c r="H3516" s="3" t="s">
        <v>5640</v>
      </c>
      <c r="I3516" t="s">
        <v>218</v>
      </c>
      <c r="J3516" s="3" t="s">
        <v>5638</v>
      </c>
      <c r="K3516" s="4">
        <v>2325</v>
      </c>
      <c r="L3516" s="5">
        <v>105.67</v>
      </c>
      <c r="M3516" s="6">
        <v>0</v>
      </c>
      <c r="N3516" s="7">
        <v>0</v>
      </c>
      <c r="O3516" t="s">
        <v>5641</v>
      </c>
      <c r="P3516" s="3" t="s">
        <v>23</v>
      </c>
      <c r="Q3516" s="8" t="s">
        <v>23</v>
      </c>
    </row>
    <row r="3517" spans="1:17" hidden="1" x14ac:dyDescent="0.55000000000000004">
      <c r="A3517" s="3" t="s">
        <v>5519</v>
      </c>
      <c r="B3517" s="3" t="s">
        <v>5631</v>
      </c>
      <c r="C3517" t="s">
        <v>5631</v>
      </c>
      <c r="D3517" s="3" t="s">
        <v>7319</v>
      </c>
      <c r="E3517" t="s">
        <v>5646</v>
      </c>
      <c r="F3517" s="3" t="s">
        <v>5647</v>
      </c>
      <c r="G3517" t="s">
        <v>24</v>
      </c>
      <c r="H3517" s="3" t="s">
        <v>5579</v>
      </c>
      <c r="I3517" t="s">
        <v>52</v>
      </c>
      <c r="J3517" s="3" t="s">
        <v>5580</v>
      </c>
      <c r="K3517" s="4">
        <v>1440</v>
      </c>
      <c r="L3517" s="5">
        <v>0</v>
      </c>
      <c r="M3517" s="6">
        <v>0</v>
      </c>
      <c r="N3517" s="7">
        <v>0</v>
      </c>
      <c r="O3517" t="s">
        <v>23</v>
      </c>
      <c r="P3517" s="3" t="s">
        <v>23</v>
      </c>
      <c r="Q3517" s="8" t="s">
        <v>23</v>
      </c>
    </row>
    <row r="3518" spans="1:17" hidden="1" x14ac:dyDescent="0.55000000000000004">
      <c r="A3518" s="3" t="s">
        <v>5519</v>
      </c>
      <c r="B3518" s="3" t="s">
        <v>5631</v>
      </c>
      <c r="C3518" t="s">
        <v>5631</v>
      </c>
      <c r="D3518" s="3" t="s">
        <v>7319</v>
      </c>
      <c r="E3518" t="s">
        <v>5646</v>
      </c>
      <c r="F3518" s="3" t="s">
        <v>5647</v>
      </c>
      <c r="G3518" t="s">
        <v>24</v>
      </c>
      <c r="H3518" s="3" t="s">
        <v>5581</v>
      </c>
      <c r="I3518" t="s">
        <v>296</v>
      </c>
      <c r="J3518" s="3" t="s">
        <v>5580</v>
      </c>
      <c r="K3518" s="4">
        <v>1341</v>
      </c>
      <c r="L3518" s="5">
        <v>0</v>
      </c>
      <c r="M3518" s="6">
        <v>0</v>
      </c>
      <c r="N3518" s="7">
        <v>0</v>
      </c>
      <c r="O3518" t="s">
        <v>23</v>
      </c>
      <c r="P3518" s="3" t="s">
        <v>23</v>
      </c>
      <c r="Q3518" s="8" t="s">
        <v>23</v>
      </c>
    </row>
    <row r="3519" spans="1:17" hidden="1" x14ac:dyDescent="0.55000000000000004">
      <c r="A3519" s="3" t="s">
        <v>5519</v>
      </c>
      <c r="B3519" s="3" t="s">
        <v>5631</v>
      </c>
      <c r="C3519" t="s">
        <v>5631</v>
      </c>
      <c r="D3519" s="3" t="s">
        <v>7319</v>
      </c>
      <c r="E3519" t="s">
        <v>5646</v>
      </c>
      <c r="F3519" s="3" t="s">
        <v>5647</v>
      </c>
      <c r="G3519" t="s">
        <v>24</v>
      </c>
      <c r="H3519" s="3" t="s">
        <v>5582</v>
      </c>
      <c r="I3519" t="s">
        <v>298</v>
      </c>
      <c r="J3519" s="3" t="s">
        <v>5580</v>
      </c>
      <c r="K3519" s="4">
        <v>1687</v>
      </c>
      <c r="L3519" s="5">
        <v>0</v>
      </c>
      <c r="M3519" s="6">
        <v>0</v>
      </c>
      <c r="N3519" s="7">
        <v>0</v>
      </c>
      <c r="O3519" t="s">
        <v>23</v>
      </c>
      <c r="P3519" s="3" t="s">
        <v>23</v>
      </c>
      <c r="Q3519" s="8" t="s">
        <v>23</v>
      </c>
    </row>
    <row r="3520" spans="1:17" hidden="1" x14ac:dyDescent="0.55000000000000004">
      <c r="A3520" s="3" t="s">
        <v>5519</v>
      </c>
      <c r="B3520" s="3" t="s">
        <v>5631</v>
      </c>
      <c r="C3520" t="s">
        <v>5631</v>
      </c>
      <c r="D3520" s="3" t="s">
        <v>7319</v>
      </c>
      <c r="E3520" t="s">
        <v>5646</v>
      </c>
      <c r="F3520" s="3" t="s">
        <v>5647</v>
      </c>
      <c r="G3520" t="s">
        <v>24</v>
      </c>
      <c r="H3520" s="3" t="s">
        <v>5583</v>
      </c>
      <c r="I3520" t="s">
        <v>300</v>
      </c>
      <c r="J3520" s="3" t="s">
        <v>5580</v>
      </c>
      <c r="K3520" s="4">
        <v>1304</v>
      </c>
      <c r="L3520" s="5">
        <v>0</v>
      </c>
      <c r="M3520" s="6">
        <v>0</v>
      </c>
      <c r="N3520" s="7">
        <v>0</v>
      </c>
      <c r="O3520" t="s">
        <v>23</v>
      </c>
      <c r="P3520" s="3" t="s">
        <v>23</v>
      </c>
      <c r="Q3520" s="8" t="s">
        <v>23</v>
      </c>
    </row>
    <row r="3521" spans="1:17" hidden="1" x14ac:dyDescent="0.55000000000000004">
      <c r="A3521" s="3" t="s">
        <v>5519</v>
      </c>
      <c r="B3521" s="3" t="s">
        <v>5631</v>
      </c>
      <c r="C3521" t="s">
        <v>5631</v>
      </c>
      <c r="D3521" s="3" t="s">
        <v>7319</v>
      </c>
      <c r="E3521" t="s">
        <v>5646</v>
      </c>
      <c r="F3521" s="3" t="s">
        <v>5647</v>
      </c>
      <c r="G3521" t="s">
        <v>24</v>
      </c>
      <c r="H3521" s="3" t="s">
        <v>5584</v>
      </c>
      <c r="I3521" t="s">
        <v>302</v>
      </c>
      <c r="J3521" s="3" t="s">
        <v>5580</v>
      </c>
      <c r="K3521" s="4">
        <v>1461</v>
      </c>
      <c r="L3521" s="5">
        <v>0</v>
      </c>
      <c r="M3521" s="6">
        <v>0</v>
      </c>
      <c r="N3521" s="7">
        <v>0</v>
      </c>
      <c r="O3521" t="s">
        <v>23</v>
      </c>
      <c r="P3521" s="3" t="s">
        <v>23</v>
      </c>
      <c r="Q3521" s="8" t="s">
        <v>23</v>
      </c>
    </row>
    <row r="3522" spans="1:17" hidden="1" x14ac:dyDescent="0.55000000000000004">
      <c r="A3522" s="3" t="s">
        <v>5519</v>
      </c>
      <c r="B3522" s="3" t="s">
        <v>5631</v>
      </c>
      <c r="C3522" t="s">
        <v>5631</v>
      </c>
      <c r="D3522" s="3" t="s">
        <v>7319</v>
      </c>
      <c r="E3522" t="s">
        <v>5646</v>
      </c>
      <c r="F3522" s="3" t="s">
        <v>5647</v>
      </c>
      <c r="G3522" t="s">
        <v>24</v>
      </c>
      <c r="H3522" s="3" t="s">
        <v>5585</v>
      </c>
      <c r="I3522" t="s">
        <v>304</v>
      </c>
      <c r="J3522" s="3" t="s">
        <v>5580</v>
      </c>
      <c r="K3522" s="4">
        <v>1818</v>
      </c>
      <c r="L3522" s="5">
        <v>0</v>
      </c>
      <c r="M3522" s="6">
        <v>0</v>
      </c>
      <c r="N3522" s="7">
        <v>0</v>
      </c>
      <c r="O3522" t="s">
        <v>23</v>
      </c>
      <c r="P3522" s="3" t="s">
        <v>23</v>
      </c>
      <c r="Q3522" s="8" t="s">
        <v>23</v>
      </c>
    </row>
    <row r="3523" spans="1:17" hidden="1" x14ac:dyDescent="0.55000000000000004">
      <c r="A3523" s="3" t="s">
        <v>5519</v>
      </c>
      <c r="B3523" s="3" t="s">
        <v>5631</v>
      </c>
      <c r="C3523" t="s">
        <v>5631</v>
      </c>
      <c r="D3523" s="3" t="s">
        <v>7319</v>
      </c>
      <c r="E3523" t="s">
        <v>5646</v>
      </c>
      <c r="F3523" s="3" t="s">
        <v>5647</v>
      </c>
      <c r="G3523" t="s">
        <v>24</v>
      </c>
      <c r="H3523" s="3" t="s">
        <v>5637</v>
      </c>
      <c r="I3523" t="s">
        <v>26</v>
      </c>
      <c r="J3523" s="3" t="s">
        <v>5638</v>
      </c>
      <c r="K3523" s="4">
        <v>1908</v>
      </c>
      <c r="L3523" s="5">
        <v>86.73</v>
      </c>
      <c r="M3523" s="6">
        <v>1</v>
      </c>
      <c r="N3523" s="7">
        <v>0</v>
      </c>
      <c r="O3523" t="s">
        <v>5639</v>
      </c>
      <c r="P3523" s="3" t="s">
        <v>76</v>
      </c>
      <c r="Q3523" s="8">
        <v>0.29416700000000001</v>
      </c>
    </row>
    <row r="3524" spans="1:17" hidden="1" x14ac:dyDescent="0.55000000000000004">
      <c r="A3524" s="3" t="s">
        <v>5519</v>
      </c>
      <c r="B3524" s="3" t="s">
        <v>5631</v>
      </c>
      <c r="C3524" t="s">
        <v>5631</v>
      </c>
      <c r="D3524" s="3" t="s">
        <v>7319</v>
      </c>
      <c r="E3524" t="s">
        <v>5646</v>
      </c>
      <c r="F3524" s="3" t="s">
        <v>5647</v>
      </c>
      <c r="G3524" t="s">
        <v>24</v>
      </c>
      <c r="H3524" s="3" t="s">
        <v>5640</v>
      </c>
      <c r="I3524" t="s">
        <v>218</v>
      </c>
      <c r="J3524" s="3" t="s">
        <v>5638</v>
      </c>
      <c r="K3524" s="4">
        <v>2325</v>
      </c>
      <c r="L3524" s="5">
        <v>105.67</v>
      </c>
      <c r="M3524" s="6">
        <v>0</v>
      </c>
      <c r="N3524" s="7">
        <v>0</v>
      </c>
      <c r="O3524" t="s">
        <v>5641</v>
      </c>
      <c r="P3524" s="3" t="s">
        <v>23</v>
      </c>
      <c r="Q3524" s="8" t="s">
        <v>23</v>
      </c>
    </row>
    <row r="3525" spans="1:17" hidden="1" x14ac:dyDescent="0.55000000000000004">
      <c r="A3525" s="3" t="s">
        <v>5519</v>
      </c>
      <c r="B3525" s="3" t="s">
        <v>5648</v>
      </c>
      <c r="C3525" t="s">
        <v>4181</v>
      </c>
      <c r="D3525" s="3" t="s">
        <v>7319</v>
      </c>
      <c r="E3525" t="s">
        <v>5649</v>
      </c>
      <c r="F3525" s="3" t="s">
        <v>5650</v>
      </c>
      <c r="G3525" t="s">
        <v>24</v>
      </c>
      <c r="H3525" s="3" t="s">
        <v>5651</v>
      </c>
      <c r="I3525" t="s">
        <v>26</v>
      </c>
      <c r="J3525" s="3" t="s">
        <v>5652</v>
      </c>
      <c r="K3525" s="4">
        <v>1770</v>
      </c>
      <c r="L3525" s="5">
        <v>80.45</v>
      </c>
      <c r="M3525" s="6">
        <v>1</v>
      </c>
      <c r="N3525" s="7">
        <v>0</v>
      </c>
      <c r="O3525" t="s">
        <v>5653</v>
      </c>
      <c r="P3525" s="3" t="s">
        <v>76</v>
      </c>
      <c r="Q3525" s="8">
        <v>0.29083300000000001</v>
      </c>
    </row>
    <row r="3526" spans="1:17" hidden="1" x14ac:dyDescent="0.55000000000000004">
      <c r="A3526" s="3" t="s">
        <v>5519</v>
      </c>
      <c r="B3526" s="3" t="s">
        <v>5648</v>
      </c>
      <c r="C3526" t="s">
        <v>4181</v>
      </c>
      <c r="D3526" s="3" t="s">
        <v>7319</v>
      </c>
      <c r="E3526" t="s">
        <v>5649</v>
      </c>
      <c r="F3526" s="3" t="s">
        <v>5650</v>
      </c>
      <c r="G3526" t="s">
        <v>24</v>
      </c>
      <c r="H3526" s="3" t="s">
        <v>5654</v>
      </c>
      <c r="I3526" t="s">
        <v>218</v>
      </c>
      <c r="J3526" s="3" t="s">
        <v>5652</v>
      </c>
      <c r="K3526" s="4">
        <v>2348</v>
      </c>
      <c r="L3526" s="5">
        <v>106.71</v>
      </c>
      <c r="M3526" s="6">
        <v>0</v>
      </c>
      <c r="N3526" s="7">
        <v>0</v>
      </c>
      <c r="O3526" t="s">
        <v>5655</v>
      </c>
      <c r="P3526" s="3" t="s">
        <v>23</v>
      </c>
      <c r="Q3526" s="8" t="s">
        <v>23</v>
      </c>
    </row>
    <row r="3527" spans="1:17" hidden="1" x14ac:dyDescent="0.55000000000000004">
      <c r="A3527" s="3" t="s">
        <v>5519</v>
      </c>
      <c r="B3527" s="3" t="s">
        <v>5648</v>
      </c>
      <c r="C3527" t="s">
        <v>4181</v>
      </c>
      <c r="D3527" s="3" t="s">
        <v>7319</v>
      </c>
      <c r="E3527" t="s">
        <v>5656</v>
      </c>
      <c r="F3527" s="3" t="s">
        <v>5657</v>
      </c>
      <c r="G3527" t="s">
        <v>19</v>
      </c>
      <c r="H3527" s="3" t="s">
        <v>5658</v>
      </c>
      <c r="I3527" t="s">
        <v>5575</v>
      </c>
      <c r="J3527" s="3" t="s">
        <v>5659</v>
      </c>
      <c r="K3527" s="4">
        <v>220</v>
      </c>
      <c r="L3527" s="5">
        <v>47.83</v>
      </c>
      <c r="M3527" s="6">
        <v>1</v>
      </c>
      <c r="N3527" s="7">
        <v>1</v>
      </c>
      <c r="O3527" t="s">
        <v>5660</v>
      </c>
      <c r="P3527" s="3" t="s">
        <v>5578</v>
      </c>
      <c r="Q3527" s="8">
        <v>2.1426000000000001E-2</v>
      </c>
    </row>
    <row r="3528" spans="1:17" hidden="1" x14ac:dyDescent="0.55000000000000004">
      <c r="A3528" s="3" t="s">
        <v>5519</v>
      </c>
      <c r="B3528" s="3" t="s">
        <v>5648</v>
      </c>
      <c r="C3528" t="s">
        <v>4181</v>
      </c>
      <c r="D3528" s="3" t="s">
        <v>7319</v>
      </c>
      <c r="E3528" t="s">
        <v>5656</v>
      </c>
      <c r="F3528" s="3" t="s">
        <v>5657</v>
      </c>
      <c r="G3528" t="s">
        <v>24</v>
      </c>
      <c r="H3528" s="3" t="s">
        <v>5651</v>
      </c>
      <c r="I3528" t="s">
        <v>26</v>
      </c>
      <c r="J3528" s="3" t="s">
        <v>5652</v>
      </c>
      <c r="K3528" s="4">
        <v>1770</v>
      </c>
      <c r="L3528" s="5">
        <v>80.45</v>
      </c>
      <c r="M3528" s="6">
        <v>1</v>
      </c>
      <c r="N3528" s="7">
        <v>1</v>
      </c>
      <c r="O3528" t="s">
        <v>5653</v>
      </c>
      <c r="P3528" s="3" t="s">
        <v>76</v>
      </c>
      <c r="Q3528" s="8">
        <v>0.29083300000000001</v>
      </c>
    </row>
    <row r="3529" spans="1:17" hidden="1" x14ac:dyDescent="0.55000000000000004">
      <c r="A3529" s="9" t="s">
        <v>5519</v>
      </c>
      <c r="B3529" s="3" t="s">
        <v>5648</v>
      </c>
      <c r="C3529" t="s">
        <v>4181</v>
      </c>
      <c r="D3529" s="3" t="s">
        <v>7319</v>
      </c>
      <c r="E3529" t="s">
        <v>5656</v>
      </c>
      <c r="F3529" s="3" t="s">
        <v>5657</v>
      </c>
      <c r="G3529" t="s">
        <v>24</v>
      </c>
      <c r="H3529" s="3" t="s">
        <v>5654</v>
      </c>
      <c r="I3529" t="s">
        <v>218</v>
      </c>
      <c r="J3529" s="3" t="s">
        <v>5652</v>
      </c>
      <c r="K3529" s="4">
        <v>2348</v>
      </c>
      <c r="L3529" s="5">
        <v>106.71</v>
      </c>
      <c r="M3529" s="6">
        <v>0</v>
      </c>
      <c r="N3529" s="7">
        <v>1</v>
      </c>
      <c r="O3529" t="s">
        <v>5655</v>
      </c>
      <c r="P3529" s="3" t="s">
        <v>23</v>
      </c>
      <c r="Q3529" s="8" t="s">
        <v>23</v>
      </c>
    </row>
    <row r="3530" spans="1:17" hidden="1" x14ac:dyDescent="0.55000000000000004">
      <c r="A3530" s="3" t="s">
        <v>5661</v>
      </c>
      <c r="B3530" s="3" t="s">
        <v>5662</v>
      </c>
      <c r="C3530" t="s">
        <v>5662</v>
      </c>
      <c r="D3530" s="3" t="s">
        <v>7312</v>
      </c>
      <c r="E3530" t="s">
        <v>5663</v>
      </c>
      <c r="F3530" s="3" t="s">
        <v>5664</v>
      </c>
      <c r="G3530" t="s">
        <v>24</v>
      </c>
      <c r="H3530" s="3" t="s">
        <v>5665</v>
      </c>
      <c r="I3530" t="s">
        <v>26</v>
      </c>
      <c r="J3530" s="3" t="s">
        <v>5666</v>
      </c>
      <c r="K3530" s="4">
        <v>341</v>
      </c>
      <c r="L3530" s="5">
        <v>15.51</v>
      </c>
      <c r="M3530" s="6">
        <v>1</v>
      </c>
      <c r="N3530" s="7">
        <v>0</v>
      </c>
      <c r="O3530" t="s">
        <v>5667</v>
      </c>
      <c r="P3530" s="3" t="s">
        <v>29</v>
      </c>
      <c r="Q3530" s="8">
        <v>0.18282899999999999</v>
      </c>
    </row>
    <row r="3531" spans="1:17" hidden="1" x14ac:dyDescent="0.55000000000000004">
      <c r="A3531" s="3" t="s">
        <v>5661</v>
      </c>
      <c r="B3531" s="3" t="s">
        <v>5668</v>
      </c>
      <c r="C3531" t="s">
        <v>5668</v>
      </c>
      <c r="D3531" s="3" t="s">
        <v>7312</v>
      </c>
      <c r="E3531" t="s">
        <v>5669</v>
      </c>
      <c r="F3531" s="3" t="s">
        <v>5670</v>
      </c>
      <c r="G3531" t="s">
        <v>24</v>
      </c>
      <c r="H3531" s="3" t="s">
        <v>5671</v>
      </c>
      <c r="I3531" t="s">
        <v>26</v>
      </c>
      <c r="J3531" s="3" t="s">
        <v>5672</v>
      </c>
      <c r="K3531" s="4">
        <v>457</v>
      </c>
      <c r="L3531" s="5">
        <v>20.76</v>
      </c>
      <c r="M3531" s="6">
        <v>1</v>
      </c>
      <c r="N3531" s="7">
        <v>0</v>
      </c>
      <c r="O3531" t="s">
        <v>5673</v>
      </c>
      <c r="P3531" s="3" t="s">
        <v>29</v>
      </c>
      <c r="Q3531" s="8">
        <v>0.18435399999999999</v>
      </c>
    </row>
    <row r="3532" spans="1:17" hidden="1" x14ac:dyDescent="0.55000000000000004">
      <c r="A3532" s="3" t="s">
        <v>5661</v>
      </c>
      <c r="B3532" s="3" t="s">
        <v>5668</v>
      </c>
      <c r="C3532" t="s">
        <v>5668</v>
      </c>
      <c r="D3532" s="3" t="s">
        <v>7312</v>
      </c>
      <c r="E3532" t="s">
        <v>5674</v>
      </c>
      <c r="F3532" s="3" t="s">
        <v>5675</v>
      </c>
      <c r="G3532" t="s">
        <v>24</v>
      </c>
      <c r="H3532" s="3" t="s">
        <v>5671</v>
      </c>
      <c r="I3532" t="s">
        <v>26</v>
      </c>
      <c r="J3532" s="3" t="s">
        <v>5672</v>
      </c>
      <c r="K3532" s="4">
        <v>457</v>
      </c>
      <c r="L3532" s="5">
        <v>20.76</v>
      </c>
      <c r="M3532" s="6">
        <v>1</v>
      </c>
      <c r="N3532" s="7">
        <v>0</v>
      </c>
      <c r="O3532" t="s">
        <v>5673</v>
      </c>
      <c r="P3532" s="3" t="s">
        <v>29</v>
      </c>
      <c r="Q3532" s="8">
        <v>0.18435399999999999</v>
      </c>
    </row>
    <row r="3533" spans="1:17" hidden="1" x14ac:dyDescent="0.55000000000000004">
      <c r="A3533" s="3" t="s">
        <v>5661</v>
      </c>
      <c r="B3533" s="3" t="s">
        <v>5668</v>
      </c>
      <c r="C3533" t="s">
        <v>5668</v>
      </c>
      <c r="D3533" s="3" t="s">
        <v>7312</v>
      </c>
      <c r="E3533" t="s">
        <v>5676</v>
      </c>
      <c r="F3533" s="3" t="s">
        <v>5677</v>
      </c>
      <c r="G3533" t="s">
        <v>24</v>
      </c>
      <c r="H3533" s="3" t="s">
        <v>5671</v>
      </c>
      <c r="I3533" t="s">
        <v>26</v>
      </c>
      <c r="J3533" s="3" t="s">
        <v>5672</v>
      </c>
      <c r="K3533" s="4">
        <v>457</v>
      </c>
      <c r="L3533" s="5">
        <v>20.76</v>
      </c>
      <c r="M3533" s="6">
        <v>1</v>
      </c>
      <c r="N3533" s="7">
        <v>0</v>
      </c>
      <c r="O3533" t="s">
        <v>5673</v>
      </c>
      <c r="P3533" s="3" t="s">
        <v>29</v>
      </c>
      <c r="Q3533" s="8">
        <v>0.18435399999999999</v>
      </c>
    </row>
    <row r="3534" spans="1:17" hidden="1" x14ac:dyDescent="0.55000000000000004">
      <c r="A3534" s="3" t="s">
        <v>5661</v>
      </c>
      <c r="B3534" s="3" t="s">
        <v>5668</v>
      </c>
      <c r="C3534" t="s">
        <v>5668</v>
      </c>
      <c r="D3534" s="3" t="s">
        <v>7312</v>
      </c>
      <c r="E3534" t="s">
        <v>5678</v>
      </c>
      <c r="F3534" s="3" t="s">
        <v>5679</v>
      </c>
      <c r="G3534" t="s">
        <v>24</v>
      </c>
      <c r="H3534" s="3" t="s">
        <v>5671</v>
      </c>
      <c r="I3534" t="s">
        <v>26</v>
      </c>
      <c r="J3534" s="3" t="s">
        <v>5672</v>
      </c>
      <c r="K3534" s="4">
        <v>457</v>
      </c>
      <c r="L3534" s="5">
        <v>20.76</v>
      </c>
      <c r="M3534" s="6">
        <v>1</v>
      </c>
      <c r="N3534" s="7">
        <v>0</v>
      </c>
      <c r="O3534" t="s">
        <v>5673</v>
      </c>
      <c r="P3534" s="3" t="s">
        <v>29</v>
      </c>
      <c r="Q3534" s="8">
        <v>0.18435399999999999</v>
      </c>
    </row>
    <row r="3535" spans="1:17" hidden="1" x14ac:dyDescent="0.55000000000000004">
      <c r="A3535" s="3" t="s">
        <v>5661</v>
      </c>
      <c r="B3535" s="3" t="s">
        <v>5680</v>
      </c>
      <c r="C3535" t="s">
        <v>5680</v>
      </c>
      <c r="D3535" s="3" t="s">
        <v>7312</v>
      </c>
      <c r="E3535" t="s">
        <v>5681</v>
      </c>
      <c r="F3535" s="3" t="s">
        <v>5682</v>
      </c>
      <c r="G3535" t="s">
        <v>24</v>
      </c>
      <c r="H3535" s="3" t="s">
        <v>5683</v>
      </c>
      <c r="I3535" t="s">
        <v>26</v>
      </c>
      <c r="J3535" s="3" t="s">
        <v>5684</v>
      </c>
      <c r="K3535" s="4">
        <v>386</v>
      </c>
      <c r="L3535" s="5">
        <v>17.53</v>
      </c>
      <c r="M3535" s="6">
        <v>1</v>
      </c>
      <c r="N3535" s="7">
        <v>0</v>
      </c>
      <c r="O3535" t="s">
        <v>5685</v>
      </c>
      <c r="P3535" s="3" t="s">
        <v>29</v>
      </c>
      <c r="Q3535" s="8">
        <v>0.18341499999999999</v>
      </c>
    </row>
    <row r="3536" spans="1:17" hidden="1" x14ac:dyDescent="0.55000000000000004">
      <c r="A3536" s="3" t="s">
        <v>5661</v>
      </c>
      <c r="B3536" s="3" t="s">
        <v>7396</v>
      </c>
      <c r="C3536" t="s">
        <v>5686</v>
      </c>
      <c r="D3536" s="3" t="s">
        <v>7312</v>
      </c>
      <c r="E3536" t="s">
        <v>5687</v>
      </c>
      <c r="F3536" s="3" t="s">
        <v>5688</v>
      </c>
      <c r="G3536" t="s">
        <v>19</v>
      </c>
      <c r="H3536" s="3" t="s">
        <v>5689</v>
      </c>
      <c r="I3536" t="s">
        <v>1565</v>
      </c>
      <c r="J3536" s="3" t="s">
        <v>5690</v>
      </c>
      <c r="K3536" s="4">
        <v>180</v>
      </c>
      <c r="L3536" s="5">
        <v>39.04</v>
      </c>
      <c r="M3536" s="6">
        <v>0</v>
      </c>
      <c r="N3536" s="7">
        <v>0</v>
      </c>
      <c r="O3536" t="s">
        <v>5691</v>
      </c>
      <c r="P3536" s="3" t="s">
        <v>1567</v>
      </c>
      <c r="Q3536" s="8">
        <v>3.2348000000000002E-2</v>
      </c>
    </row>
    <row r="3537" spans="1:17" hidden="1" x14ac:dyDescent="0.55000000000000004">
      <c r="A3537" s="3" t="s">
        <v>5661</v>
      </c>
      <c r="B3537" s="3" t="s">
        <v>7396</v>
      </c>
      <c r="C3537" t="s">
        <v>5686</v>
      </c>
      <c r="D3537" s="3" t="s">
        <v>7312</v>
      </c>
      <c r="E3537" t="s">
        <v>5687</v>
      </c>
      <c r="F3537" s="3" t="s">
        <v>5688</v>
      </c>
      <c r="G3537" t="s">
        <v>19</v>
      </c>
      <c r="H3537" s="3" t="s">
        <v>5692</v>
      </c>
      <c r="I3537" t="s">
        <v>1569</v>
      </c>
      <c r="J3537" s="3" t="s">
        <v>5690</v>
      </c>
      <c r="K3537" s="4">
        <v>159</v>
      </c>
      <c r="L3537" s="5">
        <v>34.479999999999997</v>
      </c>
      <c r="M3537" s="6">
        <v>1</v>
      </c>
      <c r="N3537" s="7">
        <v>0</v>
      </c>
      <c r="O3537" t="s">
        <v>5693</v>
      </c>
      <c r="P3537" s="3" t="s">
        <v>1567</v>
      </c>
      <c r="Q3537" s="8">
        <v>3.1764000000000001E-2</v>
      </c>
    </row>
    <row r="3538" spans="1:17" hidden="1" x14ac:dyDescent="0.55000000000000004">
      <c r="A3538" s="3" t="s">
        <v>5661</v>
      </c>
      <c r="B3538" s="3" t="s">
        <v>7396</v>
      </c>
      <c r="C3538" t="s">
        <v>5686</v>
      </c>
      <c r="D3538" s="3" t="s">
        <v>7312</v>
      </c>
      <c r="E3538" t="s">
        <v>5687</v>
      </c>
      <c r="F3538" s="3" t="s">
        <v>5688</v>
      </c>
      <c r="G3538" t="s">
        <v>24</v>
      </c>
      <c r="H3538" s="3" t="s">
        <v>5694</v>
      </c>
      <c r="I3538" t="s">
        <v>26</v>
      </c>
      <c r="J3538" s="3" t="s">
        <v>5695</v>
      </c>
      <c r="K3538" s="4">
        <v>501</v>
      </c>
      <c r="L3538" s="5">
        <v>22.77</v>
      </c>
      <c r="M3538" s="6">
        <v>0</v>
      </c>
      <c r="N3538" s="7">
        <v>0</v>
      </c>
      <c r="O3538" t="s">
        <v>5696</v>
      </c>
      <c r="P3538" s="3" t="s">
        <v>76</v>
      </c>
      <c r="Q3538" s="8">
        <v>0.1865</v>
      </c>
    </row>
    <row r="3539" spans="1:17" hidden="1" x14ac:dyDescent="0.55000000000000004">
      <c r="A3539" s="3" t="s">
        <v>5661</v>
      </c>
      <c r="B3539" s="3" t="s">
        <v>7396</v>
      </c>
      <c r="C3539" t="s">
        <v>5686</v>
      </c>
      <c r="D3539" s="3" t="s">
        <v>7312</v>
      </c>
      <c r="E3539" t="s">
        <v>5687</v>
      </c>
      <c r="F3539" s="3" t="s">
        <v>5688</v>
      </c>
      <c r="G3539" t="s">
        <v>24</v>
      </c>
      <c r="H3539" s="3" t="s">
        <v>5697</v>
      </c>
      <c r="I3539" t="s">
        <v>218</v>
      </c>
      <c r="J3539" s="3" t="s">
        <v>5695</v>
      </c>
      <c r="K3539" s="4">
        <v>182</v>
      </c>
      <c r="L3539" s="5">
        <v>8.25</v>
      </c>
      <c r="M3539" s="6">
        <v>0</v>
      </c>
      <c r="N3539" s="7">
        <v>0</v>
      </c>
      <c r="O3539" t="s">
        <v>5698</v>
      </c>
      <c r="P3539" s="3" t="s">
        <v>23</v>
      </c>
      <c r="Q3539" s="8" t="s">
        <v>23</v>
      </c>
    </row>
    <row r="3540" spans="1:17" hidden="1" x14ac:dyDescent="0.55000000000000004">
      <c r="A3540" s="3" t="s">
        <v>5661</v>
      </c>
      <c r="B3540" s="3" t="s">
        <v>7396</v>
      </c>
      <c r="C3540" t="s">
        <v>5686</v>
      </c>
      <c r="D3540" s="3" t="s">
        <v>7312</v>
      </c>
      <c r="E3540" t="s">
        <v>5699</v>
      </c>
      <c r="F3540" s="3" t="s">
        <v>5700</v>
      </c>
      <c r="G3540" t="s">
        <v>19</v>
      </c>
      <c r="H3540" s="3" t="s">
        <v>5689</v>
      </c>
      <c r="I3540" t="s">
        <v>1565</v>
      </c>
      <c r="J3540" s="3" t="s">
        <v>5690</v>
      </c>
      <c r="K3540" s="4">
        <v>180</v>
      </c>
      <c r="L3540" s="5">
        <v>39.04</v>
      </c>
      <c r="M3540" s="6">
        <v>0</v>
      </c>
      <c r="N3540" s="7">
        <v>0</v>
      </c>
      <c r="O3540" t="s">
        <v>5691</v>
      </c>
      <c r="P3540" s="3" t="s">
        <v>1567</v>
      </c>
      <c r="Q3540" s="8">
        <v>3.2348000000000002E-2</v>
      </c>
    </row>
    <row r="3541" spans="1:17" hidden="1" x14ac:dyDescent="0.55000000000000004">
      <c r="A3541" s="3" t="s">
        <v>5661</v>
      </c>
      <c r="B3541" s="3" t="s">
        <v>7396</v>
      </c>
      <c r="C3541" t="s">
        <v>5686</v>
      </c>
      <c r="D3541" s="3" t="s">
        <v>7312</v>
      </c>
      <c r="E3541" t="s">
        <v>5699</v>
      </c>
      <c r="F3541" s="3" t="s">
        <v>5700</v>
      </c>
      <c r="G3541" t="s">
        <v>19</v>
      </c>
      <c r="H3541" s="3" t="s">
        <v>5692</v>
      </c>
      <c r="I3541" t="s">
        <v>1569</v>
      </c>
      <c r="J3541" s="3" t="s">
        <v>5690</v>
      </c>
      <c r="K3541" s="4">
        <v>159</v>
      </c>
      <c r="L3541" s="5">
        <v>34.479999999999997</v>
      </c>
      <c r="M3541" s="6">
        <v>1</v>
      </c>
      <c r="N3541" s="7">
        <v>0</v>
      </c>
      <c r="O3541" t="s">
        <v>5693</v>
      </c>
      <c r="P3541" s="3" t="s">
        <v>1567</v>
      </c>
      <c r="Q3541" s="8">
        <v>3.1764000000000001E-2</v>
      </c>
    </row>
    <row r="3542" spans="1:17" hidden="1" x14ac:dyDescent="0.55000000000000004">
      <c r="A3542" s="3" t="s">
        <v>5661</v>
      </c>
      <c r="B3542" s="3" t="s">
        <v>7396</v>
      </c>
      <c r="C3542" t="s">
        <v>5686</v>
      </c>
      <c r="D3542" s="3" t="s">
        <v>7312</v>
      </c>
      <c r="E3542" t="s">
        <v>5699</v>
      </c>
      <c r="F3542" s="3" t="s">
        <v>5700</v>
      </c>
      <c r="G3542" t="s">
        <v>24</v>
      </c>
      <c r="H3542" s="3" t="s">
        <v>5694</v>
      </c>
      <c r="I3542" t="s">
        <v>26</v>
      </c>
      <c r="J3542" s="3" t="s">
        <v>5695</v>
      </c>
      <c r="K3542" s="4">
        <v>501</v>
      </c>
      <c r="L3542" s="5">
        <v>22.77</v>
      </c>
      <c r="M3542" s="6">
        <v>0</v>
      </c>
      <c r="N3542" s="7">
        <v>0</v>
      </c>
      <c r="O3542" t="s">
        <v>5696</v>
      </c>
      <c r="P3542" s="3" t="s">
        <v>76</v>
      </c>
      <c r="Q3542" s="8">
        <v>0.1865</v>
      </c>
    </row>
    <row r="3543" spans="1:17" hidden="1" x14ac:dyDescent="0.55000000000000004">
      <c r="A3543" s="3" t="s">
        <v>5661</v>
      </c>
      <c r="B3543" s="3" t="s">
        <v>7396</v>
      </c>
      <c r="C3543" t="s">
        <v>5686</v>
      </c>
      <c r="D3543" s="3" t="s">
        <v>7312</v>
      </c>
      <c r="E3543" t="s">
        <v>5699</v>
      </c>
      <c r="F3543" s="3" t="s">
        <v>5700</v>
      </c>
      <c r="G3543" t="s">
        <v>24</v>
      </c>
      <c r="H3543" s="3" t="s">
        <v>5697</v>
      </c>
      <c r="I3543" t="s">
        <v>218</v>
      </c>
      <c r="J3543" s="3" t="s">
        <v>5695</v>
      </c>
      <c r="K3543" s="4">
        <v>182</v>
      </c>
      <c r="L3543" s="5">
        <v>8.25</v>
      </c>
      <c r="M3543" s="6">
        <v>0</v>
      </c>
      <c r="N3543" s="7">
        <v>0</v>
      </c>
      <c r="O3543" t="s">
        <v>5698</v>
      </c>
      <c r="P3543" s="3" t="s">
        <v>23</v>
      </c>
      <c r="Q3543" s="8" t="s">
        <v>23</v>
      </c>
    </row>
    <row r="3544" spans="1:17" hidden="1" x14ac:dyDescent="0.55000000000000004">
      <c r="A3544" s="3" t="s">
        <v>5661</v>
      </c>
      <c r="B3544" s="3" t="s">
        <v>7396</v>
      </c>
      <c r="C3544" t="s">
        <v>5686</v>
      </c>
      <c r="D3544" s="3" t="s">
        <v>7312</v>
      </c>
      <c r="E3544" t="s">
        <v>5701</v>
      </c>
      <c r="F3544" s="3" t="s">
        <v>5702</v>
      </c>
      <c r="G3544" t="s">
        <v>19</v>
      </c>
      <c r="H3544" s="3" t="s">
        <v>5689</v>
      </c>
      <c r="I3544" t="s">
        <v>1565</v>
      </c>
      <c r="J3544" s="3" t="s">
        <v>5690</v>
      </c>
      <c r="K3544" s="4">
        <v>180</v>
      </c>
      <c r="L3544" s="5">
        <v>39.04</v>
      </c>
      <c r="M3544" s="6">
        <v>0</v>
      </c>
      <c r="N3544" s="7">
        <v>0</v>
      </c>
      <c r="O3544" t="s">
        <v>5691</v>
      </c>
      <c r="P3544" s="3" t="s">
        <v>1567</v>
      </c>
      <c r="Q3544" s="8">
        <v>3.2348000000000002E-2</v>
      </c>
    </row>
    <row r="3545" spans="1:17" hidden="1" x14ac:dyDescent="0.55000000000000004">
      <c r="A3545" s="3" t="s">
        <v>5661</v>
      </c>
      <c r="B3545" s="3" t="s">
        <v>7396</v>
      </c>
      <c r="C3545" t="s">
        <v>5686</v>
      </c>
      <c r="D3545" s="3" t="s">
        <v>7312</v>
      </c>
      <c r="E3545" t="s">
        <v>5701</v>
      </c>
      <c r="F3545" s="3" t="s">
        <v>5702</v>
      </c>
      <c r="G3545" t="s">
        <v>19</v>
      </c>
      <c r="H3545" s="3" t="s">
        <v>5692</v>
      </c>
      <c r="I3545" t="s">
        <v>1569</v>
      </c>
      <c r="J3545" s="3" t="s">
        <v>5690</v>
      </c>
      <c r="K3545" s="4">
        <v>159</v>
      </c>
      <c r="L3545" s="5">
        <v>34.479999999999997</v>
      </c>
      <c r="M3545" s="6">
        <v>0</v>
      </c>
      <c r="N3545" s="7">
        <v>0</v>
      </c>
      <c r="O3545" t="s">
        <v>5693</v>
      </c>
      <c r="P3545" s="3" t="s">
        <v>1567</v>
      </c>
      <c r="Q3545" s="8">
        <v>3.1764000000000001E-2</v>
      </c>
    </row>
    <row r="3546" spans="1:17" hidden="1" x14ac:dyDescent="0.55000000000000004">
      <c r="A3546" s="3" t="s">
        <v>5661</v>
      </c>
      <c r="B3546" s="3" t="s">
        <v>7396</v>
      </c>
      <c r="C3546" t="s">
        <v>5686</v>
      </c>
      <c r="D3546" s="3" t="s">
        <v>7312</v>
      </c>
      <c r="E3546" t="s">
        <v>5701</v>
      </c>
      <c r="F3546" s="3" t="s">
        <v>5702</v>
      </c>
      <c r="G3546" t="s">
        <v>24</v>
      </c>
      <c r="H3546" s="3" t="s">
        <v>5694</v>
      </c>
      <c r="I3546" t="s">
        <v>26</v>
      </c>
      <c r="J3546" s="3" t="s">
        <v>5695</v>
      </c>
      <c r="K3546" s="4">
        <v>501</v>
      </c>
      <c r="L3546" s="5">
        <v>22.77</v>
      </c>
      <c r="M3546" s="6">
        <v>0</v>
      </c>
      <c r="N3546" s="7">
        <v>0</v>
      </c>
      <c r="O3546" t="s">
        <v>5696</v>
      </c>
      <c r="P3546" s="3" t="s">
        <v>76</v>
      </c>
      <c r="Q3546" s="8">
        <v>0.1865</v>
      </c>
    </row>
    <row r="3547" spans="1:17" hidden="1" x14ac:dyDescent="0.55000000000000004">
      <c r="A3547" s="3" t="s">
        <v>5661</v>
      </c>
      <c r="B3547" s="3" t="s">
        <v>7396</v>
      </c>
      <c r="C3547" t="s">
        <v>5686</v>
      </c>
      <c r="D3547" s="3" t="s">
        <v>7312</v>
      </c>
      <c r="E3547" t="s">
        <v>5701</v>
      </c>
      <c r="F3547" s="3" t="s">
        <v>5702</v>
      </c>
      <c r="G3547" t="s">
        <v>24</v>
      </c>
      <c r="H3547" s="3" t="s">
        <v>5697</v>
      </c>
      <c r="I3547" t="s">
        <v>218</v>
      </c>
      <c r="J3547" s="3" t="s">
        <v>5695</v>
      </c>
      <c r="K3547" s="4">
        <v>182</v>
      </c>
      <c r="L3547" s="5">
        <v>8.25</v>
      </c>
      <c r="M3547" s="6">
        <v>0</v>
      </c>
      <c r="N3547" s="7">
        <v>0</v>
      </c>
      <c r="O3547" t="s">
        <v>5698</v>
      </c>
      <c r="P3547" s="3" t="s">
        <v>23</v>
      </c>
      <c r="Q3547" s="8" t="s">
        <v>23</v>
      </c>
    </row>
    <row r="3548" spans="1:17" hidden="1" x14ac:dyDescent="0.55000000000000004">
      <c r="A3548" s="3" t="s">
        <v>5661</v>
      </c>
      <c r="B3548" s="3" t="s">
        <v>7396</v>
      </c>
      <c r="C3548" t="s">
        <v>5686</v>
      </c>
      <c r="D3548" s="3" t="s">
        <v>7312</v>
      </c>
      <c r="E3548" t="s">
        <v>5703</v>
      </c>
      <c r="F3548" s="3" t="s">
        <v>5704</v>
      </c>
      <c r="G3548" t="s">
        <v>19</v>
      </c>
      <c r="H3548" s="3" t="s">
        <v>5689</v>
      </c>
      <c r="I3548" t="s">
        <v>1565</v>
      </c>
      <c r="J3548" s="3" t="s">
        <v>5690</v>
      </c>
      <c r="K3548" s="4">
        <v>180</v>
      </c>
      <c r="L3548" s="5">
        <v>39.04</v>
      </c>
      <c r="M3548" s="6">
        <v>0</v>
      </c>
      <c r="N3548" s="7">
        <v>0</v>
      </c>
      <c r="O3548" t="s">
        <v>5691</v>
      </c>
      <c r="P3548" s="3" t="s">
        <v>1567</v>
      </c>
      <c r="Q3548" s="8">
        <v>3.2348000000000002E-2</v>
      </c>
    </row>
    <row r="3549" spans="1:17" hidden="1" x14ac:dyDescent="0.55000000000000004">
      <c r="A3549" s="3" t="s">
        <v>5661</v>
      </c>
      <c r="B3549" s="3" t="s">
        <v>7396</v>
      </c>
      <c r="C3549" t="s">
        <v>5686</v>
      </c>
      <c r="D3549" s="3" t="s">
        <v>7312</v>
      </c>
      <c r="E3549" t="s">
        <v>5703</v>
      </c>
      <c r="F3549" s="3" t="s">
        <v>5704</v>
      </c>
      <c r="G3549" t="s">
        <v>19</v>
      </c>
      <c r="H3549" s="3" t="s">
        <v>5692</v>
      </c>
      <c r="I3549" t="s">
        <v>1569</v>
      </c>
      <c r="J3549" s="3" t="s">
        <v>5690</v>
      </c>
      <c r="K3549" s="4">
        <v>159</v>
      </c>
      <c r="L3549" s="5">
        <v>34.479999999999997</v>
      </c>
      <c r="M3549" s="6">
        <v>1</v>
      </c>
      <c r="N3549" s="7">
        <v>0</v>
      </c>
      <c r="O3549" t="s">
        <v>5693</v>
      </c>
      <c r="P3549" s="3" t="s">
        <v>1567</v>
      </c>
      <c r="Q3549" s="8">
        <v>3.1764000000000001E-2</v>
      </c>
    </row>
    <row r="3550" spans="1:17" hidden="1" x14ac:dyDescent="0.55000000000000004">
      <c r="A3550" s="3" t="s">
        <v>5661</v>
      </c>
      <c r="B3550" s="3" t="s">
        <v>7396</v>
      </c>
      <c r="C3550" t="s">
        <v>5686</v>
      </c>
      <c r="D3550" s="3" t="s">
        <v>7312</v>
      </c>
      <c r="E3550" t="s">
        <v>5703</v>
      </c>
      <c r="F3550" s="3" t="s">
        <v>5704</v>
      </c>
      <c r="G3550" t="s">
        <v>24</v>
      </c>
      <c r="H3550" s="3" t="s">
        <v>5694</v>
      </c>
      <c r="I3550" t="s">
        <v>26</v>
      </c>
      <c r="J3550" s="3" t="s">
        <v>5695</v>
      </c>
      <c r="K3550" s="4">
        <v>501</v>
      </c>
      <c r="L3550" s="5">
        <v>22.77</v>
      </c>
      <c r="M3550" s="6">
        <v>0</v>
      </c>
      <c r="N3550" s="7">
        <v>0</v>
      </c>
      <c r="O3550" t="s">
        <v>5696</v>
      </c>
      <c r="P3550" s="3" t="s">
        <v>76</v>
      </c>
      <c r="Q3550" s="8">
        <v>0.1865</v>
      </c>
    </row>
    <row r="3551" spans="1:17" hidden="1" x14ac:dyDescent="0.55000000000000004">
      <c r="A3551" s="3" t="s">
        <v>5661</v>
      </c>
      <c r="B3551" s="3" t="s">
        <v>7396</v>
      </c>
      <c r="C3551" t="s">
        <v>5686</v>
      </c>
      <c r="D3551" s="3" t="s">
        <v>7312</v>
      </c>
      <c r="E3551" t="s">
        <v>5703</v>
      </c>
      <c r="F3551" s="3" t="s">
        <v>5704</v>
      </c>
      <c r="G3551" t="s">
        <v>24</v>
      </c>
      <c r="H3551" s="3" t="s">
        <v>5697</v>
      </c>
      <c r="I3551" t="s">
        <v>218</v>
      </c>
      <c r="J3551" s="3" t="s">
        <v>5695</v>
      </c>
      <c r="K3551" s="4">
        <v>182</v>
      </c>
      <c r="L3551" s="5">
        <v>8.25</v>
      </c>
      <c r="M3551" s="6">
        <v>0</v>
      </c>
      <c r="N3551" s="7">
        <v>0</v>
      </c>
      <c r="O3551" t="s">
        <v>5698</v>
      </c>
      <c r="P3551" s="3" t="s">
        <v>23</v>
      </c>
      <c r="Q3551" s="8" t="s">
        <v>23</v>
      </c>
    </row>
    <row r="3552" spans="1:17" hidden="1" x14ac:dyDescent="0.55000000000000004">
      <c r="A3552" s="3" t="s">
        <v>5661</v>
      </c>
      <c r="B3552" s="3" t="s">
        <v>7396</v>
      </c>
      <c r="C3552" t="s">
        <v>5686</v>
      </c>
      <c r="D3552" s="3" t="s">
        <v>7312</v>
      </c>
      <c r="E3552" t="s">
        <v>5705</v>
      </c>
      <c r="F3552" s="3" t="s">
        <v>5706</v>
      </c>
      <c r="G3552" t="s">
        <v>19</v>
      </c>
      <c r="H3552" s="3" t="s">
        <v>5689</v>
      </c>
      <c r="I3552" t="s">
        <v>1565</v>
      </c>
      <c r="J3552" s="3" t="s">
        <v>5690</v>
      </c>
      <c r="K3552" s="4">
        <v>180</v>
      </c>
      <c r="L3552" s="5">
        <v>39.04</v>
      </c>
      <c r="M3552" s="6">
        <v>0</v>
      </c>
      <c r="N3552" s="7">
        <v>0</v>
      </c>
      <c r="O3552" t="s">
        <v>5691</v>
      </c>
      <c r="P3552" s="3" t="s">
        <v>1567</v>
      </c>
      <c r="Q3552" s="8">
        <v>3.2348000000000002E-2</v>
      </c>
    </row>
    <row r="3553" spans="1:17" hidden="1" x14ac:dyDescent="0.55000000000000004">
      <c r="A3553" s="3" t="s">
        <v>5661</v>
      </c>
      <c r="B3553" s="3" t="s">
        <v>7396</v>
      </c>
      <c r="C3553" t="s">
        <v>5686</v>
      </c>
      <c r="D3553" s="3" t="s">
        <v>7312</v>
      </c>
      <c r="E3553" t="s">
        <v>5705</v>
      </c>
      <c r="F3553" s="3" t="s">
        <v>5706</v>
      </c>
      <c r="G3553" t="s">
        <v>19</v>
      </c>
      <c r="H3553" s="3" t="s">
        <v>5692</v>
      </c>
      <c r="I3553" t="s">
        <v>1569</v>
      </c>
      <c r="J3553" s="3" t="s">
        <v>5690</v>
      </c>
      <c r="K3553" s="4">
        <v>159</v>
      </c>
      <c r="L3553" s="5">
        <v>34.479999999999997</v>
      </c>
      <c r="M3553" s="6">
        <v>1</v>
      </c>
      <c r="N3553" s="7">
        <v>0</v>
      </c>
      <c r="O3553" t="s">
        <v>5693</v>
      </c>
      <c r="P3553" s="3" t="s">
        <v>1567</v>
      </c>
      <c r="Q3553" s="8">
        <v>3.1764000000000001E-2</v>
      </c>
    </row>
    <row r="3554" spans="1:17" hidden="1" x14ac:dyDescent="0.55000000000000004">
      <c r="A3554" s="3" t="s">
        <v>5661</v>
      </c>
      <c r="B3554" s="3" t="s">
        <v>7396</v>
      </c>
      <c r="C3554" t="s">
        <v>5686</v>
      </c>
      <c r="D3554" s="3" t="s">
        <v>7312</v>
      </c>
      <c r="E3554" t="s">
        <v>5705</v>
      </c>
      <c r="F3554" s="3" t="s">
        <v>5706</v>
      </c>
      <c r="G3554" t="s">
        <v>24</v>
      </c>
      <c r="H3554" s="3" t="s">
        <v>5694</v>
      </c>
      <c r="I3554" t="s">
        <v>26</v>
      </c>
      <c r="J3554" s="3" t="s">
        <v>5695</v>
      </c>
      <c r="K3554" s="4">
        <v>501</v>
      </c>
      <c r="L3554" s="5">
        <v>22.77</v>
      </c>
      <c r="M3554" s="6">
        <v>0</v>
      </c>
      <c r="N3554" s="7">
        <v>0</v>
      </c>
      <c r="O3554" t="s">
        <v>5696</v>
      </c>
      <c r="P3554" s="3" t="s">
        <v>76</v>
      </c>
      <c r="Q3554" s="8">
        <v>0.1865</v>
      </c>
    </row>
    <row r="3555" spans="1:17" hidden="1" x14ac:dyDescent="0.55000000000000004">
      <c r="A3555" s="3" t="s">
        <v>5661</v>
      </c>
      <c r="B3555" s="3" t="s">
        <v>7396</v>
      </c>
      <c r="C3555" t="s">
        <v>5686</v>
      </c>
      <c r="D3555" s="3" t="s">
        <v>7312</v>
      </c>
      <c r="E3555" t="s">
        <v>5705</v>
      </c>
      <c r="F3555" s="3" t="s">
        <v>5706</v>
      </c>
      <c r="G3555" t="s">
        <v>24</v>
      </c>
      <c r="H3555" s="3" t="s">
        <v>5697</v>
      </c>
      <c r="I3555" t="s">
        <v>218</v>
      </c>
      <c r="J3555" s="3" t="s">
        <v>5695</v>
      </c>
      <c r="K3555" s="4">
        <v>182</v>
      </c>
      <c r="L3555" s="5">
        <v>8.25</v>
      </c>
      <c r="M3555" s="6">
        <v>0</v>
      </c>
      <c r="N3555" s="7">
        <v>0</v>
      </c>
      <c r="O3555" t="s">
        <v>5698</v>
      </c>
      <c r="P3555" s="3" t="s">
        <v>23</v>
      </c>
      <c r="Q3555" s="8" t="s">
        <v>23</v>
      </c>
    </row>
    <row r="3556" spans="1:17" hidden="1" x14ac:dyDescent="0.55000000000000004">
      <c r="A3556" s="3" t="s">
        <v>5661</v>
      </c>
      <c r="B3556" s="3" t="s">
        <v>7396</v>
      </c>
      <c r="C3556" t="s">
        <v>5686</v>
      </c>
      <c r="D3556" s="3" t="s">
        <v>7312</v>
      </c>
      <c r="E3556" t="s">
        <v>5707</v>
      </c>
      <c r="F3556" s="3" t="s">
        <v>5708</v>
      </c>
      <c r="G3556" t="s">
        <v>19</v>
      </c>
      <c r="H3556" s="3" t="s">
        <v>5689</v>
      </c>
      <c r="I3556" t="s">
        <v>1565</v>
      </c>
      <c r="J3556" s="3" t="s">
        <v>5690</v>
      </c>
      <c r="K3556" s="4">
        <v>180</v>
      </c>
      <c r="L3556" s="5">
        <v>39.04</v>
      </c>
      <c r="M3556" s="6">
        <v>0</v>
      </c>
      <c r="N3556" s="7">
        <v>1</v>
      </c>
      <c r="O3556" t="s">
        <v>5691</v>
      </c>
      <c r="P3556" s="3" t="s">
        <v>1567</v>
      </c>
      <c r="Q3556" s="8">
        <v>3.2348000000000002E-2</v>
      </c>
    </row>
    <row r="3557" spans="1:17" hidden="1" x14ac:dyDescent="0.55000000000000004">
      <c r="A3557" s="3" t="s">
        <v>5661</v>
      </c>
      <c r="B3557" s="3" t="s">
        <v>7396</v>
      </c>
      <c r="C3557" t="s">
        <v>5686</v>
      </c>
      <c r="D3557" s="3" t="s">
        <v>7312</v>
      </c>
      <c r="E3557" t="s">
        <v>5707</v>
      </c>
      <c r="F3557" s="3" t="s">
        <v>5708</v>
      </c>
      <c r="G3557" t="s">
        <v>19</v>
      </c>
      <c r="H3557" s="3" t="s">
        <v>5692</v>
      </c>
      <c r="I3557" t="s">
        <v>1569</v>
      </c>
      <c r="J3557" s="3" t="s">
        <v>5690</v>
      </c>
      <c r="K3557" s="4">
        <v>159</v>
      </c>
      <c r="L3557" s="5">
        <v>34.479999999999997</v>
      </c>
      <c r="M3557" s="6">
        <v>1</v>
      </c>
      <c r="N3557" s="7">
        <v>1</v>
      </c>
      <c r="O3557" t="s">
        <v>5693</v>
      </c>
      <c r="P3557" s="3" t="s">
        <v>1567</v>
      </c>
      <c r="Q3557" s="8">
        <v>3.1764000000000001E-2</v>
      </c>
    </row>
    <row r="3558" spans="1:17" hidden="1" x14ac:dyDescent="0.55000000000000004">
      <c r="A3558" s="3" t="s">
        <v>5661</v>
      </c>
      <c r="B3558" s="3" t="s">
        <v>7396</v>
      </c>
      <c r="C3558" t="s">
        <v>5686</v>
      </c>
      <c r="D3558" s="3" t="s">
        <v>7312</v>
      </c>
      <c r="E3558" t="s">
        <v>5707</v>
      </c>
      <c r="F3558" s="3" t="s">
        <v>5708</v>
      </c>
      <c r="G3558" t="s">
        <v>24</v>
      </c>
      <c r="H3558" s="3" t="s">
        <v>5694</v>
      </c>
      <c r="I3558" t="s">
        <v>26</v>
      </c>
      <c r="J3558" s="3" t="s">
        <v>5695</v>
      </c>
      <c r="K3558" s="4">
        <v>501</v>
      </c>
      <c r="L3558" s="5">
        <v>22.77</v>
      </c>
      <c r="M3558" s="6">
        <v>0</v>
      </c>
      <c r="N3558" s="7">
        <v>1</v>
      </c>
      <c r="O3558" t="s">
        <v>5696</v>
      </c>
      <c r="P3558" s="3" t="s">
        <v>76</v>
      </c>
      <c r="Q3558" s="8">
        <v>0.1865</v>
      </c>
    </row>
    <row r="3559" spans="1:17" hidden="1" x14ac:dyDescent="0.55000000000000004">
      <c r="A3559" s="3" t="s">
        <v>5661</v>
      </c>
      <c r="B3559" s="3" t="s">
        <v>7396</v>
      </c>
      <c r="C3559" t="s">
        <v>5686</v>
      </c>
      <c r="D3559" s="3" t="s">
        <v>7312</v>
      </c>
      <c r="E3559" t="s">
        <v>5707</v>
      </c>
      <c r="F3559" s="3" t="s">
        <v>5708</v>
      </c>
      <c r="G3559" t="s">
        <v>24</v>
      </c>
      <c r="H3559" s="3" t="s">
        <v>5697</v>
      </c>
      <c r="I3559" t="s">
        <v>218</v>
      </c>
      <c r="J3559" s="3" t="s">
        <v>5695</v>
      </c>
      <c r="K3559" s="4">
        <v>182</v>
      </c>
      <c r="L3559" s="5">
        <v>8.25</v>
      </c>
      <c r="M3559" s="6">
        <v>0</v>
      </c>
      <c r="N3559" s="7">
        <v>1</v>
      </c>
      <c r="O3559" t="s">
        <v>5698</v>
      </c>
      <c r="P3559" s="3" t="s">
        <v>23</v>
      </c>
      <c r="Q3559" s="8" t="s">
        <v>23</v>
      </c>
    </row>
    <row r="3560" spans="1:17" hidden="1" x14ac:dyDescent="0.55000000000000004">
      <c r="A3560" s="3" t="s">
        <v>5661</v>
      </c>
      <c r="B3560" s="3" t="s">
        <v>5709</v>
      </c>
      <c r="C3560" t="s">
        <v>5709</v>
      </c>
      <c r="D3560" s="3" t="s">
        <v>7312</v>
      </c>
      <c r="E3560" t="s">
        <v>5710</v>
      </c>
      <c r="F3560" s="3" t="s">
        <v>5711</v>
      </c>
      <c r="G3560" t="s">
        <v>19</v>
      </c>
      <c r="H3560" s="3" t="s">
        <v>5712</v>
      </c>
      <c r="I3560" t="s">
        <v>1573</v>
      </c>
      <c r="J3560" s="3" t="s">
        <v>5713</v>
      </c>
      <c r="K3560" s="4">
        <v>149</v>
      </c>
      <c r="L3560" s="5">
        <v>32.46</v>
      </c>
      <c r="M3560" s="6">
        <v>0</v>
      </c>
      <c r="N3560" s="7">
        <v>1</v>
      </c>
      <c r="O3560" t="s">
        <v>5714</v>
      </c>
      <c r="P3560" s="3" t="s">
        <v>1567</v>
      </c>
      <c r="Q3560" s="8">
        <v>1.7033E-2</v>
      </c>
    </row>
    <row r="3561" spans="1:17" hidden="1" x14ac:dyDescent="0.55000000000000004">
      <c r="A3561" s="3" t="s">
        <v>5661</v>
      </c>
      <c r="B3561" s="3" t="s">
        <v>5709</v>
      </c>
      <c r="C3561" t="s">
        <v>5709</v>
      </c>
      <c r="D3561" s="3" t="s">
        <v>7312</v>
      </c>
      <c r="E3561" t="s">
        <v>5710</v>
      </c>
      <c r="F3561" s="3" t="s">
        <v>5711</v>
      </c>
      <c r="G3561" t="s">
        <v>19</v>
      </c>
      <c r="H3561" s="3" t="s">
        <v>5715</v>
      </c>
      <c r="I3561" t="s">
        <v>1577</v>
      </c>
      <c r="J3561" s="3" t="s">
        <v>5713</v>
      </c>
      <c r="K3561" s="4">
        <v>116</v>
      </c>
      <c r="L3561" s="5">
        <v>25.13</v>
      </c>
      <c r="M3561" s="6">
        <v>1</v>
      </c>
      <c r="N3561" s="7">
        <v>1</v>
      </c>
      <c r="O3561" t="s">
        <v>5716</v>
      </c>
      <c r="P3561" s="3" t="s">
        <v>1567</v>
      </c>
      <c r="Q3561" s="8">
        <v>1.7033E-2</v>
      </c>
    </row>
    <row r="3562" spans="1:17" hidden="1" x14ac:dyDescent="0.55000000000000004">
      <c r="A3562" s="3" t="s">
        <v>5661</v>
      </c>
      <c r="B3562" s="3" t="s">
        <v>5709</v>
      </c>
      <c r="C3562" t="s">
        <v>5709</v>
      </c>
      <c r="D3562" s="3" t="s">
        <v>7312</v>
      </c>
      <c r="E3562" t="s">
        <v>5710</v>
      </c>
      <c r="F3562" s="3" t="s">
        <v>5711</v>
      </c>
      <c r="G3562" t="s">
        <v>24</v>
      </c>
      <c r="H3562" s="3" t="s">
        <v>5717</v>
      </c>
      <c r="I3562" t="s">
        <v>26</v>
      </c>
      <c r="J3562" s="3" t="s">
        <v>5718</v>
      </c>
      <c r="K3562" s="4">
        <v>551</v>
      </c>
      <c r="L3562" s="5">
        <v>25.05</v>
      </c>
      <c r="M3562" s="6">
        <v>1</v>
      </c>
      <c r="N3562" s="7">
        <v>1</v>
      </c>
      <c r="O3562" t="s">
        <v>5719</v>
      </c>
      <c r="P3562" s="3" t="s">
        <v>76</v>
      </c>
      <c r="Q3562" s="8">
        <v>0.1865</v>
      </c>
    </row>
    <row r="3563" spans="1:17" hidden="1" x14ac:dyDescent="0.55000000000000004">
      <c r="A3563" s="3" t="s">
        <v>5661</v>
      </c>
      <c r="B3563" s="3" t="s">
        <v>5709</v>
      </c>
      <c r="C3563" t="s">
        <v>5709</v>
      </c>
      <c r="D3563" s="3" t="s">
        <v>7312</v>
      </c>
      <c r="E3563" t="s">
        <v>5710</v>
      </c>
      <c r="F3563" s="3" t="s">
        <v>5711</v>
      </c>
      <c r="G3563" t="s">
        <v>24</v>
      </c>
      <c r="H3563" s="3" t="s">
        <v>5720</v>
      </c>
      <c r="I3563" t="s">
        <v>218</v>
      </c>
      <c r="J3563" s="3" t="s">
        <v>5718</v>
      </c>
      <c r="K3563" s="4">
        <v>152</v>
      </c>
      <c r="L3563" s="5">
        <v>6.89</v>
      </c>
      <c r="M3563" s="6">
        <v>0</v>
      </c>
      <c r="N3563" s="7">
        <v>1</v>
      </c>
      <c r="O3563" t="s">
        <v>5721</v>
      </c>
      <c r="P3563" s="3" t="s">
        <v>23</v>
      </c>
      <c r="Q3563" s="8" t="s">
        <v>23</v>
      </c>
    </row>
    <row r="3564" spans="1:17" hidden="1" x14ac:dyDescent="0.55000000000000004">
      <c r="A3564" s="3" t="s">
        <v>5661</v>
      </c>
      <c r="B3564" s="3" t="s">
        <v>5709</v>
      </c>
      <c r="C3564" t="s">
        <v>5709</v>
      </c>
      <c r="D3564" s="3" t="s">
        <v>7312</v>
      </c>
      <c r="E3564" t="s">
        <v>5722</v>
      </c>
      <c r="F3564" s="3" t="s">
        <v>5723</v>
      </c>
      <c r="G3564" t="s">
        <v>19</v>
      </c>
      <c r="H3564" s="3" t="s">
        <v>5712</v>
      </c>
      <c r="I3564" t="s">
        <v>1573</v>
      </c>
      <c r="J3564" s="3" t="s">
        <v>5713</v>
      </c>
      <c r="K3564" s="4">
        <v>149</v>
      </c>
      <c r="L3564" s="5">
        <v>32.46</v>
      </c>
      <c r="M3564" s="6">
        <v>0</v>
      </c>
      <c r="N3564" s="7">
        <v>0</v>
      </c>
      <c r="O3564" t="s">
        <v>5714</v>
      </c>
      <c r="P3564" s="3" t="s">
        <v>1567</v>
      </c>
      <c r="Q3564" s="8">
        <v>1.7033E-2</v>
      </c>
    </row>
    <row r="3565" spans="1:17" hidden="1" x14ac:dyDescent="0.55000000000000004">
      <c r="A3565" s="3" t="s">
        <v>5661</v>
      </c>
      <c r="B3565" s="3" t="s">
        <v>5709</v>
      </c>
      <c r="C3565" t="s">
        <v>5709</v>
      </c>
      <c r="D3565" s="3" t="s">
        <v>7312</v>
      </c>
      <c r="E3565" t="s">
        <v>5722</v>
      </c>
      <c r="F3565" s="3" t="s">
        <v>5723</v>
      </c>
      <c r="G3565" t="s">
        <v>19</v>
      </c>
      <c r="H3565" s="3" t="s">
        <v>5715</v>
      </c>
      <c r="I3565" t="s">
        <v>1577</v>
      </c>
      <c r="J3565" s="3" t="s">
        <v>5713</v>
      </c>
      <c r="K3565" s="4">
        <v>116</v>
      </c>
      <c r="L3565" s="5">
        <v>25.13</v>
      </c>
      <c r="M3565" s="6">
        <v>1</v>
      </c>
      <c r="N3565" s="7">
        <v>0</v>
      </c>
      <c r="O3565" t="s">
        <v>5716</v>
      </c>
      <c r="P3565" s="3" t="s">
        <v>1567</v>
      </c>
      <c r="Q3565" s="8">
        <v>1.7033E-2</v>
      </c>
    </row>
    <row r="3566" spans="1:17" hidden="1" x14ac:dyDescent="0.55000000000000004">
      <c r="A3566" s="3" t="s">
        <v>5661</v>
      </c>
      <c r="B3566" s="3" t="s">
        <v>5709</v>
      </c>
      <c r="C3566" t="s">
        <v>5709</v>
      </c>
      <c r="D3566" s="3" t="s">
        <v>7312</v>
      </c>
      <c r="E3566" t="s">
        <v>5722</v>
      </c>
      <c r="F3566" s="3" t="s">
        <v>5723</v>
      </c>
      <c r="G3566" t="s">
        <v>24</v>
      </c>
      <c r="H3566" s="3" t="s">
        <v>5717</v>
      </c>
      <c r="I3566" t="s">
        <v>26</v>
      </c>
      <c r="J3566" s="3" t="s">
        <v>5718</v>
      </c>
      <c r="K3566" s="4">
        <v>551</v>
      </c>
      <c r="L3566" s="5">
        <v>25.05</v>
      </c>
      <c r="M3566" s="6">
        <v>1</v>
      </c>
      <c r="N3566" s="7">
        <v>0</v>
      </c>
      <c r="O3566" t="s">
        <v>5719</v>
      </c>
      <c r="P3566" s="3" t="s">
        <v>76</v>
      </c>
      <c r="Q3566" s="8">
        <v>0.1865</v>
      </c>
    </row>
    <row r="3567" spans="1:17" hidden="1" x14ac:dyDescent="0.55000000000000004">
      <c r="A3567" s="3" t="s">
        <v>5661</v>
      </c>
      <c r="B3567" s="3" t="s">
        <v>5709</v>
      </c>
      <c r="C3567" t="s">
        <v>5709</v>
      </c>
      <c r="D3567" s="3" t="s">
        <v>7312</v>
      </c>
      <c r="E3567" t="s">
        <v>5722</v>
      </c>
      <c r="F3567" s="3" t="s">
        <v>5723</v>
      </c>
      <c r="G3567" t="s">
        <v>24</v>
      </c>
      <c r="H3567" s="3" t="s">
        <v>5720</v>
      </c>
      <c r="I3567" t="s">
        <v>218</v>
      </c>
      <c r="J3567" s="3" t="s">
        <v>5718</v>
      </c>
      <c r="K3567" s="4">
        <v>152</v>
      </c>
      <c r="L3567" s="5">
        <v>6.89</v>
      </c>
      <c r="M3567" s="6">
        <v>0</v>
      </c>
      <c r="N3567" s="7">
        <v>0</v>
      </c>
      <c r="O3567" t="s">
        <v>5721</v>
      </c>
      <c r="P3567" s="3" t="s">
        <v>23</v>
      </c>
      <c r="Q3567" s="8" t="s">
        <v>23</v>
      </c>
    </row>
    <row r="3568" spans="1:17" hidden="1" x14ac:dyDescent="0.55000000000000004">
      <c r="A3568" s="3" t="s">
        <v>5661</v>
      </c>
      <c r="B3568" s="3" t="s">
        <v>5709</v>
      </c>
      <c r="C3568" t="s">
        <v>5709</v>
      </c>
      <c r="D3568" s="3" t="s">
        <v>7312</v>
      </c>
      <c r="E3568" t="s">
        <v>5724</v>
      </c>
      <c r="F3568" s="3" t="s">
        <v>5725</v>
      </c>
      <c r="G3568" t="s">
        <v>19</v>
      </c>
      <c r="H3568" s="3" t="s">
        <v>5712</v>
      </c>
      <c r="I3568" t="s">
        <v>1573</v>
      </c>
      <c r="J3568" s="3" t="s">
        <v>5713</v>
      </c>
      <c r="K3568" s="4">
        <v>149</v>
      </c>
      <c r="L3568" s="5">
        <v>32.46</v>
      </c>
      <c r="M3568" s="6">
        <v>0</v>
      </c>
      <c r="N3568" s="7">
        <v>0</v>
      </c>
      <c r="O3568" t="s">
        <v>5714</v>
      </c>
      <c r="P3568" s="3" t="s">
        <v>1567</v>
      </c>
      <c r="Q3568" s="8">
        <v>1.7033E-2</v>
      </c>
    </row>
    <row r="3569" spans="1:17" hidden="1" x14ac:dyDescent="0.55000000000000004">
      <c r="A3569" s="3" t="s">
        <v>5661</v>
      </c>
      <c r="B3569" s="3" t="s">
        <v>5709</v>
      </c>
      <c r="C3569" t="s">
        <v>5709</v>
      </c>
      <c r="D3569" s="3" t="s">
        <v>7312</v>
      </c>
      <c r="E3569" t="s">
        <v>5724</v>
      </c>
      <c r="F3569" s="3" t="s">
        <v>5725</v>
      </c>
      <c r="G3569" t="s">
        <v>19</v>
      </c>
      <c r="H3569" s="3" t="s">
        <v>5715</v>
      </c>
      <c r="I3569" t="s">
        <v>1577</v>
      </c>
      <c r="J3569" s="3" t="s">
        <v>5713</v>
      </c>
      <c r="K3569" s="4">
        <v>116</v>
      </c>
      <c r="L3569" s="5">
        <v>25.13</v>
      </c>
      <c r="M3569" s="6">
        <v>1</v>
      </c>
      <c r="N3569" s="7">
        <v>0</v>
      </c>
      <c r="O3569" t="s">
        <v>5716</v>
      </c>
      <c r="P3569" s="3" t="s">
        <v>1567</v>
      </c>
      <c r="Q3569" s="8">
        <v>1.7033E-2</v>
      </c>
    </row>
    <row r="3570" spans="1:17" hidden="1" x14ac:dyDescent="0.55000000000000004">
      <c r="A3570" s="3" t="s">
        <v>5661</v>
      </c>
      <c r="B3570" s="3" t="s">
        <v>5709</v>
      </c>
      <c r="C3570" t="s">
        <v>5709</v>
      </c>
      <c r="D3570" s="3" t="s">
        <v>7312</v>
      </c>
      <c r="E3570" t="s">
        <v>5724</v>
      </c>
      <c r="F3570" s="3" t="s">
        <v>5725</v>
      </c>
      <c r="G3570" t="s">
        <v>24</v>
      </c>
      <c r="H3570" s="3" t="s">
        <v>5717</v>
      </c>
      <c r="I3570" t="s">
        <v>26</v>
      </c>
      <c r="J3570" s="3" t="s">
        <v>5718</v>
      </c>
      <c r="K3570" s="4">
        <v>551</v>
      </c>
      <c r="L3570" s="5">
        <v>25.05</v>
      </c>
      <c r="M3570" s="6">
        <v>1</v>
      </c>
      <c r="N3570" s="7">
        <v>0</v>
      </c>
      <c r="O3570" t="s">
        <v>5719</v>
      </c>
      <c r="P3570" s="3" t="s">
        <v>76</v>
      </c>
      <c r="Q3570" s="8">
        <v>0.1865</v>
      </c>
    </row>
    <row r="3571" spans="1:17" hidden="1" x14ac:dyDescent="0.55000000000000004">
      <c r="A3571" s="3" t="s">
        <v>5661</v>
      </c>
      <c r="B3571" s="3" t="s">
        <v>5709</v>
      </c>
      <c r="C3571" t="s">
        <v>5709</v>
      </c>
      <c r="D3571" s="3" t="s">
        <v>7312</v>
      </c>
      <c r="E3571" t="s">
        <v>5724</v>
      </c>
      <c r="F3571" s="3" t="s">
        <v>5725</v>
      </c>
      <c r="G3571" t="s">
        <v>24</v>
      </c>
      <c r="H3571" s="3" t="s">
        <v>5720</v>
      </c>
      <c r="I3571" t="s">
        <v>218</v>
      </c>
      <c r="J3571" s="3" t="s">
        <v>5718</v>
      </c>
      <c r="K3571" s="4">
        <v>152</v>
      </c>
      <c r="L3571" s="5">
        <v>6.89</v>
      </c>
      <c r="M3571" s="6">
        <v>0</v>
      </c>
      <c r="N3571" s="7">
        <v>0</v>
      </c>
      <c r="O3571" t="s">
        <v>5721</v>
      </c>
      <c r="P3571" s="3" t="s">
        <v>23</v>
      </c>
      <c r="Q3571" s="8" t="s">
        <v>23</v>
      </c>
    </row>
    <row r="3572" spans="1:17" hidden="1" x14ac:dyDescent="0.55000000000000004">
      <c r="A3572" s="3" t="s">
        <v>5661</v>
      </c>
      <c r="B3572" s="3" t="s">
        <v>5709</v>
      </c>
      <c r="C3572" t="s">
        <v>5709</v>
      </c>
      <c r="D3572" s="3" t="s">
        <v>7312</v>
      </c>
      <c r="E3572" t="s">
        <v>5726</v>
      </c>
      <c r="F3572" s="3" t="s">
        <v>5727</v>
      </c>
      <c r="G3572" t="s">
        <v>19</v>
      </c>
      <c r="H3572" s="3" t="s">
        <v>5712</v>
      </c>
      <c r="I3572" t="s">
        <v>1573</v>
      </c>
      <c r="J3572" s="3" t="s">
        <v>5713</v>
      </c>
      <c r="K3572" s="4">
        <v>149</v>
      </c>
      <c r="L3572" s="5">
        <v>32.46</v>
      </c>
      <c r="M3572" s="6">
        <v>0</v>
      </c>
      <c r="N3572" s="7">
        <v>0</v>
      </c>
      <c r="O3572" t="s">
        <v>5714</v>
      </c>
      <c r="P3572" s="3" t="s">
        <v>1567</v>
      </c>
      <c r="Q3572" s="8">
        <v>1.7033E-2</v>
      </c>
    </row>
    <row r="3573" spans="1:17" hidden="1" x14ac:dyDescent="0.55000000000000004">
      <c r="A3573" s="3" t="s">
        <v>5661</v>
      </c>
      <c r="B3573" s="3" t="s">
        <v>5709</v>
      </c>
      <c r="C3573" t="s">
        <v>5709</v>
      </c>
      <c r="D3573" s="3" t="s">
        <v>7312</v>
      </c>
      <c r="E3573" t="s">
        <v>5726</v>
      </c>
      <c r="F3573" s="3" t="s">
        <v>5727</v>
      </c>
      <c r="G3573" t="s">
        <v>19</v>
      </c>
      <c r="H3573" s="3" t="s">
        <v>5715</v>
      </c>
      <c r="I3573" t="s">
        <v>1577</v>
      </c>
      <c r="J3573" s="3" t="s">
        <v>5713</v>
      </c>
      <c r="K3573" s="4">
        <v>116</v>
      </c>
      <c r="L3573" s="5">
        <v>25.13</v>
      </c>
      <c r="M3573" s="6">
        <v>1</v>
      </c>
      <c r="N3573" s="7">
        <v>0</v>
      </c>
      <c r="O3573" t="s">
        <v>5716</v>
      </c>
      <c r="P3573" s="3" t="s">
        <v>1567</v>
      </c>
      <c r="Q3573" s="8">
        <v>1.7033E-2</v>
      </c>
    </row>
    <row r="3574" spans="1:17" hidden="1" x14ac:dyDescent="0.55000000000000004">
      <c r="A3574" s="3" t="s">
        <v>5661</v>
      </c>
      <c r="B3574" s="3" t="s">
        <v>5709</v>
      </c>
      <c r="C3574" t="s">
        <v>5709</v>
      </c>
      <c r="D3574" s="3" t="s">
        <v>7312</v>
      </c>
      <c r="E3574" t="s">
        <v>5726</v>
      </c>
      <c r="F3574" s="3" t="s">
        <v>5727</v>
      </c>
      <c r="G3574" t="s">
        <v>24</v>
      </c>
      <c r="H3574" s="3" t="s">
        <v>5717</v>
      </c>
      <c r="I3574" t="s">
        <v>26</v>
      </c>
      <c r="J3574" s="3" t="s">
        <v>5718</v>
      </c>
      <c r="K3574" s="4">
        <v>551</v>
      </c>
      <c r="L3574" s="5">
        <v>25.05</v>
      </c>
      <c r="M3574" s="6">
        <v>1</v>
      </c>
      <c r="N3574" s="7">
        <v>0</v>
      </c>
      <c r="O3574" t="s">
        <v>5719</v>
      </c>
      <c r="P3574" s="3" t="s">
        <v>76</v>
      </c>
      <c r="Q3574" s="8">
        <v>0.1865</v>
      </c>
    </row>
    <row r="3575" spans="1:17" hidden="1" x14ac:dyDescent="0.55000000000000004">
      <c r="A3575" s="3" t="s">
        <v>5661</v>
      </c>
      <c r="B3575" s="3" t="s">
        <v>5709</v>
      </c>
      <c r="C3575" t="s">
        <v>5709</v>
      </c>
      <c r="D3575" s="3" t="s">
        <v>7312</v>
      </c>
      <c r="E3575" t="s">
        <v>5726</v>
      </c>
      <c r="F3575" s="3" t="s">
        <v>5727</v>
      </c>
      <c r="G3575" t="s">
        <v>24</v>
      </c>
      <c r="H3575" s="3" t="s">
        <v>5720</v>
      </c>
      <c r="I3575" t="s">
        <v>218</v>
      </c>
      <c r="J3575" s="3" t="s">
        <v>5718</v>
      </c>
      <c r="K3575" s="4">
        <v>152</v>
      </c>
      <c r="L3575" s="5">
        <v>6.89</v>
      </c>
      <c r="M3575" s="6">
        <v>0</v>
      </c>
      <c r="N3575" s="7">
        <v>0</v>
      </c>
      <c r="O3575" t="s">
        <v>5721</v>
      </c>
      <c r="P3575" s="3" t="s">
        <v>23</v>
      </c>
      <c r="Q3575" s="8" t="s">
        <v>23</v>
      </c>
    </row>
    <row r="3576" spans="1:17" hidden="1" x14ac:dyDescent="0.55000000000000004">
      <c r="A3576" s="3" t="s">
        <v>5661</v>
      </c>
      <c r="B3576" s="3" t="s">
        <v>5709</v>
      </c>
      <c r="C3576" t="s">
        <v>5709</v>
      </c>
      <c r="D3576" s="3" t="s">
        <v>7312</v>
      </c>
      <c r="E3576" t="s">
        <v>5728</v>
      </c>
      <c r="F3576" s="3" t="s">
        <v>5729</v>
      </c>
      <c r="G3576" t="s">
        <v>19</v>
      </c>
      <c r="H3576" s="3" t="s">
        <v>5712</v>
      </c>
      <c r="I3576" t="s">
        <v>1573</v>
      </c>
      <c r="J3576" s="3" t="s">
        <v>5713</v>
      </c>
      <c r="K3576" s="4">
        <v>149</v>
      </c>
      <c r="L3576" s="5">
        <v>32.46</v>
      </c>
      <c r="M3576" s="6">
        <v>0</v>
      </c>
      <c r="N3576" s="7">
        <v>0</v>
      </c>
      <c r="O3576" t="s">
        <v>5714</v>
      </c>
      <c r="P3576" s="3" t="s">
        <v>1567</v>
      </c>
      <c r="Q3576" s="8">
        <v>1.7033E-2</v>
      </c>
    </row>
    <row r="3577" spans="1:17" hidden="1" x14ac:dyDescent="0.55000000000000004">
      <c r="A3577" s="3" t="s">
        <v>5661</v>
      </c>
      <c r="B3577" s="3" t="s">
        <v>5709</v>
      </c>
      <c r="C3577" t="s">
        <v>5709</v>
      </c>
      <c r="D3577" s="3" t="s">
        <v>7312</v>
      </c>
      <c r="E3577" t="s">
        <v>5728</v>
      </c>
      <c r="F3577" s="3" t="s">
        <v>5729</v>
      </c>
      <c r="G3577" t="s">
        <v>19</v>
      </c>
      <c r="H3577" s="3" t="s">
        <v>5715</v>
      </c>
      <c r="I3577" t="s">
        <v>1577</v>
      </c>
      <c r="J3577" s="3" t="s">
        <v>5713</v>
      </c>
      <c r="K3577" s="4">
        <v>116</v>
      </c>
      <c r="L3577" s="5">
        <v>25.13</v>
      </c>
      <c r="M3577" s="6">
        <v>1</v>
      </c>
      <c r="N3577" s="7">
        <v>0</v>
      </c>
      <c r="O3577" t="s">
        <v>5716</v>
      </c>
      <c r="P3577" s="3" t="s">
        <v>1567</v>
      </c>
      <c r="Q3577" s="8">
        <v>1.7033E-2</v>
      </c>
    </row>
    <row r="3578" spans="1:17" hidden="1" x14ac:dyDescent="0.55000000000000004">
      <c r="A3578" s="3" t="s">
        <v>5661</v>
      </c>
      <c r="B3578" s="3" t="s">
        <v>5709</v>
      </c>
      <c r="C3578" t="s">
        <v>5709</v>
      </c>
      <c r="D3578" s="3" t="s">
        <v>7312</v>
      </c>
      <c r="E3578" t="s">
        <v>5728</v>
      </c>
      <c r="F3578" s="3" t="s">
        <v>5729</v>
      </c>
      <c r="G3578" t="s">
        <v>24</v>
      </c>
      <c r="H3578" s="3" t="s">
        <v>5717</v>
      </c>
      <c r="I3578" t="s">
        <v>26</v>
      </c>
      <c r="J3578" s="3" t="s">
        <v>5718</v>
      </c>
      <c r="K3578" s="4">
        <v>551</v>
      </c>
      <c r="L3578" s="5">
        <v>25.05</v>
      </c>
      <c r="M3578" s="6">
        <v>1</v>
      </c>
      <c r="N3578" s="7">
        <v>0</v>
      </c>
      <c r="O3578" t="s">
        <v>5719</v>
      </c>
      <c r="P3578" s="3" t="s">
        <v>76</v>
      </c>
      <c r="Q3578" s="8">
        <v>0.1865</v>
      </c>
    </row>
    <row r="3579" spans="1:17" hidden="1" x14ac:dyDescent="0.55000000000000004">
      <c r="A3579" s="3" t="s">
        <v>5661</v>
      </c>
      <c r="B3579" s="3" t="s">
        <v>5709</v>
      </c>
      <c r="C3579" t="s">
        <v>5709</v>
      </c>
      <c r="D3579" s="3" t="s">
        <v>7312</v>
      </c>
      <c r="E3579" t="s">
        <v>5728</v>
      </c>
      <c r="F3579" s="3" t="s">
        <v>5729</v>
      </c>
      <c r="G3579" t="s">
        <v>24</v>
      </c>
      <c r="H3579" s="3" t="s">
        <v>5720</v>
      </c>
      <c r="I3579" t="s">
        <v>218</v>
      </c>
      <c r="J3579" s="3" t="s">
        <v>5718</v>
      </c>
      <c r="K3579" s="4">
        <v>152</v>
      </c>
      <c r="L3579" s="5">
        <v>6.89</v>
      </c>
      <c r="M3579" s="6">
        <v>0</v>
      </c>
      <c r="N3579" s="7">
        <v>0</v>
      </c>
      <c r="O3579" t="s">
        <v>5721</v>
      </c>
      <c r="P3579" s="3" t="s">
        <v>23</v>
      </c>
      <c r="Q3579" s="8" t="s">
        <v>23</v>
      </c>
    </row>
    <row r="3580" spans="1:17" hidden="1" x14ac:dyDescent="0.55000000000000004">
      <c r="A3580" s="3" t="s">
        <v>5661</v>
      </c>
      <c r="B3580" s="3" t="s">
        <v>5709</v>
      </c>
      <c r="C3580" t="s">
        <v>5709</v>
      </c>
      <c r="D3580" s="3" t="s">
        <v>7312</v>
      </c>
      <c r="E3580" t="s">
        <v>5730</v>
      </c>
      <c r="F3580" s="3" t="s">
        <v>5731</v>
      </c>
      <c r="G3580" t="s">
        <v>19</v>
      </c>
      <c r="H3580" s="3" t="s">
        <v>5712</v>
      </c>
      <c r="I3580" t="s">
        <v>1573</v>
      </c>
      <c r="J3580" s="3" t="s">
        <v>5713</v>
      </c>
      <c r="K3580" s="4">
        <v>149</v>
      </c>
      <c r="L3580" s="5">
        <v>32.46</v>
      </c>
      <c r="M3580" s="6">
        <v>0</v>
      </c>
      <c r="N3580" s="7">
        <v>0</v>
      </c>
      <c r="O3580" t="s">
        <v>5714</v>
      </c>
      <c r="P3580" s="3" t="s">
        <v>1567</v>
      </c>
      <c r="Q3580" s="8">
        <v>1.7033E-2</v>
      </c>
    </row>
    <row r="3581" spans="1:17" hidden="1" x14ac:dyDescent="0.55000000000000004">
      <c r="A3581" s="3" t="s">
        <v>5661</v>
      </c>
      <c r="B3581" s="3" t="s">
        <v>5709</v>
      </c>
      <c r="C3581" t="s">
        <v>5709</v>
      </c>
      <c r="D3581" s="3" t="s">
        <v>7312</v>
      </c>
      <c r="E3581" t="s">
        <v>5730</v>
      </c>
      <c r="F3581" s="3" t="s">
        <v>5731</v>
      </c>
      <c r="G3581" t="s">
        <v>19</v>
      </c>
      <c r="H3581" s="3" t="s">
        <v>5715</v>
      </c>
      <c r="I3581" t="s">
        <v>1577</v>
      </c>
      <c r="J3581" s="3" t="s">
        <v>5713</v>
      </c>
      <c r="K3581" s="4">
        <v>116</v>
      </c>
      <c r="L3581" s="5">
        <v>25.13</v>
      </c>
      <c r="M3581" s="6">
        <v>1</v>
      </c>
      <c r="N3581" s="7">
        <v>0</v>
      </c>
      <c r="O3581" t="s">
        <v>5716</v>
      </c>
      <c r="P3581" s="3" t="s">
        <v>1567</v>
      </c>
      <c r="Q3581" s="8">
        <v>1.7033E-2</v>
      </c>
    </row>
    <row r="3582" spans="1:17" hidden="1" x14ac:dyDescent="0.55000000000000004">
      <c r="A3582" s="3" t="s">
        <v>5661</v>
      </c>
      <c r="B3582" s="3" t="s">
        <v>5709</v>
      </c>
      <c r="C3582" t="s">
        <v>5709</v>
      </c>
      <c r="D3582" s="3" t="s">
        <v>7312</v>
      </c>
      <c r="E3582" t="s">
        <v>5730</v>
      </c>
      <c r="F3582" s="3" t="s">
        <v>5731</v>
      </c>
      <c r="G3582" t="s">
        <v>24</v>
      </c>
      <c r="H3582" s="3" t="s">
        <v>5717</v>
      </c>
      <c r="I3582" t="s">
        <v>26</v>
      </c>
      <c r="J3582" s="3" t="s">
        <v>5718</v>
      </c>
      <c r="K3582" s="4">
        <v>551</v>
      </c>
      <c r="L3582" s="5">
        <v>25.05</v>
      </c>
      <c r="M3582" s="6">
        <v>1</v>
      </c>
      <c r="N3582" s="7">
        <v>0</v>
      </c>
      <c r="O3582" t="s">
        <v>5719</v>
      </c>
      <c r="P3582" s="3" t="s">
        <v>76</v>
      </c>
      <c r="Q3582" s="8">
        <v>0.1865</v>
      </c>
    </row>
    <row r="3583" spans="1:17" hidden="1" x14ac:dyDescent="0.55000000000000004">
      <c r="A3583" s="3" t="s">
        <v>5661</v>
      </c>
      <c r="B3583" s="3" t="s">
        <v>5709</v>
      </c>
      <c r="C3583" t="s">
        <v>5709</v>
      </c>
      <c r="D3583" s="3" t="s">
        <v>7312</v>
      </c>
      <c r="E3583" t="s">
        <v>5730</v>
      </c>
      <c r="F3583" s="3" t="s">
        <v>5731</v>
      </c>
      <c r="G3583" t="s">
        <v>24</v>
      </c>
      <c r="H3583" s="3" t="s">
        <v>5720</v>
      </c>
      <c r="I3583" t="s">
        <v>218</v>
      </c>
      <c r="J3583" s="3" t="s">
        <v>5718</v>
      </c>
      <c r="K3583" s="4">
        <v>152</v>
      </c>
      <c r="L3583" s="5">
        <v>6.89</v>
      </c>
      <c r="M3583" s="6">
        <v>0</v>
      </c>
      <c r="N3583" s="7">
        <v>0</v>
      </c>
      <c r="O3583" t="s">
        <v>5721</v>
      </c>
      <c r="P3583" s="3" t="s">
        <v>23</v>
      </c>
      <c r="Q3583" s="8" t="s">
        <v>23</v>
      </c>
    </row>
    <row r="3584" spans="1:17" hidden="1" x14ac:dyDescent="0.55000000000000004">
      <c r="A3584" s="3" t="s">
        <v>5661</v>
      </c>
      <c r="B3584" s="3" t="s">
        <v>5709</v>
      </c>
      <c r="C3584" t="s">
        <v>5709</v>
      </c>
      <c r="D3584" s="3" t="s">
        <v>7312</v>
      </c>
      <c r="E3584" t="s">
        <v>5732</v>
      </c>
      <c r="F3584" s="3" t="s">
        <v>5733</v>
      </c>
      <c r="G3584" t="s">
        <v>19</v>
      </c>
      <c r="H3584" s="3" t="s">
        <v>5712</v>
      </c>
      <c r="I3584" t="s">
        <v>1573</v>
      </c>
      <c r="J3584" s="3" t="s">
        <v>5713</v>
      </c>
      <c r="K3584" s="4">
        <v>149</v>
      </c>
      <c r="L3584" s="5">
        <v>32.46</v>
      </c>
      <c r="M3584" s="6">
        <v>0</v>
      </c>
      <c r="N3584" s="7">
        <v>0</v>
      </c>
      <c r="O3584" t="s">
        <v>5714</v>
      </c>
      <c r="P3584" s="3" t="s">
        <v>1567</v>
      </c>
      <c r="Q3584" s="8">
        <v>1.7033E-2</v>
      </c>
    </row>
    <row r="3585" spans="1:17" hidden="1" x14ac:dyDescent="0.55000000000000004">
      <c r="A3585" s="3" t="s">
        <v>5661</v>
      </c>
      <c r="B3585" s="3" t="s">
        <v>5709</v>
      </c>
      <c r="C3585" t="s">
        <v>5709</v>
      </c>
      <c r="D3585" s="3" t="s">
        <v>7312</v>
      </c>
      <c r="E3585" t="s">
        <v>5732</v>
      </c>
      <c r="F3585" s="3" t="s">
        <v>5733</v>
      </c>
      <c r="G3585" t="s">
        <v>19</v>
      </c>
      <c r="H3585" s="3" t="s">
        <v>5715</v>
      </c>
      <c r="I3585" t="s">
        <v>1577</v>
      </c>
      <c r="J3585" s="3" t="s">
        <v>5713</v>
      </c>
      <c r="K3585" s="4">
        <v>116</v>
      </c>
      <c r="L3585" s="5">
        <v>25.13</v>
      </c>
      <c r="M3585" s="6">
        <v>1</v>
      </c>
      <c r="N3585" s="7">
        <v>0</v>
      </c>
      <c r="O3585" t="s">
        <v>5716</v>
      </c>
      <c r="P3585" s="3" t="s">
        <v>1567</v>
      </c>
      <c r="Q3585" s="8">
        <v>1.7033E-2</v>
      </c>
    </row>
    <row r="3586" spans="1:17" hidden="1" x14ac:dyDescent="0.55000000000000004">
      <c r="A3586" s="3" t="s">
        <v>5661</v>
      </c>
      <c r="B3586" s="3" t="s">
        <v>5709</v>
      </c>
      <c r="C3586" t="s">
        <v>5709</v>
      </c>
      <c r="D3586" s="3" t="s">
        <v>7312</v>
      </c>
      <c r="E3586" t="s">
        <v>5732</v>
      </c>
      <c r="F3586" s="3" t="s">
        <v>5733</v>
      </c>
      <c r="G3586" t="s">
        <v>24</v>
      </c>
      <c r="H3586" s="3" t="s">
        <v>5717</v>
      </c>
      <c r="I3586" t="s">
        <v>26</v>
      </c>
      <c r="J3586" s="3" t="s">
        <v>5718</v>
      </c>
      <c r="K3586" s="4">
        <v>551</v>
      </c>
      <c r="L3586" s="5">
        <v>25.05</v>
      </c>
      <c r="M3586" s="6">
        <v>1</v>
      </c>
      <c r="N3586" s="7">
        <v>0</v>
      </c>
      <c r="O3586" t="s">
        <v>5719</v>
      </c>
      <c r="P3586" s="3" t="s">
        <v>76</v>
      </c>
      <c r="Q3586" s="8">
        <v>0.1865</v>
      </c>
    </row>
    <row r="3587" spans="1:17" hidden="1" x14ac:dyDescent="0.55000000000000004">
      <c r="A3587" s="3" t="s">
        <v>5661</v>
      </c>
      <c r="B3587" s="3" t="s">
        <v>5709</v>
      </c>
      <c r="C3587" t="s">
        <v>5709</v>
      </c>
      <c r="D3587" s="3" t="s">
        <v>7312</v>
      </c>
      <c r="E3587" t="s">
        <v>5732</v>
      </c>
      <c r="F3587" s="3" t="s">
        <v>5733</v>
      </c>
      <c r="G3587" t="s">
        <v>24</v>
      </c>
      <c r="H3587" s="3" t="s">
        <v>5720</v>
      </c>
      <c r="I3587" t="s">
        <v>218</v>
      </c>
      <c r="J3587" s="3" t="s">
        <v>5718</v>
      </c>
      <c r="K3587" s="4">
        <v>152</v>
      </c>
      <c r="L3587" s="5">
        <v>6.89</v>
      </c>
      <c r="M3587" s="6">
        <v>0</v>
      </c>
      <c r="N3587" s="7">
        <v>0</v>
      </c>
      <c r="O3587" t="s">
        <v>5721</v>
      </c>
      <c r="P3587" s="3" t="s">
        <v>23</v>
      </c>
      <c r="Q3587" s="8" t="s">
        <v>23</v>
      </c>
    </row>
    <row r="3588" spans="1:17" hidden="1" x14ac:dyDescent="0.55000000000000004">
      <c r="A3588" s="3" t="s">
        <v>5661</v>
      </c>
      <c r="B3588" s="3" t="s">
        <v>5734</v>
      </c>
      <c r="C3588" t="s">
        <v>5734</v>
      </c>
      <c r="D3588" s="3" t="s">
        <v>7312</v>
      </c>
      <c r="E3588" t="s">
        <v>5735</v>
      </c>
      <c r="F3588" s="3" t="s">
        <v>5736</v>
      </c>
      <c r="G3588" t="s">
        <v>24</v>
      </c>
      <c r="H3588" s="3" t="s">
        <v>5737</v>
      </c>
      <c r="I3588" t="s">
        <v>304</v>
      </c>
      <c r="J3588" s="3" t="s">
        <v>5738</v>
      </c>
      <c r="K3588" s="4">
        <v>558</v>
      </c>
      <c r="L3588" s="5">
        <v>25.37</v>
      </c>
      <c r="M3588" s="6">
        <v>1</v>
      </c>
      <c r="N3588" s="7">
        <v>0</v>
      </c>
      <c r="O3588" t="s">
        <v>5739</v>
      </c>
      <c r="P3588" s="3" t="s">
        <v>55</v>
      </c>
      <c r="Q3588" s="8">
        <v>0.183613</v>
      </c>
    </row>
    <row r="3589" spans="1:17" hidden="1" x14ac:dyDescent="0.55000000000000004">
      <c r="A3589" s="9" t="s">
        <v>5661</v>
      </c>
      <c r="B3589" s="3" t="s">
        <v>5740</v>
      </c>
      <c r="C3589" t="s">
        <v>5740</v>
      </c>
      <c r="D3589" s="3" t="s">
        <v>7312</v>
      </c>
      <c r="E3589" t="s">
        <v>5741</v>
      </c>
      <c r="F3589" s="3" t="s">
        <v>5742</v>
      </c>
      <c r="G3589" t="s">
        <v>24</v>
      </c>
      <c r="H3589" s="3" t="s">
        <v>5743</v>
      </c>
      <c r="I3589" t="s">
        <v>26</v>
      </c>
      <c r="J3589" s="3" t="s">
        <v>5744</v>
      </c>
      <c r="K3589" s="4">
        <v>626</v>
      </c>
      <c r="L3589" s="5">
        <v>28.45</v>
      </c>
      <c r="M3589" s="6">
        <v>0</v>
      </c>
      <c r="N3589" s="7">
        <v>0</v>
      </c>
      <c r="O3589" t="s">
        <v>5745</v>
      </c>
      <c r="P3589" s="3" t="s">
        <v>29</v>
      </c>
      <c r="Q3589" s="8">
        <v>0.1865</v>
      </c>
    </row>
    <row r="3590" spans="1:17" hidden="1" x14ac:dyDescent="0.55000000000000004">
      <c r="A3590" s="3" t="s">
        <v>5746</v>
      </c>
      <c r="B3590" s="3" t="s">
        <v>5747</v>
      </c>
      <c r="C3590" t="s">
        <v>5747</v>
      </c>
      <c r="D3590" s="3" t="s">
        <v>7329</v>
      </c>
      <c r="E3590" t="s">
        <v>5748</v>
      </c>
      <c r="F3590" s="3" t="s">
        <v>5749</v>
      </c>
      <c r="G3590" t="s">
        <v>24</v>
      </c>
      <c r="H3590" s="3" t="s">
        <v>5750</v>
      </c>
      <c r="I3590" t="s">
        <v>37</v>
      </c>
      <c r="J3590" s="3" t="s">
        <v>5751</v>
      </c>
      <c r="K3590" s="4">
        <v>557</v>
      </c>
      <c r="L3590" s="5">
        <v>25.33</v>
      </c>
      <c r="M3590" s="6">
        <v>1</v>
      </c>
      <c r="N3590" s="7">
        <v>0</v>
      </c>
      <c r="O3590" t="s">
        <v>5752</v>
      </c>
      <c r="P3590" s="3" t="s">
        <v>40</v>
      </c>
      <c r="Q3590" s="8">
        <v>0.18360299999999999</v>
      </c>
    </row>
    <row r="3591" spans="1:17" hidden="1" x14ac:dyDescent="0.55000000000000004">
      <c r="A3591" s="3" t="s">
        <v>5746</v>
      </c>
      <c r="B3591" s="3" t="s">
        <v>5753</v>
      </c>
      <c r="C3591" t="s">
        <v>5747</v>
      </c>
      <c r="D3591" s="3" t="s">
        <v>7329</v>
      </c>
      <c r="E3591" t="s">
        <v>5754</v>
      </c>
      <c r="F3591" s="3" t="s">
        <v>5755</v>
      </c>
      <c r="G3591" t="s">
        <v>24</v>
      </c>
      <c r="H3591" s="3" t="s">
        <v>5756</v>
      </c>
      <c r="I3591" t="s">
        <v>37</v>
      </c>
      <c r="J3591" s="3" t="s">
        <v>5757</v>
      </c>
      <c r="K3591" s="4">
        <v>580</v>
      </c>
      <c r="L3591" s="5">
        <v>26.38</v>
      </c>
      <c r="M3591" s="6">
        <v>1</v>
      </c>
      <c r="N3591" s="7">
        <v>0</v>
      </c>
      <c r="O3591" t="s">
        <v>5758</v>
      </c>
      <c r="P3591" s="3" t="s">
        <v>40</v>
      </c>
      <c r="Q3591" s="8">
        <v>0.183833</v>
      </c>
    </row>
    <row r="3592" spans="1:17" hidden="1" x14ac:dyDescent="0.55000000000000004">
      <c r="A3592" s="9" t="s">
        <v>5746</v>
      </c>
      <c r="B3592" s="3" t="s">
        <v>5759</v>
      </c>
      <c r="C3592" t="s">
        <v>4396</v>
      </c>
      <c r="D3592" s="3" t="s">
        <v>7329</v>
      </c>
      <c r="E3592" t="s">
        <v>5760</v>
      </c>
      <c r="F3592" s="3" t="s">
        <v>5761</v>
      </c>
      <c r="G3592" t="s">
        <v>24</v>
      </c>
      <c r="H3592" s="3" t="s">
        <v>5762</v>
      </c>
      <c r="I3592" t="s">
        <v>43</v>
      </c>
      <c r="J3592" s="3" t="s">
        <v>5763</v>
      </c>
      <c r="K3592" s="4">
        <v>451</v>
      </c>
      <c r="L3592" s="5">
        <v>20.52</v>
      </c>
      <c r="M3592" s="6">
        <v>1</v>
      </c>
      <c r="N3592" s="7">
        <v>0</v>
      </c>
      <c r="O3592" t="s">
        <v>5764</v>
      </c>
      <c r="P3592" s="3" t="s">
        <v>138</v>
      </c>
      <c r="Q3592" s="8">
        <v>0.184285</v>
      </c>
    </row>
    <row r="3593" spans="1:17" hidden="1" x14ac:dyDescent="0.55000000000000004">
      <c r="A3593" s="3" t="s">
        <v>5765</v>
      </c>
      <c r="B3593" s="3" t="s">
        <v>5766</v>
      </c>
      <c r="C3593" t="s">
        <v>5766</v>
      </c>
      <c r="D3593" s="3" t="s">
        <v>7326</v>
      </c>
      <c r="E3593" t="s">
        <v>5767</v>
      </c>
      <c r="F3593" s="3" t="s">
        <v>5768</v>
      </c>
      <c r="G3593" t="s">
        <v>24</v>
      </c>
      <c r="H3593" s="3" t="s">
        <v>5769</v>
      </c>
      <c r="I3593" t="s">
        <v>52</v>
      </c>
      <c r="J3593" s="3" t="s">
        <v>5770</v>
      </c>
      <c r="K3593" s="4">
        <v>753</v>
      </c>
      <c r="L3593" s="5">
        <v>34.24</v>
      </c>
      <c r="M3593" s="6">
        <v>1</v>
      </c>
      <c r="N3593" s="7">
        <v>0</v>
      </c>
      <c r="O3593" t="s">
        <v>5771</v>
      </c>
      <c r="P3593" s="3" t="s">
        <v>55</v>
      </c>
      <c r="Q3593" s="8">
        <v>0.2177</v>
      </c>
    </row>
    <row r="3594" spans="1:17" hidden="1" x14ac:dyDescent="0.55000000000000004">
      <c r="A3594" s="3" t="s">
        <v>5765</v>
      </c>
      <c r="B3594" s="3" t="s">
        <v>5766</v>
      </c>
      <c r="C3594" t="s">
        <v>5766</v>
      </c>
      <c r="D3594" s="3" t="s">
        <v>7326</v>
      </c>
      <c r="E3594" t="s">
        <v>5772</v>
      </c>
      <c r="F3594" s="3" t="s">
        <v>5773</v>
      </c>
      <c r="G3594" t="s">
        <v>24</v>
      </c>
      <c r="H3594" s="3" t="s">
        <v>5769</v>
      </c>
      <c r="I3594" t="s">
        <v>52</v>
      </c>
      <c r="J3594" s="3" t="s">
        <v>5770</v>
      </c>
      <c r="K3594" s="4">
        <v>753</v>
      </c>
      <c r="L3594" s="5">
        <v>34.24</v>
      </c>
      <c r="M3594" s="6">
        <v>1</v>
      </c>
      <c r="N3594" s="7">
        <v>0</v>
      </c>
      <c r="O3594" t="s">
        <v>5771</v>
      </c>
      <c r="P3594" s="3" t="s">
        <v>55</v>
      </c>
      <c r="Q3594" s="8">
        <v>0.2177</v>
      </c>
    </row>
    <row r="3595" spans="1:17" hidden="1" x14ac:dyDescent="0.55000000000000004">
      <c r="A3595" s="3" t="s">
        <v>5765</v>
      </c>
      <c r="B3595" s="3" t="s">
        <v>7397</v>
      </c>
      <c r="C3595" t="s">
        <v>5766</v>
      </c>
      <c r="D3595" s="3" t="s">
        <v>7326</v>
      </c>
      <c r="E3595" t="s">
        <v>5774</v>
      </c>
      <c r="F3595" s="3" t="s">
        <v>5775</v>
      </c>
      <c r="G3595" t="s">
        <v>24</v>
      </c>
      <c r="H3595" s="3" t="s">
        <v>5769</v>
      </c>
      <c r="I3595" t="s">
        <v>52</v>
      </c>
      <c r="J3595" s="3" t="s">
        <v>5770</v>
      </c>
      <c r="K3595" s="4">
        <v>753</v>
      </c>
      <c r="L3595" s="5">
        <v>34.24</v>
      </c>
      <c r="M3595" s="6">
        <v>1</v>
      </c>
      <c r="N3595" s="7">
        <v>0</v>
      </c>
      <c r="O3595" t="s">
        <v>5771</v>
      </c>
      <c r="P3595" s="3" t="s">
        <v>55</v>
      </c>
      <c r="Q3595" s="8">
        <v>0.2177</v>
      </c>
    </row>
    <row r="3596" spans="1:17" hidden="1" x14ac:dyDescent="0.55000000000000004">
      <c r="A3596" s="3" t="s">
        <v>5765</v>
      </c>
      <c r="B3596" s="3" t="s">
        <v>5776</v>
      </c>
      <c r="C3596" t="s">
        <v>5776</v>
      </c>
      <c r="D3596" s="3" t="s">
        <v>7326</v>
      </c>
      <c r="E3596" t="s">
        <v>5777</v>
      </c>
      <c r="F3596" s="3" t="s">
        <v>5778</v>
      </c>
      <c r="G3596" t="s">
        <v>19</v>
      </c>
      <c r="H3596" s="3" t="s">
        <v>5779</v>
      </c>
      <c r="I3596" t="s">
        <v>691</v>
      </c>
      <c r="J3596" s="3" t="s">
        <v>695</v>
      </c>
      <c r="K3596" s="4">
        <v>164</v>
      </c>
      <c r="L3596" s="5">
        <v>35.74</v>
      </c>
      <c r="M3596" s="6">
        <v>1</v>
      </c>
      <c r="N3596" s="7">
        <v>1</v>
      </c>
      <c r="O3596" t="s">
        <v>5780</v>
      </c>
      <c r="P3596" s="3" t="s">
        <v>693</v>
      </c>
      <c r="Q3596" s="8">
        <v>3.3730999999999997E-2</v>
      </c>
    </row>
    <row r="3597" spans="1:17" hidden="1" x14ac:dyDescent="0.55000000000000004">
      <c r="A3597" s="3" t="s">
        <v>5765</v>
      </c>
      <c r="B3597" s="3" t="s">
        <v>5776</v>
      </c>
      <c r="C3597" t="s">
        <v>5776</v>
      </c>
      <c r="D3597" s="3" t="s">
        <v>7326</v>
      </c>
      <c r="E3597" t="s">
        <v>5777</v>
      </c>
      <c r="F3597" s="3" t="s">
        <v>5778</v>
      </c>
      <c r="G3597" t="s">
        <v>24</v>
      </c>
      <c r="H3597" s="3" t="s">
        <v>5781</v>
      </c>
      <c r="I3597" t="s">
        <v>52</v>
      </c>
      <c r="J3597" s="3" t="s">
        <v>5782</v>
      </c>
      <c r="K3597" s="4">
        <v>645</v>
      </c>
      <c r="L3597" s="5">
        <v>29.31</v>
      </c>
      <c r="M3597" s="6">
        <v>1</v>
      </c>
      <c r="N3597" s="7">
        <v>1</v>
      </c>
      <c r="O3597" t="s">
        <v>5783</v>
      </c>
      <c r="P3597" s="3" t="s">
        <v>55</v>
      </c>
      <c r="Q3597" s="8">
        <v>0.184477</v>
      </c>
    </row>
    <row r="3598" spans="1:17" hidden="1" x14ac:dyDescent="0.55000000000000004">
      <c r="A3598" s="3" t="s">
        <v>5765</v>
      </c>
      <c r="B3598" s="3" t="s">
        <v>5776</v>
      </c>
      <c r="C3598" t="s">
        <v>5776</v>
      </c>
      <c r="D3598" s="3" t="s">
        <v>7326</v>
      </c>
      <c r="E3598" t="s">
        <v>5784</v>
      </c>
      <c r="F3598" s="3" t="s">
        <v>5785</v>
      </c>
      <c r="G3598" t="s">
        <v>24</v>
      </c>
      <c r="H3598" s="3" t="s">
        <v>5781</v>
      </c>
      <c r="I3598" t="s">
        <v>52</v>
      </c>
      <c r="J3598" s="3" t="s">
        <v>5782</v>
      </c>
      <c r="K3598" s="4">
        <v>645</v>
      </c>
      <c r="L3598" s="5">
        <v>29.31</v>
      </c>
      <c r="M3598" s="6">
        <v>1</v>
      </c>
      <c r="N3598" s="7">
        <v>0</v>
      </c>
      <c r="O3598" t="s">
        <v>5783</v>
      </c>
      <c r="P3598" s="3" t="s">
        <v>55</v>
      </c>
      <c r="Q3598" s="8">
        <v>0.184477</v>
      </c>
    </row>
    <row r="3599" spans="1:17" hidden="1" x14ac:dyDescent="0.55000000000000004">
      <c r="A3599" s="3" t="s">
        <v>5765</v>
      </c>
      <c r="B3599" s="3" t="s">
        <v>5786</v>
      </c>
      <c r="C3599" t="s">
        <v>5786</v>
      </c>
      <c r="D3599" s="3" t="s">
        <v>7326</v>
      </c>
      <c r="E3599" t="s">
        <v>5787</v>
      </c>
      <c r="F3599" s="3" t="s">
        <v>5788</v>
      </c>
      <c r="G3599" t="s">
        <v>19</v>
      </c>
      <c r="H3599" s="3" t="s">
        <v>23</v>
      </c>
      <c r="I3599" t="s">
        <v>67</v>
      </c>
      <c r="J3599" s="3" t="s">
        <v>5789</v>
      </c>
      <c r="K3599" s="4" t="s">
        <v>23</v>
      </c>
      <c r="L3599" s="5" t="s">
        <v>23</v>
      </c>
      <c r="M3599" s="6">
        <v>0</v>
      </c>
      <c r="N3599" s="7">
        <v>0</v>
      </c>
      <c r="O3599" t="s">
        <v>23</v>
      </c>
      <c r="P3599" s="3" t="s">
        <v>23</v>
      </c>
      <c r="Q3599" s="8" t="s">
        <v>23</v>
      </c>
    </row>
    <row r="3600" spans="1:17" hidden="1" x14ac:dyDescent="0.55000000000000004">
      <c r="A3600" s="3" t="s">
        <v>5765</v>
      </c>
      <c r="B3600" s="3" t="s">
        <v>5786</v>
      </c>
      <c r="C3600" t="s">
        <v>5786</v>
      </c>
      <c r="D3600" s="3" t="s">
        <v>7326</v>
      </c>
      <c r="E3600" t="s">
        <v>5787</v>
      </c>
      <c r="F3600" s="3" t="s">
        <v>5788</v>
      </c>
      <c r="G3600" t="s">
        <v>24</v>
      </c>
      <c r="H3600" s="3" t="s">
        <v>5790</v>
      </c>
      <c r="I3600" t="s">
        <v>26</v>
      </c>
      <c r="J3600" s="3" t="s">
        <v>5791</v>
      </c>
      <c r="K3600" s="4">
        <v>785</v>
      </c>
      <c r="L3600" s="5">
        <v>35.69</v>
      </c>
      <c r="M3600" s="6">
        <v>1</v>
      </c>
      <c r="N3600" s="7">
        <v>0</v>
      </c>
      <c r="O3600" t="s">
        <v>5792</v>
      </c>
      <c r="P3600" s="3" t="s">
        <v>29</v>
      </c>
      <c r="Q3600" s="8">
        <v>0.258216</v>
      </c>
    </row>
    <row r="3601" spans="1:17" hidden="1" x14ac:dyDescent="0.55000000000000004">
      <c r="A3601" s="3" t="s">
        <v>5765</v>
      </c>
      <c r="B3601" s="3" t="s">
        <v>5793</v>
      </c>
      <c r="C3601" t="s">
        <v>5793</v>
      </c>
      <c r="D3601" s="3" t="s">
        <v>7326</v>
      </c>
      <c r="E3601" t="s">
        <v>5794</v>
      </c>
      <c r="F3601" s="3" t="s">
        <v>5795</v>
      </c>
      <c r="G3601" t="s">
        <v>24</v>
      </c>
      <c r="H3601" s="3" t="s">
        <v>5796</v>
      </c>
      <c r="I3601" t="s">
        <v>52</v>
      </c>
      <c r="J3601" s="3" t="s">
        <v>5797</v>
      </c>
      <c r="K3601" s="4">
        <v>732</v>
      </c>
      <c r="L3601" s="5">
        <v>33.26</v>
      </c>
      <c r="M3601" s="6">
        <v>1</v>
      </c>
      <c r="N3601" s="7">
        <v>0</v>
      </c>
      <c r="O3601" t="s">
        <v>5798</v>
      </c>
      <c r="P3601" s="3" t="s">
        <v>55</v>
      </c>
      <c r="Q3601" s="8">
        <v>0.21748300000000001</v>
      </c>
    </row>
    <row r="3602" spans="1:17" hidden="1" x14ac:dyDescent="0.55000000000000004">
      <c r="A3602" s="3" t="s">
        <v>5765</v>
      </c>
      <c r="B3602" s="3" t="s">
        <v>5799</v>
      </c>
      <c r="C3602" t="s">
        <v>5799</v>
      </c>
      <c r="D3602" s="3" t="s">
        <v>7326</v>
      </c>
      <c r="E3602" t="s">
        <v>5800</v>
      </c>
      <c r="F3602" s="3" t="s">
        <v>5801</v>
      </c>
      <c r="G3602" t="s">
        <v>24</v>
      </c>
      <c r="H3602" s="3" t="s">
        <v>5802</v>
      </c>
      <c r="I3602" t="s">
        <v>52</v>
      </c>
      <c r="J3602" s="3" t="s">
        <v>5803</v>
      </c>
      <c r="K3602" s="4">
        <v>638</v>
      </c>
      <c r="L3602" s="5">
        <v>28.99</v>
      </c>
      <c r="M3602" s="6">
        <v>1</v>
      </c>
      <c r="N3602" s="7">
        <v>0</v>
      </c>
      <c r="O3602" t="s">
        <v>5804</v>
      </c>
      <c r="P3602" s="3" t="s">
        <v>55</v>
      </c>
      <c r="Q3602" s="8">
        <v>0.18440699999999999</v>
      </c>
    </row>
    <row r="3603" spans="1:17" hidden="1" x14ac:dyDescent="0.55000000000000004">
      <c r="A3603" s="3" t="s">
        <v>5765</v>
      </c>
      <c r="B3603" s="3" t="s">
        <v>5805</v>
      </c>
      <c r="C3603" t="s">
        <v>5805</v>
      </c>
      <c r="D3603" s="3" t="s">
        <v>7326</v>
      </c>
      <c r="E3603" t="s">
        <v>5806</v>
      </c>
      <c r="F3603" s="3" t="s">
        <v>5807</v>
      </c>
      <c r="G3603" t="s">
        <v>19</v>
      </c>
      <c r="H3603" s="3" t="s">
        <v>5808</v>
      </c>
      <c r="I3603" t="s">
        <v>3627</v>
      </c>
      <c r="J3603" s="3" t="s">
        <v>5809</v>
      </c>
      <c r="K3603" s="4">
        <v>119</v>
      </c>
      <c r="L3603" s="5">
        <v>25.93</v>
      </c>
      <c r="M3603" s="6">
        <v>1</v>
      </c>
      <c r="N3603" s="7">
        <v>0</v>
      </c>
      <c r="O3603" t="s">
        <v>5810</v>
      </c>
      <c r="P3603" s="3" t="s">
        <v>3631</v>
      </c>
      <c r="Q3603" s="8">
        <v>2.7206999999999999E-2</v>
      </c>
    </row>
    <row r="3604" spans="1:17" hidden="1" x14ac:dyDescent="0.55000000000000004">
      <c r="A3604" s="3" t="s">
        <v>5765</v>
      </c>
      <c r="B3604" s="3" t="s">
        <v>5805</v>
      </c>
      <c r="C3604" t="s">
        <v>5805</v>
      </c>
      <c r="D3604" s="3" t="s">
        <v>7326</v>
      </c>
      <c r="E3604" t="s">
        <v>5806</v>
      </c>
      <c r="F3604" s="3" t="s">
        <v>5807</v>
      </c>
      <c r="G3604" t="s">
        <v>24</v>
      </c>
      <c r="H3604" s="3" t="s">
        <v>5811</v>
      </c>
      <c r="I3604" t="s">
        <v>26</v>
      </c>
      <c r="J3604" s="3" t="s">
        <v>5812</v>
      </c>
      <c r="K3604" s="4">
        <v>694</v>
      </c>
      <c r="L3604" s="5">
        <v>31.55</v>
      </c>
      <c r="M3604" s="6">
        <v>1</v>
      </c>
      <c r="N3604" s="7">
        <v>0</v>
      </c>
      <c r="O3604" t="s">
        <v>5813</v>
      </c>
      <c r="P3604" s="3" t="s">
        <v>29</v>
      </c>
      <c r="Q3604" s="8">
        <v>0.21963099999999999</v>
      </c>
    </row>
    <row r="3605" spans="1:17" hidden="1" x14ac:dyDescent="0.55000000000000004">
      <c r="A3605" s="3" t="s">
        <v>5765</v>
      </c>
      <c r="B3605" s="3" t="s">
        <v>5814</v>
      </c>
      <c r="C3605" t="s">
        <v>5814</v>
      </c>
      <c r="D3605" s="3" t="s">
        <v>7326</v>
      </c>
      <c r="E3605" t="s">
        <v>5815</v>
      </c>
      <c r="F3605" s="3" t="s">
        <v>5816</v>
      </c>
      <c r="G3605" t="s">
        <v>24</v>
      </c>
      <c r="H3605" s="3" t="s">
        <v>5817</v>
      </c>
      <c r="I3605" t="s">
        <v>52</v>
      </c>
      <c r="J3605" s="3" t="s">
        <v>5818</v>
      </c>
      <c r="K3605" s="4">
        <v>837</v>
      </c>
      <c r="L3605" s="5">
        <v>38.04</v>
      </c>
      <c r="M3605" s="6">
        <v>1</v>
      </c>
      <c r="N3605" s="7">
        <v>0</v>
      </c>
      <c r="O3605" t="s">
        <v>5819</v>
      </c>
      <c r="P3605" s="3" t="s">
        <v>55</v>
      </c>
      <c r="Q3605" s="8">
        <v>0.21853500000000001</v>
      </c>
    </row>
    <row r="3606" spans="1:17" hidden="1" x14ac:dyDescent="0.55000000000000004">
      <c r="A3606" s="3" t="s">
        <v>5765</v>
      </c>
      <c r="B3606" s="3" t="s">
        <v>5820</v>
      </c>
      <c r="C3606" t="s">
        <v>5820</v>
      </c>
      <c r="D3606" s="3" t="s">
        <v>7326</v>
      </c>
      <c r="E3606" t="s">
        <v>5821</v>
      </c>
      <c r="F3606" s="3" t="s">
        <v>5822</v>
      </c>
      <c r="G3606" t="s">
        <v>24</v>
      </c>
      <c r="H3606" s="3" t="s">
        <v>5823</v>
      </c>
      <c r="I3606" t="s">
        <v>26</v>
      </c>
      <c r="J3606" s="3" t="s">
        <v>5824</v>
      </c>
      <c r="K3606" s="4">
        <v>585</v>
      </c>
      <c r="L3606" s="5">
        <v>26.6</v>
      </c>
      <c r="M3606" s="6">
        <v>1</v>
      </c>
      <c r="N3606" s="7">
        <v>0</v>
      </c>
      <c r="O3606" t="s">
        <v>5825</v>
      </c>
      <c r="P3606" s="3" t="s">
        <v>29</v>
      </c>
      <c r="Q3606" s="8">
        <v>0.218192</v>
      </c>
    </row>
    <row r="3607" spans="1:17" hidden="1" x14ac:dyDescent="0.55000000000000004">
      <c r="A3607" s="9" t="s">
        <v>5765</v>
      </c>
      <c r="B3607" s="3" t="s">
        <v>5820</v>
      </c>
      <c r="C3607" t="s">
        <v>5820</v>
      </c>
      <c r="D3607" s="3" t="s">
        <v>7326</v>
      </c>
      <c r="E3607" t="s">
        <v>5826</v>
      </c>
      <c r="F3607" s="3" t="s">
        <v>5827</v>
      </c>
      <c r="G3607" t="s">
        <v>24</v>
      </c>
      <c r="H3607" s="3" t="s">
        <v>5823</v>
      </c>
      <c r="I3607" t="s">
        <v>26</v>
      </c>
      <c r="J3607" s="3" t="s">
        <v>5824</v>
      </c>
      <c r="K3607" s="4">
        <v>585</v>
      </c>
      <c r="L3607" s="5">
        <v>26.6</v>
      </c>
      <c r="M3607" s="6">
        <v>1</v>
      </c>
      <c r="N3607" s="7">
        <v>0</v>
      </c>
      <c r="O3607" t="s">
        <v>5825</v>
      </c>
      <c r="P3607" s="3" t="s">
        <v>29</v>
      </c>
      <c r="Q3607" s="8">
        <v>0.218192</v>
      </c>
    </row>
  </sheetData>
  <autoFilter ref="A1:Q3607" xr:uid="{EBD85863-76FB-42AC-83E1-F8F76217692F}">
    <filterColumn colId="15">
      <filters>
        <filter val="BK EPS NORTHLINE_0723_441.20.0"/>
      </filters>
    </filterColumn>
  </autoFilter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B0A8F635-41EB-471D-B0F0-27D3B4FBE42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M2:M3607</xm:sqref>
        </x14:conditionalFormatting>
        <x14:conditionalFormatting xmlns:xm="http://schemas.microsoft.com/office/excel/2006/main">
          <x14:cfRule type="iconSet" priority="1" id="{4A32C80B-B949-41FA-8B24-A32FE496BA5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N2:N3607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8D407-C552-4D9B-8687-9E068A407695}">
  <sheetPr filterMode="1"/>
  <dimension ref="A1:N1504"/>
  <sheetViews>
    <sheetView workbookViewId="0">
      <pane ySplit="1" topLeftCell="A683" activePane="bottomLeft" state="frozen"/>
      <selection pane="bottomLeft" activeCell="F683" sqref="F683:F686"/>
    </sheetView>
  </sheetViews>
  <sheetFormatPr defaultRowHeight="14.4" x14ac:dyDescent="0.55000000000000004"/>
  <cols>
    <col min="1" max="1" width="16.41796875" bestFit="1" customWidth="1"/>
    <col min="2" max="2" width="20.83984375" bestFit="1" customWidth="1"/>
    <col min="3" max="3" width="23.68359375" bestFit="1" customWidth="1"/>
    <col min="4" max="4" width="9" bestFit="1" customWidth="1"/>
    <col min="5" max="5" width="16.26171875" bestFit="1" customWidth="1"/>
    <col min="6" max="6" width="36.578125" bestFit="1" customWidth="1"/>
    <col min="7" max="7" width="20.578125" bestFit="1" customWidth="1"/>
    <col min="8" max="8" width="24.578125" bestFit="1" customWidth="1"/>
    <col min="9" max="9" width="53" bestFit="1" customWidth="1"/>
    <col min="10" max="10" width="32.15625" bestFit="1" customWidth="1"/>
    <col min="11" max="11" width="76.41796875" bestFit="1" customWidth="1"/>
    <col min="12" max="12" width="71.26171875" bestFit="1" customWidth="1"/>
    <col min="13" max="13" width="71.15625" bestFit="1" customWidth="1"/>
    <col min="14" max="14" width="13.41796875" bestFit="1" customWidth="1"/>
  </cols>
  <sheetData>
    <row r="1" spans="1:14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13</v>
      </c>
      <c r="H1" s="2" t="s">
        <v>6</v>
      </c>
      <c r="I1" s="2" t="s">
        <v>14</v>
      </c>
      <c r="J1" s="2" t="s">
        <v>15</v>
      </c>
      <c r="K1" s="1" t="s">
        <v>5828</v>
      </c>
      <c r="L1" s="2" t="s">
        <v>5829</v>
      </c>
      <c r="M1" s="2" t="s">
        <v>5830</v>
      </c>
      <c r="N1" s="2" t="s">
        <v>16</v>
      </c>
    </row>
    <row r="2" spans="1:14" hidden="1" x14ac:dyDescent="0.55000000000000004">
      <c r="A2" s="3" t="s">
        <v>17</v>
      </c>
      <c r="B2" s="3"/>
      <c r="D2" s="3"/>
      <c r="E2" t="s">
        <v>17</v>
      </c>
      <c r="F2" s="3" t="s">
        <v>18</v>
      </c>
      <c r="G2" s="10">
        <v>0</v>
      </c>
      <c r="H2" s="3" t="s">
        <v>19</v>
      </c>
      <c r="I2" t="s">
        <v>23</v>
      </c>
      <c r="J2" s="3" t="s">
        <v>23</v>
      </c>
      <c r="K2" t="s">
        <v>23</v>
      </c>
      <c r="L2" s="3" t="s">
        <v>23</v>
      </c>
      <c r="M2" t="s">
        <v>23</v>
      </c>
      <c r="N2" s="8" t="s">
        <v>23</v>
      </c>
    </row>
    <row r="3" spans="1:14" hidden="1" x14ac:dyDescent="0.55000000000000004">
      <c r="A3" s="3"/>
      <c r="B3" s="3"/>
      <c r="D3" s="3"/>
      <c r="F3" s="3" t="s">
        <v>30</v>
      </c>
      <c r="G3" s="10">
        <v>0</v>
      </c>
      <c r="H3" s="3" t="s">
        <v>19</v>
      </c>
      <c r="I3" t="s">
        <v>34</v>
      </c>
      <c r="J3" s="3" t="s">
        <v>35</v>
      </c>
      <c r="K3" t="s">
        <v>5831</v>
      </c>
      <c r="L3" s="3" t="s">
        <v>5832</v>
      </c>
      <c r="M3" t="s">
        <v>5833</v>
      </c>
      <c r="N3" s="8">
        <v>7.1499999999999994E-2</v>
      </c>
    </row>
    <row r="4" spans="1:14" hidden="1" x14ac:dyDescent="0.55000000000000004">
      <c r="A4" s="3"/>
      <c r="B4" s="3"/>
      <c r="D4" s="3"/>
      <c r="F4" s="3" t="s">
        <v>30</v>
      </c>
      <c r="G4" s="10">
        <v>0</v>
      </c>
      <c r="H4" s="3" t="s">
        <v>19</v>
      </c>
      <c r="I4" t="s">
        <v>34</v>
      </c>
      <c r="J4" s="3" t="s">
        <v>35</v>
      </c>
      <c r="K4" t="s">
        <v>5831</v>
      </c>
      <c r="L4" s="3" t="s">
        <v>5834</v>
      </c>
      <c r="M4" t="s">
        <v>5833</v>
      </c>
      <c r="N4" s="8">
        <v>7.1499999999999994E-2</v>
      </c>
    </row>
    <row r="5" spans="1:14" hidden="1" x14ac:dyDescent="0.55000000000000004">
      <c r="A5" s="3"/>
      <c r="B5" s="3"/>
      <c r="D5" s="3"/>
      <c r="F5" s="3" t="s">
        <v>30</v>
      </c>
      <c r="G5" s="10">
        <v>0</v>
      </c>
      <c r="H5" s="3" t="s">
        <v>24</v>
      </c>
      <c r="I5" t="s">
        <v>39</v>
      </c>
      <c r="J5" s="3" t="s">
        <v>40</v>
      </c>
      <c r="K5" t="s">
        <v>23</v>
      </c>
      <c r="L5" s="3" t="s">
        <v>5835</v>
      </c>
      <c r="M5" t="s">
        <v>23</v>
      </c>
      <c r="N5" s="8">
        <v>0.18362800000000001</v>
      </c>
    </row>
    <row r="6" spans="1:14" hidden="1" x14ac:dyDescent="0.55000000000000004">
      <c r="A6" s="3"/>
      <c r="B6" s="3"/>
      <c r="D6" s="3"/>
      <c r="F6" s="3" t="s">
        <v>41</v>
      </c>
      <c r="G6" s="10">
        <v>0</v>
      </c>
      <c r="H6" s="3" t="s">
        <v>24</v>
      </c>
      <c r="I6" t="s">
        <v>45</v>
      </c>
      <c r="J6" s="3" t="s">
        <v>46</v>
      </c>
      <c r="K6" t="s">
        <v>5836</v>
      </c>
      <c r="L6" s="3" t="s">
        <v>5837</v>
      </c>
      <c r="M6" t="s">
        <v>5838</v>
      </c>
      <c r="N6" s="8">
        <v>0.19789999999999999</v>
      </c>
    </row>
    <row r="7" spans="1:14" hidden="1" x14ac:dyDescent="0.55000000000000004">
      <c r="A7" s="3"/>
      <c r="B7" s="3"/>
      <c r="D7" s="3"/>
      <c r="F7" s="3" t="s">
        <v>50</v>
      </c>
      <c r="G7" s="10">
        <v>0</v>
      </c>
      <c r="H7" s="3" t="s">
        <v>24</v>
      </c>
      <c r="I7" t="s">
        <v>54</v>
      </c>
      <c r="J7" s="3" t="s">
        <v>55</v>
      </c>
      <c r="K7" t="s">
        <v>23</v>
      </c>
      <c r="L7" s="3" t="s">
        <v>5839</v>
      </c>
      <c r="M7" t="s">
        <v>23</v>
      </c>
      <c r="N7" s="8">
        <v>0.29234300000000002</v>
      </c>
    </row>
    <row r="8" spans="1:14" hidden="1" x14ac:dyDescent="0.55000000000000004">
      <c r="A8" s="3"/>
      <c r="B8" s="3"/>
      <c r="D8" s="3"/>
      <c r="F8" s="3" t="s">
        <v>59</v>
      </c>
      <c r="G8" s="10">
        <v>0</v>
      </c>
      <c r="H8" s="3" t="s">
        <v>24</v>
      </c>
      <c r="I8" t="s">
        <v>71</v>
      </c>
      <c r="J8" s="3" t="s">
        <v>29</v>
      </c>
      <c r="K8" t="s">
        <v>23</v>
      </c>
      <c r="L8" s="3" t="s">
        <v>5840</v>
      </c>
      <c r="M8" t="s">
        <v>23</v>
      </c>
      <c r="N8" s="8">
        <v>0.2455</v>
      </c>
    </row>
    <row r="9" spans="1:14" hidden="1" x14ac:dyDescent="0.55000000000000004">
      <c r="A9" s="9"/>
      <c r="B9" s="3"/>
      <c r="D9" s="3"/>
      <c r="F9" s="3" t="s">
        <v>72</v>
      </c>
      <c r="G9" s="10">
        <v>0</v>
      </c>
      <c r="H9" s="3" t="s">
        <v>24</v>
      </c>
      <c r="I9" t="s">
        <v>75</v>
      </c>
      <c r="J9" s="3" t="s">
        <v>76</v>
      </c>
      <c r="K9" t="s">
        <v>5841</v>
      </c>
      <c r="L9" s="3" t="s">
        <v>5840</v>
      </c>
      <c r="M9" t="s">
        <v>23</v>
      </c>
      <c r="N9" s="8">
        <v>0.2455</v>
      </c>
    </row>
    <row r="10" spans="1:14" hidden="1" x14ac:dyDescent="0.55000000000000004">
      <c r="A10" s="3" t="s">
        <v>77</v>
      </c>
      <c r="B10" s="3" t="s">
        <v>7315</v>
      </c>
      <c r="C10" t="s">
        <v>7316</v>
      </c>
      <c r="D10" s="3" t="s">
        <v>7314</v>
      </c>
      <c r="E10" t="s">
        <v>78</v>
      </c>
      <c r="F10" s="3" t="s">
        <v>79</v>
      </c>
      <c r="G10" s="10">
        <v>0</v>
      </c>
      <c r="H10" s="3" t="s">
        <v>19</v>
      </c>
      <c r="I10" t="s">
        <v>83</v>
      </c>
      <c r="J10" s="3" t="s">
        <v>84</v>
      </c>
      <c r="K10" t="s">
        <v>5842</v>
      </c>
      <c r="L10" s="3" t="s">
        <v>5843</v>
      </c>
      <c r="M10" t="s">
        <v>5844</v>
      </c>
      <c r="N10" s="8">
        <v>3.5795E-2</v>
      </c>
    </row>
    <row r="11" spans="1:14" hidden="1" x14ac:dyDescent="0.55000000000000004">
      <c r="A11" s="3" t="s">
        <v>77</v>
      </c>
      <c r="B11" s="3" t="s">
        <v>7315</v>
      </c>
      <c r="C11" t="s">
        <v>7316</v>
      </c>
      <c r="D11" s="3" t="s">
        <v>7314</v>
      </c>
      <c r="E11" t="s">
        <v>78</v>
      </c>
      <c r="F11" s="3" t="s">
        <v>79</v>
      </c>
      <c r="G11" s="10">
        <v>0</v>
      </c>
      <c r="H11" s="3" t="s">
        <v>24</v>
      </c>
      <c r="I11" t="s">
        <v>94</v>
      </c>
      <c r="J11" s="3" t="s">
        <v>46</v>
      </c>
      <c r="K11" t="s">
        <v>5836</v>
      </c>
      <c r="L11" s="3" t="s">
        <v>5837</v>
      </c>
      <c r="M11" t="s">
        <v>5845</v>
      </c>
      <c r="N11" s="8">
        <v>0.183867</v>
      </c>
    </row>
    <row r="12" spans="1:14" hidden="1" x14ac:dyDescent="0.55000000000000004">
      <c r="A12" s="3" t="s">
        <v>77</v>
      </c>
      <c r="B12" s="3" t="s">
        <v>95</v>
      </c>
      <c r="C12" t="s">
        <v>95</v>
      </c>
      <c r="D12" s="3" t="s">
        <v>7314</v>
      </c>
      <c r="E12" t="s">
        <v>96</v>
      </c>
      <c r="F12" s="3" t="s">
        <v>97</v>
      </c>
      <c r="G12" s="10">
        <v>0</v>
      </c>
      <c r="H12" s="3" t="s">
        <v>19</v>
      </c>
      <c r="I12" t="s">
        <v>100</v>
      </c>
      <c r="J12" s="3" t="s">
        <v>84</v>
      </c>
      <c r="K12" t="s">
        <v>5842</v>
      </c>
      <c r="L12" s="3" t="s">
        <v>5843</v>
      </c>
      <c r="M12" t="s">
        <v>5846</v>
      </c>
      <c r="N12" s="8">
        <v>3.2954999999999998E-2</v>
      </c>
    </row>
    <row r="13" spans="1:14" hidden="1" x14ac:dyDescent="0.55000000000000004">
      <c r="A13" s="3" t="s">
        <v>77</v>
      </c>
      <c r="B13" s="3" t="s">
        <v>95</v>
      </c>
      <c r="C13" t="s">
        <v>95</v>
      </c>
      <c r="D13" s="3" t="s">
        <v>7314</v>
      </c>
      <c r="E13" t="s">
        <v>96</v>
      </c>
      <c r="F13" s="3" t="s">
        <v>97</v>
      </c>
      <c r="G13" s="10">
        <v>0</v>
      </c>
      <c r="H13" s="3" t="s">
        <v>24</v>
      </c>
      <c r="I13" t="s">
        <v>110</v>
      </c>
      <c r="J13" s="3" t="s">
        <v>46</v>
      </c>
      <c r="K13" t="s">
        <v>5836</v>
      </c>
      <c r="L13" s="3" t="s">
        <v>5837</v>
      </c>
      <c r="M13" t="s">
        <v>5845</v>
      </c>
      <c r="N13" s="8">
        <v>0.183867</v>
      </c>
    </row>
    <row r="14" spans="1:14" hidden="1" x14ac:dyDescent="0.55000000000000004">
      <c r="A14" s="3" t="s">
        <v>77</v>
      </c>
      <c r="B14" s="3" t="s">
        <v>95</v>
      </c>
      <c r="C14" t="s">
        <v>95</v>
      </c>
      <c r="D14" s="3" t="s">
        <v>7314</v>
      </c>
      <c r="E14" t="s">
        <v>96</v>
      </c>
      <c r="F14" s="3" t="s">
        <v>97</v>
      </c>
      <c r="G14" s="10">
        <v>0</v>
      </c>
      <c r="H14" s="3" t="s">
        <v>24</v>
      </c>
      <c r="I14" t="s">
        <v>110</v>
      </c>
      <c r="J14" s="3" t="s">
        <v>46</v>
      </c>
      <c r="K14" t="s">
        <v>5836</v>
      </c>
      <c r="L14" s="3" t="s">
        <v>5837</v>
      </c>
      <c r="M14" t="s">
        <v>5847</v>
      </c>
      <c r="N14" s="8">
        <v>0.183867</v>
      </c>
    </row>
    <row r="15" spans="1:14" hidden="1" x14ac:dyDescent="0.55000000000000004">
      <c r="A15" s="3" t="s">
        <v>77</v>
      </c>
      <c r="B15" s="3" t="s">
        <v>95</v>
      </c>
      <c r="C15" t="s">
        <v>95</v>
      </c>
      <c r="D15" s="3" t="s">
        <v>7314</v>
      </c>
      <c r="E15" t="s">
        <v>115</v>
      </c>
      <c r="F15" s="3" t="s">
        <v>116</v>
      </c>
      <c r="G15" s="10">
        <v>0</v>
      </c>
      <c r="H15" s="3" t="s">
        <v>19</v>
      </c>
      <c r="I15" t="s">
        <v>100</v>
      </c>
      <c r="J15" s="3" t="s">
        <v>84</v>
      </c>
      <c r="K15" t="s">
        <v>5842</v>
      </c>
      <c r="L15" s="3" t="s">
        <v>5843</v>
      </c>
      <c r="M15" t="s">
        <v>5846</v>
      </c>
      <c r="N15" s="8">
        <v>3.2954999999999998E-2</v>
      </c>
    </row>
    <row r="16" spans="1:14" hidden="1" x14ac:dyDescent="0.55000000000000004">
      <c r="A16" s="3" t="s">
        <v>77</v>
      </c>
      <c r="B16" s="3" t="s">
        <v>95</v>
      </c>
      <c r="C16" t="s">
        <v>95</v>
      </c>
      <c r="D16" s="3" t="s">
        <v>7314</v>
      </c>
      <c r="E16" t="s">
        <v>115</v>
      </c>
      <c r="F16" s="3" t="s">
        <v>116</v>
      </c>
      <c r="G16" s="10">
        <v>0</v>
      </c>
      <c r="H16" s="3" t="s">
        <v>24</v>
      </c>
      <c r="I16" t="s">
        <v>110</v>
      </c>
      <c r="J16" s="3" t="s">
        <v>46</v>
      </c>
      <c r="K16" t="s">
        <v>5836</v>
      </c>
      <c r="L16" s="3" t="s">
        <v>5837</v>
      </c>
      <c r="M16" t="s">
        <v>5845</v>
      </c>
      <c r="N16" s="8">
        <v>0.183867</v>
      </c>
    </row>
    <row r="17" spans="1:14" hidden="1" x14ac:dyDescent="0.55000000000000004">
      <c r="A17" s="3" t="s">
        <v>77</v>
      </c>
      <c r="B17" s="3" t="s">
        <v>95</v>
      </c>
      <c r="C17" t="s">
        <v>95</v>
      </c>
      <c r="D17" s="3" t="s">
        <v>7314</v>
      </c>
      <c r="E17" t="s">
        <v>115</v>
      </c>
      <c r="F17" s="3" t="s">
        <v>116</v>
      </c>
      <c r="G17" s="10">
        <v>0</v>
      </c>
      <c r="H17" s="3" t="s">
        <v>24</v>
      </c>
      <c r="I17" t="s">
        <v>110</v>
      </c>
      <c r="J17" s="3" t="s">
        <v>46</v>
      </c>
      <c r="K17" t="s">
        <v>5836</v>
      </c>
      <c r="L17" s="3" t="s">
        <v>5837</v>
      </c>
      <c r="M17" t="s">
        <v>5847</v>
      </c>
      <c r="N17" s="8">
        <v>0.183867</v>
      </c>
    </row>
    <row r="18" spans="1:14" hidden="1" x14ac:dyDescent="0.55000000000000004">
      <c r="A18" s="3" t="s">
        <v>77</v>
      </c>
      <c r="B18" s="3" t="s">
        <v>95</v>
      </c>
      <c r="C18" t="s">
        <v>95</v>
      </c>
      <c r="D18" s="3" t="s">
        <v>7314</v>
      </c>
      <c r="E18" t="s">
        <v>117</v>
      </c>
      <c r="F18" s="3" t="s">
        <v>118</v>
      </c>
      <c r="G18" s="10">
        <v>0</v>
      </c>
      <c r="H18" s="3" t="s">
        <v>19</v>
      </c>
      <c r="I18" t="s">
        <v>100</v>
      </c>
      <c r="J18" s="3" t="s">
        <v>84</v>
      </c>
      <c r="K18" t="s">
        <v>5842</v>
      </c>
      <c r="L18" s="3" t="s">
        <v>5843</v>
      </c>
      <c r="M18" t="s">
        <v>5846</v>
      </c>
      <c r="N18" s="8">
        <v>3.2954999999999998E-2</v>
      </c>
    </row>
    <row r="19" spans="1:14" hidden="1" x14ac:dyDescent="0.55000000000000004">
      <c r="A19" s="3" t="s">
        <v>77</v>
      </c>
      <c r="B19" s="3" t="s">
        <v>95</v>
      </c>
      <c r="C19" t="s">
        <v>95</v>
      </c>
      <c r="D19" s="3" t="s">
        <v>7314</v>
      </c>
      <c r="E19" t="s">
        <v>117</v>
      </c>
      <c r="F19" s="3" t="s">
        <v>118</v>
      </c>
      <c r="G19" s="10">
        <v>0</v>
      </c>
      <c r="H19" s="3" t="s">
        <v>24</v>
      </c>
      <c r="I19" t="s">
        <v>110</v>
      </c>
      <c r="J19" s="3" t="s">
        <v>46</v>
      </c>
      <c r="K19" t="s">
        <v>5836</v>
      </c>
      <c r="L19" s="3" t="s">
        <v>5837</v>
      </c>
      <c r="M19" t="s">
        <v>5845</v>
      </c>
      <c r="N19" s="8">
        <v>0.183867</v>
      </c>
    </row>
    <row r="20" spans="1:14" hidden="1" x14ac:dyDescent="0.55000000000000004">
      <c r="A20" s="3" t="s">
        <v>77</v>
      </c>
      <c r="B20" s="3" t="s">
        <v>95</v>
      </c>
      <c r="C20" t="s">
        <v>95</v>
      </c>
      <c r="D20" s="3" t="s">
        <v>7314</v>
      </c>
      <c r="E20" t="s">
        <v>117</v>
      </c>
      <c r="F20" s="3" t="s">
        <v>118</v>
      </c>
      <c r="G20" s="10">
        <v>0</v>
      </c>
      <c r="H20" s="3" t="s">
        <v>24</v>
      </c>
      <c r="I20" t="s">
        <v>110</v>
      </c>
      <c r="J20" s="3" t="s">
        <v>46</v>
      </c>
      <c r="K20" t="s">
        <v>5836</v>
      </c>
      <c r="L20" s="3" t="s">
        <v>5837</v>
      </c>
      <c r="M20" t="s">
        <v>5847</v>
      </c>
      <c r="N20" s="8">
        <v>0.183867</v>
      </c>
    </row>
    <row r="21" spans="1:14" hidden="1" x14ac:dyDescent="0.55000000000000004">
      <c r="A21" s="3" t="s">
        <v>77</v>
      </c>
      <c r="B21" s="3" t="s">
        <v>95</v>
      </c>
      <c r="C21" t="s">
        <v>95</v>
      </c>
      <c r="D21" s="3" t="s">
        <v>7314</v>
      </c>
      <c r="E21" t="s">
        <v>119</v>
      </c>
      <c r="F21" s="3" t="s">
        <v>120</v>
      </c>
      <c r="G21" s="10">
        <v>0</v>
      </c>
      <c r="H21" s="3" t="s">
        <v>19</v>
      </c>
      <c r="I21" t="s">
        <v>100</v>
      </c>
      <c r="J21" s="3" t="s">
        <v>84</v>
      </c>
      <c r="K21" t="s">
        <v>5842</v>
      </c>
      <c r="L21" s="3" t="s">
        <v>5843</v>
      </c>
      <c r="M21" t="s">
        <v>5846</v>
      </c>
      <c r="N21" s="8">
        <v>3.2954999999999998E-2</v>
      </c>
    </row>
    <row r="22" spans="1:14" hidden="1" x14ac:dyDescent="0.55000000000000004">
      <c r="A22" s="3" t="s">
        <v>77</v>
      </c>
      <c r="B22" s="3" t="s">
        <v>95</v>
      </c>
      <c r="C22" t="s">
        <v>95</v>
      </c>
      <c r="D22" s="3" t="s">
        <v>7314</v>
      </c>
      <c r="E22" t="s">
        <v>119</v>
      </c>
      <c r="F22" s="3" t="s">
        <v>120</v>
      </c>
      <c r="G22" s="10">
        <v>0</v>
      </c>
      <c r="H22" s="3" t="s">
        <v>24</v>
      </c>
      <c r="I22" t="s">
        <v>110</v>
      </c>
      <c r="J22" s="3" t="s">
        <v>46</v>
      </c>
      <c r="K22" t="s">
        <v>5836</v>
      </c>
      <c r="L22" s="3" t="s">
        <v>5837</v>
      </c>
      <c r="M22" t="s">
        <v>5845</v>
      </c>
      <c r="N22" s="8">
        <v>0.183867</v>
      </c>
    </row>
    <row r="23" spans="1:14" hidden="1" x14ac:dyDescent="0.55000000000000004">
      <c r="A23" s="3" t="s">
        <v>77</v>
      </c>
      <c r="B23" s="3" t="s">
        <v>95</v>
      </c>
      <c r="C23" t="s">
        <v>95</v>
      </c>
      <c r="D23" s="3" t="s">
        <v>7314</v>
      </c>
      <c r="E23" t="s">
        <v>119</v>
      </c>
      <c r="F23" s="3" t="s">
        <v>120</v>
      </c>
      <c r="G23" s="10">
        <v>0</v>
      </c>
      <c r="H23" s="3" t="s">
        <v>24</v>
      </c>
      <c r="I23" t="s">
        <v>110</v>
      </c>
      <c r="J23" s="3" t="s">
        <v>46</v>
      </c>
      <c r="K23" t="s">
        <v>5836</v>
      </c>
      <c r="L23" s="3" t="s">
        <v>5837</v>
      </c>
      <c r="M23" t="s">
        <v>5847</v>
      </c>
      <c r="N23" s="8">
        <v>0.183867</v>
      </c>
    </row>
    <row r="24" spans="1:14" hidden="1" x14ac:dyDescent="0.55000000000000004">
      <c r="A24" s="3" t="s">
        <v>77</v>
      </c>
      <c r="B24" s="3" t="s">
        <v>95</v>
      </c>
      <c r="C24" t="s">
        <v>95</v>
      </c>
      <c r="D24" s="3" t="s">
        <v>7314</v>
      </c>
      <c r="E24" t="s">
        <v>121</v>
      </c>
      <c r="F24" s="3" t="s">
        <v>122</v>
      </c>
      <c r="G24" s="10">
        <v>1</v>
      </c>
      <c r="H24" s="3" t="s">
        <v>19</v>
      </c>
      <c r="I24" t="s">
        <v>100</v>
      </c>
      <c r="J24" s="3" t="s">
        <v>84</v>
      </c>
      <c r="K24" t="s">
        <v>5842</v>
      </c>
      <c r="L24" s="3" t="s">
        <v>5843</v>
      </c>
      <c r="M24" t="s">
        <v>5846</v>
      </c>
      <c r="N24" s="8">
        <v>3.2954999999999998E-2</v>
      </c>
    </row>
    <row r="25" spans="1:14" hidden="1" x14ac:dyDescent="0.55000000000000004">
      <c r="A25" s="3" t="s">
        <v>77</v>
      </c>
      <c r="B25" s="3" t="s">
        <v>95</v>
      </c>
      <c r="C25" t="s">
        <v>95</v>
      </c>
      <c r="D25" s="3" t="s">
        <v>7314</v>
      </c>
      <c r="E25" t="s">
        <v>121</v>
      </c>
      <c r="F25" s="3" t="s">
        <v>122</v>
      </c>
      <c r="G25" s="10">
        <v>1</v>
      </c>
      <c r="H25" s="3" t="s">
        <v>24</v>
      </c>
      <c r="I25" t="s">
        <v>110</v>
      </c>
      <c r="J25" s="3" t="s">
        <v>46</v>
      </c>
      <c r="K25" t="s">
        <v>5836</v>
      </c>
      <c r="L25" s="3" t="s">
        <v>5837</v>
      </c>
      <c r="M25" t="s">
        <v>5845</v>
      </c>
      <c r="N25" s="8">
        <v>0.183867</v>
      </c>
    </row>
    <row r="26" spans="1:14" hidden="1" x14ac:dyDescent="0.55000000000000004">
      <c r="A26" s="3" t="s">
        <v>77</v>
      </c>
      <c r="B26" s="3" t="s">
        <v>95</v>
      </c>
      <c r="C26" t="s">
        <v>95</v>
      </c>
      <c r="D26" s="3" t="s">
        <v>7314</v>
      </c>
      <c r="E26" t="s">
        <v>121</v>
      </c>
      <c r="F26" s="3" t="s">
        <v>122</v>
      </c>
      <c r="G26" s="10">
        <v>1</v>
      </c>
      <c r="H26" s="3" t="s">
        <v>24</v>
      </c>
      <c r="I26" t="s">
        <v>110</v>
      </c>
      <c r="J26" s="3" t="s">
        <v>46</v>
      </c>
      <c r="K26" t="s">
        <v>5836</v>
      </c>
      <c r="L26" s="3" t="s">
        <v>5837</v>
      </c>
      <c r="M26" t="s">
        <v>5847</v>
      </c>
      <c r="N26" s="8">
        <v>0.183867</v>
      </c>
    </row>
    <row r="27" spans="1:14" hidden="1" x14ac:dyDescent="0.55000000000000004">
      <c r="A27" s="3" t="s">
        <v>77</v>
      </c>
      <c r="B27" s="3" t="s">
        <v>95</v>
      </c>
      <c r="C27" t="s">
        <v>95</v>
      </c>
      <c r="D27" s="3" t="s">
        <v>7314</v>
      </c>
      <c r="E27" t="s">
        <v>123</v>
      </c>
      <c r="F27" s="3" t="s">
        <v>124</v>
      </c>
      <c r="G27" s="10">
        <v>0</v>
      </c>
      <c r="H27" s="3" t="s">
        <v>19</v>
      </c>
      <c r="I27" t="s">
        <v>100</v>
      </c>
      <c r="J27" s="3" t="s">
        <v>84</v>
      </c>
      <c r="K27" t="s">
        <v>5842</v>
      </c>
      <c r="L27" s="3" t="s">
        <v>5843</v>
      </c>
      <c r="M27" t="s">
        <v>5846</v>
      </c>
      <c r="N27" s="8">
        <v>3.2954999999999998E-2</v>
      </c>
    </row>
    <row r="28" spans="1:14" hidden="1" x14ac:dyDescent="0.55000000000000004">
      <c r="A28" s="3" t="s">
        <v>77</v>
      </c>
      <c r="B28" s="3" t="s">
        <v>95</v>
      </c>
      <c r="C28" t="s">
        <v>95</v>
      </c>
      <c r="D28" s="3" t="s">
        <v>7314</v>
      </c>
      <c r="E28" t="s">
        <v>123</v>
      </c>
      <c r="F28" s="3" t="s">
        <v>124</v>
      </c>
      <c r="G28" s="10">
        <v>0</v>
      </c>
      <c r="H28" s="3" t="s">
        <v>24</v>
      </c>
      <c r="I28" t="s">
        <v>110</v>
      </c>
      <c r="J28" s="3" t="s">
        <v>46</v>
      </c>
      <c r="K28" t="s">
        <v>5836</v>
      </c>
      <c r="L28" s="3" t="s">
        <v>5837</v>
      </c>
      <c r="M28" t="s">
        <v>5845</v>
      </c>
      <c r="N28" s="8">
        <v>0.183867</v>
      </c>
    </row>
    <row r="29" spans="1:14" hidden="1" x14ac:dyDescent="0.55000000000000004">
      <c r="A29" s="3" t="s">
        <v>77</v>
      </c>
      <c r="B29" s="3" t="s">
        <v>95</v>
      </c>
      <c r="C29" t="s">
        <v>95</v>
      </c>
      <c r="D29" s="3" t="s">
        <v>7314</v>
      </c>
      <c r="E29" t="s">
        <v>123</v>
      </c>
      <c r="F29" s="3" t="s">
        <v>124</v>
      </c>
      <c r="G29" s="10">
        <v>0</v>
      </c>
      <c r="H29" s="3" t="s">
        <v>24</v>
      </c>
      <c r="I29" t="s">
        <v>110</v>
      </c>
      <c r="J29" s="3" t="s">
        <v>46</v>
      </c>
      <c r="K29" t="s">
        <v>5836</v>
      </c>
      <c r="L29" s="3" t="s">
        <v>5837</v>
      </c>
      <c r="M29" t="s">
        <v>5847</v>
      </c>
      <c r="N29" s="8">
        <v>0.183867</v>
      </c>
    </row>
    <row r="30" spans="1:14" hidden="1" x14ac:dyDescent="0.55000000000000004">
      <c r="A30" s="3" t="s">
        <v>77</v>
      </c>
      <c r="B30" s="3" t="s">
        <v>95</v>
      </c>
      <c r="C30" t="s">
        <v>95</v>
      </c>
      <c r="D30" s="3" t="s">
        <v>7314</v>
      </c>
      <c r="E30" t="s">
        <v>125</v>
      </c>
      <c r="F30" s="3" t="s">
        <v>126</v>
      </c>
      <c r="G30" s="10">
        <v>0</v>
      </c>
      <c r="H30" s="3" t="s">
        <v>19</v>
      </c>
      <c r="I30" t="s">
        <v>100</v>
      </c>
      <c r="J30" s="3" t="s">
        <v>84</v>
      </c>
      <c r="K30" t="s">
        <v>5842</v>
      </c>
      <c r="L30" s="3" t="s">
        <v>5843</v>
      </c>
      <c r="M30" t="s">
        <v>5846</v>
      </c>
      <c r="N30" s="8">
        <v>3.2954999999999998E-2</v>
      </c>
    </row>
    <row r="31" spans="1:14" hidden="1" x14ac:dyDescent="0.55000000000000004">
      <c r="A31" s="3" t="s">
        <v>77</v>
      </c>
      <c r="B31" s="3" t="s">
        <v>95</v>
      </c>
      <c r="C31" t="s">
        <v>95</v>
      </c>
      <c r="D31" s="3" t="s">
        <v>7314</v>
      </c>
      <c r="E31" t="s">
        <v>125</v>
      </c>
      <c r="F31" s="3" t="s">
        <v>126</v>
      </c>
      <c r="G31" s="10">
        <v>0</v>
      </c>
      <c r="H31" s="3" t="s">
        <v>24</v>
      </c>
      <c r="I31" t="s">
        <v>110</v>
      </c>
      <c r="J31" s="3" t="s">
        <v>46</v>
      </c>
      <c r="K31" t="s">
        <v>5836</v>
      </c>
      <c r="L31" s="3" t="s">
        <v>5837</v>
      </c>
      <c r="M31" t="s">
        <v>5845</v>
      </c>
      <c r="N31" s="8">
        <v>0.183867</v>
      </c>
    </row>
    <row r="32" spans="1:14" hidden="1" x14ac:dyDescent="0.55000000000000004">
      <c r="A32" s="3" t="s">
        <v>77</v>
      </c>
      <c r="B32" s="3" t="s">
        <v>95</v>
      </c>
      <c r="C32" t="s">
        <v>95</v>
      </c>
      <c r="D32" s="3" t="s">
        <v>7314</v>
      </c>
      <c r="E32" t="s">
        <v>125</v>
      </c>
      <c r="F32" s="3" t="s">
        <v>126</v>
      </c>
      <c r="G32" s="10">
        <v>0</v>
      </c>
      <c r="H32" s="3" t="s">
        <v>24</v>
      </c>
      <c r="I32" t="s">
        <v>110</v>
      </c>
      <c r="J32" s="3" t="s">
        <v>46</v>
      </c>
      <c r="K32" t="s">
        <v>5836</v>
      </c>
      <c r="L32" s="3" t="s">
        <v>5837</v>
      </c>
      <c r="M32" t="s">
        <v>5847</v>
      </c>
      <c r="N32" s="8">
        <v>0.183867</v>
      </c>
    </row>
    <row r="33" spans="1:14" hidden="1" x14ac:dyDescent="0.55000000000000004">
      <c r="A33" s="3" t="s">
        <v>77</v>
      </c>
      <c r="B33" s="3" t="s">
        <v>95</v>
      </c>
      <c r="C33" t="s">
        <v>95</v>
      </c>
      <c r="D33" s="3" t="s">
        <v>7314</v>
      </c>
      <c r="E33" t="s">
        <v>127</v>
      </c>
      <c r="F33" s="3" t="s">
        <v>128</v>
      </c>
      <c r="G33" s="10">
        <v>0</v>
      </c>
      <c r="H33" s="3" t="s">
        <v>19</v>
      </c>
      <c r="I33" t="s">
        <v>100</v>
      </c>
      <c r="J33" s="3" t="s">
        <v>84</v>
      </c>
      <c r="K33" t="s">
        <v>5842</v>
      </c>
      <c r="L33" s="3" t="s">
        <v>5843</v>
      </c>
      <c r="M33" t="s">
        <v>5846</v>
      </c>
      <c r="N33" s="8">
        <v>3.2954999999999998E-2</v>
      </c>
    </row>
    <row r="34" spans="1:14" hidden="1" x14ac:dyDescent="0.55000000000000004">
      <c r="A34" s="3" t="s">
        <v>77</v>
      </c>
      <c r="B34" s="3" t="s">
        <v>95</v>
      </c>
      <c r="C34" t="s">
        <v>95</v>
      </c>
      <c r="D34" s="3" t="s">
        <v>7314</v>
      </c>
      <c r="E34" t="s">
        <v>127</v>
      </c>
      <c r="F34" s="3" t="s">
        <v>128</v>
      </c>
      <c r="G34" s="10">
        <v>0</v>
      </c>
      <c r="H34" s="3" t="s">
        <v>24</v>
      </c>
      <c r="I34" t="s">
        <v>110</v>
      </c>
      <c r="J34" s="3" t="s">
        <v>46</v>
      </c>
      <c r="K34" t="s">
        <v>5836</v>
      </c>
      <c r="L34" s="3" t="s">
        <v>5837</v>
      </c>
      <c r="M34" t="s">
        <v>5845</v>
      </c>
      <c r="N34" s="8">
        <v>0.183867</v>
      </c>
    </row>
    <row r="35" spans="1:14" hidden="1" x14ac:dyDescent="0.55000000000000004">
      <c r="A35" s="3" t="s">
        <v>77</v>
      </c>
      <c r="B35" s="3" t="s">
        <v>95</v>
      </c>
      <c r="C35" t="s">
        <v>95</v>
      </c>
      <c r="D35" s="3" t="s">
        <v>7314</v>
      </c>
      <c r="E35" t="s">
        <v>127</v>
      </c>
      <c r="F35" s="3" t="s">
        <v>128</v>
      </c>
      <c r="G35" s="10">
        <v>0</v>
      </c>
      <c r="H35" s="3" t="s">
        <v>24</v>
      </c>
      <c r="I35" t="s">
        <v>110</v>
      </c>
      <c r="J35" s="3" t="s">
        <v>46</v>
      </c>
      <c r="K35" t="s">
        <v>5836</v>
      </c>
      <c r="L35" s="3" t="s">
        <v>5837</v>
      </c>
      <c r="M35" t="s">
        <v>5847</v>
      </c>
      <c r="N35" s="8">
        <v>0.183867</v>
      </c>
    </row>
    <row r="36" spans="1:14" hidden="1" x14ac:dyDescent="0.55000000000000004">
      <c r="A36" s="3" t="s">
        <v>77</v>
      </c>
      <c r="B36" s="3" t="s">
        <v>129</v>
      </c>
      <c r="C36" t="s">
        <v>129</v>
      </c>
      <c r="D36" s="3" t="s">
        <v>7314</v>
      </c>
      <c r="E36" t="s">
        <v>130</v>
      </c>
      <c r="F36" s="3" t="s">
        <v>131</v>
      </c>
      <c r="G36" s="10">
        <v>1</v>
      </c>
      <c r="H36" s="3" t="s">
        <v>19</v>
      </c>
      <c r="I36" t="s">
        <v>134</v>
      </c>
      <c r="J36" s="3" t="s">
        <v>84</v>
      </c>
      <c r="K36" t="s">
        <v>5842</v>
      </c>
      <c r="L36" s="3" t="s">
        <v>5843</v>
      </c>
      <c r="M36" t="s">
        <v>5848</v>
      </c>
      <c r="N36" s="8">
        <v>3.2954999999999998E-2</v>
      </c>
    </row>
    <row r="37" spans="1:14" hidden="1" x14ac:dyDescent="0.55000000000000004">
      <c r="A37" s="3" t="s">
        <v>77</v>
      </c>
      <c r="B37" s="3" t="s">
        <v>129</v>
      </c>
      <c r="C37" t="s">
        <v>129</v>
      </c>
      <c r="D37" s="3" t="s">
        <v>7314</v>
      </c>
      <c r="E37" t="s">
        <v>130</v>
      </c>
      <c r="F37" s="3" t="s">
        <v>131</v>
      </c>
      <c r="G37" s="10">
        <v>1</v>
      </c>
      <c r="H37" s="3" t="s">
        <v>24</v>
      </c>
      <c r="I37" t="s">
        <v>137</v>
      </c>
      <c r="J37" s="3" t="s">
        <v>138</v>
      </c>
      <c r="K37" t="s">
        <v>23</v>
      </c>
      <c r="L37" s="3" t="s">
        <v>5837</v>
      </c>
      <c r="M37" t="s">
        <v>23</v>
      </c>
      <c r="N37" s="8">
        <v>0.18484500000000001</v>
      </c>
    </row>
    <row r="38" spans="1:14" hidden="1" x14ac:dyDescent="0.55000000000000004">
      <c r="A38" s="3" t="s">
        <v>77</v>
      </c>
      <c r="B38" s="3" t="s">
        <v>139</v>
      </c>
      <c r="C38" t="s">
        <v>139</v>
      </c>
      <c r="D38" s="3" t="s">
        <v>7314</v>
      </c>
      <c r="E38" t="s">
        <v>140</v>
      </c>
      <c r="F38" s="3" t="s">
        <v>141</v>
      </c>
      <c r="G38" s="10">
        <v>0</v>
      </c>
      <c r="H38" s="3" t="s">
        <v>24</v>
      </c>
      <c r="I38" t="s">
        <v>144</v>
      </c>
      <c r="J38" s="3" t="s">
        <v>40</v>
      </c>
      <c r="K38" t="s">
        <v>23</v>
      </c>
      <c r="L38" s="3" t="s">
        <v>5835</v>
      </c>
      <c r="M38" t="s">
        <v>23</v>
      </c>
      <c r="N38" s="8">
        <v>0.258046</v>
      </c>
    </row>
    <row r="39" spans="1:14" hidden="1" x14ac:dyDescent="0.55000000000000004">
      <c r="A39" s="3" t="s">
        <v>77</v>
      </c>
      <c r="B39" s="3" t="s">
        <v>139</v>
      </c>
      <c r="C39" t="s">
        <v>139</v>
      </c>
      <c r="D39" s="3" t="s">
        <v>7314</v>
      </c>
      <c r="E39" t="s">
        <v>145</v>
      </c>
      <c r="F39" s="3" t="s">
        <v>146</v>
      </c>
      <c r="G39" s="10">
        <v>0</v>
      </c>
      <c r="H39" s="3" t="s">
        <v>24</v>
      </c>
      <c r="I39" t="s">
        <v>144</v>
      </c>
      <c r="J39" s="3" t="s">
        <v>40</v>
      </c>
      <c r="K39" t="s">
        <v>23</v>
      </c>
      <c r="L39" s="3" t="s">
        <v>5835</v>
      </c>
      <c r="M39" t="s">
        <v>23</v>
      </c>
      <c r="N39" s="8">
        <v>0.258046</v>
      </c>
    </row>
    <row r="40" spans="1:14" hidden="1" x14ac:dyDescent="0.55000000000000004">
      <c r="A40" s="3" t="s">
        <v>77</v>
      </c>
      <c r="B40" s="3" t="s">
        <v>7317</v>
      </c>
      <c r="C40" t="s">
        <v>139</v>
      </c>
      <c r="D40" s="3" t="s">
        <v>7314</v>
      </c>
      <c r="E40" t="s">
        <v>147</v>
      </c>
      <c r="F40" s="3" t="s">
        <v>148</v>
      </c>
      <c r="G40" s="10">
        <v>0</v>
      </c>
      <c r="H40" s="3" t="s">
        <v>24</v>
      </c>
      <c r="I40" t="s">
        <v>144</v>
      </c>
      <c r="J40" s="3" t="s">
        <v>40</v>
      </c>
      <c r="K40" t="s">
        <v>23</v>
      </c>
      <c r="L40" s="3" t="s">
        <v>5835</v>
      </c>
      <c r="M40" t="s">
        <v>23</v>
      </c>
      <c r="N40" s="8">
        <v>0.258046</v>
      </c>
    </row>
    <row r="41" spans="1:14" hidden="1" x14ac:dyDescent="0.55000000000000004">
      <c r="A41" s="3" t="s">
        <v>77</v>
      </c>
      <c r="B41" s="3" t="s">
        <v>139</v>
      </c>
      <c r="C41" t="s">
        <v>139</v>
      </c>
      <c r="D41" s="3" t="s">
        <v>7314</v>
      </c>
      <c r="E41" t="s">
        <v>149</v>
      </c>
      <c r="F41" s="3" t="s">
        <v>150</v>
      </c>
      <c r="G41" s="10">
        <v>0</v>
      </c>
      <c r="H41" s="3" t="s">
        <v>24</v>
      </c>
      <c r="I41" t="s">
        <v>144</v>
      </c>
      <c r="J41" s="3" t="s">
        <v>40</v>
      </c>
      <c r="K41" t="s">
        <v>23</v>
      </c>
      <c r="L41" s="3" t="s">
        <v>5835</v>
      </c>
      <c r="M41" t="s">
        <v>23</v>
      </c>
      <c r="N41" s="8">
        <v>0.258046</v>
      </c>
    </row>
    <row r="42" spans="1:14" hidden="1" x14ac:dyDescent="0.55000000000000004">
      <c r="A42" s="3" t="s">
        <v>77</v>
      </c>
      <c r="B42" s="3" t="s">
        <v>139</v>
      </c>
      <c r="C42" t="s">
        <v>139</v>
      </c>
      <c r="D42" s="3" t="s">
        <v>7314</v>
      </c>
      <c r="E42" t="s">
        <v>151</v>
      </c>
      <c r="F42" s="3" t="s">
        <v>152</v>
      </c>
      <c r="G42" s="10">
        <v>0</v>
      </c>
      <c r="H42" s="3" t="s">
        <v>24</v>
      </c>
      <c r="I42" t="s">
        <v>144</v>
      </c>
      <c r="J42" s="3" t="s">
        <v>40</v>
      </c>
      <c r="K42" t="s">
        <v>23</v>
      </c>
      <c r="L42" s="3" t="s">
        <v>5835</v>
      </c>
      <c r="M42" t="s">
        <v>23</v>
      </c>
      <c r="N42" s="8">
        <v>0.258046</v>
      </c>
    </row>
    <row r="43" spans="1:14" hidden="1" x14ac:dyDescent="0.55000000000000004">
      <c r="A43" s="3" t="s">
        <v>77</v>
      </c>
      <c r="B43" s="3" t="s">
        <v>139</v>
      </c>
      <c r="C43" t="s">
        <v>139</v>
      </c>
      <c r="D43" s="3" t="s">
        <v>7314</v>
      </c>
      <c r="E43" t="s">
        <v>153</v>
      </c>
      <c r="F43" s="3" t="s">
        <v>154</v>
      </c>
      <c r="G43" s="10">
        <v>0</v>
      </c>
      <c r="H43" s="3" t="s">
        <v>24</v>
      </c>
      <c r="I43" t="s">
        <v>144</v>
      </c>
      <c r="J43" s="3" t="s">
        <v>40</v>
      </c>
      <c r="K43" t="s">
        <v>23</v>
      </c>
      <c r="L43" s="3" t="s">
        <v>5835</v>
      </c>
      <c r="M43" t="s">
        <v>23</v>
      </c>
      <c r="N43" s="8">
        <v>0.258046</v>
      </c>
    </row>
    <row r="44" spans="1:14" hidden="1" x14ac:dyDescent="0.55000000000000004">
      <c r="A44" s="3" t="s">
        <v>77</v>
      </c>
      <c r="B44" s="3" t="s">
        <v>155</v>
      </c>
      <c r="C44" t="s">
        <v>155</v>
      </c>
      <c r="D44" s="3" t="s">
        <v>7314</v>
      </c>
      <c r="E44" t="s">
        <v>156</v>
      </c>
      <c r="F44" s="3" t="s">
        <v>157</v>
      </c>
      <c r="G44" s="10">
        <v>1</v>
      </c>
      <c r="H44" s="3" t="s">
        <v>19</v>
      </c>
      <c r="I44" t="s">
        <v>160</v>
      </c>
      <c r="J44" s="3" t="s">
        <v>89</v>
      </c>
      <c r="K44" t="s">
        <v>5849</v>
      </c>
      <c r="L44" s="3" t="s">
        <v>5850</v>
      </c>
      <c r="M44" t="s">
        <v>5851</v>
      </c>
      <c r="N44" s="8">
        <v>3.5152000000000003E-2</v>
      </c>
    </row>
    <row r="45" spans="1:14" hidden="1" x14ac:dyDescent="0.55000000000000004">
      <c r="A45" s="3" t="s">
        <v>77</v>
      </c>
      <c r="B45" s="3" t="s">
        <v>155</v>
      </c>
      <c r="C45" t="s">
        <v>155</v>
      </c>
      <c r="D45" s="3" t="s">
        <v>7314</v>
      </c>
      <c r="E45" t="s">
        <v>156</v>
      </c>
      <c r="F45" s="3" t="s">
        <v>157</v>
      </c>
      <c r="G45" s="10">
        <v>1</v>
      </c>
      <c r="H45" s="3" t="s">
        <v>24</v>
      </c>
      <c r="I45" t="s">
        <v>164</v>
      </c>
      <c r="J45" s="3" t="s">
        <v>46</v>
      </c>
      <c r="K45" t="s">
        <v>5836</v>
      </c>
      <c r="L45" s="3" t="s">
        <v>5852</v>
      </c>
      <c r="M45" t="s">
        <v>5853</v>
      </c>
      <c r="N45" s="8">
        <v>0.1913</v>
      </c>
    </row>
    <row r="46" spans="1:14" hidden="1" x14ac:dyDescent="0.55000000000000004">
      <c r="A46" s="3" t="s">
        <v>77</v>
      </c>
      <c r="B46" s="3" t="s">
        <v>155</v>
      </c>
      <c r="C46" t="s">
        <v>155</v>
      </c>
      <c r="D46" s="3" t="s">
        <v>7314</v>
      </c>
      <c r="E46" t="s">
        <v>167</v>
      </c>
      <c r="F46" s="3" t="s">
        <v>168</v>
      </c>
      <c r="G46" s="10">
        <v>0</v>
      </c>
      <c r="H46" s="3" t="s">
        <v>19</v>
      </c>
      <c r="I46" t="s">
        <v>160</v>
      </c>
      <c r="J46" s="3" t="s">
        <v>89</v>
      </c>
      <c r="K46" t="s">
        <v>5849</v>
      </c>
      <c r="L46" s="3" t="s">
        <v>5850</v>
      </c>
      <c r="M46" t="s">
        <v>5851</v>
      </c>
      <c r="N46" s="8">
        <v>3.5152000000000003E-2</v>
      </c>
    </row>
    <row r="47" spans="1:14" hidden="1" x14ac:dyDescent="0.55000000000000004">
      <c r="A47" s="3" t="s">
        <v>77</v>
      </c>
      <c r="B47" s="3" t="s">
        <v>155</v>
      </c>
      <c r="C47" t="s">
        <v>155</v>
      </c>
      <c r="D47" s="3" t="s">
        <v>7314</v>
      </c>
      <c r="E47" t="s">
        <v>167</v>
      </c>
      <c r="F47" s="3" t="s">
        <v>168</v>
      </c>
      <c r="G47" s="10">
        <v>0</v>
      </c>
      <c r="H47" s="3" t="s">
        <v>24</v>
      </c>
      <c r="I47" t="s">
        <v>164</v>
      </c>
      <c r="J47" s="3" t="s">
        <v>46</v>
      </c>
      <c r="K47" t="s">
        <v>5836</v>
      </c>
      <c r="L47" s="3" t="s">
        <v>5852</v>
      </c>
      <c r="M47" t="s">
        <v>5853</v>
      </c>
      <c r="N47" s="8">
        <v>0.1913</v>
      </c>
    </row>
    <row r="48" spans="1:14" hidden="1" x14ac:dyDescent="0.55000000000000004">
      <c r="A48" s="3" t="s">
        <v>77</v>
      </c>
      <c r="B48" s="3" t="s">
        <v>155</v>
      </c>
      <c r="C48" t="s">
        <v>155</v>
      </c>
      <c r="D48" s="3" t="s">
        <v>7314</v>
      </c>
      <c r="E48" t="s">
        <v>169</v>
      </c>
      <c r="F48" s="3" t="s">
        <v>170</v>
      </c>
      <c r="G48" s="10">
        <v>0</v>
      </c>
      <c r="H48" s="3" t="s">
        <v>19</v>
      </c>
      <c r="I48" t="s">
        <v>160</v>
      </c>
      <c r="J48" s="3" t="s">
        <v>89</v>
      </c>
      <c r="K48" t="s">
        <v>5849</v>
      </c>
      <c r="L48" s="3" t="s">
        <v>5850</v>
      </c>
      <c r="M48" t="s">
        <v>5851</v>
      </c>
      <c r="N48" s="8">
        <v>3.5152000000000003E-2</v>
      </c>
    </row>
    <row r="49" spans="1:14" hidden="1" x14ac:dyDescent="0.55000000000000004">
      <c r="A49" s="3" t="s">
        <v>77</v>
      </c>
      <c r="B49" s="3" t="s">
        <v>155</v>
      </c>
      <c r="C49" t="s">
        <v>155</v>
      </c>
      <c r="D49" s="3" t="s">
        <v>7314</v>
      </c>
      <c r="E49" t="s">
        <v>169</v>
      </c>
      <c r="F49" s="3" t="s">
        <v>170</v>
      </c>
      <c r="G49" s="10">
        <v>0</v>
      </c>
      <c r="H49" s="3" t="s">
        <v>24</v>
      </c>
      <c r="I49" t="s">
        <v>164</v>
      </c>
      <c r="J49" s="3" t="s">
        <v>46</v>
      </c>
      <c r="K49" t="s">
        <v>5836</v>
      </c>
      <c r="L49" s="3" t="s">
        <v>5852</v>
      </c>
      <c r="M49" t="s">
        <v>5853</v>
      </c>
      <c r="N49" s="8">
        <v>0.1913</v>
      </c>
    </row>
    <row r="50" spans="1:14" hidden="1" x14ac:dyDescent="0.55000000000000004">
      <c r="A50" s="3" t="s">
        <v>77</v>
      </c>
      <c r="B50" s="3" t="s">
        <v>155</v>
      </c>
      <c r="C50" t="s">
        <v>155</v>
      </c>
      <c r="D50" s="3" t="s">
        <v>7314</v>
      </c>
      <c r="E50" t="s">
        <v>171</v>
      </c>
      <c r="F50" s="3" t="s">
        <v>172</v>
      </c>
      <c r="G50" s="10">
        <v>0</v>
      </c>
      <c r="H50" s="3" t="s">
        <v>19</v>
      </c>
      <c r="I50" t="s">
        <v>160</v>
      </c>
      <c r="J50" s="3" t="s">
        <v>89</v>
      </c>
      <c r="K50" t="s">
        <v>5849</v>
      </c>
      <c r="L50" s="3" t="s">
        <v>5850</v>
      </c>
      <c r="M50" t="s">
        <v>5851</v>
      </c>
      <c r="N50" s="8">
        <v>3.5152000000000003E-2</v>
      </c>
    </row>
    <row r="51" spans="1:14" hidden="1" x14ac:dyDescent="0.55000000000000004">
      <c r="A51" s="3" t="s">
        <v>77</v>
      </c>
      <c r="B51" s="3" t="s">
        <v>155</v>
      </c>
      <c r="C51" t="s">
        <v>155</v>
      </c>
      <c r="D51" s="3" t="s">
        <v>7314</v>
      </c>
      <c r="E51" t="s">
        <v>171</v>
      </c>
      <c r="F51" s="3" t="s">
        <v>172</v>
      </c>
      <c r="G51" s="10">
        <v>0</v>
      </c>
      <c r="H51" s="3" t="s">
        <v>24</v>
      </c>
      <c r="I51" t="s">
        <v>164</v>
      </c>
      <c r="J51" s="3" t="s">
        <v>46</v>
      </c>
      <c r="K51" t="s">
        <v>5836</v>
      </c>
      <c r="L51" s="3" t="s">
        <v>5852</v>
      </c>
      <c r="M51" t="s">
        <v>5853</v>
      </c>
      <c r="N51" s="8">
        <v>0.1913</v>
      </c>
    </row>
    <row r="52" spans="1:14" hidden="1" x14ac:dyDescent="0.55000000000000004">
      <c r="A52" s="3" t="s">
        <v>77</v>
      </c>
      <c r="B52" s="3" t="s">
        <v>155</v>
      </c>
      <c r="C52" t="s">
        <v>155</v>
      </c>
      <c r="D52" s="3" t="s">
        <v>7314</v>
      </c>
      <c r="E52" t="s">
        <v>173</v>
      </c>
      <c r="F52" s="3" t="s">
        <v>174</v>
      </c>
      <c r="G52" s="10">
        <v>0</v>
      </c>
      <c r="H52" s="3" t="s">
        <v>19</v>
      </c>
      <c r="I52" t="s">
        <v>160</v>
      </c>
      <c r="J52" s="3" t="s">
        <v>89</v>
      </c>
      <c r="K52" t="s">
        <v>5849</v>
      </c>
      <c r="L52" s="3" t="s">
        <v>5850</v>
      </c>
      <c r="M52" t="s">
        <v>5851</v>
      </c>
      <c r="N52" s="8">
        <v>3.5152000000000003E-2</v>
      </c>
    </row>
    <row r="53" spans="1:14" hidden="1" x14ac:dyDescent="0.55000000000000004">
      <c r="A53" s="3" t="s">
        <v>77</v>
      </c>
      <c r="B53" s="3" t="s">
        <v>155</v>
      </c>
      <c r="C53" t="s">
        <v>155</v>
      </c>
      <c r="D53" s="3" t="s">
        <v>7314</v>
      </c>
      <c r="E53" t="s">
        <v>173</v>
      </c>
      <c r="F53" s="3" t="s">
        <v>174</v>
      </c>
      <c r="G53" s="10">
        <v>0</v>
      </c>
      <c r="H53" s="3" t="s">
        <v>24</v>
      </c>
      <c r="I53" t="s">
        <v>164</v>
      </c>
      <c r="J53" s="3" t="s">
        <v>46</v>
      </c>
      <c r="K53" t="s">
        <v>5836</v>
      </c>
      <c r="L53" s="3" t="s">
        <v>5852</v>
      </c>
      <c r="M53" t="s">
        <v>5853</v>
      </c>
      <c r="N53" s="8">
        <v>0.1913</v>
      </c>
    </row>
    <row r="54" spans="1:14" hidden="1" x14ac:dyDescent="0.55000000000000004">
      <c r="A54" s="3" t="s">
        <v>77</v>
      </c>
      <c r="B54" s="3" t="s">
        <v>155</v>
      </c>
      <c r="C54" t="s">
        <v>155</v>
      </c>
      <c r="D54" s="3" t="s">
        <v>7314</v>
      </c>
      <c r="E54" t="s">
        <v>175</v>
      </c>
      <c r="F54" s="3" t="s">
        <v>176</v>
      </c>
      <c r="G54" s="10">
        <v>0</v>
      </c>
      <c r="H54" s="3" t="s">
        <v>19</v>
      </c>
      <c r="I54" t="s">
        <v>160</v>
      </c>
      <c r="J54" s="3" t="s">
        <v>89</v>
      </c>
      <c r="K54" t="s">
        <v>5849</v>
      </c>
      <c r="L54" s="3" t="s">
        <v>5850</v>
      </c>
      <c r="M54" t="s">
        <v>5851</v>
      </c>
      <c r="N54" s="8">
        <v>3.5152000000000003E-2</v>
      </c>
    </row>
    <row r="55" spans="1:14" hidden="1" x14ac:dyDescent="0.55000000000000004">
      <c r="A55" s="3" t="s">
        <v>77</v>
      </c>
      <c r="B55" s="3" t="s">
        <v>155</v>
      </c>
      <c r="C55" t="s">
        <v>155</v>
      </c>
      <c r="D55" s="3" t="s">
        <v>7314</v>
      </c>
      <c r="E55" t="s">
        <v>175</v>
      </c>
      <c r="F55" s="3" t="s">
        <v>176</v>
      </c>
      <c r="G55" s="10">
        <v>0</v>
      </c>
      <c r="H55" s="3" t="s">
        <v>24</v>
      </c>
      <c r="I55" t="s">
        <v>164</v>
      </c>
      <c r="J55" s="3" t="s">
        <v>46</v>
      </c>
      <c r="K55" t="s">
        <v>5836</v>
      </c>
      <c r="L55" s="3" t="s">
        <v>5852</v>
      </c>
      <c r="M55" t="s">
        <v>5853</v>
      </c>
      <c r="N55" s="8">
        <v>0.1913</v>
      </c>
    </row>
    <row r="56" spans="1:14" hidden="1" x14ac:dyDescent="0.55000000000000004">
      <c r="A56" s="3" t="s">
        <v>77</v>
      </c>
      <c r="B56" s="3" t="s">
        <v>177</v>
      </c>
      <c r="C56" t="s">
        <v>95</v>
      </c>
      <c r="D56" s="3" t="s">
        <v>7314</v>
      </c>
      <c r="E56" t="s">
        <v>178</v>
      </c>
      <c r="F56" s="3" t="s">
        <v>179</v>
      </c>
      <c r="G56" s="10">
        <v>0</v>
      </c>
      <c r="H56" s="3" t="s">
        <v>19</v>
      </c>
      <c r="I56" t="s">
        <v>182</v>
      </c>
      <c r="J56" s="3" t="s">
        <v>89</v>
      </c>
      <c r="K56" t="s">
        <v>5849</v>
      </c>
      <c r="L56" s="3" t="s">
        <v>5850</v>
      </c>
      <c r="M56" t="s">
        <v>5854</v>
      </c>
      <c r="N56" s="8">
        <v>2.6832999999999999E-2</v>
      </c>
    </row>
    <row r="57" spans="1:14" hidden="1" x14ac:dyDescent="0.55000000000000004">
      <c r="A57" s="3" t="s">
        <v>77</v>
      </c>
      <c r="B57" s="3" t="s">
        <v>177</v>
      </c>
      <c r="C57" t="s">
        <v>95</v>
      </c>
      <c r="D57" s="3" t="s">
        <v>7314</v>
      </c>
      <c r="E57" t="s">
        <v>178</v>
      </c>
      <c r="F57" s="3" t="s">
        <v>179</v>
      </c>
      <c r="G57" s="10">
        <v>0</v>
      </c>
      <c r="H57" s="3" t="s">
        <v>24</v>
      </c>
      <c r="I57" t="s">
        <v>185</v>
      </c>
      <c r="J57" s="3" t="s">
        <v>138</v>
      </c>
      <c r="K57" t="s">
        <v>23</v>
      </c>
      <c r="L57" s="3" t="s">
        <v>5837</v>
      </c>
      <c r="M57" t="s">
        <v>23</v>
      </c>
      <c r="N57" s="8">
        <v>0.184673</v>
      </c>
    </row>
    <row r="58" spans="1:14" hidden="1" x14ac:dyDescent="0.55000000000000004">
      <c r="A58" s="3" t="s">
        <v>77</v>
      </c>
      <c r="B58" s="3" t="s">
        <v>186</v>
      </c>
      <c r="C58" t="s">
        <v>186</v>
      </c>
      <c r="D58" s="3" t="s">
        <v>7314</v>
      </c>
      <c r="E58" t="s">
        <v>187</v>
      </c>
      <c r="F58" s="3" t="s">
        <v>188</v>
      </c>
      <c r="G58" s="10">
        <v>0</v>
      </c>
      <c r="H58" s="3" t="s">
        <v>24</v>
      </c>
      <c r="I58" t="s">
        <v>191</v>
      </c>
      <c r="J58" s="3" t="s">
        <v>138</v>
      </c>
      <c r="K58" t="s">
        <v>23</v>
      </c>
      <c r="L58" s="3" t="s">
        <v>5837</v>
      </c>
      <c r="M58" t="s">
        <v>23</v>
      </c>
      <c r="N58" s="8">
        <v>0.18308199999999999</v>
      </c>
    </row>
    <row r="59" spans="1:14" hidden="1" x14ac:dyDescent="0.55000000000000004">
      <c r="A59" s="9" t="s">
        <v>77</v>
      </c>
      <c r="B59" s="3" t="s">
        <v>192</v>
      </c>
      <c r="C59" t="s">
        <v>95</v>
      </c>
      <c r="D59" s="3" t="s">
        <v>7314</v>
      </c>
      <c r="E59" t="s">
        <v>193</v>
      </c>
      <c r="F59" s="3" t="s">
        <v>194</v>
      </c>
      <c r="G59" s="10">
        <v>0</v>
      </c>
      <c r="H59" s="3" t="s">
        <v>24</v>
      </c>
      <c r="I59" t="s">
        <v>197</v>
      </c>
      <c r="J59" s="3" t="s">
        <v>138</v>
      </c>
      <c r="K59" t="s">
        <v>23</v>
      </c>
      <c r="L59" s="3" t="s">
        <v>5837</v>
      </c>
      <c r="M59" t="s">
        <v>23</v>
      </c>
      <c r="N59" s="8">
        <v>0.18448800000000001</v>
      </c>
    </row>
    <row r="60" spans="1:14" hidden="1" x14ac:dyDescent="0.55000000000000004">
      <c r="A60" s="3" t="s">
        <v>198</v>
      </c>
      <c r="B60" s="3" t="s">
        <v>199</v>
      </c>
      <c r="C60" t="s">
        <v>199</v>
      </c>
      <c r="D60" s="3" t="s">
        <v>7314</v>
      </c>
      <c r="E60" t="s">
        <v>200</v>
      </c>
      <c r="F60" s="3" t="s">
        <v>201</v>
      </c>
      <c r="G60" s="10">
        <v>0</v>
      </c>
      <c r="H60" s="3" t="s">
        <v>24</v>
      </c>
      <c r="I60" t="s">
        <v>204</v>
      </c>
      <c r="J60" s="3" t="s">
        <v>29</v>
      </c>
      <c r="K60" t="s">
        <v>23</v>
      </c>
      <c r="L60" s="3" t="s">
        <v>5840</v>
      </c>
      <c r="M60" t="s">
        <v>23</v>
      </c>
      <c r="N60" s="8">
        <v>0.21812000000000001</v>
      </c>
    </row>
    <row r="61" spans="1:14" hidden="1" x14ac:dyDescent="0.55000000000000004">
      <c r="A61" s="3" t="s">
        <v>198</v>
      </c>
      <c r="B61" s="3" t="s">
        <v>205</v>
      </c>
      <c r="C61" t="s">
        <v>205</v>
      </c>
      <c r="D61" s="3" t="s">
        <v>7314</v>
      </c>
      <c r="E61" t="s">
        <v>206</v>
      </c>
      <c r="F61" s="3" t="s">
        <v>207</v>
      </c>
      <c r="G61" s="10">
        <v>1</v>
      </c>
      <c r="H61" s="3" t="s">
        <v>19</v>
      </c>
      <c r="I61" t="s">
        <v>211</v>
      </c>
      <c r="J61" s="3" t="s">
        <v>212</v>
      </c>
      <c r="K61" t="s">
        <v>5855</v>
      </c>
      <c r="L61" s="3" t="s">
        <v>5856</v>
      </c>
      <c r="M61" t="s">
        <v>5857</v>
      </c>
      <c r="N61" s="8">
        <v>4.2854999999999997E-2</v>
      </c>
    </row>
    <row r="62" spans="1:14" hidden="1" x14ac:dyDescent="0.55000000000000004">
      <c r="A62" s="3" t="s">
        <v>198</v>
      </c>
      <c r="B62" s="3" t="s">
        <v>205</v>
      </c>
      <c r="C62" t="s">
        <v>205</v>
      </c>
      <c r="D62" s="3" t="s">
        <v>7314</v>
      </c>
      <c r="E62" t="s">
        <v>206</v>
      </c>
      <c r="F62" s="3" t="s">
        <v>207</v>
      </c>
      <c r="G62" s="10">
        <v>1</v>
      </c>
      <c r="H62" s="3" t="s">
        <v>19</v>
      </c>
      <c r="I62" t="s">
        <v>213</v>
      </c>
      <c r="J62" s="3" t="s">
        <v>64</v>
      </c>
      <c r="K62" t="s">
        <v>5858</v>
      </c>
      <c r="L62" s="3" t="s">
        <v>5859</v>
      </c>
      <c r="M62" t="s">
        <v>5860</v>
      </c>
      <c r="N62" s="8">
        <v>6.7199999999999996E-2</v>
      </c>
    </row>
    <row r="63" spans="1:14" hidden="1" x14ac:dyDescent="0.55000000000000004">
      <c r="A63" s="3" t="s">
        <v>198</v>
      </c>
      <c r="B63" s="3" t="s">
        <v>205</v>
      </c>
      <c r="C63" t="s">
        <v>205</v>
      </c>
      <c r="D63" s="3" t="s">
        <v>7314</v>
      </c>
      <c r="E63" t="s">
        <v>206</v>
      </c>
      <c r="F63" s="3" t="s">
        <v>207</v>
      </c>
      <c r="G63" s="10">
        <v>1</v>
      </c>
      <c r="H63" s="3" t="s">
        <v>19</v>
      </c>
      <c r="I63" t="s">
        <v>213</v>
      </c>
      <c r="J63" s="3" t="s">
        <v>64</v>
      </c>
      <c r="K63" t="s">
        <v>5858</v>
      </c>
      <c r="L63" s="3" t="s">
        <v>5861</v>
      </c>
      <c r="M63" t="s">
        <v>5860</v>
      </c>
      <c r="N63" s="8">
        <v>6.7199999999999996E-2</v>
      </c>
    </row>
    <row r="64" spans="1:14" hidden="1" x14ac:dyDescent="0.55000000000000004">
      <c r="A64" s="3" t="s">
        <v>198</v>
      </c>
      <c r="B64" s="3" t="s">
        <v>205</v>
      </c>
      <c r="C64" t="s">
        <v>205</v>
      </c>
      <c r="D64" s="3" t="s">
        <v>7314</v>
      </c>
      <c r="E64" t="s">
        <v>206</v>
      </c>
      <c r="F64" s="3" t="s">
        <v>207</v>
      </c>
      <c r="G64" s="10">
        <v>1</v>
      </c>
      <c r="H64" s="3" t="s">
        <v>19</v>
      </c>
      <c r="I64" t="s">
        <v>213</v>
      </c>
      <c r="J64" s="3" t="s">
        <v>64</v>
      </c>
      <c r="K64" t="s">
        <v>5858</v>
      </c>
      <c r="L64" s="3" t="s">
        <v>5862</v>
      </c>
      <c r="M64" t="s">
        <v>5860</v>
      </c>
      <c r="N64" s="8">
        <v>6.7199999999999996E-2</v>
      </c>
    </row>
    <row r="65" spans="1:14" hidden="1" x14ac:dyDescent="0.55000000000000004">
      <c r="A65" s="3" t="s">
        <v>198</v>
      </c>
      <c r="B65" s="3" t="s">
        <v>205</v>
      </c>
      <c r="C65" t="s">
        <v>205</v>
      </c>
      <c r="D65" s="3" t="s">
        <v>7314</v>
      </c>
      <c r="E65" t="s">
        <v>206</v>
      </c>
      <c r="F65" s="3" t="s">
        <v>207</v>
      </c>
      <c r="G65" s="10">
        <v>1</v>
      </c>
      <c r="H65" s="3" t="s">
        <v>24</v>
      </c>
      <c r="I65" t="s">
        <v>216</v>
      </c>
      <c r="J65" s="3" t="s">
        <v>76</v>
      </c>
      <c r="K65" t="s">
        <v>5841</v>
      </c>
      <c r="L65" s="3" t="s">
        <v>5840</v>
      </c>
      <c r="M65" t="s">
        <v>5863</v>
      </c>
      <c r="N65" s="8">
        <v>0.21149999999999999</v>
      </c>
    </row>
    <row r="66" spans="1:14" hidden="1" x14ac:dyDescent="0.55000000000000004">
      <c r="A66" s="3" t="s">
        <v>198</v>
      </c>
      <c r="B66" s="3" t="s">
        <v>220</v>
      </c>
      <c r="C66" t="s">
        <v>220</v>
      </c>
      <c r="D66" s="3" t="s">
        <v>7314</v>
      </c>
      <c r="E66" t="s">
        <v>221</v>
      </c>
      <c r="F66" s="3" t="s">
        <v>222</v>
      </c>
      <c r="G66" s="10">
        <v>0</v>
      </c>
      <c r="H66" s="3" t="s">
        <v>24</v>
      </c>
      <c r="I66" t="s">
        <v>225</v>
      </c>
      <c r="J66" s="3" t="s">
        <v>55</v>
      </c>
      <c r="K66" t="s">
        <v>23</v>
      </c>
      <c r="L66" s="3" t="s">
        <v>5839</v>
      </c>
      <c r="M66" t="s">
        <v>23</v>
      </c>
      <c r="N66" s="8">
        <v>0.18448100000000001</v>
      </c>
    </row>
    <row r="67" spans="1:14" hidden="1" x14ac:dyDescent="0.55000000000000004">
      <c r="A67" s="3" t="s">
        <v>198</v>
      </c>
      <c r="B67" s="3" t="s">
        <v>7318</v>
      </c>
      <c r="C67" t="s">
        <v>226</v>
      </c>
      <c r="D67" s="3" t="s">
        <v>7314</v>
      </c>
      <c r="E67" t="s">
        <v>227</v>
      </c>
      <c r="F67" s="3" t="s">
        <v>228</v>
      </c>
      <c r="G67" s="10">
        <v>1</v>
      </c>
      <c r="H67" s="3" t="s">
        <v>19</v>
      </c>
      <c r="I67" t="s">
        <v>231</v>
      </c>
      <c r="J67" s="3" t="s">
        <v>64</v>
      </c>
      <c r="K67" t="s">
        <v>5858</v>
      </c>
      <c r="L67" s="3" t="s">
        <v>5859</v>
      </c>
      <c r="M67" t="s">
        <v>5864</v>
      </c>
      <c r="N67" s="8">
        <v>8.6611999999999995E-2</v>
      </c>
    </row>
    <row r="68" spans="1:14" hidden="1" x14ac:dyDescent="0.55000000000000004">
      <c r="A68" s="3" t="s">
        <v>198</v>
      </c>
      <c r="B68" s="3" t="s">
        <v>7318</v>
      </c>
      <c r="C68" t="s">
        <v>226</v>
      </c>
      <c r="D68" s="3" t="s">
        <v>7314</v>
      </c>
      <c r="E68" t="s">
        <v>227</v>
      </c>
      <c r="F68" s="3" t="s">
        <v>228</v>
      </c>
      <c r="G68" s="10">
        <v>1</v>
      </c>
      <c r="H68" s="3" t="s">
        <v>19</v>
      </c>
      <c r="I68" t="s">
        <v>231</v>
      </c>
      <c r="J68" s="3" t="s">
        <v>64</v>
      </c>
      <c r="K68" t="s">
        <v>5858</v>
      </c>
      <c r="L68" s="3" t="s">
        <v>5859</v>
      </c>
      <c r="M68" t="s">
        <v>5865</v>
      </c>
      <c r="N68" s="8">
        <v>8.6611999999999995E-2</v>
      </c>
    </row>
    <row r="69" spans="1:14" hidden="1" x14ac:dyDescent="0.55000000000000004">
      <c r="A69" s="3" t="s">
        <v>198</v>
      </c>
      <c r="B69" s="3" t="s">
        <v>7318</v>
      </c>
      <c r="C69" t="s">
        <v>226</v>
      </c>
      <c r="D69" s="3" t="s">
        <v>7314</v>
      </c>
      <c r="E69" t="s">
        <v>227</v>
      </c>
      <c r="F69" s="3" t="s">
        <v>228</v>
      </c>
      <c r="G69" s="10">
        <v>1</v>
      </c>
      <c r="H69" s="3" t="s">
        <v>19</v>
      </c>
      <c r="I69" t="s">
        <v>231</v>
      </c>
      <c r="J69" s="3" t="s">
        <v>64</v>
      </c>
      <c r="K69" t="s">
        <v>5858</v>
      </c>
      <c r="L69" s="3" t="s">
        <v>5861</v>
      </c>
      <c r="M69" t="s">
        <v>5864</v>
      </c>
      <c r="N69" s="8">
        <v>8.6611999999999995E-2</v>
      </c>
    </row>
    <row r="70" spans="1:14" hidden="1" x14ac:dyDescent="0.55000000000000004">
      <c r="A70" s="3" t="s">
        <v>198</v>
      </c>
      <c r="B70" s="3" t="s">
        <v>7318</v>
      </c>
      <c r="C70" t="s">
        <v>226</v>
      </c>
      <c r="D70" s="3" t="s">
        <v>7314</v>
      </c>
      <c r="E70" t="s">
        <v>227</v>
      </c>
      <c r="F70" s="3" t="s">
        <v>228</v>
      </c>
      <c r="G70" s="10">
        <v>1</v>
      </c>
      <c r="H70" s="3" t="s">
        <v>19</v>
      </c>
      <c r="I70" t="s">
        <v>231</v>
      </c>
      <c r="J70" s="3" t="s">
        <v>64</v>
      </c>
      <c r="K70" t="s">
        <v>5858</v>
      </c>
      <c r="L70" s="3" t="s">
        <v>5861</v>
      </c>
      <c r="M70" t="s">
        <v>5865</v>
      </c>
      <c r="N70" s="8">
        <v>8.6611999999999995E-2</v>
      </c>
    </row>
    <row r="71" spans="1:14" hidden="1" x14ac:dyDescent="0.55000000000000004">
      <c r="A71" s="3" t="s">
        <v>198</v>
      </c>
      <c r="B71" s="3" t="s">
        <v>7318</v>
      </c>
      <c r="C71" t="s">
        <v>226</v>
      </c>
      <c r="D71" s="3" t="s">
        <v>7314</v>
      </c>
      <c r="E71" t="s">
        <v>227</v>
      </c>
      <c r="F71" s="3" t="s">
        <v>228</v>
      </c>
      <c r="G71" s="10">
        <v>1</v>
      </c>
      <c r="H71" s="3" t="s">
        <v>19</v>
      </c>
      <c r="I71" t="s">
        <v>231</v>
      </c>
      <c r="J71" s="3" t="s">
        <v>64</v>
      </c>
      <c r="K71" t="s">
        <v>5858</v>
      </c>
      <c r="L71" s="3" t="s">
        <v>5862</v>
      </c>
      <c r="M71" t="s">
        <v>5864</v>
      </c>
      <c r="N71" s="8">
        <v>8.6611999999999995E-2</v>
      </c>
    </row>
    <row r="72" spans="1:14" hidden="1" x14ac:dyDescent="0.55000000000000004">
      <c r="A72" s="3" t="s">
        <v>198</v>
      </c>
      <c r="B72" s="3" t="s">
        <v>7318</v>
      </c>
      <c r="C72" t="s">
        <v>226</v>
      </c>
      <c r="D72" s="3" t="s">
        <v>7314</v>
      </c>
      <c r="E72" t="s">
        <v>227</v>
      </c>
      <c r="F72" s="3" t="s">
        <v>228</v>
      </c>
      <c r="G72" s="10">
        <v>1</v>
      </c>
      <c r="H72" s="3" t="s">
        <v>19</v>
      </c>
      <c r="I72" t="s">
        <v>231</v>
      </c>
      <c r="J72" s="3" t="s">
        <v>64</v>
      </c>
      <c r="K72" t="s">
        <v>5858</v>
      </c>
      <c r="L72" s="3" t="s">
        <v>5862</v>
      </c>
      <c r="M72" t="s">
        <v>5865</v>
      </c>
      <c r="N72" s="8">
        <v>8.6611999999999995E-2</v>
      </c>
    </row>
    <row r="73" spans="1:14" hidden="1" x14ac:dyDescent="0.55000000000000004">
      <c r="A73" s="3" t="s">
        <v>198</v>
      </c>
      <c r="B73" s="3" t="s">
        <v>7318</v>
      </c>
      <c r="C73" t="s">
        <v>226</v>
      </c>
      <c r="D73" s="3" t="s">
        <v>7314</v>
      </c>
      <c r="E73" t="s">
        <v>227</v>
      </c>
      <c r="F73" s="3" t="s">
        <v>228</v>
      </c>
      <c r="G73" s="10">
        <v>1</v>
      </c>
      <c r="H73" s="3" t="s">
        <v>24</v>
      </c>
      <c r="I73" t="s">
        <v>236</v>
      </c>
      <c r="J73" s="3" t="s">
        <v>76</v>
      </c>
      <c r="K73" t="s">
        <v>5841</v>
      </c>
      <c r="L73" s="3" t="s">
        <v>5840</v>
      </c>
      <c r="M73" t="s">
        <v>5863</v>
      </c>
      <c r="N73" s="8">
        <v>0.21149999999999999</v>
      </c>
    </row>
    <row r="74" spans="1:14" hidden="1" x14ac:dyDescent="0.55000000000000004">
      <c r="A74" s="3" t="s">
        <v>198</v>
      </c>
      <c r="B74" s="3" t="s">
        <v>7318</v>
      </c>
      <c r="C74" t="s">
        <v>226</v>
      </c>
      <c r="D74" s="3" t="s">
        <v>7314</v>
      </c>
      <c r="E74" t="s">
        <v>237</v>
      </c>
      <c r="F74" s="3" t="s">
        <v>238</v>
      </c>
      <c r="G74" s="10">
        <v>0</v>
      </c>
      <c r="H74" s="3" t="s">
        <v>24</v>
      </c>
      <c r="I74" t="s">
        <v>236</v>
      </c>
      <c r="J74" s="3" t="s">
        <v>76</v>
      </c>
      <c r="K74" t="s">
        <v>5841</v>
      </c>
      <c r="L74" s="3" t="s">
        <v>5840</v>
      </c>
      <c r="M74" t="s">
        <v>5863</v>
      </c>
      <c r="N74" s="8">
        <v>0.21149999999999999</v>
      </c>
    </row>
    <row r="75" spans="1:14" hidden="1" x14ac:dyDescent="0.55000000000000004">
      <c r="A75" s="3" t="s">
        <v>198</v>
      </c>
      <c r="B75" s="3" t="s">
        <v>226</v>
      </c>
      <c r="C75" t="s">
        <v>226</v>
      </c>
      <c r="D75" s="3" t="s">
        <v>7314</v>
      </c>
      <c r="E75" t="s">
        <v>239</v>
      </c>
      <c r="F75" s="3" t="s">
        <v>240</v>
      </c>
      <c r="G75" s="10">
        <v>0</v>
      </c>
      <c r="H75" s="3" t="s">
        <v>24</v>
      </c>
      <c r="I75" t="s">
        <v>236</v>
      </c>
      <c r="J75" s="3" t="s">
        <v>76</v>
      </c>
      <c r="K75" t="s">
        <v>5841</v>
      </c>
      <c r="L75" s="3" t="s">
        <v>5840</v>
      </c>
      <c r="M75" t="s">
        <v>5863</v>
      </c>
      <c r="N75" s="8">
        <v>0.21149999999999999</v>
      </c>
    </row>
    <row r="76" spans="1:14" hidden="1" x14ac:dyDescent="0.55000000000000004">
      <c r="A76" s="3" t="s">
        <v>198</v>
      </c>
      <c r="B76" s="3" t="s">
        <v>7318</v>
      </c>
      <c r="C76" t="s">
        <v>226</v>
      </c>
      <c r="D76" s="3" t="s">
        <v>7314</v>
      </c>
      <c r="E76" t="s">
        <v>241</v>
      </c>
      <c r="F76" s="3" t="s">
        <v>242</v>
      </c>
      <c r="G76" s="10">
        <v>0</v>
      </c>
      <c r="H76" s="3" t="s">
        <v>19</v>
      </c>
      <c r="I76" t="s">
        <v>231</v>
      </c>
      <c r="J76" s="3" t="s">
        <v>64</v>
      </c>
      <c r="K76" t="s">
        <v>5858</v>
      </c>
      <c r="L76" s="3" t="s">
        <v>5859</v>
      </c>
      <c r="M76" t="s">
        <v>5864</v>
      </c>
      <c r="N76" s="8">
        <v>8.6611999999999995E-2</v>
      </c>
    </row>
    <row r="77" spans="1:14" hidden="1" x14ac:dyDescent="0.55000000000000004">
      <c r="A77" s="3" t="s">
        <v>198</v>
      </c>
      <c r="B77" s="3" t="s">
        <v>7318</v>
      </c>
      <c r="C77" t="s">
        <v>226</v>
      </c>
      <c r="D77" s="3" t="s">
        <v>7314</v>
      </c>
      <c r="E77" t="s">
        <v>241</v>
      </c>
      <c r="F77" s="3" t="s">
        <v>242</v>
      </c>
      <c r="G77" s="10">
        <v>0</v>
      </c>
      <c r="H77" s="3" t="s">
        <v>19</v>
      </c>
      <c r="I77" t="s">
        <v>231</v>
      </c>
      <c r="J77" s="3" t="s">
        <v>64</v>
      </c>
      <c r="K77" t="s">
        <v>5858</v>
      </c>
      <c r="L77" s="3" t="s">
        <v>5859</v>
      </c>
      <c r="M77" t="s">
        <v>5865</v>
      </c>
      <c r="N77" s="8">
        <v>8.6611999999999995E-2</v>
      </c>
    </row>
    <row r="78" spans="1:14" hidden="1" x14ac:dyDescent="0.55000000000000004">
      <c r="A78" s="3" t="s">
        <v>198</v>
      </c>
      <c r="B78" s="3" t="s">
        <v>7318</v>
      </c>
      <c r="C78" t="s">
        <v>226</v>
      </c>
      <c r="D78" s="3" t="s">
        <v>7314</v>
      </c>
      <c r="E78" t="s">
        <v>241</v>
      </c>
      <c r="F78" s="3" t="s">
        <v>242</v>
      </c>
      <c r="G78" s="10">
        <v>0</v>
      </c>
      <c r="H78" s="3" t="s">
        <v>19</v>
      </c>
      <c r="I78" t="s">
        <v>231</v>
      </c>
      <c r="J78" s="3" t="s">
        <v>64</v>
      </c>
      <c r="K78" t="s">
        <v>5858</v>
      </c>
      <c r="L78" s="3" t="s">
        <v>5861</v>
      </c>
      <c r="M78" t="s">
        <v>5864</v>
      </c>
      <c r="N78" s="8">
        <v>8.6611999999999995E-2</v>
      </c>
    </row>
    <row r="79" spans="1:14" hidden="1" x14ac:dyDescent="0.55000000000000004">
      <c r="A79" s="3" t="s">
        <v>198</v>
      </c>
      <c r="B79" s="3" t="s">
        <v>7318</v>
      </c>
      <c r="C79" t="s">
        <v>226</v>
      </c>
      <c r="D79" s="3" t="s">
        <v>7314</v>
      </c>
      <c r="E79" t="s">
        <v>241</v>
      </c>
      <c r="F79" s="3" t="s">
        <v>242</v>
      </c>
      <c r="G79" s="10">
        <v>0</v>
      </c>
      <c r="H79" s="3" t="s">
        <v>19</v>
      </c>
      <c r="I79" t="s">
        <v>231</v>
      </c>
      <c r="J79" s="3" t="s">
        <v>64</v>
      </c>
      <c r="K79" t="s">
        <v>5858</v>
      </c>
      <c r="L79" s="3" t="s">
        <v>5861</v>
      </c>
      <c r="M79" t="s">
        <v>5865</v>
      </c>
      <c r="N79" s="8">
        <v>8.6611999999999995E-2</v>
      </c>
    </row>
    <row r="80" spans="1:14" hidden="1" x14ac:dyDescent="0.55000000000000004">
      <c r="A80" s="3" t="s">
        <v>198</v>
      </c>
      <c r="B80" s="3" t="s">
        <v>7318</v>
      </c>
      <c r="C80" t="s">
        <v>226</v>
      </c>
      <c r="D80" s="3" t="s">
        <v>7314</v>
      </c>
      <c r="E80" t="s">
        <v>241</v>
      </c>
      <c r="F80" s="3" t="s">
        <v>242</v>
      </c>
      <c r="G80" s="10">
        <v>0</v>
      </c>
      <c r="H80" s="3" t="s">
        <v>19</v>
      </c>
      <c r="I80" t="s">
        <v>231</v>
      </c>
      <c r="J80" s="3" t="s">
        <v>64</v>
      </c>
      <c r="K80" t="s">
        <v>5858</v>
      </c>
      <c r="L80" s="3" t="s">
        <v>5862</v>
      </c>
      <c r="M80" t="s">
        <v>5864</v>
      </c>
      <c r="N80" s="8">
        <v>8.6611999999999995E-2</v>
      </c>
    </row>
    <row r="81" spans="1:14" hidden="1" x14ac:dyDescent="0.55000000000000004">
      <c r="A81" s="3" t="s">
        <v>198</v>
      </c>
      <c r="B81" s="3" t="s">
        <v>7318</v>
      </c>
      <c r="C81" t="s">
        <v>226</v>
      </c>
      <c r="D81" s="3" t="s">
        <v>7314</v>
      </c>
      <c r="E81" t="s">
        <v>241</v>
      </c>
      <c r="F81" s="3" t="s">
        <v>242</v>
      </c>
      <c r="G81" s="10">
        <v>0</v>
      </c>
      <c r="H81" s="3" t="s">
        <v>19</v>
      </c>
      <c r="I81" t="s">
        <v>231</v>
      </c>
      <c r="J81" s="3" t="s">
        <v>64</v>
      </c>
      <c r="K81" t="s">
        <v>5858</v>
      </c>
      <c r="L81" s="3" t="s">
        <v>5862</v>
      </c>
      <c r="M81" t="s">
        <v>5865</v>
      </c>
      <c r="N81" s="8">
        <v>8.6611999999999995E-2</v>
      </c>
    </row>
    <row r="82" spans="1:14" hidden="1" x14ac:dyDescent="0.55000000000000004">
      <c r="A82" s="3" t="s">
        <v>198</v>
      </c>
      <c r="B82" s="3" t="s">
        <v>7318</v>
      </c>
      <c r="C82" t="s">
        <v>226</v>
      </c>
      <c r="D82" s="3" t="s">
        <v>7314</v>
      </c>
      <c r="E82" t="s">
        <v>241</v>
      </c>
      <c r="F82" s="3" t="s">
        <v>242</v>
      </c>
      <c r="G82" s="10">
        <v>0</v>
      </c>
      <c r="H82" s="3" t="s">
        <v>24</v>
      </c>
      <c r="I82" t="s">
        <v>236</v>
      </c>
      <c r="J82" s="3" t="s">
        <v>76</v>
      </c>
      <c r="K82" t="s">
        <v>5841</v>
      </c>
      <c r="L82" s="3" t="s">
        <v>5840</v>
      </c>
      <c r="M82" t="s">
        <v>5863</v>
      </c>
      <c r="N82" s="8">
        <v>0.21149999999999999</v>
      </c>
    </row>
    <row r="83" spans="1:14" hidden="1" x14ac:dyDescent="0.55000000000000004">
      <c r="A83" s="3" t="s">
        <v>198</v>
      </c>
      <c r="B83" s="3" t="s">
        <v>7318</v>
      </c>
      <c r="C83" t="s">
        <v>226</v>
      </c>
      <c r="D83" s="3" t="s">
        <v>7314</v>
      </c>
      <c r="E83" t="s">
        <v>243</v>
      </c>
      <c r="F83" s="3" t="s">
        <v>244</v>
      </c>
      <c r="G83" s="10">
        <v>0</v>
      </c>
      <c r="H83" s="3" t="s">
        <v>19</v>
      </c>
      <c r="I83" t="s">
        <v>248</v>
      </c>
      <c r="J83" s="3" t="s">
        <v>249</v>
      </c>
      <c r="K83" t="s">
        <v>5866</v>
      </c>
      <c r="L83" s="3" t="s">
        <v>5867</v>
      </c>
      <c r="M83" t="s">
        <v>5868</v>
      </c>
      <c r="N83" s="8">
        <v>5.8173999999999997E-2</v>
      </c>
    </row>
    <row r="84" spans="1:14" hidden="1" x14ac:dyDescent="0.55000000000000004">
      <c r="A84" s="3" t="s">
        <v>198</v>
      </c>
      <c r="B84" s="3" t="s">
        <v>7318</v>
      </c>
      <c r="C84" t="s">
        <v>226</v>
      </c>
      <c r="D84" s="3" t="s">
        <v>7314</v>
      </c>
      <c r="E84" t="s">
        <v>243</v>
      </c>
      <c r="F84" s="3" t="s">
        <v>244</v>
      </c>
      <c r="G84" s="10">
        <v>0</v>
      </c>
      <c r="H84" s="3" t="s">
        <v>24</v>
      </c>
      <c r="I84" t="s">
        <v>236</v>
      </c>
      <c r="J84" s="3" t="s">
        <v>76</v>
      </c>
      <c r="K84" t="s">
        <v>5841</v>
      </c>
      <c r="L84" s="3" t="s">
        <v>5840</v>
      </c>
      <c r="M84" t="s">
        <v>5863</v>
      </c>
      <c r="N84" s="8">
        <v>0.21149999999999999</v>
      </c>
    </row>
    <row r="85" spans="1:14" hidden="1" x14ac:dyDescent="0.55000000000000004">
      <c r="A85" s="3" t="s">
        <v>198</v>
      </c>
      <c r="B85" s="3" t="s">
        <v>226</v>
      </c>
      <c r="C85" t="s">
        <v>226</v>
      </c>
      <c r="D85" s="3" t="s">
        <v>7314</v>
      </c>
      <c r="E85" t="s">
        <v>250</v>
      </c>
      <c r="F85" s="3" t="s">
        <v>251</v>
      </c>
      <c r="G85" s="10">
        <v>0</v>
      </c>
      <c r="H85" s="3" t="s">
        <v>24</v>
      </c>
      <c r="I85" t="s">
        <v>236</v>
      </c>
      <c r="J85" s="3" t="s">
        <v>76</v>
      </c>
      <c r="K85" t="s">
        <v>5841</v>
      </c>
      <c r="L85" s="3" t="s">
        <v>5840</v>
      </c>
      <c r="M85" t="s">
        <v>5863</v>
      </c>
      <c r="N85" s="8">
        <v>0.21149999999999999</v>
      </c>
    </row>
    <row r="86" spans="1:14" hidden="1" x14ac:dyDescent="0.55000000000000004">
      <c r="A86" s="3" t="s">
        <v>198</v>
      </c>
      <c r="B86" s="3" t="s">
        <v>226</v>
      </c>
      <c r="C86" t="s">
        <v>226</v>
      </c>
      <c r="D86" s="3" t="s">
        <v>7314</v>
      </c>
      <c r="E86" t="s">
        <v>252</v>
      </c>
      <c r="F86" s="3" t="s">
        <v>253</v>
      </c>
      <c r="G86" s="10">
        <v>0</v>
      </c>
      <c r="H86" s="3" t="s">
        <v>24</v>
      </c>
      <c r="I86" t="s">
        <v>236</v>
      </c>
      <c r="J86" s="3" t="s">
        <v>76</v>
      </c>
      <c r="K86" t="s">
        <v>5841</v>
      </c>
      <c r="L86" s="3" t="s">
        <v>5840</v>
      </c>
      <c r="M86" t="s">
        <v>5863</v>
      </c>
      <c r="N86" s="8">
        <v>0.21149999999999999</v>
      </c>
    </row>
    <row r="87" spans="1:14" hidden="1" x14ac:dyDescent="0.55000000000000004">
      <c r="A87" s="3" t="s">
        <v>198</v>
      </c>
      <c r="B87" s="3" t="s">
        <v>254</v>
      </c>
      <c r="C87" t="s">
        <v>254</v>
      </c>
      <c r="D87" s="3" t="s">
        <v>7314</v>
      </c>
      <c r="E87" t="s">
        <v>255</v>
      </c>
      <c r="F87" s="3" t="s">
        <v>256</v>
      </c>
      <c r="G87" s="10">
        <v>1</v>
      </c>
      <c r="H87" s="3" t="s">
        <v>19</v>
      </c>
      <c r="I87" t="s">
        <v>213</v>
      </c>
      <c r="J87" s="3" t="s">
        <v>64</v>
      </c>
      <c r="K87" t="s">
        <v>5858</v>
      </c>
      <c r="L87" s="3" t="s">
        <v>5859</v>
      </c>
      <c r="M87" t="s">
        <v>5860</v>
      </c>
      <c r="N87" s="8">
        <v>6.7199999999999996E-2</v>
      </c>
    </row>
    <row r="88" spans="1:14" hidden="1" x14ac:dyDescent="0.55000000000000004">
      <c r="A88" s="3" t="s">
        <v>198</v>
      </c>
      <c r="B88" s="3" t="s">
        <v>254</v>
      </c>
      <c r="C88" t="s">
        <v>254</v>
      </c>
      <c r="D88" s="3" t="s">
        <v>7314</v>
      </c>
      <c r="E88" t="s">
        <v>255</v>
      </c>
      <c r="F88" s="3" t="s">
        <v>256</v>
      </c>
      <c r="G88" s="10">
        <v>1</v>
      </c>
      <c r="H88" s="3" t="s">
        <v>19</v>
      </c>
      <c r="I88" t="s">
        <v>213</v>
      </c>
      <c r="J88" s="3" t="s">
        <v>64</v>
      </c>
      <c r="K88" t="s">
        <v>5858</v>
      </c>
      <c r="L88" s="3" t="s">
        <v>5861</v>
      </c>
      <c r="M88" t="s">
        <v>5860</v>
      </c>
      <c r="N88" s="8">
        <v>6.7199999999999996E-2</v>
      </c>
    </row>
    <row r="89" spans="1:14" hidden="1" x14ac:dyDescent="0.55000000000000004">
      <c r="A89" s="3" t="s">
        <v>198</v>
      </c>
      <c r="B89" s="3" t="s">
        <v>254</v>
      </c>
      <c r="C89" t="s">
        <v>254</v>
      </c>
      <c r="D89" s="3" t="s">
        <v>7314</v>
      </c>
      <c r="E89" t="s">
        <v>255</v>
      </c>
      <c r="F89" s="3" t="s">
        <v>256</v>
      </c>
      <c r="G89" s="10">
        <v>1</v>
      </c>
      <c r="H89" s="3" t="s">
        <v>19</v>
      </c>
      <c r="I89" t="s">
        <v>213</v>
      </c>
      <c r="J89" s="3" t="s">
        <v>64</v>
      </c>
      <c r="K89" t="s">
        <v>5858</v>
      </c>
      <c r="L89" s="3" t="s">
        <v>5862</v>
      </c>
      <c r="M89" t="s">
        <v>5860</v>
      </c>
      <c r="N89" s="8">
        <v>6.7199999999999996E-2</v>
      </c>
    </row>
    <row r="90" spans="1:14" hidden="1" x14ac:dyDescent="0.55000000000000004">
      <c r="A90" s="3" t="s">
        <v>198</v>
      </c>
      <c r="B90" s="3" t="s">
        <v>254</v>
      </c>
      <c r="C90" t="s">
        <v>254</v>
      </c>
      <c r="D90" s="3" t="s">
        <v>7314</v>
      </c>
      <c r="E90" t="s">
        <v>255</v>
      </c>
      <c r="F90" s="3" t="s">
        <v>256</v>
      </c>
      <c r="G90" s="10">
        <v>1</v>
      </c>
      <c r="H90" s="3" t="s">
        <v>19</v>
      </c>
      <c r="I90" t="s">
        <v>259</v>
      </c>
      <c r="J90" s="3" t="s">
        <v>212</v>
      </c>
      <c r="K90" t="s">
        <v>5855</v>
      </c>
      <c r="L90" s="3" t="s">
        <v>5856</v>
      </c>
      <c r="M90" t="s">
        <v>5869</v>
      </c>
      <c r="N90" s="8">
        <v>9.6376000000000003E-2</v>
      </c>
    </row>
    <row r="91" spans="1:14" hidden="1" x14ac:dyDescent="0.55000000000000004">
      <c r="A91" s="3" t="s">
        <v>198</v>
      </c>
      <c r="B91" s="3" t="s">
        <v>254</v>
      </c>
      <c r="C91" t="s">
        <v>254</v>
      </c>
      <c r="D91" s="3" t="s">
        <v>7314</v>
      </c>
      <c r="E91" t="s">
        <v>255</v>
      </c>
      <c r="F91" s="3" t="s">
        <v>256</v>
      </c>
      <c r="G91" s="10">
        <v>1</v>
      </c>
      <c r="H91" s="3" t="s">
        <v>24</v>
      </c>
      <c r="I91" t="s">
        <v>262</v>
      </c>
      <c r="J91" s="3" t="s">
        <v>55</v>
      </c>
      <c r="K91" t="s">
        <v>23</v>
      </c>
      <c r="L91" s="3" t="s">
        <v>5839</v>
      </c>
      <c r="M91" t="s">
        <v>23</v>
      </c>
      <c r="N91" s="8">
        <v>0.18298400000000001</v>
      </c>
    </row>
    <row r="92" spans="1:14" hidden="1" x14ac:dyDescent="0.55000000000000004">
      <c r="A92" s="3" t="s">
        <v>198</v>
      </c>
      <c r="B92" s="3" t="s">
        <v>263</v>
      </c>
      <c r="C92" t="s">
        <v>263</v>
      </c>
      <c r="D92" s="3" t="s">
        <v>7314</v>
      </c>
      <c r="E92" t="s">
        <v>265</v>
      </c>
      <c r="F92" s="3" t="s">
        <v>266</v>
      </c>
      <c r="G92" s="10">
        <v>1</v>
      </c>
      <c r="H92" s="3" t="s">
        <v>19</v>
      </c>
      <c r="I92" t="s">
        <v>269</v>
      </c>
      <c r="J92" s="3" t="s">
        <v>249</v>
      </c>
      <c r="K92" t="s">
        <v>5866</v>
      </c>
      <c r="L92" s="3" t="s">
        <v>5867</v>
      </c>
      <c r="M92" t="s">
        <v>5870</v>
      </c>
      <c r="N92" s="8">
        <v>8.0463999999999994E-2</v>
      </c>
    </row>
    <row r="93" spans="1:14" hidden="1" x14ac:dyDescent="0.55000000000000004">
      <c r="A93" s="9" t="s">
        <v>198</v>
      </c>
      <c r="B93" s="3" t="s">
        <v>263</v>
      </c>
      <c r="C93" t="s">
        <v>263</v>
      </c>
      <c r="D93" s="3" t="s">
        <v>7314</v>
      </c>
      <c r="E93" t="s">
        <v>265</v>
      </c>
      <c r="F93" s="3" t="s">
        <v>266</v>
      </c>
      <c r="G93" s="10">
        <v>1</v>
      </c>
      <c r="H93" s="3" t="s">
        <v>24</v>
      </c>
      <c r="I93" t="s">
        <v>272</v>
      </c>
      <c r="J93" s="3" t="s">
        <v>55</v>
      </c>
      <c r="K93" t="s">
        <v>23</v>
      </c>
      <c r="L93" s="3" t="s">
        <v>5839</v>
      </c>
      <c r="M93" t="s">
        <v>23</v>
      </c>
      <c r="N93" s="8">
        <v>0.217362</v>
      </c>
    </row>
    <row r="94" spans="1:14" hidden="1" x14ac:dyDescent="0.55000000000000004">
      <c r="A94" s="3" t="s">
        <v>273</v>
      </c>
      <c r="B94" s="3" t="s">
        <v>7320</v>
      </c>
      <c r="C94" t="s">
        <v>274</v>
      </c>
      <c r="D94" s="3" t="s">
        <v>7319</v>
      </c>
      <c r="E94" t="s">
        <v>275</v>
      </c>
      <c r="F94" s="3" t="s">
        <v>276</v>
      </c>
      <c r="G94" s="10">
        <v>0</v>
      </c>
      <c r="H94" s="3" t="s">
        <v>24</v>
      </c>
      <c r="I94" t="s">
        <v>279</v>
      </c>
      <c r="J94" s="3" t="s">
        <v>55</v>
      </c>
      <c r="K94" t="s">
        <v>23</v>
      </c>
      <c r="L94" s="3" t="s">
        <v>5839</v>
      </c>
      <c r="M94" t="s">
        <v>23</v>
      </c>
      <c r="N94" s="8">
        <v>0.25825500000000001</v>
      </c>
    </row>
    <row r="95" spans="1:14" hidden="1" x14ac:dyDescent="0.55000000000000004">
      <c r="A95" s="3" t="s">
        <v>273</v>
      </c>
      <c r="B95" s="3" t="s">
        <v>280</v>
      </c>
      <c r="C95" t="s">
        <v>280</v>
      </c>
      <c r="D95" s="3" t="s">
        <v>7319</v>
      </c>
      <c r="E95" t="s">
        <v>281</v>
      </c>
      <c r="F95" s="3" t="s">
        <v>282</v>
      </c>
      <c r="G95" s="10">
        <v>0</v>
      </c>
      <c r="H95" s="3" t="s">
        <v>19</v>
      </c>
      <c r="I95" t="s">
        <v>286</v>
      </c>
      <c r="J95" s="3" t="s">
        <v>287</v>
      </c>
      <c r="K95" t="s">
        <v>23</v>
      </c>
      <c r="L95" s="3" t="s">
        <v>5871</v>
      </c>
      <c r="M95" t="s">
        <v>5872</v>
      </c>
      <c r="N95" s="8">
        <v>4.4969000000000002E-2</v>
      </c>
    </row>
    <row r="96" spans="1:14" hidden="1" x14ac:dyDescent="0.55000000000000004">
      <c r="A96" s="3" t="s">
        <v>273</v>
      </c>
      <c r="B96" s="3" t="s">
        <v>280</v>
      </c>
      <c r="C96" t="s">
        <v>280</v>
      </c>
      <c r="D96" s="3" t="s">
        <v>7319</v>
      </c>
      <c r="E96" t="s">
        <v>281</v>
      </c>
      <c r="F96" s="3" t="s">
        <v>282</v>
      </c>
      <c r="G96" s="10">
        <v>0</v>
      </c>
      <c r="H96" s="3" t="s">
        <v>24</v>
      </c>
      <c r="I96" t="s">
        <v>307</v>
      </c>
      <c r="J96" s="3" t="s">
        <v>76</v>
      </c>
      <c r="K96" t="s">
        <v>5841</v>
      </c>
      <c r="L96" s="3" t="s">
        <v>5840</v>
      </c>
      <c r="M96" t="s">
        <v>5873</v>
      </c>
      <c r="N96" s="8">
        <v>0.20633299999999999</v>
      </c>
    </row>
    <row r="97" spans="1:14" hidden="1" x14ac:dyDescent="0.55000000000000004">
      <c r="A97" s="3" t="s">
        <v>273</v>
      </c>
      <c r="B97" s="3" t="s">
        <v>280</v>
      </c>
      <c r="C97" t="s">
        <v>280</v>
      </c>
      <c r="D97" s="3" t="s">
        <v>7319</v>
      </c>
      <c r="E97" t="s">
        <v>281</v>
      </c>
      <c r="F97" s="3" t="s">
        <v>282</v>
      </c>
      <c r="G97" s="10">
        <v>0</v>
      </c>
      <c r="H97" s="3" t="s">
        <v>24</v>
      </c>
      <c r="I97" t="s">
        <v>307</v>
      </c>
      <c r="J97" s="3" t="s">
        <v>76</v>
      </c>
      <c r="K97" t="s">
        <v>5841</v>
      </c>
      <c r="L97" s="3" t="s">
        <v>5840</v>
      </c>
      <c r="M97" t="s">
        <v>5874</v>
      </c>
      <c r="N97" s="8">
        <v>0.20633299999999999</v>
      </c>
    </row>
    <row r="98" spans="1:14" hidden="1" x14ac:dyDescent="0.55000000000000004">
      <c r="A98" s="3" t="s">
        <v>273</v>
      </c>
      <c r="B98" s="3" t="s">
        <v>280</v>
      </c>
      <c r="C98" t="s">
        <v>280</v>
      </c>
      <c r="D98" s="3" t="s">
        <v>7319</v>
      </c>
      <c r="E98" t="s">
        <v>318</v>
      </c>
      <c r="F98" s="3" t="s">
        <v>319</v>
      </c>
      <c r="G98" s="10">
        <v>0</v>
      </c>
      <c r="H98" s="3" t="s">
        <v>19</v>
      </c>
      <c r="I98" t="s">
        <v>286</v>
      </c>
      <c r="J98" s="3" t="s">
        <v>287</v>
      </c>
      <c r="K98" t="s">
        <v>23</v>
      </c>
      <c r="L98" s="3" t="s">
        <v>5871</v>
      </c>
      <c r="M98" t="s">
        <v>5872</v>
      </c>
      <c r="N98" s="8">
        <v>4.4969000000000002E-2</v>
      </c>
    </row>
    <row r="99" spans="1:14" hidden="1" x14ac:dyDescent="0.55000000000000004">
      <c r="A99" s="3" t="s">
        <v>273</v>
      </c>
      <c r="B99" s="3" t="s">
        <v>280</v>
      </c>
      <c r="C99" t="s">
        <v>280</v>
      </c>
      <c r="D99" s="3" t="s">
        <v>7319</v>
      </c>
      <c r="E99" t="s">
        <v>318</v>
      </c>
      <c r="F99" s="3" t="s">
        <v>319</v>
      </c>
      <c r="G99" s="10">
        <v>0</v>
      </c>
      <c r="H99" s="3" t="s">
        <v>24</v>
      </c>
      <c r="I99" t="s">
        <v>307</v>
      </c>
      <c r="J99" s="3" t="s">
        <v>76</v>
      </c>
      <c r="K99" t="s">
        <v>5841</v>
      </c>
      <c r="L99" s="3" t="s">
        <v>5840</v>
      </c>
      <c r="M99" t="s">
        <v>5873</v>
      </c>
      <c r="N99" s="8">
        <v>0.20633299999999999</v>
      </c>
    </row>
    <row r="100" spans="1:14" hidden="1" x14ac:dyDescent="0.55000000000000004">
      <c r="A100" s="3" t="s">
        <v>273</v>
      </c>
      <c r="B100" s="3" t="s">
        <v>280</v>
      </c>
      <c r="C100" t="s">
        <v>280</v>
      </c>
      <c r="D100" s="3" t="s">
        <v>7319</v>
      </c>
      <c r="E100" t="s">
        <v>318</v>
      </c>
      <c r="F100" s="3" t="s">
        <v>319</v>
      </c>
      <c r="G100" s="10">
        <v>0</v>
      </c>
      <c r="H100" s="3" t="s">
        <v>24</v>
      </c>
      <c r="I100" t="s">
        <v>307</v>
      </c>
      <c r="J100" s="3" t="s">
        <v>76</v>
      </c>
      <c r="K100" t="s">
        <v>5841</v>
      </c>
      <c r="L100" s="3" t="s">
        <v>5840</v>
      </c>
      <c r="M100" t="s">
        <v>5874</v>
      </c>
      <c r="N100" s="8">
        <v>0.20633299999999999</v>
      </c>
    </row>
    <row r="101" spans="1:14" hidden="1" x14ac:dyDescent="0.55000000000000004">
      <c r="A101" s="3" t="s">
        <v>273</v>
      </c>
      <c r="B101" s="3" t="s">
        <v>280</v>
      </c>
      <c r="C101" t="s">
        <v>280</v>
      </c>
      <c r="D101" s="3" t="s">
        <v>7319</v>
      </c>
      <c r="E101" t="s">
        <v>320</v>
      </c>
      <c r="F101" s="3" t="s">
        <v>321</v>
      </c>
      <c r="G101" s="10">
        <v>1</v>
      </c>
      <c r="H101" s="3" t="s">
        <v>19</v>
      </c>
      <c r="I101" t="s">
        <v>286</v>
      </c>
      <c r="J101" s="3" t="s">
        <v>287</v>
      </c>
      <c r="K101" t="s">
        <v>23</v>
      </c>
      <c r="L101" s="3" t="s">
        <v>5871</v>
      </c>
      <c r="M101" t="s">
        <v>5872</v>
      </c>
      <c r="N101" s="8">
        <v>4.4969000000000002E-2</v>
      </c>
    </row>
    <row r="102" spans="1:14" hidden="1" x14ac:dyDescent="0.55000000000000004">
      <c r="A102" s="3" t="s">
        <v>273</v>
      </c>
      <c r="B102" s="3" t="s">
        <v>280</v>
      </c>
      <c r="C102" t="s">
        <v>280</v>
      </c>
      <c r="D102" s="3" t="s">
        <v>7319</v>
      </c>
      <c r="E102" t="s">
        <v>320</v>
      </c>
      <c r="F102" s="3" t="s">
        <v>321</v>
      </c>
      <c r="G102" s="10">
        <v>1</v>
      </c>
      <c r="H102" s="3" t="s">
        <v>24</v>
      </c>
      <c r="I102" t="s">
        <v>307</v>
      </c>
      <c r="J102" s="3" t="s">
        <v>76</v>
      </c>
      <c r="K102" t="s">
        <v>5841</v>
      </c>
      <c r="L102" s="3" t="s">
        <v>5840</v>
      </c>
      <c r="M102" t="s">
        <v>5873</v>
      </c>
      <c r="N102" s="8">
        <v>0.20633299999999999</v>
      </c>
    </row>
    <row r="103" spans="1:14" hidden="1" x14ac:dyDescent="0.55000000000000004">
      <c r="A103" s="3" t="s">
        <v>273</v>
      </c>
      <c r="B103" s="3" t="s">
        <v>280</v>
      </c>
      <c r="C103" t="s">
        <v>280</v>
      </c>
      <c r="D103" s="3" t="s">
        <v>7319</v>
      </c>
      <c r="E103" t="s">
        <v>320</v>
      </c>
      <c r="F103" s="3" t="s">
        <v>321</v>
      </c>
      <c r="G103" s="10">
        <v>1</v>
      </c>
      <c r="H103" s="3" t="s">
        <v>24</v>
      </c>
      <c r="I103" t="s">
        <v>307</v>
      </c>
      <c r="J103" s="3" t="s">
        <v>76</v>
      </c>
      <c r="K103" t="s">
        <v>5841</v>
      </c>
      <c r="L103" s="3" t="s">
        <v>5840</v>
      </c>
      <c r="M103" t="s">
        <v>5874</v>
      </c>
      <c r="N103" s="8">
        <v>0.20633299999999999</v>
      </c>
    </row>
    <row r="104" spans="1:14" hidden="1" x14ac:dyDescent="0.55000000000000004">
      <c r="A104" s="3" t="s">
        <v>273</v>
      </c>
      <c r="B104" s="3" t="s">
        <v>280</v>
      </c>
      <c r="C104" t="s">
        <v>280</v>
      </c>
      <c r="D104" s="3" t="s">
        <v>7319</v>
      </c>
      <c r="E104" t="s">
        <v>322</v>
      </c>
      <c r="F104" s="3" t="s">
        <v>323</v>
      </c>
      <c r="G104" s="10">
        <v>0</v>
      </c>
      <c r="H104" s="3" t="s">
        <v>24</v>
      </c>
      <c r="I104" t="s">
        <v>307</v>
      </c>
      <c r="J104" s="3" t="s">
        <v>76</v>
      </c>
      <c r="K104" t="s">
        <v>5841</v>
      </c>
      <c r="L104" s="3" t="s">
        <v>5840</v>
      </c>
      <c r="M104" t="s">
        <v>5873</v>
      </c>
      <c r="N104" s="8">
        <v>0.20633299999999999</v>
      </c>
    </row>
    <row r="105" spans="1:14" hidden="1" x14ac:dyDescent="0.55000000000000004">
      <c r="A105" s="3" t="s">
        <v>273</v>
      </c>
      <c r="B105" s="3" t="s">
        <v>280</v>
      </c>
      <c r="C105" t="s">
        <v>280</v>
      </c>
      <c r="D105" s="3" t="s">
        <v>7319</v>
      </c>
      <c r="E105" t="s">
        <v>322</v>
      </c>
      <c r="F105" s="3" t="s">
        <v>323</v>
      </c>
      <c r="G105" s="10">
        <v>0</v>
      </c>
      <c r="H105" s="3" t="s">
        <v>24</v>
      </c>
      <c r="I105" t="s">
        <v>307</v>
      </c>
      <c r="J105" s="3" t="s">
        <v>76</v>
      </c>
      <c r="K105" t="s">
        <v>5841</v>
      </c>
      <c r="L105" s="3" t="s">
        <v>5840</v>
      </c>
      <c r="M105" t="s">
        <v>5874</v>
      </c>
      <c r="N105" s="8">
        <v>0.20633299999999999</v>
      </c>
    </row>
    <row r="106" spans="1:14" hidden="1" x14ac:dyDescent="0.55000000000000004">
      <c r="A106" s="3" t="s">
        <v>273</v>
      </c>
      <c r="B106" s="3" t="s">
        <v>324</v>
      </c>
      <c r="C106" t="s">
        <v>324</v>
      </c>
      <c r="D106" s="3" t="s">
        <v>7319</v>
      </c>
      <c r="E106" t="s">
        <v>325</v>
      </c>
      <c r="F106" s="3" t="s">
        <v>326</v>
      </c>
      <c r="G106" s="10">
        <v>1</v>
      </c>
      <c r="H106" s="3" t="s">
        <v>19</v>
      </c>
      <c r="I106" t="s">
        <v>329</v>
      </c>
      <c r="J106" s="3" t="s">
        <v>287</v>
      </c>
      <c r="K106" t="s">
        <v>23</v>
      </c>
      <c r="L106" s="3" t="s">
        <v>5871</v>
      </c>
      <c r="M106" t="s">
        <v>5875</v>
      </c>
      <c r="N106" s="8">
        <v>3.3007000000000002E-2</v>
      </c>
    </row>
    <row r="107" spans="1:14" hidden="1" x14ac:dyDescent="0.55000000000000004">
      <c r="A107" s="9" t="s">
        <v>273</v>
      </c>
      <c r="B107" s="3" t="s">
        <v>324</v>
      </c>
      <c r="C107" t="s">
        <v>324</v>
      </c>
      <c r="D107" s="3" t="s">
        <v>7319</v>
      </c>
      <c r="E107" t="s">
        <v>325</v>
      </c>
      <c r="F107" s="3" t="s">
        <v>326</v>
      </c>
      <c r="G107" s="10">
        <v>1</v>
      </c>
      <c r="H107" s="3" t="s">
        <v>24</v>
      </c>
      <c r="I107" t="s">
        <v>334</v>
      </c>
      <c r="J107" s="3" t="s">
        <v>76</v>
      </c>
      <c r="K107" t="s">
        <v>5841</v>
      </c>
      <c r="L107" s="3" t="s">
        <v>5840</v>
      </c>
      <c r="M107" t="s">
        <v>5876</v>
      </c>
      <c r="N107" s="8">
        <v>0.22966700000000001</v>
      </c>
    </row>
    <row r="108" spans="1:14" hidden="1" x14ac:dyDescent="0.55000000000000004">
      <c r="A108" s="3" t="s">
        <v>335</v>
      </c>
      <c r="B108" s="3" t="s">
        <v>336</v>
      </c>
      <c r="C108" t="s">
        <v>533</v>
      </c>
      <c r="D108" s="3" t="s">
        <v>7319</v>
      </c>
      <c r="E108" t="s">
        <v>338</v>
      </c>
      <c r="F108" s="3" t="s">
        <v>339</v>
      </c>
      <c r="G108" s="10">
        <v>0</v>
      </c>
      <c r="H108" s="3" t="s">
        <v>24</v>
      </c>
      <c r="I108" t="s">
        <v>342</v>
      </c>
      <c r="J108" s="3" t="s">
        <v>55</v>
      </c>
      <c r="K108" t="s">
        <v>23</v>
      </c>
      <c r="L108" s="3" t="s">
        <v>5839</v>
      </c>
      <c r="M108" t="s">
        <v>23</v>
      </c>
      <c r="N108" s="8">
        <v>0.29558499999999999</v>
      </c>
    </row>
    <row r="109" spans="1:14" hidden="1" x14ac:dyDescent="0.55000000000000004">
      <c r="A109" s="3" t="s">
        <v>335</v>
      </c>
      <c r="B109" s="3" t="s">
        <v>359</v>
      </c>
      <c r="C109" t="s">
        <v>359</v>
      </c>
      <c r="D109" s="3" t="s">
        <v>7319</v>
      </c>
      <c r="E109" t="s">
        <v>360</v>
      </c>
      <c r="F109" s="3" t="s">
        <v>361</v>
      </c>
      <c r="G109" s="10">
        <v>0</v>
      </c>
      <c r="H109" s="3" t="s">
        <v>24</v>
      </c>
      <c r="I109" t="s">
        <v>367</v>
      </c>
      <c r="J109" s="3" t="s">
        <v>76</v>
      </c>
      <c r="K109" t="s">
        <v>5841</v>
      </c>
      <c r="L109" s="3" t="s">
        <v>5877</v>
      </c>
      <c r="M109" t="s">
        <v>23</v>
      </c>
      <c r="N109" s="8">
        <v>0.29816700000000002</v>
      </c>
    </row>
    <row r="110" spans="1:14" hidden="1" x14ac:dyDescent="0.55000000000000004">
      <c r="A110" s="3" t="s">
        <v>335</v>
      </c>
      <c r="B110" s="3" t="s">
        <v>359</v>
      </c>
      <c r="C110" t="s">
        <v>359</v>
      </c>
      <c r="D110" s="3" t="s">
        <v>7319</v>
      </c>
      <c r="E110" t="s">
        <v>360</v>
      </c>
      <c r="F110" s="3" t="s">
        <v>361</v>
      </c>
      <c r="G110" s="10">
        <v>0</v>
      </c>
      <c r="H110" s="3" t="s">
        <v>24</v>
      </c>
      <c r="I110" t="s">
        <v>367</v>
      </c>
      <c r="J110" s="3" t="s">
        <v>76</v>
      </c>
      <c r="K110" t="s">
        <v>5841</v>
      </c>
      <c r="L110" s="3" t="s">
        <v>5878</v>
      </c>
      <c r="M110" t="s">
        <v>23</v>
      </c>
      <c r="N110" s="8">
        <v>0.29816700000000002</v>
      </c>
    </row>
    <row r="111" spans="1:14" hidden="1" x14ac:dyDescent="0.55000000000000004">
      <c r="A111" s="3" t="s">
        <v>335</v>
      </c>
      <c r="B111" s="3" t="s">
        <v>359</v>
      </c>
      <c r="C111" t="s">
        <v>359</v>
      </c>
      <c r="D111" s="3" t="s">
        <v>7319</v>
      </c>
      <c r="E111" t="s">
        <v>368</v>
      </c>
      <c r="F111" s="3" t="s">
        <v>369</v>
      </c>
      <c r="G111" s="10">
        <v>0</v>
      </c>
      <c r="H111" s="3" t="s">
        <v>24</v>
      </c>
      <c r="I111" t="s">
        <v>367</v>
      </c>
      <c r="J111" s="3" t="s">
        <v>76</v>
      </c>
      <c r="K111" t="s">
        <v>5841</v>
      </c>
      <c r="L111" s="3" t="s">
        <v>5877</v>
      </c>
      <c r="M111" t="s">
        <v>23</v>
      </c>
      <c r="N111" s="8">
        <v>0.29816700000000002</v>
      </c>
    </row>
    <row r="112" spans="1:14" hidden="1" x14ac:dyDescent="0.55000000000000004">
      <c r="A112" s="3" t="s">
        <v>335</v>
      </c>
      <c r="B112" s="3" t="s">
        <v>359</v>
      </c>
      <c r="C112" t="s">
        <v>359</v>
      </c>
      <c r="D112" s="3" t="s">
        <v>7319</v>
      </c>
      <c r="E112" t="s">
        <v>368</v>
      </c>
      <c r="F112" s="3" t="s">
        <v>369</v>
      </c>
      <c r="G112" s="10">
        <v>0</v>
      </c>
      <c r="H112" s="3" t="s">
        <v>24</v>
      </c>
      <c r="I112" t="s">
        <v>367</v>
      </c>
      <c r="J112" s="3" t="s">
        <v>76</v>
      </c>
      <c r="K112" t="s">
        <v>5841</v>
      </c>
      <c r="L112" s="3" t="s">
        <v>5878</v>
      </c>
      <c r="M112" t="s">
        <v>23</v>
      </c>
      <c r="N112" s="8">
        <v>0.29816700000000002</v>
      </c>
    </row>
    <row r="113" spans="1:14" hidden="1" x14ac:dyDescent="0.55000000000000004">
      <c r="A113" s="3" t="s">
        <v>335</v>
      </c>
      <c r="B113" s="3" t="s">
        <v>370</v>
      </c>
      <c r="C113" t="s">
        <v>370</v>
      </c>
      <c r="D113" s="3" t="s">
        <v>7319</v>
      </c>
      <c r="E113" t="s">
        <v>371</v>
      </c>
      <c r="F113" s="3" t="s">
        <v>372</v>
      </c>
      <c r="G113" s="10">
        <v>0</v>
      </c>
      <c r="H113" s="3" t="s">
        <v>19</v>
      </c>
      <c r="I113" t="s">
        <v>376</v>
      </c>
      <c r="J113" s="3" t="s">
        <v>377</v>
      </c>
      <c r="K113" t="s">
        <v>5879</v>
      </c>
      <c r="L113" s="3" t="s">
        <v>5880</v>
      </c>
      <c r="M113" t="s">
        <v>5881</v>
      </c>
      <c r="N113" s="8">
        <v>1.9202E-2</v>
      </c>
    </row>
    <row r="114" spans="1:14" hidden="1" x14ac:dyDescent="0.55000000000000004">
      <c r="A114" s="3" t="s">
        <v>335</v>
      </c>
      <c r="B114" s="3" t="s">
        <v>370</v>
      </c>
      <c r="C114" t="s">
        <v>370</v>
      </c>
      <c r="D114" s="3" t="s">
        <v>7319</v>
      </c>
      <c r="E114" t="s">
        <v>371</v>
      </c>
      <c r="F114" s="3" t="s">
        <v>372</v>
      </c>
      <c r="G114" s="10">
        <v>0</v>
      </c>
      <c r="H114" s="3" t="s">
        <v>19</v>
      </c>
      <c r="I114" t="s">
        <v>376</v>
      </c>
      <c r="J114" s="3" t="s">
        <v>377</v>
      </c>
      <c r="K114" t="s">
        <v>5879</v>
      </c>
      <c r="L114" s="3" t="s">
        <v>5882</v>
      </c>
      <c r="M114" t="s">
        <v>5881</v>
      </c>
      <c r="N114" s="8">
        <v>1.9202E-2</v>
      </c>
    </row>
    <row r="115" spans="1:14" hidden="1" x14ac:dyDescent="0.55000000000000004">
      <c r="A115" s="3" t="s">
        <v>335</v>
      </c>
      <c r="B115" s="3" t="s">
        <v>370</v>
      </c>
      <c r="C115" t="s">
        <v>370</v>
      </c>
      <c r="D115" s="3" t="s">
        <v>7319</v>
      </c>
      <c r="E115" t="s">
        <v>371</v>
      </c>
      <c r="F115" s="3" t="s">
        <v>372</v>
      </c>
      <c r="G115" s="10">
        <v>0</v>
      </c>
      <c r="H115" s="3" t="s">
        <v>24</v>
      </c>
      <c r="I115" t="s">
        <v>380</v>
      </c>
      <c r="J115" s="3" t="s">
        <v>76</v>
      </c>
      <c r="K115" t="s">
        <v>5841</v>
      </c>
      <c r="L115" s="3" t="s">
        <v>5840</v>
      </c>
      <c r="M115" t="s">
        <v>5883</v>
      </c>
      <c r="N115" s="8">
        <v>0.29416700000000001</v>
      </c>
    </row>
    <row r="116" spans="1:14" hidden="1" x14ac:dyDescent="0.55000000000000004">
      <c r="A116" s="3" t="s">
        <v>335</v>
      </c>
      <c r="B116" s="3" t="s">
        <v>383</v>
      </c>
      <c r="C116" t="s">
        <v>7323</v>
      </c>
      <c r="D116" s="3" t="s">
        <v>7319</v>
      </c>
      <c r="E116" t="s">
        <v>385</v>
      </c>
      <c r="F116" s="3" t="s">
        <v>386</v>
      </c>
      <c r="G116" s="10">
        <v>0</v>
      </c>
      <c r="H116" s="3" t="s">
        <v>24</v>
      </c>
      <c r="I116" t="s">
        <v>389</v>
      </c>
      <c r="J116" s="3" t="s">
        <v>29</v>
      </c>
      <c r="K116" t="s">
        <v>23</v>
      </c>
      <c r="L116" s="3" t="s">
        <v>5840</v>
      </c>
      <c r="M116" t="s">
        <v>23</v>
      </c>
      <c r="N116" s="8">
        <v>0.29083300000000001</v>
      </c>
    </row>
    <row r="117" spans="1:14" hidden="1" x14ac:dyDescent="0.55000000000000004">
      <c r="A117" s="3" t="s">
        <v>335</v>
      </c>
      <c r="B117" s="3" t="s">
        <v>396</v>
      </c>
      <c r="C117" t="s">
        <v>396</v>
      </c>
      <c r="D117" s="3" t="s">
        <v>7319</v>
      </c>
      <c r="E117" t="s">
        <v>397</v>
      </c>
      <c r="F117" s="3" t="s">
        <v>398</v>
      </c>
      <c r="G117" s="10">
        <v>0</v>
      </c>
      <c r="H117" s="3" t="s">
        <v>19</v>
      </c>
      <c r="I117" t="s">
        <v>402</v>
      </c>
      <c r="J117" s="3" t="s">
        <v>403</v>
      </c>
      <c r="K117" t="s">
        <v>5884</v>
      </c>
      <c r="L117" s="3" t="s">
        <v>5885</v>
      </c>
      <c r="M117" t="s">
        <v>5886</v>
      </c>
      <c r="N117" s="8">
        <v>7.0600000000000003E-3</v>
      </c>
    </row>
    <row r="118" spans="1:14" hidden="1" x14ac:dyDescent="0.55000000000000004">
      <c r="A118" s="3" t="s">
        <v>335</v>
      </c>
      <c r="B118" s="3" t="s">
        <v>396</v>
      </c>
      <c r="C118" t="s">
        <v>396</v>
      </c>
      <c r="D118" s="3" t="s">
        <v>7319</v>
      </c>
      <c r="E118" t="s">
        <v>397</v>
      </c>
      <c r="F118" s="3" t="s">
        <v>398</v>
      </c>
      <c r="G118" s="10">
        <v>0</v>
      </c>
      <c r="H118" s="3" t="s">
        <v>19</v>
      </c>
      <c r="I118" t="s">
        <v>402</v>
      </c>
      <c r="J118" s="3" t="s">
        <v>403</v>
      </c>
      <c r="K118" t="s">
        <v>5884</v>
      </c>
      <c r="L118" s="3" t="s">
        <v>5887</v>
      </c>
      <c r="M118" t="s">
        <v>5886</v>
      </c>
      <c r="N118" s="8">
        <v>7.0600000000000003E-3</v>
      </c>
    </row>
    <row r="119" spans="1:14" hidden="1" x14ac:dyDescent="0.55000000000000004">
      <c r="A119" s="3" t="s">
        <v>335</v>
      </c>
      <c r="B119" s="3" t="s">
        <v>396</v>
      </c>
      <c r="C119" t="s">
        <v>396</v>
      </c>
      <c r="D119" s="3" t="s">
        <v>7319</v>
      </c>
      <c r="E119" t="s">
        <v>397</v>
      </c>
      <c r="F119" s="3" t="s">
        <v>398</v>
      </c>
      <c r="G119" s="10">
        <v>0</v>
      </c>
      <c r="H119" s="3" t="s">
        <v>24</v>
      </c>
      <c r="I119" t="s">
        <v>406</v>
      </c>
      <c r="J119" s="3" t="s">
        <v>29</v>
      </c>
      <c r="K119" t="s">
        <v>23</v>
      </c>
      <c r="L119" s="3" t="s">
        <v>5840</v>
      </c>
      <c r="M119" t="s">
        <v>23</v>
      </c>
      <c r="N119" s="8">
        <v>0.29083300000000001</v>
      </c>
    </row>
    <row r="120" spans="1:14" hidden="1" x14ac:dyDescent="0.55000000000000004">
      <c r="A120" s="3" t="s">
        <v>335</v>
      </c>
      <c r="B120" s="3" t="s">
        <v>407</v>
      </c>
      <c r="C120" t="s">
        <v>337</v>
      </c>
      <c r="D120" s="3" t="s">
        <v>7319</v>
      </c>
      <c r="E120" t="s">
        <v>408</v>
      </c>
      <c r="F120" s="3" t="s">
        <v>409</v>
      </c>
      <c r="G120" s="10">
        <v>0</v>
      </c>
      <c r="H120" s="3" t="s">
        <v>19</v>
      </c>
      <c r="I120" t="s">
        <v>23</v>
      </c>
      <c r="J120" s="3" t="s">
        <v>23</v>
      </c>
      <c r="K120" t="s">
        <v>23</v>
      </c>
      <c r="L120" s="3" t="s">
        <v>23</v>
      </c>
      <c r="M120" t="s">
        <v>23</v>
      </c>
      <c r="N120" s="8" t="s">
        <v>23</v>
      </c>
    </row>
    <row r="121" spans="1:14" hidden="1" x14ac:dyDescent="0.55000000000000004">
      <c r="A121" s="3" t="s">
        <v>335</v>
      </c>
      <c r="B121" s="3" t="s">
        <v>407</v>
      </c>
      <c r="C121" t="s">
        <v>337</v>
      </c>
      <c r="D121" s="3" t="s">
        <v>7319</v>
      </c>
      <c r="E121" t="s">
        <v>408</v>
      </c>
      <c r="F121" s="3" t="s">
        <v>409</v>
      </c>
      <c r="G121" s="10">
        <v>0</v>
      </c>
      <c r="H121" s="3" t="s">
        <v>24</v>
      </c>
      <c r="I121" t="s">
        <v>414</v>
      </c>
      <c r="J121" s="3" t="s">
        <v>55</v>
      </c>
      <c r="K121" t="s">
        <v>23</v>
      </c>
      <c r="L121" s="3" t="s">
        <v>5839</v>
      </c>
      <c r="M121" t="s">
        <v>23</v>
      </c>
      <c r="N121" s="8">
        <v>0.29582599999999998</v>
      </c>
    </row>
    <row r="122" spans="1:14" hidden="1" x14ac:dyDescent="0.55000000000000004">
      <c r="A122" s="3" t="s">
        <v>335</v>
      </c>
      <c r="B122" s="3" t="s">
        <v>407</v>
      </c>
      <c r="C122" t="s">
        <v>337</v>
      </c>
      <c r="D122" s="3" t="s">
        <v>7319</v>
      </c>
      <c r="E122" t="s">
        <v>418</v>
      </c>
      <c r="F122" s="3" t="s">
        <v>419</v>
      </c>
      <c r="G122" s="10">
        <v>0</v>
      </c>
      <c r="H122" s="3" t="s">
        <v>24</v>
      </c>
      <c r="I122" t="s">
        <v>414</v>
      </c>
      <c r="J122" s="3" t="s">
        <v>55</v>
      </c>
      <c r="K122" t="s">
        <v>23</v>
      </c>
      <c r="L122" s="3" t="s">
        <v>5839</v>
      </c>
      <c r="M122" t="s">
        <v>23</v>
      </c>
      <c r="N122" s="8">
        <v>0.29582599999999998</v>
      </c>
    </row>
    <row r="123" spans="1:14" hidden="1" x14ac:dyDescent="0.55000000000000004">
      <c r="A123" s="3" t="s">
        <v>335</v>
      </c>
      <c r="B123" s="3" t="s">
        <v>407</v>
      </c>
      <c r="C123" t="s">
        <v>337</v>
      </c>
      <c r="D123" s="3" t="s">
        <v>7319</v>
      </c>
      <c r="E123" t="s">
        <v>420</v>
      </c>
      <c r="F123" s="3" t="s">
        <v>421</v>
      </c>
      <c r="G123" s="10">
        <v>0</v>
      </c>
      <c r="H123" s="3" t="s">
        <v>24</v>
      </c>
      <c r="I123" t="s">
        <v>424</v>
      </c>
      <c r="J123" s="3" t="s">
        <v>55</v>
      </c>
      <c r="K123" t="s">
        <v>23</v>
      </c>
      <c r="L123" s="3" t="s">
        <v>5839</v>
      </c>
      <c r="M123" t="s">
        <v>23</v>
      </c>
      <c r="N123" s="8">
        <v>0.29584100000000002</v>
      </c>
    </row>
    <row r="124" spans="1:14" hidden="1" x14ac:dyDescent="0.55000000000000004">
      <c r="A124" s="3" t="s">
        <v>335</v>
      </c>
      <c r="B124" s="3" t="s">
        <v>428</v>
      </c>
      <c r="C124" t="s">
        <v>428</v>
      </c>
      <c r="D124" s="3" t="s">
        <v>7319</v>
      </c>
      <c r="E124" t="s">
        <v>429</v>
      </c>
      <c r="F124" s="3" t="s">
        <v>430</v>
      </c>
      <c r="G124" s="10">
        <v>0</v>
      </c>
      <c r="H124" s="3" t="s">
        <v>19</v>
      </c>
      <c r="I124" t="s">
        <v>434</v>
      </c>
      <c r="J124" s="3" t="s">
        <v>403</v>
      </c>
      <c r="K124" t="s">
        <v>5884</v>
      </c>
      <c r="L124" s="3" t="s">
        <v>5888</v>
      </c>
      <c r="M124" t="s">
        <v>5889</v>
      </c>
      <c r="N124" s="8">
        <v>1.8157E-2</v>
      </c>
    </row>
    <row r="125" spans="1:14" hidden="1" x14ac:dyDescent="0.55000000000000004">
      <c r="A125" s="3" t="s">
        <v>335</v>
      </c>
      <c r="B125" s="3" t="s">
        <v>428</v>
      </c>
      <c r="C125" t="s">
        <v>428</v>
      </c>
      <c r="D125" s="3" t="s">
        <v>7319</v>
      </c>
      <c r="E125" t="s">
        <v>429</v>
      </c>
      <c r="F125" s="3" t="s">
        <v>430</v>
      </c>
      <c r="G125" s="10">
        <v>0</v>
      </c>
      <c r="H125" s="3" t="s">
        <v>19</v>
      </c>
      <c r="I125" t="s">
        <v>434</v>
      </c>
      <c r="J125" s="3" t="s">
        <v>403</v>
      </c>
      <c r="K125" t="s">
        <v>5884</v>
      </c>
      <c r="L125" s="3" t="s">
        <v>5890</v>
      </c>
      <c r="M125" t="s">
        <v>5889</v>
      </c>
      <c r="N125" s="8">
        <v>1.8157E-2</v>
      </c>
    </row>
    <row r="126" spans="1:14" hidden="1" x14ac:dyDescent="0.55000000000000004">
      <c r="A126" s="3" t="s">
        <v>335</v>
      </c>
      <c r="B126" s="3" t="s">
        <v>428</v>
      </c>
      <c r="C126" t="s">
        <v>428</v>
      </c>
      <c r="D126" s="3" t="s">
        <v>7319</v>
      </c>
      <c r="E126" t="s">
        <v>429</v>
      </c>
      <c r="F126" s="3" t="s">
        <v>430</v>
      </c>
      <c r="G126" s="10">
        <v>0</v>
      </c>
      <c r="H126" s="3" t="s">
        <v>24</v>
      </c>
      <c r="I126" t="s">
        <v>437</v>
      </c>
      <c r="J126" s="3" t="s">
        <v>76</v>
      </c>
      <c r="K126" t="s">
        <v>5841</v>
      </c>
      <c r="L126" s="3" t="s">
        <v>5840</v>
      </c>
      <c r="M126" t="s">
        <v>23</v>
      </c>
      <c r="N126" s="8">
        <v>0.29416700000000001</v>
      </c>
    </row>
    <row r="127" spans="1:14" hidden="1" x14ac:dyDescent="0.55000000000000004">
      <c r="A127" s="3" t="s">
        <v>335</v>
      </c>
      <c r="B127" s="3" t="s">
        <v>438</v>
      </c>
      <c r="C127" t="s">
        <v>438</v>
      </c>
      <c r="D127" s="3" t="s">
        <v>7319</v>
      </c>
      <c r="E127" t="s">
        <v>439</v>
      </c>
      <c r="F127" s="3" t="s">
        <v>440</v>
      </c>
      <c r="G127" s="10">
        <v>0</v>
      </c>
      <c r="H127" s="3" t="s">
        <v>24</v>
      </c>
      <c r="I127" t="s">
        <v>443</v>
      </c>
      <c r="J127" s="3" t="s">
        <v>76</v>
      </c>
      <c r="K127" t="s">
        <v>5841</v>
      </c>
      <c r="L127" s="3" t="s">
        <v>5840</v>
      </c>
      <c r="M127" t="s">
        <v>5883</v>
      </c>
      <c r="N127" s="8">
        <v>0.29416700000000001</v>
      </c>
    </row>
    <row r="128" spans="1:14" hidden="1" x14ac:dyDescent="0.55000000000000004">
      <c r="A128" s="3" t="s">
        <v>335</v>
      </c>
      <c r="B128" s="3" t="s">
        <v>438</v>
      </c>
      <c r="C128" t="s">
        <v>438</v>
      </c>
      <c r="D128" s="3" t="s">
        <v>7319</v>
      </c>
      <c r="E128" t="s">
        <v>446</v>
      </c>
      <c r="F128" s="3" t="s">
        <v>447</v>
      </c>
      <c r="G128" s="10">
        <v>1</v>
      </c>
      <c r="H128" s="3" t="s">
        <v>19</v>
      </c>
      <c r="I128" t="s">
        <v>450</v>
      </c>
      <c r="J128" s="3" t="s">
        <v>451</v>
      </c>
      <c r="K128" t="s">
        <v>5891</v>
      </c>
      <c r="L128" s="3" t="s">
        <v>5892</v>
      </c>
      <c r="M128" t="s">
        <v>5893</v>
      </c>
      <c r="N128" s="8">
        <v>8.6599999999999993E-3</v>
      </c>
    </row>
    <row r="129" spans="1:14" hidden="1" x14ac:dyDescent="0.55000000000000004">
      <c r="A129" s="3" t="s">
        <v>335</v>
      </c>
      <c r="B129" s="3" t="s">
        <v>438</v>
      </c>
      <c r="C129" t="s">
        <v>438</v>
      </c>
      <c r="D129" s="3" t="s">
        <v>7319</v>
      </c>
      <c r="E129" t="s">
        <v>446</v>
      </c>
      <c r="F129" s="3" t="s">
        <v>447</v>
      </c>
      <c r="G129" s="10">
        <v>1</v>
      </c>
      <c r="H129" s="3" t="s">
        <v>19</v>
      </c>
      <c r="I129" t="s">
        <v>450</v>
      </c>
      <c r="J129" s="3" t="s">
        <v>451</v>
      </c>
      <c r="K129" t="s">
        <v>5891</v>
      </c>
      <c r="L129" s="3" t="s">
        <v>5894</v>
      </c>
      <c r="M129" t="s">
        <v>5893</v>
      </c>
      <c r="N129" s="8">
        <v>8.6599999999999993E-3</v>
      </c>
    </row>
    <row r="130" spans="1:14" hidden="1" x14ac:dyDescent="0.55000000000000004">
      <c r="A130" s="3" t="s">
        <v>335</v>
      </c>
      <c r="B130" s="3" t="s">
        <v>438</v>
      </c>
      <c r="C130" t="s">
        <v>438</v>
      </c>
      <c r="D130" s="3" t="s">
        <v>7319</v>
      </c>
      <c r="E130" t="s">
        <v>446</v>
      </c>
      <c r="F130" s="3" t="s">
        <v>447</v>
      </c>
      <c r="G130" s="10">
        <v>1</v>
      </c>
      <c r="H130" s="3" t="s">
        <v>19</v>
      </c>
      <c r="I130" t="s">
        <v>450</v>
      </c>
      <c r="J130" s="3" t="s">
        <v>451</v>
      </c>
      <c r="K130" t="s">
        <v>5891</v>
      </c>
      <c r="L130" s="3" t="s">
        <v>5895</v>
      </c>
      <c r="M130" t="s">
        <v>5893</v>
      </c>
      <c r="N130" s="8">
        <v>8.6599999999999993E-3</v>
      </c>
    </row>
    <row r="131" spans="1:14" hidden="1" x14ac:dyDescent="0.55000000000000004">
      <c r="A131" s="3" t="s">
        <v>335</v>
      </c>
      <c r="B131" s="3" t="s">
        <v>438</v>
      </c>
      <c r="C131" t="s">
        <v>438</v>
      </c>
      <c r="D131" s="3" t="s">
        <v>7319</v>
      </c>
      <c r="E131" t="s">
        <v>446</v>
      </c>
      <c r="F131" s="3" t="s">
        <v>447</v>
      </c>
      <c r="G131" s="10">
        <v>1</v>
      </c>
      <c r="H131" s="3" t="s">
        <v>24</v>
      </c>
      <c r="I131" t="s">
        <v>443</v>
      </c>
      <c r="J131" s="3" t="s">
        <v>76</v>
      </c>
      <c r="K131" t="s">
        <v>5841</v>
      </c>
      <c r="L131" s="3" t="s">
        <v>5840</v>
      </c>
      <c r="M131" t="s">
        <v>5883</v>
      </c>
      <c r="N131" s="8">
        <v>0.29416700000000001</v>
      </c>
    </row>
    <row r="132" spans="1:14" hidden="1" x14ac:dyDescent="0.55000000000000004">
      <c r="A132" s="3" t="s">
        <v>335</v>
      </c>
      <c r="B132" s="3" t="s">
        <v>438</v>
      </c>
      <c r="C132" t="s">
        <v>438</v>
      </c>
      <c r="D132" s="3" t="s">
        <v>7319</v>
      </c>
      <c r="E132" t="s">
        <v>452</v>
      </c>
      <c r="F132" s="3" t="s">
        <v>453</v>
      </c>
      <c r="G132" s="10">
        <v>0</v>
      </c>
      <c r="H132" s="3" t="s">
        <v>19</v>
      </c>
      <c r="I132" t="s">
        <v>450</v>
      </c>
      <c r="J132" s="3" t="s">
        <v>451</v>
      </c>
      <c r="K132" t="s">
        <v>5891</v>
      </c>
      <c r="L132" s="3" t="s">
        <v>5892</v>
      </c>
      <c r="M132" t="s">
        <v>5893</v>
      </c>
      <c r="N132" s="8">
        <v>8.6599999999999993E-3</v>
      </c>
    </row>
    <row r="133" spans="1:14" hidden="1" x14ac:dyDescent="0.55000000000000004">
      <c r="A133" s="3" t="s">
        <v>335</v>
      </c>
      <c r="B133" s="3" t="s">
        <v>438</v>
      </c>
      <c r="C133" t="s">
        <v>438</v>
      </c>
      <c r="D133" s="3" t="s">
        <v>7319</v>
      </c>
      <c r="E133" t="s">
        <v>452</v>
      </c>
      <c r="F133" s="3" t="s">
        <v>453</v>
      </c>
      <c r="G133" s="10">
        <v>0</v>
      </c>
      <c r="H133" s="3" t="s">
        <v>19</v>
      </c>
      <c r="I133" t="s">
        <v>450</v>
      </c>
      <c r="J133" s="3" t="s">
        <v>451</v>
      </c>
      <c r="K133" t="s">
        <v>5891</v>
      </c>
      <c r="L133" s="3" t="s">
        <v>5894</v>
      </c>
      <c r="M133" t="s">
        <v>5893</v>
      </c>
      <c r="N133" s="8">
        <v>8.6599999999999993E-3</v>
      </c>
    </row>
    <row r="134" spans="1:14" hidden="1" x14ac:dyDescent="0.55000000000000004">
      <c r="A134" s="3" t="s">
        <v>335</v>
      </c>
      <c r="B134" s="3" t="s">
        <v>438</v>
      </c>
      <c r="C134" t="s">
        <v>438</v>
      </c>
      <c r="D134" s="3" t="s">
        <v>7319</v>
      </c>
      <c r="E134" t="s">
        <v>452</v>
      </c>
      <c r="F134" s="3" t="s">
        <v>453</v>
      </c>
      <c r="G134" s="10">
        <v>0</v>
      </c>
      <c r="H134" s="3" t="s">
        <v>19</v>
      </c>
      <c r="I134" t="s">
        <v>450</v>
      </c>
      <c r="J134" s="3" t="s">
        <v>451</v>
      </c>
      <c r="K134" t="s">
        <v>5891</v>
      </c>
      <c r="L134" s="3" t="s">
        <v>5895</v>
      </c>
      <c r="M134" t="s">
        <v>5893</v>
      </c>
      <c r="N134" s="8">
        <v>8.6599999999999993E-3</v>
      </c>
    </row>
    <row r="135" spans="1:14" hidden="1" x14ac:dyDescent="0.55000000000000004">
      <c r="A135" s="3" t="s">
        <v>335</v>
      </c>
      <c r="B135" s="3" t="s">
        <v>438</v>
      </c>
      <c r="C135" t="s">
        <v>438</v>
      </c>
      <c r="D135" s="3" t="s">
        <v>7319</v>
      </c>
      <c r="E135" t="s">
        <v>452</v>
      </c>
      <c r="F135" s="3" t="s">
        <v>453</v>
      </c>
      <c r="G135" s="10">
        <v>0</v>
      </c>
      <c r="H135" s="3" t="s">
        <v>24</v>
      </c>
      <c r="I135" t="s">
        <v>443</v>
      </c>
      <c r="J135" s="3" t="s">
        <v>76</v>
      </c>
      <c r="K135" t="s">
        <v>5841</v>
      </c>
      <c r="L135" s="3" t="s">
        <v>5840</v>
      </c>
      <c r="M135" t="s">
        <v>5883</v>
      </c>
      <c r="N135" s="8">
        <v>0.29416700000000001</v>
      </c>
    </row>
    <row r="136" spans="1:14" hidden="1" x14ac:dyDescent="0.55000000000000004">
      <c r="A136" s="3" t="s">
        <v>335</v>
      </c>
      <c r="B136" s="3" t="s">
        <v>454</v>
      </c>
      <c r="C136" t="s">
        <v>7323</v>
      </c>
      <c r="D136" s="3" t="s">
        <v>7319</v>
      </c>
      <c r="E136" t="s">
        <v>455</v>
      </c>
      <c r="F136" s="3" t="s">
        <v>456</v>
      </c>
      <c r="G136" s="10">
        <v>0</v>
      </c>
      <c r="H136" s="3" t="s">
        <v>24</v>
      </c>
      <c r="I136" t="s">
        <v>459</v>
      </c>
      <c r="J136" s="3" t="s">
        <v>55</v>
      </c>
      <c r="K136" t="s">
        <v>23</v>
      </c>
      <c r="L136" s="3" t="s">
        <v>5839</v>
      </c>
      <c r="M136" t="s">
        <v>23</v>
      </c>
      <c r="N136" s="8">
        <v>0.29700199999999999</v>
      </c>
    </row>
    <row r="137" spans="1:14" hidden="1" x14ac:dyDescent="0.55000000000000004">
      <c r="A137" s="3" t="s">
        <v>335</v>
      </c>
      <c r="B137" s="3" t="s">
        <v>463</v>
      </c>
      <c r="C137" t="s">
        <v>337</v>
      </c>
      <c r="D137" s="3" t="s">
        <v>7319</v>
      </c>
      <c r="E137" t="s">
        <v>464</v>
      </c>
      <c r="F137" s="3" t="s">
        <v>465</v>
      </c>
      <c r="G137" s="10">
        <v>1</v>
      </c>
      <c r="H137" s="3" t="s">
        <v>19</v>
      </c>
      <c r="I137" t="s">
        <v>468</v>
      </c>
      <c r="J137" s="3" t="s">
        <v>451</v>
      </c>
      <c r="K137" t="s">
        <v>5891</v>
      </c>
      <c r="L137" s="3" t="s">
        <v>5892</v>
      </c>
      <c r="M137" t="s">
        <v>5896</v>
      </c>
      <c r="N137" s="8">
        <v>2.7399999999999998E-3</v>
      </c>
    </row>
    <row r="138" spans="1:14" hidden="1" x14ac:dyDescent="0.55000000000000004">
      <c r="A138" s="3" t="s">
        <v>335</v>
      </c>
      <c r="B138" s="3" t="s">
        <v>463</v>
      </c>
      <c r="C138" t="s">
        <v>337</v>
      </c>
      <c r="D138" s="3" t="s">
        <v>7319</v>
      </c>
      <c r="E138" t="s">
        <v>464</v>
      </c>
      <c r="F138" s="3" t="s">
        <v>465</v>
      </c>
      <c r="G138" s="10">
        <v>1</v>
      </c>
      <c r="H138" s="3" t="s">
        <v>19</v>
      </c>
      <c r="I138" t="s">
        <v>468</v>
      </c>
      <c r="J138" s="3" t="s">
        <v>451</v>
      </c>
      <c r="K138" t="s">
        <v>5891</v>
      </c>
      <c r="L138" s="3" t="s">
        <v>5894</v>
      </c>
      <c r="M138" t="s">
        <v>5896</v>
      </c>
      <c r="N138" s="8">
        <v>2.7399999999999998E-3</v>
      </c>
    </row>
    <row r="139" spans="1:14" hidden="1" x14ac:dyDescent="0.55000000000000004">
      <c r="A139" s="3" t="s">
        <v>335</v>
      </c>
      <c r="B139" s="3" t="s">
        <v>463</v>
      </c>
      <c r="C139" t="s">
        <v>337</v>
      </c>
      <c r="D139" s="3" t="s">
        <v>7319</v>
      </c>
      <c r="E139" t="s">
        <v>464</v>
      </c>
      <c r="F139" s="3" t="s">
        <v>465</v>
      </c>
      <c r="G139" s="10">
        <v>1</v>
      </c>
      <c r="H139" s="3" t="s">
        <v>19</v>
      </c>
      <c r="I139" t="s">
        <v>468</v>
      </c>
      <c r="J139" s="3" t="s">
        <v>451</v>
      </c>
      <c r="K139" t="s">
        <v>5891</v>
      </c>
      <c r="L139" s="3" t="s">
        <v>5895</v>
      </c>
      <c r="M139" t="s">
        <v>5896</v>
      </c>
      <c r="N139" s="8">
        <v>2.7399999999999998E-3</v>
      </c>
    </row>
    <row r="140" spans="1:14" hidden="1" x14ac:dyDescent="0.55000000000000004">
      <c r="A140" s="3" t="s">
        <v>335</v>
      </c>
      <c r="B140" s="3" t="s">
        <v>463</v>
      </c>
      <c r="C140" t="s">
        <v>337</v>
      </c>
      <c r="D140" s="3" t="s">
        <v>7319</v>
      </c>
      <c r="E140" t="s">
        <v>464</v>
      </c>
      <c r="F140" s="3" t="s">
        <v>465</v>
      </c>
      <c r="G140" s="10">
        <v>1</v>
      </c>
      <c r="H140" s="3" t="s">
        <v>24</v>
      </c>
      <c r="I140" t="s">
        <v>471</v>
      </c>
      <c r="J140" s="3" t="s">
        <v>76</v>
      </c>
      <c r="K140" t="s">
        <v>5841</v>
      </c>
      <c r="L140" s="3" t="s">
        <v>5840</v>
      </c>
      <c r="M140" t="s">
        <v>5883</v>
      </c>
      <c r="N140" s="8">
        <v>0.29416700000000001</v>
      </c>
    </row>
    <row r="141" spans="1:14" hidden="1" x14ac:dyDescent="0.55000000000000004">
      <c r="A141" s="3" t="s">
        <v>335</v>
      </c>
      <c r="B141" s="3" t="s">
        <v>474</v>
      </c>
      <c r="C141" t="s">
        <v>337</v>
      </c>
      <c r="D141" s="3" t="s">
        <v>7319</v>
      </c>
      <c r="E141" t="s">
        <v>475</v>
      </c>
      <c r="F141" s="3" t="s">
        <v>476</v>
      </c>
      <c r="G141" s="10">
        <v>0</v>
      </c>
      <c r="H141" s="3" t="s">
        <v>24</v>
      </c>
      <c r="I141" t="s">
        <v>479</v>
      </c>
      <c r="J141" s="3" t="s">
        <v>55</v>
      </c>
      <c r="K141" t="s">
        <v>23</v>
      </c>
      <c r="L141" s="3" t="s">
        <v>5839</v>
      </c>
      <c r="M141" t="s">
        <v>23</v>
      </c>
      <c r="N141" s="8">
        <v>0.29588100000000001</v>
      </c>
    </row>
    <row r="142" spans="1:14" hidden="1" x14ac:dyDescent="0.55000000000000004">
      <c r="A142" s="3" t="s">
        <v>335</v>
      </c>
      <c r="B142" s="3" t="s">
        <v>483</v>
      </c>
      <c r="C142" t="s">
        <v>483</v>
      </c>
      <c r="D142" s="3" t="s">
        <v>7319</v>
      </c>
      <c r="E142" t="s">
        <v>484</v>
      </c>
      <c r="F142" s="3" t="s">
        <v>485</v>
      </c>
      <c r="G142" s="10">
        <v>1</v>
      </c>
      <c r="H142" s="3" t="s">
        <v>19</v>
      </c>
      <c r="I142" t="s">
        <v>488</v>
      </c>
      <c r="J142" s="3" t="s">
        <v>403</v>
      </c>
      <c r="K142" t="s">
        <v>5884</v>
      </c>
      <c r="L142" s="3" t="s">
        <v>5888</v>
      </c>
      <c r="M142" t="s">
        <v>5897</v>
      </c>
      <c r="N142" s="8">
        <v>3.1295000000000003E-2</v>
      </c>
    </row>
    <row r="143" spans="1:14" hidden="1" x14ac:dyDescent="0.55000000000000004">
      <c r="A143" s="3" t="s">
        <v>335</v>
      </c>
      <c r="B143" s="3" t="s">
        <v>483</v>
      </c>
      <c r="C143" t="s">
        <v>483</v>
      </c>
      <c r="D143" s="3" t="s">
        <v>7319</v>
      </c>
      <c r="E143" t="s">
        <v>484</v>
      </c>
      <c r="F143" s="3" t="s">
        <v>485</v>
      </c>
      <c r="G143" s="10">
        <v>1</v>
      </c>
      <c r="H143" s="3" t="s">
        <v>19</v>
      </c>
      <c r="I143" t="s">
        <v>488</v>
      </c>
      <c r="J143" s="3" t="s">
        <v>403</v>
      </c>
      <c r="K143" t="s">
        <v>5884</v>
      </c>
      <c r="L143" s="3" t="s">
        <v>5890</v>
      </c>
      <c r="M143" t="s">
        <v>5897</v>
      </c>
      <c r="N143" s="8">
        <v>3.1295000000000003E-2</v>
      </c>
    </row>
    <row r="144" spans="1:14" hidden="1" x14ac:dyDescent="0.55000000000000004">
      <c r="A144" s="3" t="s">
        <v>335</v>
      </c>
      <c r="B144" s="3" t="s">
        <v>483</v>
      </c>
      <c r="C144" t="s">
        <v>483</v>
      </c>
      <c r="D144" s="3" t="s">
        <v>7319</v>
      </c>
      <c r="E144" t="s">
        <v>484</v>
      </c>
      <c r="F144" s="3" t="s">
        <v>485</v>
      </c>
      <c r="G144" s="10">
        <v>1</v>
      </c>
      <c r="H144" s="3" t="s">
        <v>24</v>
      </c>
      <c r="I144" t="s">
        <v>494</v>
      </c>
      <c r="J144" s="3" t="s">
        <v>76</v>
      </c>
      <c r="K144" t="s">
        <v>5841</v>
      </c>
      <c r="L144" s="3" t="s">
        <v>5877</v>
      </c>
      <c r="M144" t="s">
        <v>23</v>
      </c>
      <c r="N144" s="8">
        <v>0.29816700000000002</v>
      </c>
    </row>
    <row r="145" spans="1:14" hidden="1" x14ac:dyDescent="0.55000000000000004">
      <c r="A145" s="3" t="s">
        <v>335</v>
      </c>
      <c r="B145" s="3" t="s">
        <v>483</v>
      </c>
      <c r="C145" t="s">
        <v>483</v>
      </c>
      <c r="D145" s="3" t="s">
        <v>7319</v>
      </c>
      <c r="E145" t="s">
        <v>484</v>
      </c>
      <c r="F145" s="3" t="s">
        <v>485</v>
      </c>
      <c r="G145" s="10">
        <v>1</v>
      </c>
      <c r="H145" s="3" t="s">
        <v>24</v>
      </c>
      <c r="I145" t="s">
        <v>494</v>
      </c>
      <c r="J145" s="3" t="s">
        <v>76</v>
      </c>
      <c r="K145" t="s">
        <v>5841</v>
      </c>
      <c r="L145" s="3" t="s">
        <v>5878</v>
      </c>
      <c r="M145" t="s">
        <v>23</v>
      </c>
      <c r="N145" s="8">
        <v>0.29816700000000002</v>
      </c>
    </row>
    <row r="146" spans="1:14" hidden="1" x14ac:dyDescent="0.55000000000000004">
      <c r="A146" s="3" t="s">
        <v>335</v>
      </c>
      <c r="B146" s="3" t="s">
        <v>495</v>
      </c>
      <c r="C146" t="s">
        <v>495</v>
      </c>
      <c r="D146" s="3" t="s">
        <v>7319</v>
      </c>
      <c r="E146" t="s">
        <v>496</v>
      </c>
      <c r="F146" s="3" t="s">
        <v>497</v>
      </c>
      <c r="G146" s="10">
        <v>1</v>
      </c>
      <c r="H146" s="3" t="s">
        <v>19</v>
      </c>
      <c r="I146" t="s">
        <v>500</v>
      </c>
      <c r="J146" s="3" t="s">
        <v>451</v>
      </c>
      <c r="K146" t="s">
        <v>5891</v>
      </c>
      <c r="L146" s="3" t="s">
        <v>5892</v>
      </c>
      <c r="M146" t="s">
        <v>5898</v>
      </c>
      <c r="N146" s="8">
        <v>2.1026E-2</v>
      </c>
    </row>
    <row r="147" spans="1:14" hidden="1" x14ac:dyDescent="0.55000000000000004">
      <c r="A147" s="3" t="s">
        <v>335</v>
      </c>
      <c r="B147" s="3" t="s">
        <v>495</v>
      </c>
      <c r="C147" t="s">
        <v>495</v>
      </c>
      <c r="D147" s="3" t="s">
        <v>7319</v>
      </c>
      <c r="E147" t="s">
        <v>496</v>
      </c>
      <c r="F147" s="3" t="s">
        <v>497</v>
      </c>
      <c r="G147" s="10">
        <v>1</v>
      </c>
      <c r="H147" s="3" t="s">
        <v>19</v>
      </c>
      <c r="I147" t="s">
        <v>500</v>
      </c>
      <c r="J147" s="3" t="s">
        <v>451</v>
      </c>
      <c r="K147" t="s">
        <v>5891</v>
      </c>
      <c r="L147" s="3" t="s">
        <v>5894</v>
      </c>
      <c r="M147" t="s">
        <v>5898</v>
      </c>
      <c r="N147" s="8">
        <v>2.1026E-2</v>
      </c>
    </row>
    <row r="148" spans="1:14" hidden="1" x14ac:dyDescent="0.55000000000000004">
      <c r="A148" s="3" t="s">
        <v>335</v>
      </c>
      <c r="B148" s="3" t="s">
        <v>495</v>
      </c>
      <c r="C148" t="s">
        <v>495</v>
      </c>
      <c r="D148" s="3" t="s">
        <v>7319</v>
      </c>
      <c r="E148" t="s">
        <v>496</v>
      </c>
      <c r="F148" s="3" t="s">
        <v>497</v>
      </c>
      <c r="G148" s="10">
        <v>1</v>
      </c>
      <c r="H148" s="3" t="s">
        <v>19</v>
      </c>
      <c r="I148" t="s">
        <v>500</v>
      </c>
      <c r="J148" s="3" t="s">
        <v>451</v>
      </c>
      <c r="K148" t="s">
        <v>5891</v>
      </c>
      <c r="L148" s="3" t="s">
        <v>5895</v>
      </c>
      <c r="M148" t="s">
        <v>5898</v>
      </c>
      <c r="N148" s="8">
        <v>2.1026E-2</v>
      </c>
    </row>
    <row r="149" spans="1:14" hidden="1" x14ac:dyDescent="0.55000000000000004">
      <c r="A149" s="3" t="s">
        <v>335</v>
      </c>
      <c r="B149" s="3" t="s">
        <v>495</v>
      </c>
      <c r="C149" t="s">
        <v>495</v>
      </c>
      <c r="D149" s="3" t="s">
        <v>7319</v>
      </c>
      <c r="E149" t="s">
        <v>496</v>
      </c>
      <c r="F149" s="3" t="s">
        <v>497</v>
      </c>
      <c r="G149" s="10">
        <v>1</v>
      </c>
      <c r="H149" s="3" t="s">
        <v>24</v>
      </c>
      <c r="I149" t="s">
        <v>503</v>
      </c>
      <c r="J149" s="3" t="s">
        <v>76</v>
      </c>
      <c r="K149" t="s">
        <v>5841</v>
      </c>
      <c r="L149" s="3" t="s">
        <v>5840</v>
      </c>
      <c r="M149" t="s">
        <v>5899</v>
      </c>
      <c r="N149" s="8">
        <v>0.29749999999999999</v>
      </c>
    </row>
    <row r="150" spans="1:14" hidden="1" x14ac:dyDescent="0.55000000000000004">
      <c r="A150" s="3" t="s">
        <v>335</v>
      </c>
      <c r="B150" s="3" t="s">
        <v>337</v>
      </c>
      <c r="C150" t="s">
        <v>337</v>
      </c>
      <c r="D150" s="3" t="s">
        <v>7319</v>
      </c>
      <c r="E150" t="s">
        <v>506</v>
      </c>
      <c r="F150" s="3" t="s">
        <v>507</v>
      </c>
      <c r="G150" s="10">
        <v>0</v>
      </c>
      <c r="H150" s="3" t="s">
        <v>24</v>
      </c>
      <c r="I150" t="s">
        <v>510</v>
      </c>
      <c r="J150" s="3" t="s">
        <v>76</v>
      </c>
      <c r="K150" t="s">
        <v>5841</v>
      </c>
      <c r="L150" s="3" t="s">
        <v>5840</v>
      </c>
      <c r="M150" t="s">
        <v>23</v>
      </c>
      <c r="N150" s="8">
        <v>0.29416700000000001</v>
      </c>
    </row>
    <row r="151" spans="1:14" hidden="1" x14ac:dyDescent="0.55000000000000004">
      <c r="A151" s="3" t="s">
        <v>335</v>
      </c>
      <c r="B151" s="3" t="s">
        <v>511</v>
      </c>
      <c r="C151" t="s">
        <v>7323</v>
      </c>
      <c r="D151" s="3" t="s">
        <v>7319</v>
      </c>
      <c r="E151" t="s">
        <v>512</v>
      </c>
      <c r="F151" s="3" t="s">
        <v>513</v>
      </c>
      <c r="G151" s="10">
        <v>0</v>
      </c>
      <c r="H151" s="3" t="s">
        <v>24</v>
      </c>
      <c r="I151" t="s">
        <v>516</v>
      </c>
      <c r="J151" s="3" t="s">
        <v>55</v>
      </c>
      <c r="K151" t="s">
        <v>23</v>
      </c>
      <c r="L151" s="3" t="s">
        <v>5839</v>
      </c>
      <c r="M151" t="s">
        <v>23</v>
      </c>
      <c r="N151" s="8">
        <v>0.29695199999999999</v>
      </c>
    </row>
    <row r="152" spans="1:14" hidden="1" x14ac:dyDescent="0.55000000000000004">
      <c r="A152" s="3" t="s">
        <v>335</v>
      </c>
      <c r="B152" s="3" t="s">
        <v>511</v>
      </c>
      <c r="C152" t="s">
        <v>7323</v>
      </c>
      <c r="D152" s="3" t="s">
        <v>7319</v>
      </c>
      <c r="E152" t="s">
        <v>520</v>
      </c>
      <c r="F152" s="3" t="s">
        <v>521</v>
      </c>
      <c r="G152" s="10">
        <v>0</v>
      </c>
      <c r="H152" s="3" t="s">
        <v>24</v>
      </c>
      <c r="I152" t="s">
        <v>516</v>
      </c>
      <c r="J152" s="3" t="s">
        <v>55</v>
      </c>
      <c r="K152" t="s">
        <v>23</v>
      </c>
      <c r="L152" s="3" t="s">
        <v>5839</v>
      </c>
      <c r="M152" t="s">
        <v>23</v>
      </c>
      <c r="N152" s="8">
        <v>0.29695199999999999</v>
      </c>
    </row>
    <row r="153" spans="1:14" hidden="1" x14ac:dyDescent="0.55000000000000004">
      <c r="A153" s="3" t="s">
        <v>335</v>
      </c>
      <c r="B153" s="3" t="s">
        <v>511</v>
      </c>
      <c r="C153" t="s">
        <v>7323</v>
      </c>
      <c r="D153" s="3" t="s">
        <v>7319</v>
      </c>
      <c r="E153" t="s">
        <v>522</v>
      </c>
      <c r="F153" s="3" t="s">
        <v>523</v>
      </c>
      <c r="G153" s="10">
        <v>0</v>
      </c>
      <c r="H153" s="3" t="s">
        <v>24</v>
      </c>
      <c r="I153" t="s">
        <v>516</v>
      </c>
      <c r="J153" s="3" t="s">
        <v>55</v>
      </c>
      <c r="K153" t="s">
        <v>23</v>
      </c>
      <c r="L153" s="3" t="s">
        <v>5839</v>
      </c>
      <c r="M153" t="s">
        <v>23</v>
      </c>
      <c r="N153" s="8">
        <v>0.29695199999999999</v>
      </c>
    </row>
    <row r="154" spans="1:14" hidden="1" x14ac:dyDescent="0.55000000000000004">
      <c r="A154" s="3" t="s">
        <v>335</v>
      </c>
      <c r="B154" s="3" t="s">
        <v>524</v>
      </c>
      <c r="C154" t="s">
        <v>337</v>
      </c>
      <c r="D154" s="3" t="s">
        <v>7319</v>
      </c>
      <c r="E154" t="s">
        <v>525</v>
      </c>
      <c r="F154" s="3" t="s">
        <v>526</v>
      </c>
      <c r="G154" s="10">
        <v>0</v>
      </c>
      <c r="H154" s="3" t="s">
        <v>24</v>
      </c>
      <c r="I154" t="s">
        <v>532</v>
      </c>
      <c r="J154" s="3" t="s">
        <v>76</v>
      </c>
      <c r="K154" t="s">
        <v>5841</v>
      </c>
      <c r="L154" s="3" t="s">
        <v>5840</v>
      </c>
      <c r="M154" t="s">
        <v>23</v>
      </c>
      <c r="N154" s="8">
        <v>0.29416700000000001</v>
      </c>
    </row>
    <row r="155" spans="1:14" hidden="1" x14ac:dyDescent="0.55000000000000004">
      <c r="A155" s="3" t="s">
        <v>335</v>
      </c>
      <c r="B155" s="3" t="s">
        <v>533</v>
      </c>
      <c r="C155" t="s">
        <v>533</v>
      </c>
      <c r="D155" s="3" t="s">
        <v>7319</v>
      </c>
      <c r="E155" t="s">
        <v>534</v>
      </c>
      <c r="F155" s="3" t="s">
        <v>535</v>
      </c>
      <c r="G155" s="10">
        <v>1</v>
      </c>
      <c r="H155" s="3" t="s">
        <v>19</v>
      </c>
      <c r="I155" t="s">
        <v>538</v>
      </c>
      <c r="J155" s="3" t="s">
        <v>451</v>
      </c>
      <c r="K155" t="s">
        <v>5891</v>
      </c>
      <c r="L155" s="3" t="s">
        <v>5892</v>
      </c>
      <c r="M155" t="s">
        <v>5900</v>
      </c>
      <c r="N155" s="8">
        <v>6.326E-3</v>
      </c>
    </row>
    <row r="156" spans="1:14" hidden="1" x14ac:dyDescent="0.55000000000000004">
      <c r="A156" s="3" t="s">
        <v>335</v>
      </c>
      <c r="B156" s="3" t="s">
        <v>533</v>
      </c>
      <c r="C156" t="s">
        <v>533</v>
      </c>
      <c r="D156" s="3" t="s">
        <v>7319</v>
      </c>
      <c r="E156" t="s">
        <v>534</v>
      </c>
      <c r="F156" s="3" t="s">
        <v>535</v>
      </c>
      <c r="G156" s="10">
        <v>1</v>
      </c>
      <c r="H156" s="3" t="s">
        <v>19</v>
      </c>
      <c r="I156" t="s">
        <v>538</v>
      </c>
      <c r="J156" s="3" t="s">
        <v>451</v>
      </c>
      <c r="K156" t="s">
        <v>5891</v>
      </c>
      <c r="L156" s="3" t="s">
        <v>5894</v>
      </c>
      <c r="M156" t="s">
        <v>5900</v>
      </c>
      <c r="N156" s="8">
        <v>6.326E-3</v>
      </c>
    </row>
    <row r="157" spans="1:14" hidden="1" x14ac:dyDescent="0.55000000000000004">
      <c r="A157" s="3" t="s">
        <v>335</v>
      </c>
      <c r="B157" s="3" t="s">
        <v>533</v>
      </c>
      <c r="C157" t="s">
        <v>533</v>
      </c>
      <c r="D157" s="3" t="s">
        <v>7319</v>
      </c>
      <c r="E157" t="s">
        <v>534</v>
      </c>
      <c r="F157" s="3" t="s">
        <v>535</v>
      </c>
      <c r="G157" s="10">
        <v>1</v>
      </c>
      <c r="H157" s="3" t="s">
        <v>19</v>
      </c>
      <c r="I157" t="s">
        <v>538</v>
      </c>
      <c r="J157" s="3" t="s">
        <v>451</v>
      </c>
      <c r="K157" t="s">
        <v>5891</v>
      </c>
      <c r="L157" s="3" t="s">
        <v>5895</v>
      </c>
      <c r="M157" t="s">
        <v>5900</v>
      </c>
      <c r="N157" s="8">
        <v>6.326E-3</v>
      </c>
    </row>
    <row r="158" spans="1:14" hidden="1" x14ac:dyDescent="0.55000000000000004">
      <c r="A158" s="3" t="s">
        <v>335</v>
      </c>
      <c r="B158" s="3" t="s">
        <v>533</v>
      </c>
      <c r="C158" t="s">
        <v>533</v>
      </c>
      <c r="D158" s="3" t="s">
        <v>7319</v>
      </c>
      <c r="E158" t="s">
        <v>534</v>
      </c>
      <c r="F158" s="3" t="s">
        <v>535</v>
      </c>
      <c r="G158" s="10">
        <v>1</v>
      </c>
      <c r="H158" s="3" t="s">
        <v>24</v>
      </c>
      <c r="I158" t="s">
        <v>541</v>
      </c>
      <c r="J158" s="3" t="s">
        <v>76</v>
      </c>
      <c r="K158" t="s">
        <v>5841</v>
      </c>
      <c r="L158" s="3" t="s">
        <v>5840</v>
      </c>
      <c r="M158" t="s">
        <v>5883</v>
      </c>
      <c r="N158" s="8">
        <v>0.29416700000000001</v>
      </c>
    </row>
    <row r="159" spans="1:14" hidden="1" x14ac:dyDescent="0.55000000000000004">
      <c r="A159" s="3" t="s">
        <v>335</v>
      </c>
      <c r="B159" s="3" t="s">
        <v>7325</v>
      </c>
      <c r="C159" t="s">
        <v>544</v>
      </c>
      <c r="D159" s="3" t="s">
        <v>7319</v>
      </c>
      <c r="E159" t="s">
        <v>545</v>
      </c>
      <c r="F159" s="3" t="s">
        <v>546</v>
      </c>
      <c r="G159" s="10">
        <v>1</v>
      </c>
      <c r="H159" s="3" t="s">
        <v>19</v>
      </c>
      <c r="I159" t="s">
        <v>549</v>
      </c>
      <c r="J159" s="3" t="s">
        <v>403</v>
      </c>
      <c r="K159" t="s">
        <v>5884</v>
      </c>
      <c r="L159" s="3" t="s">
        <v>5888</v>
      </c>
      <c r="M159" t="s">
        <v>5901</v>
      </c>
      <c r="N159" s="8">
        <v>1.0236E-2</v>
      </c>
    </row>
    <row r="160" spans="1:14" hidden="1" x14ac:dyDescent="0.55000000000000004">
      <c r="A160" s="3" t="s">
        <v>335</v>
      </c>
      <c r="B160" s="3" t="s">
        <v>7325</v>
      </c>
      <c r="C160" t="s">
        <v>544</v>
      </c>
      <c r="D160" s="3" t="s">
        <v>7319</v>
      </c>
      <c r="E160" t="s">
        <v>545</v>
      </c>
      <c r="F160" s="3" t="s">
        <v>546</v>
      </c>
      <c r="G160" s="10">
        <v>1</v>
      </c>
      <c r="H160" s="3" t="s">
        <v>19</v>
      </c>
      <c r="I160" t="s">
        <v>549</v>
      </c>
      <c r="J160" s="3" t="s">
        <v>403</v>
      </c>
      <c r="K160" t="s">
        <v>5884</v>
      </c>
      <c r="L160" s="3" t="s">
        <v>5890</v>
      </c>
      <c r="M160" t="s">
        <v>5901</v>
      </c>
      <c r="N160" s="8">
        <v>1.0236E-2</v>
      </c>
    </row>
    <row r="161" spans="1:14" hidden="1" x14ac:dyDescent="0.55000000000000004">
      <c r="A161" s="3" t="s">
        <v>335</v>
      </c>
      <c r="B161" s="3" t="s">
        <v>7325</v>
      </c>
      <c r="C161" t="s">
        <v>544</v>
      </c>
      <c r="D161" s="3" t="s">
        <v>7319</v>
      </c>
      <c r="E161" t="s">
        <v>545</v>
      </c>
      <c r="F161" s="3" t="s">
        <v>546</v>
      </c>
      <c r="G161" s="10">
        <v>1</v>
      </c>
      <c r="H161" s="3" t="s">
        <v>24</v>
      </c>
      <c r="I161" t="s">
        <v>552</v>
      </c>
      <c r="J161" s="3" t="s">
        <v>76</v>
      </c>
      <c r="K161" t="s">
        <v>5841</v>
      </c>
      <c r="L161" s="3" t="s">
        <v>5840</v>
      </c>
      <c r="M161" t="s">
        <v>23</v>
      </c>
      <c r="N161" s="8">
        <v>0.27083299999999999</v>
      </c>
    </row>
    <row r="162" spans="1:14" hidden="1" x14ac:dyDescent="0.55000000000000004">
      <c r="A162" s="3" t="s">
        <v>335</v>
      </c>
      <c r="B162" s="3" t="s">
        <v>384</v>
      </c>
      <c r="C162" t="s">
        <v>7323</v>
      </c>
      <c r="D162" s="3" t="s">
        <v>7319</v>
      </c>
      <c r="E162" t="s">
        <v>553</v>
      </c>
      <c r="F162" s="3" t="s">
        <v>554</v>
      </c>
      <c r="G162" s="10">
        <v>0</v>
      </c>
      <c r="H162" s="3" t="s">
        <v>24</v>
      </c>
      <c r="I162" t="s">
        <v>560</v>
      </c>
      <c r="J162" s="3" t="s">
        <v>29</v>
      </c>
      <c r="K162" t="s">
        <v>23</v>
      </c>
      <c r="L162" s="3" t="s">
        <v>5840</v>
      </c>
      <c r="M162" t="s">
        <v>23</v>
      </c>
      <c r="N162" s="8">
        <v>0.29083300000000001</v>
      </c>
    </row>
    <row r="163" spans="1:14" hidden="1" x14ac:dyDescent="0.55000000000000004">
      <c r="A163" s="3" t="s">
        <v>335</v>
      </c>
      <c r="B163" s="3" t="s">
        <v>384</v>
      </c>
      <c r="C163" t="s">
        <v>7323</v>
      </c>
      <c r="D163" s="3" t="s">
        <v>7319</v>
      </c>
      <c r="E163" t="s">
        <v>561</v>
      </c>
      <c r="F163" s="3" t="s">
        <v>562</v>
      </c>
      <c r="G163" s="10">
        <v>0</v>
      </c>
      <c r="H163" s="3" t="s">
        <v>24</v>
      </c>
      <c r="I163" t="s">
        <v>560</v>
      </c>
      <c r="J163" s="3" t="s">
        <v>29</v>
      </c>
      <c r="K163" t="s">
        <v>23</v>
      </c>
      <c r="L163" s="3" t="s">
        <v>5840</v>
      </c>
      <c r="M163" t="s">
        <v>23</v>
      </c>
      <c r="N163" s="8">
        <v>0.29083300000000001</v>
      </c>
    </row>
    <row r="164" spans="1:14" hidden="1" x14ac:dyDescent="0.55000000000000004">
      <c r="A164" s="3" t="s">
        <v>335</v>
      </c>
      <c r="B164" s="3" t="s">
        <v>384</v>
      </c>
      <c r="C164" t="s">
        <v>7323</v>
      </c>
      <c r="D164" s="3" t="s">
        <v>7319</v>
      </c>
      <c r="E164" t="s">
        <v>563</v>
      </c>
      <c r="F164" s="3" t="s">
        <v>564</v>
      </c>
      <c r="G164" s="10">
        <v>0</v>
      </c>
      <c r="H164" s="3" t="s">
        <v>24</v>
      </c>
      <c r="I164" t="s">
        <v>560</v>
      </c>
      <c r="J164" s="3" t="s">
        <v>29</v>
      </c>
      <c r="K164" t="s">
        <v>23</v>
      </c>
      <c r="L164" s="3" t="s">
        <v>5840</v>
      </c>
      <c r="M164" t="s">
        <v>23</v>
      </c>
      <c r="N164" s="8">
        <v>0.29083300000000001</v>
      </c>
    </row>
    <row r="165" spans="1:14" hidden="1" x14ac:dyDescent="0.55000000000000004">
      <c r="A165" s="3" t="s">
        <v>335</v>
      </c>
      <c r="B165" s="3" t="s">
        <v>544</v>
      </c>
      <c r="C165" t="s">
        <v>544</v>
      </c>
      <c r="D165" s="3" t="s">
        <v>7319</v>
      </c>
      <c r="E165" t="s">
        <v>565</v>
      </c>
      <c r="F165" s="3" t="s">
        <v>566</v>
      </c>
      <c r="G165" s="10">
        <v>1</v>
      </c>
      <c r="H165" s="3" t="s">
        <v>19</v>
      </c>
      <c r="I165" t="s">
        <v>569</v>
      </c>
      <c r="J165" s="3" t="s">
        <v>403</v>
      </c>
      <c r="K165" t="s">
        <v>5884</v>
      </c>
      <c r="L165" s="3" t="s">
        <v>5888</v>
      </c>
      <c r="M165" t="s">
        <v>5901</v>
      </c>
      <c r="N165" s="8">
        <v>1.0236E-2</v>
      </c>
    </row>
    <row r="166" spans="1:14" hidden="1" x14ac:dyDescent="0.55000000000000004">
      <c r="A166" s="3" t="s">
        <v>335</v>
      </c>
      <c r="B166" s="3" t="s">
        <v>544</v>
      </c>
      <c r="C166" t="s">
        <v>544</v>
      </c>
      <c r="D166" s="3" t="s">
        <v>7319</v>
      </c>
      <c r="E166" t="s">
        <v>565</v>
      </c>
      <c r="F166" s="3" t="s">
        <v>566</v>
      </c>
      <c r="G166" s="10">
        <v>1</v>
      </c>
      <c r="H166" s="3" t="s">
        <v>19</v>
      </c>
      <c r="I166" t="s">
        <v>569</v>
      </c>
      <c r="J166" s="3" t="s">
        <v>403</v>
      </c>
      <c r="K166" t="s">
        <v>5884</v>
      </c>
      <c r="L166" s="3" t="s">
        <v>5890</v>
      </c>
      <c r="M166" t="s">
        <v>5901</v>
      </c>
      <c r="N166" s="8">
        <v>1.0236E-2</v>
      </c>
    </row>
    <row r="167" spans="1:14" hidden="1" x14ac:dyDescent="0.55000000000000004">
      <c r="A167" s="3" t="s">
        <v>335</v>
      </c>
      <c r="B167" s="3" t="s">
        <v>544</v>
      </c>
      <c r="C167" t="s">
        <v>544</v>
      </c>
      <c r="D167" s="3" t="s">
        <v>7319</v>
      </c>
      <c r="E167" t="s">
        <v>565</v>
      </c>
      <c r="F167" s="3" t="s">
        <v>566</v>
      </c>
      <c r="G167" s="10">
        <v>1</v>
      </c>
      <c r="H167" s="3" t="s">
        <v>24</v>
      </c>
      <c r="I167" t="s">
        <v>572</v>
      </c>
      <c r="J167" s="3" t="s">
        <v>55</v>
      </c>
      <c r="K167" t="s">
        <v>23</v>
      </c>
      <c r="L167" s="3" t="s">
        <v>5839</v>
      </c>
      <c r="M167" t="s">
        <v>23</v>
      </c>
      <c r="N167" s="8">
        <v>0.29636099999999999</v>
      </c>
    </row>
    <row r="168" spans="1:14" hidden="1" x14ac:dyDescent="0.55000000000000004">
      <c r="A168" s="3" t="s">
        <v>335</v>
      </c>
      <c r="B168" s="3" t="s">
        <v>544</v>
      </c>
      <c r="C168" t="s">
        <v>544</v>
      </c>
      <c r="D168" s="3" t="s">
        <v>7319</v>
      </c>
      <c r="E168" t="s">
        <v>576</v>
      </c>
      <c r="F168" s="3" t="s">
        <v>577</v>
      </c>
      <c r="G168" s="10">
        <v>0</v>
      </c>
      <c r="H168" s="3" t="s">
        <v>19</v>
      </c>
      <c r="I168" t="s">
        <v>569</v>
      </c>
      <c r="J168" s="3" t="s">
        <v>403</v>
      </c>
      <c r="K168" t="s">
        <v>5884</v>
      </c>
      <c r="L168" s="3" t="s">
        <v>5888</v>
      </c>
      <c r="M168" t="s">
        <v>5901</v>
      </c>
      <c r="N168" s="8">
        <v>1.0236E-2</v>
      </c>
    </row>
    <row r="169" spans="1:14" hidden="1" x14ac:dyDescent="0.55000000000000004">
      <c r="A169" s="3" t="s">
        <v>335</v>
      </c>
      <c r="B169" s="3" t="s">
        <v>544</v>
      </c>
      <c r="C169" t="s">
        <v>544</v>
      </c>
      <c r="D169" s="3" t="s">
        <v>7319</v>
      </c>
      <c r="E169" t="s">
        <v>576</v>
      </c>
      <c r="F169" s="3" t="s">
        <v>577</v>
      </c>
      <c r="G169" s="10">
        <v>0</v>
      </c>
      <c r="H169" s="3" t="s">
        <v>19</v>
      </c>
      <c r="I169" t="s">
        <v>569</v>
      </c>
      <c r="J169" s="3" t="s">
        <v>403</v>
      </c>
      <c r="K169" t="s">
        <v>5884</v>
      </c>
      <c r="L169" s="3" t="s">
        <v>5890</v>
      </c>
      <c r="M169" t="s">
        <v>5901</v>
      </c>
      <c r="N169" s="8">
        <v>1.0236E-2</v>
      </c>
    </row>
    <row r="170" spans="1:14" hidden="1" x14ac:dyDescent="0.55000000000000004">
      <c r="A170" s="3" t="s">
        <v>335</v>
      </c>
      <c r="B170" s="3" t="s">
        <v>544</v>
      </c>
      <c r="C170" t="s">
        <v>544</v>
      </c>
      <c r="D170" s="3" t="s">
        <v>7319</v>
      </c>
      <c r="E170" t="s">
        <v>576</v>
      </c>
      <c r="F170" s="3" t="s">
        <v>577</v>
      </c>
      <c r="G170" s="10">
        <v>0</v>
      </c>
      <c r="H170" s="3" t="s">
        <v>24</v>
      </c>
      <c r="I170" t="s">
        <v>572</v>
      </c>
      <c r="J170" s="3" t="s">
        <v>55</v>
      </c>
      <c r="K170" t="s">
        <v>23</v>
      </c>
      <c r="L170" s="3" t="s">
        <v>5839</v>
      </c>
      <c r="M170" t="s">
        <v>23</v>
      </c>
      <c r="N170" s="8">
        <v>0.29636099999999999</v>
      </c>
    </row>
    <row r="171" spans="1:14" hidden="1" x14ac:dyDescent="0.55000000000000004">
      <c r="A171" s="3" t="s">
        <v>335</v>
      </c>
      <c r="B171" s="3" t="s">
        <v>544</v>
      </c>
      <c r="C171" t="s">
        <v>544</v>
      </c>
      <c r="D171" s="3" t="s">
        <v>7319</v>
      </c>
      <c r="E171" t="s">
        <v>578</v>
      </c>
      <c r="F171" s="3" t="s">
        <v>579</v>
      </c>
      <c r="G171" s="10">
        <v>0</v>
      </c>
      <c r="H171" s="3" t="s">
        <v>19</v>
      </c>
      <c r="I171" t="s">
        <v>569</v>
      </c>
      <c r="J171" s="3" t="s">
        <v>403</v>
      </c>
      <c r="K171" t="s">
        <v>5884</v>
      </c>
      <c r="L171" s="3" t="s">
        <v>5888</v>
      </c>
      <c r="M171" t="s">
        <v>5901</v>
      </c>
      <c r="N171" s="8">
        <v>1.0236E-2</v>
      </c>
    </row>
    <row r="172" spans="1:14" hidden="1" x14ac:dyDescent="0.55000000000000004">
      <c r="A172" s="3" t="s">
        <v>335</v>
      </c>
      <c r="B172" s="3" t="s">
        <v>544</v>
      </c>
      <c r="C172" t="s">
        <v>544</v>
      </c>
      <c r="D172" s="3" t="s">
        <v>7319</v>
      </c>
      <c r="E172" t="s">
        <v>578</v>
      </c>
      <c r="F172" s="3" t="s">
        <v>579</v>
      </c>
      <c r="G172" s="10">
        <v>0</v>
      </c>
      <c r="H172" s="3" t="s">
        <v>19</v>
      </c>
      <c r="I172" t="s">
        <v>569</v>
      </c>
      <c r="J172" s="3" t="s">
        <v>403</v>
      </c>
      <c r="K172" t="s">
        <v>5884</v>
      </c>
      <c r="L172" s="3" t="s">
        <v>5890</v>
      </c>
      <c r="M172" t="s">
        <v>5901</v>
      </c>
      <c r="N172" s="8">
        <v>1.0236E-2</v>
      </c>
    </row>
    <row r="173" spans="1:14" hidden="1" x14ac:dyDescent="0.55000000000000004">
      <c r="A173" s="3" t="s">
        <v>335</v>
      </c>
      <c r="B173" s="3" t="s">
        <v>544</v>
      </c>
      <c r="C173" t="s">
        <v>544</v>
      </c>
      <c r="D173" s="3" t="s">
        <v>7319</v>
      </c>
      <c r="E173" t="s">
        <v>578</v>
      </c>
      <c r="F173" s="3" t="s">
        <v>579</v>
      </c>
      <c r="G173" s="10">
        <v>0</v>
      </c>
      <c r="H173" s="3" t="s">
        <v>24</v>
      </c>
      <c r="I173" t="s">
        <v>572</v>
      </c>
      <c r="J173" s="3" t="s">
        <v>55</v>
      </c>
      <c r="K173" t="s">
        <v>23</v>
      </c>
      <c r="L173" s="3" t="s">
        <v>5839</v>
      </c>
      <c r="M173" t="s">
        <v>23</v>
      </c>
      <c r="N173" s="8">
        <v>0.29636099999999999</v>
      </c>
    </row>
    <row r="174" spans="1:14" hidden="1" x14ac:dyDescent="0.55000000000000004">
      <c r="A174" s="3" t="s">
        <v>335</v>
      </c>
      <c r="B174" s="3" t="s">
        <v>580</v>
      </c>
      <c r="C174" t="s">
        <v>580</v>
      </c>
      <c r="D174" s="3" t="s">
        <v>7319</v>
      </c>
      <c r="E174" t="s">
        <v>581</v>
      </c>
      <c r="F174" s="3" t="s">
        <v>582</v>
      </c>
      <c r="G174" s="10">
        <v>0</v>
      </c>
      <c r="H174" s="3" t="s">
        <v>19</v>
      </c>
      <c r="I174" t="s">
        <v>585</v>
      </c>
      <c r="J174" s="3" t="s">
        <v>451</v>
      </c>
      <c r="K174" t="s">
        <v>5891</v>
      </c>
      <c r="L174" s="3" t="s">
        <v>5892</v>
      </c>
      <c r="M174" t="s">
        <v>5902</v>
      </c>
      <c r="N174" s="8">
        <v>2.1101999999999999E-2</v>
      </c>
    </row>
    <row r="175" spans="1:14" hidden="1" x14ac:dyDescent="0.55000000000000004">
      <c r="A175" s="3" t="s">
        <v>335</v>
      </c>
      <c r="B175" s="3" t="s">
        <v>580</v>
      </c>
      <c r="C175" t="s">
        <v>580</v>
      </c>
      <c r="D175" s="3" t="s">
        <v>7319</v>
      </c>
      <c r="E175" t="s">
        <v>581</v>
      </c>
      <c r="F175" s="3" t="s">
        <v>582</v>
      </c>
      <c r="G175" s="10">
        <v>0</v>
      </c>
      <c r="H175" s="3" t="s">
        <v>19</v>
      </c>
      <c r="I175" t="s">
        <v>585</v>
      </c>
      <c r="J175" s="3" t="s">
        <v>451</v>
      </c>
      <c r="K175" t="s">
        <v>5891</v>
      </c>
      <c r="L175" s="3" t="s">
        <v>5894</v>
      </c>
      <c r="M175" t="s">
        <v>5902</v>
      </c>
      <c r="N175" s="8">
        <v>2.1101999999999999E-2</v>
      </c>
    </row>
    <row r="176" spans="1:14" hidden="1" x14ac:dyDescent="0.55000000000000004">
      <c r="A176" s="3" t="s">
        <v>335</v>
      </c>
      <c r="B176" s="3" t="s">
        <v>580</v>
      </c>
      <c r="C176" t="s">
        <v>580</v>
      </c>
      <c r="D176" s="3" t="s">
        <v>7319</v>
      </c>
      <c r="E176" t="s">
        <v>581</v>
      </c>
      <c r="F176" s="3" t="s">
        <v>582</v>
      </c>
      <c r="G176" s="10">
        <v>0</v>
      </c>
      <c r="H176" s="3" t="s">
        <v>19</v>
      </c>
      <c r="I176" t="s">
        <v>585</v>
      </c>
      <c r="J176" s="3" t="s">
        <v>451</v>
      </c>
      <c r="K176" t="s">
        <v>5891</v>
      </c>
      <c r="L176" s="3" t="s">
        <v>5895</v>
      </c>
      <c r="M176" t="s">
        <v>5902</v>
      </c>
      <c r="N176" s="8">
        <v>2.1101999999999999E-2</v>
      </c>
    </row>
    <row r="177" spans="1:14" hidden="1" x14ac:dyDescent="0.55000000000000004">
      <c r="A177" s="3" t="s">
        <v>335</v>
      </c>
      <c r="B177" s="3" t="s">
        <v>580</v>
      </c>
      <c r="C177" t="s">
        <v>580</v>
      </c>
      <c r="D177" s="3" t="s">
        <v>7319</v>
      </c>
      <c r="E177" t="s">
        <v>581</v>
      </c>
      <c r="F177" s="3" t="s">
        <v>582</v>
      </c>
      <c r="G177" s="10">
        <v>0</v>
      </c>
      <c r="H177" s="3" t="s">
        <v>24</v>
      </c>
      <c r="I177" t="s">
        <v>590</v>
      </c>
      <c r="J177" s="3" t="s">
        <v>76</v>
      </c>
      <c r="K177" t="s">
        <v>5841</v>
      </c>
      <c r="L177" s="3" t="s">
        <v>5840</v>
      </c>
      <c r="M177" t="s">
        <v>5899</v>
      </c>
      <c r="N177" s="8">
        <v>0.29749999999999999</v>
      </c>
    </row>
    <row r="178" spans="1:14" hidden="1" x14ac:dyDescent="0.55000000000000004">
      <c r="A178" s="3" t="s">
        <v>335</v>
      </c>
      <c r="B178" s="3" t="s">
        <v>7322</v>
      </c>
      <c r="C178" t="s">
        <v>580</v>
      </c>
      <c r="D178" s="3" t="s">
        <v>7319</v>
      </c>
      <c r="E178" t="s">
        <v>591</v>
      </c>
      <c r="F178" s="3" t="s">
        <v>592</v>
      </c>
      <c r="G178" s="10">
        <v>1</v>
      </c>
      <c r="H178" s="3" t="s">
        <v>19</v>
      </c>
      <c r="I178" t="s">
        <v>595</v>
      </c>
      <c r="J178" s="3" t="s">
        <v>451</v>
      </c>
      <c r="K178" t="s">
        <v>5891</v>
      </c>
      <c r="L178" s="3" t="s">
        <v>5892</v>
      </c>
      <c r="M178" t="s">
        <v>5903</v>
      </c>
      <c r="N178" s="8">
        <v>2.0209999999999999E-2</v>
      </c>
    </row>
    <row r="179" spans="1:14" hidden="1" x14ac:dyDescent="0.55000000000000004">
      <c r="A179" s="3" t="s">
        <v>335</v>
      </c>
      <c r="B179" s="3" t="s">
        <v>7322</v>
      </c>
      <c r="C179" t="s">
        <v>580</v>
      </c>
      <c r="D179" s="3" t="s">
        <v>7319</v>
      </c>
      <c r="E179" t="s">
        <v>591</v>
      </c>
      <c r="F179" s="3" t="s">
        <v>592</v>
      </c>
      <c r="G179" s="10">
        <v>1</v>
      </c>
      <c r="H179" s="3" t="s">
        <v>19</v>
      </c>
      <c r="I179" t="s">
        <v>595</v>
      </c>
      <c r="J179" s="3" t="s">
        <v>451</v>
      </c>
      <c r="K179" t="s">
        <v>5891</v>
      </c>
      <c r="L179" s="3" t="s">
        <v>5894</v>
      </c>
      <c r="M179" t="s">
        <v>5903</v>
      </c>
      <c r="N179" s="8">
        <v>2.0209999999999999E-2</v>
      </c>
    </row>
    <row r="180" spans="1:14" hidden="1" x14ac:dyDescent="0.55000000000000004">
      <c r="A180" s="3" t="s">
        <v>335</v>
      </c>
      <c r="B180" s="3" t="s">
        <v>7322</v>
      </c>
      <c r="C180" t="s">
        <v>580</v>
      </c>
      <c r="D180" s="3" t="s">
        <v>7319</v>
      </c>
      <c r="E180" t="s">
        <v>591</v>
      </c>
      <c r="F180" s="3" t="s">
        <v>592</v>
      </c>
      <c r="G180" s="10">
        <v>1</v>
      </c>
      <c r="H180" s="3" t="s">
        <v>19</v>
      </c>
      <c r="I180" t="s">
        <v>595</v>
      </c>
      <c r="J180" s="3" t="s">
        <v>451</v>
      </c>
      <c r="K180" t="s">
        <v>5891</v>
      </c>
      <c r="L180" s="3" t="s">
        <v>5895</v>
      </c>
      <c r="M180" t="s">
        <v>5903</v>
      </c>
      <c r="N180" s="8">
        <v>2.0209999999999999E-2</v>
      </c>
    </row>
    <row r="181" spans="1:14" hidden="1" x14ac:dyDescent="0.55000000000000004">
      <c r="A181" s="3" t="s">
        <v>335</v>
      </c>
      <c r="B181" s="3" t="s">
        <v>7322</v>
      </c>
      <c r="C181" t="s">
        <v>580</v>
      </c>
      <c r="D181" s="3" t="s">
        <v>7319</v>
      </c>
      <c r="E181" t="s">
        <v>591</v>
      </c>
      <c r="F181" s="3" t="s">
        <v>592</v>
      </c>
      <c r="G181" s="10">
        <v>1</v>
      </c>
      <c r="H181" s="3" t="s">
        <v>24</v>
      </c>
      <c r="I181" t="s">
        <v>590</v>
      </c>
      <c r="J181" s="3" t="s">
        <v>76</v>
      </c>
      <c r="K181" t="s">
        <v>5841</v>
      </c>
      <c r="L181" s="3" t="s">
        <v>5840</v>
      </c>
      <c r="M181" t="s">
        <v>5899</v>
      </c>
      <c r="N181" s="8">
        <v>0.29749999999999999</v>
      </c>
    </row>
    <row r="182" spans="1:14" hidden="1" x14ac:dyDescent="0.55000000000000004">
      <c r="A182" s="3" t="s">
        <v>335</v>
      </c>
      <c r="B182" s="3" t="s">
        <v>580</v>
      </c>
      <c r="C182" t="s">
        <v>580</v>
      </c>
      <c r="D182" s="3" t="s">
        <v>7319</v>
      </c>
      <c r="E182" t="s">
        <v>596</v>
      </c>
      <c r="F182" s="3" t="s">
        <v>597</v>
      </c>
      <c r="G182" s="10">
        <v>0</v>
      </c>
      <c r="H182" s="3" t="s">
        <v>19</v>
      </c>
      <c r="I182" t="s">
        <v>585</v>
      </c>
      <c r="J182" s="3" t="s">
        <v>451</v>
      </c>
      <c r="K182" t="s">
        <v>5891</v>
      </c>
      <c r="L182" s="3" t="s">
        <v>5892</v>
      </c>
      <c r="M182" t="s">
        <v>5902</v>
      </c>
      <c r="N182" s="8">
        <v>2.1101999999999999E-2</v>
      </c>
    </row>
    <row r="183" spans="1:14" hidden="1" x14ac:dyDescent="0.55000000000000004">
      <c r="A183" s="3" t="s">
        <v>335</v>
      </c>
      <c r="B183" s="3" t="s">
        <v>580</v>
      </c>
      <c r="C183" t="s">
        <v>580</v>
      </c>
      <c r="D183" s="3" t="s">
        <v>7319</v>
      </c>
      <c r="E183" t="s">
        <v>596</v>
      </c>
      <c r="F183" s="3" t="s">
        <v>597</v>
      </c>
      <c r="G183" s="10">
        <v>0</v>
      </c>
      <c r="H183" s="3" t="s">
        <v>19</v>
      </c>
      <c r="I183" t="s">
        <v>585</v>
      </c>
      <c r="J183" s="3" t="s">
        <v>451</v>
      </c>
      <c r="K183" t="s">
        <v>5891</v>
      </c>
      <c r="L183" s="3" t="s">
        <v>5894</v>
      </c>
      <c r="M183" t="s">
        <v>5902</v>
      </c>
      <c r="N183" s="8">
        <v>2.1101999999999999E-2</v>
      </c>
    </row>
    <row r="184" spans="1:14" hidden="1" x14ac:dyDescent="0.55000000000000004">
      <c r="A184" s="3" t="s">
        <v>335</v>
      </c>
      <c r="B184" s="3" t="s">
        <v>580</v>
      </c>
      <c r="C184" t="s">
        <v>580</v>
      </c>
      <c r="D184" s="3" t="s">
        <v>7319</v>
      </c>
      <c r="E184" t="s">
        <v>596</v>
      </c>
      <c r="F184" s="3" t="s">
        <v>597</v>
      </c>
      <c r="G184" s="10">
        <v>0</v>
      </c>
      <c r="H184" s="3" t="s">
        <v>19</v>
      </c>
      <c r="I184" t="s">
        <v>585</v>
      </c>
      <c r="J184" s="3" t="s">
        <v>451</v>
      </c>
      <c r="K184" t="s">
        <v>5891</v>
      </c>
      <c r="L184" s="3" t="s">
        <v>5895</v>
      </c>
      <c r="M184" t="s">
        <v>5902</v>
      </c>
      <c r="N184" s="8">
        <v>2.1101999999999999E-2</v>
      </c>
    </row>
    <row r="185" spans="1:14" hidden="1" x14ac:dyDescent="0.55000000000000004">
      <c r="A185" s="3" t="s">
        <v>335</v>
      </c>
      <c r="B185" s="3" t="s">
        <v>580</v>
      </c>
      <c r="C185" t="s">
        <v>580</v>
      </c>
      <c r="D185" s="3" t="s">
        <v>7319</v>
      </c>
      <c r="E185" t="s">
        <v>596</v>
      </c>
      <c r="F185" s="3" t="s">
        <v>597</v>
      </c>
      <c r="G185" s="10">
        <v>0</v>
      </c>
      <c r="H185" s="3" t="s">
        <v>24</v>
      </c>
      <c r="I185" t="s">
        <v>590</v>
      </c>
      <c r="J185" s="3" t="s">
        <v>76</v>
      </c>
      <c r="K185" t="s">
        <v>5841</v>
      </c>
      <c r="L185" s="3" t="s">
        <v>5840</v>
      </c>
      <c r="M185" t="s">
        <v>5899</v>
      </c>
      <c r="N185" s="8">
        <v>0.29749999999999999</v>
      </c>
    </row>
    <row r="186" spans="1:14" hidden="1" x14ac:dyDescent="0.55000000000000004">
      <c r="A186" s="3" t="s">
        <v>335</v>
      </c>
      <c r="B186" s="3" t="s">
        <v>598</v>
      </c>
      <c r="C186" t="s">
        <v>598</v>
      </c>
      <c r="D186" s="3" t="s">
        <v>7319</v>
      </c>
      <c r="E186" t="s">
        <v>599</v>
      </c>
      <c r="F186" s="3" t="s">
        <v>600</v>
      </c>
      <c r="G186" s="10">
        <v>0</v>
      </c>
      <c r="H186" s="3" t="s">
        <v>19</v>
      </c>
      <c r="I186" t="s">
        <v>603</v>
      </c>
      <c r="J186" s="3" t="s">
        <v>403</v>
      </c>
      <c r="K186" t="s">
        <v>5884</v>
      </c>
      <c r="L186" s="3" t="s">
        <v>5888</v>
      </c>
      <c r="M186" t="s">
        <v>5904</v>
      </c>
      <c r="N186" s="8">
        <v>7.3949999999999997E-3</v>
      </c>
    </row>
    <row r="187" spans="1:14" hidden="1" x14ac:dyDescent="0.55000000000000004">
      <c r="A187" s="3" t="s">
        <v>335</v>
      </c>
      <c r="B187" s="3" t="s">
        <v>598</v>
      </c>
      <c r="C187" t="s">
        <v>598</v>
      </c>
      <c r="D187" s="3" t="s">
        <v>7319</v>
      </c>
      <c r="E187" t="s">
        <v>599</v>
      </c>
      <c r="F187" s="3" t="s">
        <v>600</v>
      </c>
      <c r="G187" s="10">
        <v>0</v>
      </c>
      <c r="H187" s="3" t="s">
        <v>19</v>
      </c>
      <c r="I187" t="s">
        <v>603</v>
      </c>
      <c r="J187" s="3" t="s">
        <v>403</v>
      </c>
      <c r="K187" t="s">
        <v>5884</v>
      </c>
      <c r="L187" s="3" t="s">
        <v>5890</v>
      </c>
      <c r="M187" t="s">
        <v>5904</v>
      </c>
      <c r="N187" s="8">
        <v>7.3949999999999997E-3</v>
      </c>
    </row>
    <row r="188" spans="1:14" hidden="1" x14ac:dyDescent="0.55000000000000004">
      <c r="A188" s="3" t="s">
        <v>335</v>
      </c>
      <c r="B188" s="3" t="s">
        <v>598</v>
      </c>
      <c r="C188" t="s">
        <v>598</v>
      </c>
      <c r="D188" s="3" t="s">
        <v>7319</v>
      </c>
      <c r="E188" t="s">
        <v>599</v>
      </c>
      <c r="F188" s="3" t="s">
        <v>600</v>
      </c>
      <c r="G188" s="10">
        <v>0</v>
      </c>
      <c r="H188" s="3" t="s">
        <v>24</v>
      </c>
      <c r="I188" t="s">
        <v>606</v>
      </c>
      <c r="J188" s="3" t="s">
        <v>76</v>
      </c>
      <c r="K188" t="s">
        <v>5841</v>
      </c>
      <c r="L188" s="3" t="s">
        <v>5877</v>
      </c>
      <c r="M188" t="s">
        <v>23</v>
      </c>
      <c r="N188" s="8">
        <v>0.29816700000000002</v>
      </c>
    </row>
    <row r="189" spans="1:14" hidden="1" x14ac:dyDescent="0.55000000000000004">
      <c r="A189" s="3" t="s">
        <v>335</v>
      </c>
      <c r="B189" s="3" t="s">
        <v>598</v>
      </c>
      <c r="C189" t="s">
        <v>598</v>
      </c>
      <c r="D189" s="3" t="s">
        <v>7319</v>
      </c>
      <c r="E189" t="s">
        <v>599</v>
      </c>
      <c r="F189" s="3" t="s">
        <v>600</v>
      </c>
      <c r="G189" s="10">
        <v>0</v>
      </c>
      <c r="H189" s="3" t="s">
        <v>24</v>
      </c>
      <c r="I189" t="s">
        <v>606</v>
      </c>
      <c r="J189" s="3" t="s">
        <v>76</v>
      </c>
      <c r="K189" t="s">
        <v>5841</v>
      </c>
      <c r="L189" s="3" t="s">
        <v>5878</v>
      </c>
      <c r="M189" t="s">
        <v>23</v>
      </c>
      <c r="N189" s="8">
        <v>0.29816700000000002</v>
      </c>
    </row>
    <row r="190" spans="1:14" hidden="1" x14ac:dyDescent="0.55000000000000004">
      <c r="A190" s="3" t="s">
        <v>335</v>
      </c>
      <c r="B190" s="3" t="s">
        <v>598</v>
      </c>
      <c r="C190" t="s">
        <v>598</v>
      </c>
      <c r="D190" s="3" t="s">
        <v>7319</v>
      </c>
      <c r="E190" t="s">
        <v>607</v>
      </c>
      <c r="F190" s="3" t="s">
        <v>608</v>
      </c>
      <c r="G190" s="10">
        <v>0</v>
      </c>
      <c r="H190" s="3" t="s">
        <v>19</v>
      </c>
      <c r="I190" t="s">
        <v>603</v>
      </c>
      <c r="J190" s="3" t="s">
        <v>403</v>
      </c>
      <c r="K190" t="s">
        <v>5884</v>
      </c>
      <c r="L190" s="3" t="s">
        <v>5888</v>
      </c>
      <c r="M190" t="s">
        <v>5904</v>
      </c>
      <c r="N190" s="8">
        <v>7.3949999999999997E-3</v>
      </c>
    </row>
    <row r="191" spans="1:14" hidden="1" x14ac:dyDescent="0.55000000000000004">
      <c r="A191" s="3" t="s">
        <v>335</v>
      </c>
      <c r="B191" s="3" t="s">
        <v>598</v>
      </c>
      <c r="C191" t="s">
        <v>598</v>
      </c>
      <c r="D191" s="3" t="s">
        <v>7319</v>
      </c>
      <c r="E191" t="s">
        <v>607</v>
      </c>
      <c r="F191" s="3" t="s">
        <v>608</v>
      </c>
      <c r="G191" s="10">
        <v>0</v>
      </c>
      <c r="H191" s="3" t="s">
        <v>19</v>
      </c>
      <c r="I191" t="s">
        <v>603</v>
      </c>
      <c r="J191" s="3" t="s">
        <v>403</v>
      </c>
      <c r="K191" t="s">
        <v>5884</v>
      </c>
      <c r="L191" s="3" t="s">
        <v>5890</v>
      </c>
      <c r="M191" t="s">
        <v>5904</v>
      </c>
      <c r="N191" s="8">
        <v>7.3949999999999997E-3</v>
      </c>
    </row>
    <row r="192" spans="1:14" hidden="1" x14ac:dyDescent="0.55000000000000004">
      <c r="A192" s="3" t="s">
        <v>335</v>
      </c>
      <c r="B192" s="3" t="s">
        <v>598</v>
      </c>
      <c r="C192" t="s">
        <v>598</v>
      </c>
      <c r="D192" s="3" t="s">
        <v>7319</v>
      </c>
      <c r="E192" t="s">
        <v>607</v>
      </c>
      <c r="F192" s="3" t="s">
        <v>608</v>
      </c>
      <c r="G192" s="10">
        <v>0</v>
      </c>
      <c r="H192" s="3" t="s">
        <v>24</v>
      </c>
      <c r="I192" t="s">
        <v>606</v>
      </c>
      <c r="J192" s="3" t="s">
        <v>76</v>
      </c>
      <c r="K192" t="s">
        <v>5841</v>
      </c>
      <c r="L192" s="3" t="s">
        <v>5877</v>
      </c>
      <c r="M192" t="s">
        <v>23</v>
      </c>
      <c r="N192" s="8">
        <v>0.29816700000000002</v>
      </c>
    </row>
    <row r="193" spans="1:14" hidden="1" x14ac:dyDescent="0.55000000000000004">
      <c r="A193" s="3" t="s">
        <v>335</v>
      </c>
      <c r="B193" s="3" t="s">
        <v>598</v>
      </c>
      <c r="C193" t="s">
        <v>598</v>
      </c>
      <c r="D193" s="3" t="s">
        <v>7319</v>
      </c>
      <c r="E193" t="s">
        <v>607</v>
      </c>
      <c r="F193" s="3" t="s">
        <v>608</v>
      </c>
      <c r="G193" s="10">
        <v>0</v>
      </c>
      <c r="H193" s="3" t="s">
        <v>24</v>
      </c>
      <c r="I193" t="s">
        <v>606</v>
      </c>
      <c r="J193" s="3" t="s">
        <v>76</v>
      </c>
      <c r="K193" t="s">
        <v>5841</v>
      </c>
      <c r="L193" s="3" t="s">
        <v>5878</v>
      </c>
      <c r="M193" t="s">
        <v>23</v>
      </c>
      <c r="N193" s="8">
        <v>0.29816700000000002</v>
      </c>
    </row>
    <row r="194" spans="1:14" hidden="1" x14ac:dyDescent="0.55000000000000004">
      <c r="A194" s="3" t="s">
        <v>335</v>
      </c>
      <c r="B194" s="3" t="s">
        <v>598</v>
      </c>
      <c r="C194" t="s">
        <v>598</v>
      </c>
      <c r="D194" s="3" t="s">
        <v>7319</v>
      </c>
      <c r="E194" t="s">
        <v>609</v>
      </c>
      <c r="F194" s="3" t="s">
        <v>610</v>
      </c>
      <c r="G194" s="10">
        <v>0</v>
      </c>
      <c r="H194" s="3" t="s">
        <v>19</v>
      </c>
      <c r="I194" t="s">
        <v>603</v>
      </c>
      <c r="J194" s="3" t="s">
        <v>403</v>
      </c>
      <c r="K194" t="s">
        <v>5884</v>
      </c>
      <c r="L194" s="3" t="s">
        <v>5888</v>
      </c>
      <c r="M194" t="s">
        <v>5904</v>
      </c>
      <c r="N194" s="8">
        <v>7.3949999999999997E-3</v>
      </c>
    </row>
    <row r="195" spans="1:14" hidden="1" x14ac:dyDescent="0.55000000000000004">
      <c r="A195" s="3" t="s">
        <v>335</v>
      </c>
      <c r="B195" s="3" t="s">
        <v>598</v>
      </c>
      <c r="C195" t="s">
        <v>598</v>
      </c>
      <c r="D195" s="3" t="s">
        <v>7319</v>
      </c>
      <c r="E195" t="s">
        <v>609</v>
      </c>
      <c r="F195" s="3" t="s">
        <v>610</v>
      </c>
      <c r="G195" s="10">
        <v>0</v>
      </c>
      <c r="H195" s="3" t="s">
        <v>19</v>
      </c>
      <c r="I195" t="s">
        <v>603</v>
      </c>
      <c r="J195" s="3" t="s">
        <v>403</v>
      </c>
      <c r="K195" t="s">
        <v>5884</v>
      </c>
      <c r="L195" s="3" t="s">
        <v>5890</v>
      </c>
      <c r="M195" t="s">
        <v>5904</v>
      </c>
      <c r="N195" s="8">
        <v>7.3949999999999997E-3</v>
      </c>
    </row>
    <row r="196" spans="1:14" hidden="1" x14ac:dyDescent="0.55000000000000004">
      <c r="A196" s="3" t="s">
        <v>335</v>
      </c>
      <c r="B196" s="3" t="s">
        <v>598</v>
      </c>
      <c r="C196" t="s">
        <v>598</v>
      </c>
      <c r="D196" s="3" t="s">
        <v>7319</v>
      </c>
      <c r="E196" t="s">
        <v>609</v>
      </c>
      <c r="F196" s="3" t="s">
        <v>610</v>
      </c>
      <c r="G196" s="10">
        <v>0</v>
      </c>
      <c r="H196" s="3" t="s">
        <v>24</v>
      </c>
      <c r="I196" t="s">
        <v>606</v>
      </c>
      <c r="J196" s="3" t="s">
        <v>76</v>
      </c>
      <c r="K196" t="s">
        <v>5841</v>
      </c>
      <c r="L196" s="3" t="s">
        <v>5877</v>
      </c>
      <c r="M196" t="s">
        <v>23</v>
      </c>
      <c r="N196" s="8">
        <v>0.29816700000000002</v>
      </c>
    </row>
    <row r="197" spans="1:14" hidden="1" x14ac:dyDescent="0.55000000000000004">
      <c r="A197" s="3" t="s">
        <v>335</v>
      </c>
      <c r="B197" s="3" t="s">
        <v>598</v>
      </c>
      <c r="C197" t="s">
        <v>598</v>
      </c>
      <c r="D197" s="3" t="s">
        <v>7319</v>
      </c>
      <c r="E197" t="s">
        <v>609</v>
      </c>
      <c r="F197" s="3" t="s">
        <v>610</v>
      </c>
      <c r="G197" s="10">
        <v>0</v>
      </c>
      <c r="H197" s="3" t="s">
        <v>24</v>
      </c>
      <c r="I197" t="s">
        <v>606</v>
      </c>
      <c r="J197" s="3" t="s">
        <v>76</v>
      </c>
      <c r="K197" t="s">
        <v>5841</v>
      </c>
      <c r="L197" s="3" t="s">
        <v>5878</v>
      </c>
      <c r="M197" t="s">
        <v>23</v>
      </c>
      <c r="N197" s="8">
        <v>0.29816700000000002</v>
      </c>
    </row>
    <row r="198" spans="1:14" hidden="1" x14ac:dyDescent="0.55000000000000004">
      <c r="A198" s="3" t="s">
        <v>335</v>
      </c>
      <c r="B198" s="3" t="s">
        <v>611</v>
      </c>
      <c r="C198" t="s">
        <v>337</v>
      </c>
      <c r="D198" s="3" t="s">
        <v>7319</v>
      </c>
      <c r="E198" t="s">
        <v>612</v>
      </c>
      <c r="F198" s="3" t="s">
        <v>613</v>
      </c>
      <c r="G198" s="10">
        <v>0</v>
      </c>
      <c r="H198" s="3" t="s">
        <v>24</v>
      </c>
      <c r="I198" t="s">
        <v>616</v>
      </c>
      <c r="J198" s="3" t="s">
        <v>76</v>
      </c>
      <c r="K198" t="s">
        <v>5841</v>
      </c>
      <c r="L198" s="3" t="s">
        <v>5840</v>
      </c>
      <c r="M198" t="s">
        <v>23</v>
      </c>
      <c r="N198" s="8">
        <v>0.29416700000000001</v>
      </c>
    </row>
    <row r="199" spans="1:14" hidden="1" x14ac:dyDescent="0.55000000000000004">
      <c r="A199" s="3" t="s">
        <v>335</v>
      </c>
      <c r="B199" s="3" t="s">
        <v>617</v>
      </c>
      <c r="C199" t="s">
        <v>337</v>
      </c>
      <c r="D199" s="3" t="s">
        <v>7319</v>
      </c>
      <c r="E199" t="s">
        <v>618</v>
      </c>
      <c r="F199" s="3" t="s">
        <v>619</v>
      </c>
      <c r="G199" s="10">
        <v>0</v>
      </c>
      <c r="H199" s="3" t="s">
        <v>24</v>
      </c>
      <c r="I199" t="s">
        <v>622</v>
      </c>
      <c r="J199" s="3" t="s">
        <v>55</v>
      </c>
      <c r="K199" t="s">
        <v>23</v>
      </c>
      <c r="L199" s="3" t="s">
        <v>5839</v>
      </c>
      <c r="M199" t="s">
        <v>23</v>
      </c>
      <c r="N199" s="8">
        <v>0.29572500000000002</v>
      </c>
    </row>
    <row r="200" spans="1:14" hidden="1" x14ac:dyDescent="0.55000000000000004">
      <c r="A200" s="3" t="s">
        <v>335</v>
      </c>
      <c r="B200" s="3" t="s">
        <v>626</v>
      </c>
      <c r="C200" t="s">
        <v>626</v>
      </c>
      <c r="D200" s="3" t="s">
        <v>7319</v>
      </c>
      <c r="E200" t="s">
        <v>627</v>
      </c>
      <c r="F200" s="3" t="s">
        <v>628</v>
      </c>
      <c r="G200" s="10">
        <v>1</v>
      </c>
      <c r="H200" s="3" t="s">
        <v>19</v>
      </c>
      <c r="I200" t="s">
        <v>631</v>
      </c>
      <c r="J200" s="3" t="s">
        <v>403</v>
      </c>
      <c r="K200" t="s">
        <v>5884</v>
      </c>
      <c r="L200" s="3" t="s">
        <v>5888</v>
      </c>
      <c r="M200" t="s">
        <v>5905</v>
      </c>
      <c r="N200" s="8">
        <v>9.3329999999999993E-3</v>
      </c>
    </row>
    <row r="201" spans="1:14" hidden="1" x14ac:dyDescent="0.55000000000000004">
      <c r="A201" s="3" t="s">
        <v>335</v>
      </c>
      <c r="B201" s="3" t="s">
        <v>626</v>
      </c>
      <c r="C201" t="s">
        <v>626</v>
      </c>
      <c r="D201" s="3" t="s">
        <v>7319</v>
      </c>
      <c r="E201" t="s">
        <v>627</v>
      </c>
      <c r="F201" s="3" t="s">
        <v>628</v>
      </c>
      <c r="G201" s="10">
        <v>1</v>
      </c>
      <c r="H201" s="3" t="s">
        <v>19</v>
      </c>
      <c r="I201" t="s">
        <v>631</v>
      </c>
      <c r="J201" s="3" t="s">
        <v>403</v>
      </c>
      <c r="K201" t="s">
        <v>5884</v>
      </c>
      <c r="L201" s="3" t="s">
        <v>5890</v>
      </c>
      <c r="M201" t="s">
        <v>5905</v>
      </c>
      <c r="N201" s="8">
        <v>9.3329999999999993E-3</v>
      </c>
    </row>
    <row r="202" spans="1:14" hidden="1" x14ac:dyDescent="0.55000000000000004">
      <c r="A202" s="3" t="s">
        <v>335</v>
      </c>
      <c r="B202" s="3" t="s">
        <v>626</v>
      </c>
      <c r="C202" t="s">
        <v>626</v>
      </c>
      <c r="D202" s="3" t="s">
        <v>7319</v>
      </c>
      <c r="E202" t="s">
        <v>627</v>
      </c>
      <c r="F202" s="3" t="s">
        <v>628</v>
      </c>
      <c r="G202" s="10">
        <v>1</v>
      </c>
      <c r="H202" s="3" t="s">
        <v>24</v>
      </c>
      <c r="I202" t="s">
        <v>634</v>
      </c>
      <c r="J202" s="3" t="s">
        <v>55</v>
      </c>
      <c r="K202" t="s">
        <v>23</v>
      </c>
      <c r="L202" s="3" t="s">
        <v>5839</v>
      </c>
      <c r="M202" t="s">
        <v>23</v>
      </c>
      <c r="N202" s="8">
        <v>0.29638500000000001</v>
      </c>
    </row>
    <row r="203" spans="1:14" hidden="1" x14ac:dyDescent="0.55000000000000004">
      <c r="A203" s="3" t="s">
        <v>335</v>
      </c>
      <c r="B203" s="3" t="s">
        <v>626</v>
      </c>
      <c r="C203" t="s">
        <v>626</v>
      </c>
      <c r="D203" s="3" t="s">
        <v>7319</v>
      </c>
      <c r="E203" t="s">
        <v>638</v>
      </c>
      <c r="F203" s="3" t="s">
        <v>639</v>
      </c>
      <c r="G203" s="10">
        <v>0</v>
      </c>
      <c r="H203" s="3" t="s">
        <v>19</v>
      </c>
      <c r="I203" t="s">
        <v>631</v>
      </c>
      <c r="J203" s="3" t="s">
        <v>403</v>
      </c>
      <c r="K203" t="s">
        <v>5884</v>
      </c>
      <c r="L203" s="3" t="s">
        <v>5888</v>
      </c>
      <c r="M203" t="s">
        <v>5905</v>
      </c>
      <c r="N203" s="8">
        <v>9.3329999999999993E-3</v>
      </c>
    </row>
    <row r="204" spans="1:14" hidden="1" x14ac:dyDescent="0.55000000000000004">
      <c r="A204" s="3" t="s">
        <v>335</v>
      </c>
      <c r="B204" s="3" t="s">
        <v>626</v>
      </c>
      <c r="C204" t="s">
        <v>626</v>
      </c>
      <c r="D204" s="3" t="s">
        <v>7319</v>
      </c>
      <c r="E204" t="s">
        <v>638</v>
      </c>
      <c r="F204" s="3" t="s">
        <v>639</v>
      </c>
      <c r="G204" s="10">
        <v>0</v>
      </c>
      <c r="H204" s="3" t="s">
        <v>19</v>
      </c>
      <c r="I204" t="s">
        <v>631</v>
      </c>
      <c r="J204" s="3" t="s">
        <v>403</v>
      </c>
      <c r="K204" t="s">
        <v>5884</v>
      </c>
      <c r="L204" s="3" t="s">
        <v>5890</v>
      </c>
      <c r="M204" t="s">
        <v>5905</v>
      </c>
      <c r="N204" s="8">
        <v>9.3329999999999993E-3</v>
      </c>
    </row>
    <row r="205" spans="1:14" hidden="1" x14ac:dyDescent="0.55000000000000004">
      <c r="A205" s="3" t="s">
        <v>335</v>
      </c>
      <c r="B205" s="3" t="s">
        <v>626</v>
      </c>
      <c r="C205" t="s">
        <v>626</v>
      </c>
      <c r="D205" s="3" t="s">
        <v>7319</v>
      </c>
      <c r="E205" t="s">
        <v>638</v>
      </c>
      <c r="F205" s="3" t="s">
        <v>639</v>
      </c>
      <c r="G205" s="10">
        <v>0</v>
      </c>
      <c r="H205" s="3" t="s">
        <v>24</v>
      </c>
      <c r="I205" t="s">
        <v>634</v>
      </c>
      <c r="J205" s="3" t="s">
        <v>55</v>
      </c>
      <c r="K205" t="s">
        <v>23</v>
      </c>
      <c r="L205" s="3" t="s">
        <v>5839</v>
      </c>
      <c r="M205" t="s">
        <v>23</v>
      </c>
      <c r="N205" s="8">
        <v>0.29638500000000001</v>
      </c>
    </row>
    <row r="206" spans="1:14" hidden="1" x14ac:dyDescent="0.55000000000000004">
      <c r="A206" s="3" t="s">
        <v>335</v>
      </c>
      <c r="B206" s="3" t="s">
        <v>626</v>
      </c>
      <c r="C206" t="s">
        <v>626</v>
      </c>
      <c r="D206" s="3" t="s">
        <v>7319</v>
      </c>
      <c r="E206" t="s">
        <v>640</v>
      </c>
      <c r="F206" s="3" t="s">
        <v>641</v>
      </c>
      <c r="G206" s="10">
        <v>0</v>
      </c>
      <c r="H206" s="3" t="s">
        <v>19</v>
      </c>
      <c r="I206" t="s">
        <v>631</v>
      </c>
      <c r="J206" s="3" t="s">
        <v>403</v>
      </c>
      <c r="K206" t="s">
        <v>5884</v>
      </c>
      <c r="L206" s="3" t="s">
        <v>5888</v>
      </c>
      <c r="M206" t="s">
        <v>5905</v>
      </c>
      <c r="N206" s="8">
        <v>9.3329999999999993E-3</v>
      </c>
    </row>
    <row r="207" spans="1:14" hidden="1" x14ac:dyDescent="0.55000000000000004">
      <c r="A207" s="3" t="s">
        <v>335</v>
      </c>
      <c r="B207" s="3" t="s">
        <v>626</v>
      </c>
      <c r="C207" t="s">
        <v>626</v>
      </c>
      <c r="D207" s="3" t="s">
        <v>7319</v>
      </c>
      <c r="E207" t="s">
        <v>640</v>
      </c>
      <c r="F207" s="3" t="s">
        <v>641</v>
      </c>
      <c r="G207" s="10">
        <v>0</v>
      </c>
      <c r="H207" s="3" t="s">
        <v>19</v>
      </c>
      <c r="I207" t="s">
        <v>631</v>
      </c>
      <c r="J207" s="3" t="s">
        <v>403</v>
      </c>
      <c r="K207" t="s">
        <v>5884</v>
      </c>
      <c r="L207" s="3" t="s">
        <v>5890</v>
      </c>
      <c r="M207" t="s">
        <v>5905</v>
      </c>
      <c r="N207" s="8">
        <v>9.3329999999999993E-3</v>
      </c>
    </row>
    <row r="208" spans="1:14" hidden="1" x14ac:dyDescent="0.55000000000000004">
      <c r="A208" s="3" t="s">
        <v>335</v>
      </c>
      <c r="B208" s="3" t="s">
        <v>626</v>
      </c>
      <c r="C208" t="s">
        <v>626</v>
      </c>
      <c r="D208" s="3" t="s">
        <v>7319</v>
      </c>
      <c r="E208" t="s">
        <v>640</v>
      </c>
      <c r="F208" s="3" t="s">
        <v>641</v>
      </c>
      <c r="G208" s="10">
        <v>0</v>
      </c>
      <c r="H208" s="3" t="s">
        <v>24</v>
      </c>
      <c r="I208" t="s">
        <v>634</v>
      </c>
      <c r="J208" s="3" t="s">
        <v>55</v>
      </c>
      <c r="K208" t="s">
        <v>23</v>
      </c>
      <c r="L208" s="3" t="s">
        <v>5839</v>
      </c>
      <c r="M208" t="s">
        <v>23</v>
      </c>
      <c r="N208" s="8">
        <v>0.29638500000000001</v>
      </c>
    </row>
    <row r="209" spans="1:14" hidden="1" x14ac:dyDescent="0.55000000000000004">
      <c r="A209" s="3" t="s">
        <v>335</v>
      </c>
      <c r="B209" s="3" t="s">
        <v>626</v>
      </c>
      <c r="C209" t="s">
        <v>626</v>
      </c>
      <c r="D209" s="3" t="s">
        <v>7319</v>
      </c>
      <c r="E209" t="s">
        <v>642</v>
      </c>
      <c r="F209" s="3" t="s">
        <v>643</v>
      </c>
      <c r="G209" s="10">
        <v>0</v>
      </c>
      <c r="H209" s="3" t="s">
        <v>19</v>
      </c>
      <c r="I209" t="s">
        <v>631</v>
      </c>
      <c r="J209" s="3" t="s">
        <v>403</v>
      </c>
      <c r="K209" t="s">
        <v>5884</v>
      </c>
      <c r="L209" s="3" t="s">
        <v>5888</v>
      </c>
      <c r="M209" t="s">
        <v>5905</v>
      </c>
      <c r="N209" s="8">
        <v>9.3329999999999993E-3</v>
      </c>
    </row>
    <row r="210" spans="1:14" hidden="1" x14ac:dyDescent="0.55000000000000004">
      <c r="A210" s="3" t="s">
        <v>335</v>
      </c>
      <c r="B210" s="3" t="s">
        <v>626</v>
      </c>
      <c r="C210" t="s">
        <v>626</v>
      </c>
      <c r="D210" s="3" t="s">
        <v>7319</v>
      </c>
      <c r="E210" t="s">
        <v>642</v>
      </c>
      <c r="F210" s="3" t="s">
        <v>643</v>
      </c>
      <c r="G210" s="10">
        <v>0</v>
      </c>
      <c r="H210" s="3" t="s">
        <v>19</v>
      </c>
      <c r="I210" t="s">
        <v>631</v>
      </c>
      <c r="J210" s="3" t="s">
        <v>403</v>
      </c>
      <c r="K210" t="s">
        <v>5884</v>
      </c>
      <c r="L210" s="3" t="s">
        <v>5890</v>
      </c>
      <c r="M210" t="s">
        <v>5905</v>
      </c>
      <c r="N210" s="8">
        <v>9.3329999999999993E-3</v>
      </c>
    </row>
    <row r="211" spans="1:14" hidden="1" x14ac:dyDescent="0.55000000000000004">
      <c r="A211" s="3" t="s">
        <v>335</v>
      </c>
      <c r="B211" s="3" t="s">
        <v>626</v>
      </c>
      <c r="C211" t="s">
        <v>626</v>
      </c>
      <c r="D211" s="3" t="s">
        <v>7319</v>
      </c>
      <c r="E211" t="s">
        <v>642</v>
      </c>
      <c r="F211" s="3" t="s">
        <v>643</v>
      </c>
      <c r="G211" s="10">
        <v>0</v>
      </c>
      <c r="H211" s="3" t="s">
        <v>24</v>
      </c>
      <c r="I211" t="s">
        <v>634</v>
      </c>
      <c r="J211" s="3" t="s">
        <v>55</v>
      </c>
      <c r="K211" t="s">
        <v>23</v>
      </c>
      <c r="L211" s="3" t="s">
        <v>5839</v>
      </c>
      <c r="M211" t="s">
        <v>23</v>
      </c>
      <c r="N211" s="8">
        <v>0.29638500000000001</v>
      </c>
    </row>
    <row r="212" spans="1:14" hidden="1" x14ac:dyDescent="0.55000000000000004">
      <c r="A212" s="3" t="s">
        <v>335</v>
      </c>
      <c r="B212" s="3" t="s">
        <v>7324</v>
      </c>
      <c r="C212" t="s">
        <v>626</v>
      </c>
      <c r="D212" s="3" t="s">
        <v>7319</v>
      </c>
      <c r="E212" t="s">
        <v>644</v>
      </c>
      <c r="F212" s="3" t="s">
        <v>645</v>
      </c>
      <c r="G212" s="10">
        <v>0</v>
      </c>
      <c r="H212" s="3" t="s">
        <v>24</v>
      </c>
      <c r="I212" t="s">
        <v>648</v>
      </c>
      <c r="J212" s="3" t="s">
        <v>76</v>
      </c>
      <c r="K212" t="s">
        <v>5841</v>
      </c>
      <c r="L212" s="3" t="s">
        <v>5840</v>
      </c>
      <c r="M212" t="s">
        <v>23</v>
      </c>
      <c r="N212" s="8">
        <v>0.27083299999999999</v>
      </c>
    </row>
    <row r="213" spans="1:14" hidden="1" x14ac:dyDescent="0.55000000000000004">
      <c r="A213" s="3" t="s">
        <v>335</v>
      </c>
      <c r="B213" s="3" t="s">
        <v>649</v>
      </c>
      <c r="C213" t="s">
        <v>337</v>
      </c>
      <c r="D213" s="3" t="s">
        <v>7319</v>
      </c>
      <c r="E213" t="s">
        <v>650</v>
      </c>
      <c r="F213" s="3" t="s">
        <v>651</v>
      </c>
      <c r="G213" s="10">
        <v>1</v>
      </c>
      <c r="H213" s="3" t="s">
        <v>19</v>
      </c>
      <c r="I213" t="s">
        <v>655</v>
      </c>
      <c r="J213" s="3" t="s">
        <v>656</v>
      </c>
      <c r="K213" t="s">
        <v>5906</v>
      </c>
      <c r="L213" s="3" t="s">
        <v>5907</v>
      </c>
      <c r="M213" t="s">
        <v>5908</v>
      </c>
      <c r="N213" s="8">
        <v>1.5211000000000001E-2</v>
      </c>
    </row>
    <row r="214" spans="1:14" hidden="1" x14ac:dyDescent="0.55000000000000004">
      <c r="A214" s="3" t="s">
        <v>335</v>
      </c>
      <c r="B214" s="3" t="s">
        <v>649</v>
      </c>
      <c r="C214" t="s">
        <v>337</v>
      </c>
      <c r="D214" s="3" t="s">
        <v>7319</v>
      </c>
      <c r="E214" t="s">
        <v>650</v>
      </c>
      <c r="F214" s="3" t="s">
        <v>651</v>
      </c>
      <c r="G214" s="10">
        <v>1</v>
      </c>
      <c r="H214" s="3" t="s">
        <v>24</v>
      </c>
      <c r="I214" t="s">
        <v>659</v>
      </c>
      <c r="J214" s="3" t="s">
        <v>76</v>
      </c>
      <c r="K214" t="s">
        <v>5841</v>
      </c>
      <c r="L214" s="3" t="s">
        <v>5840</v>
      </c>
      <c r="M214" t="s">
        <v>23</v>
      </c>
      <c r="N214" s="8">
        <v>0.29416700000000001</v>
      </c>
    </row>
    <row r="215" spans="1:14" hidden="1" x14ac:dyDescent="0.55000000000000004">
      <c r="A215" s="3" t="s">
        <v>335</v>
      </c>
      <c r="B215" s="3" t="s">
        <v>649</v>
      </c>
      <c r="C215" t="s">
        <v>337</v>
      </c>
      <c r="D215" s="3" t="s">
        <v>7319</v>
      </c>
      <c r="E215" t="s">
        <v>660</v>
      </c>
      <c r="F215" s="3" t="s">
        <v>661</v>
      </c>
      <c r="G215" s="10">
        <v>0</v>
      </c>
      <c r="H215" s="3" t="s">
        <v>24</v>
      </c>
      <c r="I215" t="s">
        <v>659</v>
      </c>
      <c r="J215" s="3" t="s">
        <v>76</v>
      </c>
      <c r="K215" t="s">
        <v>5841</v>
      </c>
      <c r="L215" s="3" t="s">
        <v>5840</v>
      </c>
      <c r="M215" t="s">
        <v>23</v>
      </c>
      <c r="N215" s="8">
        <v>0.29416700000000001</v>
      </c>
    </row>
    <row r="216" spans="1:14" hidden="1" x14ac:dyDescent="0.55000000000000004">
      <c r="A216" s="3" t="s">
        <v>335</v>
      </c>
      <c r="B216" s="3" t="s">
        <v>662</v>
      </c>
      <c r="C216" t="s">
        <v>337</v>
      </c>
      <c r="D216" s="3" t="s">
        <v>7319</v>
      </c>
      <c r="E216" t="s">
        <v>663</v>
      </c>
      <c r="F216" s="3" t="s">
        <v>664</v>
      </c>
      <c r="G216" s="10">
        <v>0</v>
      </c>
      <c r="H216" s="3" t="s">
        <v>24</v>
      </c>
      <c r="I216" t="s">
        <v>667</v>
      </c>
      <c r="J216" s="3" t="s">
        <v>55</v>
      </c>
      <c r="K216" t="s">
        <v>23</v>
      </c>
      <c r="L216" s="3" t="s">
        <v>5839</v>
      </c>
      <c r="M216" t="s">
        <v>23</v>
      </c>
      <c r="N216" s="8">
        <v>0.29571900000000001</v>
      </c>
    </row>
    <row r="217" spans="1:14" hidden="1" x14ac:dyDescent="0.55000000000000004">
      <c r="A217" s="3" t="s">
        <v>335</v>
      </c>
      <c r="B217" s="3" t="s">
        <v>7321</v>
      </c>
      <c r="C217" t="s">
        <v>337</v>
      </c>
      <c r="D217" s="3" t="s">
        <v>7319</v>
      </c>
      <c r="E217" t="s">
        <v>672</v>
      </c>
      <c r="F217" s="3" t="s">
        <v>673</v>
      </c>
      <c r="G217" s="10">
        <v>0</v>
      </c>
      <c r="H217" s="3" t="s">
        <v>24</v>
      </c>
      <c r="I217" t="s">
        <v>424</v>
      </c>
      <c r="J217" s="3" t="s">
        <v>55</v>
      </c>
      <c r="K217" t="s">
        <v>23</v>
      </c>
      <c r="L217" s="3" t="s">
        <v>5839</v>
      </c>
      <c r="M217" t="s">
        <v>23</v>
      </c>
      <c r="N217" s="8">
        <v>0.29584100000000002</v>
      </c>
    </row>
    <row r="218" spans="1:14" hidden="1" x14ac:dyDescent="0.55000000000000004">
      <c r="A218" s="3" t="s">
        <v>335</v>
      </c>
      <c r="B218" s="3" t="s">
        <v>671</v>
      </c>
      <c r="C218" t="s">
        <v>337</v>
      </c>
      <c r="D218" s="3" t="s">
        <v>7319</v>
      </c>
      <c r="E218" t="s">
        <v>674</v>
      </c>
      <c r="F218" s="3" t="s">
        <v>675</v>
      </c>
      <c r="G218" s="10">
        <v>0</v>
      </c>
      <c r="H218" s="3" t="s">
        <v>24</v>
      </c>
      <c r="I218" t="s">
        <v>424</v>
      </c>
      <c r="J218" s="3" t="s">
        <v>55</v>
      </c>
      <c r="K218" t="s">
        <v>23</v>
      </c>
      <c r="L218" s="3" t="s">
        <v>5839</v>
      </c>
      <c r="M218" t="s">
        <v>23</v>
      </c>
      <c r="N218" s="8">
        <v>0.29584100000000002</v>
      </c>
    </row>
    <row r="219" spans="1:14" hidden="1" x14ac:dyDescent="0.55000000000000004">
      <c r="A219" s="3" t="s">
        <v>335</v>
      </c>
      <c r="B219" s="3" t="s">
        <v>671</v>
      </c>
      <c r="C219" t="s">
        <v>337</v>
      </c>
      <c r="D219" s="3" t="s">
        <v>7319</v>
      </c>
      <c r="E219" t="s">
        <v>676</v>
      </c>
      <c r="F219" s="3" t="s">
        <v>677</v>
      </c>
      <c r="G219" s="10">
        <v>0</v>
      </c>
      <c r="H219" s="3" t="s">
        <v>24</v>
      </c>
      <c r="I219" t="s">
        <v>424</v>
      </c>
      <c r="J219" s="3" t="s">
        <v>55</v>
      </c>
      <c r="K219" t="s">
        <v>23</v>
      </c>
      <c r="L219" s="3" t="s">
        <v>5839</v>
      </c>
      <c r="M219" t="s">
        <v>23</v>
      </c>
      <c r="N219" s="8">
        <v>0.29584100000000002</v>
      </c>
    </row>
    <row r="220" spans="1:14" hidden="1" x14ac:dyDescent="0.55000000000000004">
      <c r="A220" s="9" t="s">
        <v>335</v>
      </c>
      <c r="B220" s="3" t="s">
        <v>671</v>
      </c>
      <c r="C220" t="s">
        <v>337</v>
      </c>
      <c r="D220" s="3" t="s">
        <v>7319</v>
      </c>
      <c r="E220" t="s">
        <v>678</v>
      </c>
      <c r="F220" s="3" t="s">
        <v>679</v>
      </c>
      <c r="G220" s="10">
        <v>0</v>
      </c>
      <c r="H220" s="3" t="s">
        <v>24</v>
      </c>
      <c r="I220" t="s">
        <v>424</v>
      </c>
      <c r="J220" s="3" t="s">
        <v>55</v>
      </c>
      <c r="K220" t="s">
        <v>23</v>
      </c>
      <c r="L220" s="3" t="s">
        <v>5839</v>
      </c>
      <c r="M220" t="s">
        <v>23</v>
      </c>
      <c r="N220" s="8">
        <v>0.29584100000000002</v>
      </c>
    </row>
    <row r="221" spans="1:14" hidden="1" x14ac:dyDescent="0.55000000000000004">
      <c r="A221" s="3" t="s">
        <v>680</v>
      </c>
      <c r="B221" s="3" t="s">
        <v>681</v>
      </c>
      <c r="C221" t="s">
        <v>682</v>
      </c>
      <c r="D221" s="3" t="s">
        <v>7326</v>
      </c>
      <c r="E221" t="s">
        <v>683</v>
      </c>
      <c r="F221" s="3" t="s">
        <v>684</v>
      </c>
      <c r="G221" s="10">
        <v>1</v>
      </c>
      <c r="H221" s="3" t="s">
        <v>19</v>
      </c>
      <c r="I221" t="s">
        <v>688</v>
      </c>
      <c r="J221" s="3" t="s">
        <v>689</v>
      </c>
      <c r="K221" t="s">
        <v>5909</v>
      </c>
      <c r="L221" s="3" t="s">
        <v>5910</v>
      </c>
      <c r="M221" t="s">
        <v>5911</v>
      </c>
      <c r="N221" s="8">
        <v>5.5683000000000003E-2</v>
      </c>
    </row>
    <row r="222" spans="1:14" hidden="1" x14ac:dyDescent="0.55000000000000004">
      <c r="A222" s="3" t="s">
        <v>680</v>
      </c>
      <c r="B222" s="3" t="s">
        <v>681</v>
      </c>
      <c r="C222" t="s">
        <v>682</v>
      </c>
      <c r="D222" s="3" t="s">
        <v>7326</v>
      </c>
      <c r="E222" t="s">
        <v>683</v>
      </c>
      <c r="F222" s="3" t="s">
        <v>684</v>
      </c>
      <c r="G222" s="10">
        <v>1</v>
      </c>
      <c r="H222" s="3" t="s">
        <v>19</v>
      </c>
      <c r="I222" t="s">
        <v>688</v>
      </c>
      <c r="J222" s="3" t="s">
        <v>689</v>
      </c>
      <c r="K222" t="s">
        <v>5909</v>
      </c>
      <c r="L222" s="3" t="s">
        <v>5910</v>
      </c>
      <c r="M222" t="s">
        <v>5912</v>
      </c>
      <c r="N222" s="8">
        <v>5.5683000000000003E-2</v>
      </c>
    </row>
    <row r="223" spans="1:14" hidden="1" x14ac:dyDescent="0.55000000000000004">
      <c r="A223" s="3" t="s">
        <v>680</v>
      </c>
      <c r="B223" s="3" t="s">
        <v>681</v>
      </c>
      <c r="C223" t="s">
        <v>682</v>
      </c>
      <c r="D223" s="3" t="s">
        <v>7326</v>
      </c>
      <c r="E223" t="s">
        <v>683</v>
      </c>
      <c r="F223" s="3" t="s">
        <v>684</v>
      </c>
      <c r="G223" s="10">
        <v>1</v>
      </c>
      <c r="H223" s="3" t="s">
        <v>19</v>
      </c>
      <c r="I223" t="s">
        <v>688</v>
      </c>
      <c r="J223" s="3" t="s">
        <v>689</v>
      </c>
      <c r="K223" t="s">
        <v>5909</v>
      </c>
      <c r="L223" s="3" t="s">
        <v>5913</v>
      </c>
      <c r="M223" t="s">
        <v>5911</v>
      </c>
      <c r="N223" s="8">
        <v>5.5683000000000003E-2</v>
      </c>
    </row>
    <row r="224" spans="1:14" hidden="1" x14ac:dyDescent="0.55000000000000004">
      <c r="A224" s="3" t="s">
        <v>680</v>
      </c>
      <c r="B224" s="3" t="s">
        <v>681</v>
      </c>
      <c r="C224" t="s">
        <v>682</v>
      </c>
      <c r="D224" s="3" t="s">
        <v>7326</v>
      </c>
      <c r="E224" t="s">
        <v>683</v>
      </c>
      <c r="F224" s="3" t="s">
        <v>684</v>
      </c>
      <c r="G224" s="10">
        <v>1</v>
      </c>
      <c r="H224" s="3" t="s">
        <v>19</v>
      </c>
      <c r="I224" t="s">
        <v>688</v>
      </c>
      <c r="J224" s="3" t="s">
        <v>689</v>
      </c>
      <c r="K224" t="s">
        <v>5909</v>
      </c>
      <c r="L224" s="3" t="s">
        <v>5913</v>
      </c>
      <c r="M224" t="s">
        <v>5912</v>
      </c>
      <c r="N224" s="8">
        <v>5.5683000000000003E-2</v>
      </c>
    </row>
    <row r="225" spans="1:14" hidden="1" x14ac:dyDescent="0.55000000000000004">
      <c r="A225" s="3" t="s">
        <v>680</v>
      </c>
      <c r="B225" s="3" t="s">
        <v>681</v>
      </c>
      <c r="C225" t="s">
        <v>682</v>
      </c>
      <c r="D225" s="3" t="s">
        <v>7326</v>
      </c>
      <c r="E225" t="s">
        <v>683</v>
      </c>
      <c r="F225" s="3" t="s">
        <v>684</v>
      </c>
      <c r="G225" s="10">
        <v>1</v>
      </c>
      <c r="H225" s="3" t="s">
        <v>19</v>
      </c>
      <c r="I225" t="s">
        <v>688</v>
      </c>
      <c r="J225" s="3" t="s">
        <v>689</v>
      </c>
      <c r="K225" t="s">
        <v>5909</v>
      </c>
      <c r="L225" s="3" t="s">
        <v>5914</v>
      </c>
      <c r="M225" t="s">
        <v>5911</v>
      </c>
      <c r="N225" s="8">
        <v>5.5683000000000003E-2</v>
      </c>
    </row>
    <row r="226" spans="1:14" hidden="1" x14ac:dyDescent="0.55000000000000004">
      <c r="A226" s="3" t="s">
        <v>680</v>
      </c>
      <c r="B226" s="3" t="s">
        <v>681</v>
      </c>
      <c r="C226" t="s">
        <v>682</v>
      </c>
      <c r="D226" s="3" t="s">
        <v>7326</v>
      </c>
      <c r="E226" t="s">
        <v>683</v>
      </c>
      <c r="F226" s="3" t="s">
        <v>684</v>
      </c>
      <c r="G226" s="10">
        <v>1</v>
      </c>
      <c r="H226" s="3" t="s">
        <v>19</v>
      </c>
      <c r="I226" t="s">
        <v>688</v>
      </c>
      <c r="J226" s="3" t="s">
        <v>689</v>
      </c>
      <c r="K226" t="s">
        <v>5909</v>
      </c>
      <c r="L226" s="3" t="s">
        <v>5914</v>
      </c>
      <c r="M226" t="s">
        <v>5912</v>
      </c>
      <c r="N226" s="8">
        <v>5.5683000000000003E-2</v>
      </c>
    </row>
    <row r="227" spans="1:14" hidden="1" x14ac:dyDescent="0.55000000000000004">
      <c r="A227" s="3" t="s">
        <v>680</v>
      </c>
      <c r="B227" s="3" t="s">
        <v>681</v>
      </c>
      <c r="C227" t="s">
        <v>682</v>
      </c>
      <c r="D227" s="3" t="s">
        <v>7326</v>
      </c>
      <c r="E227" t="s">
        <v>683</v>
      </c>
      <c r="F227" s="3" t="s">
        <v>684</v>
      </c>
      <c r="G227" s="10">
        <v>1</v>
      </c>
      <c r="H227" s="3" t="s">
        <v>24</v>
      </c>
      <c r="I227" t="s">
        <v>706</v>
      </c>
      <c r="J227" s="3" t="s">
        <v>76</v>
      </c>
      <c r="K227" t="s">
        <v>5841</v>
      </c>
      <c r="L227" s="3" t="s">
        <v>5840</v>
      </c>
      <c r="M227" t="s">
        <v>5915</v>
      </c>
      <c r="N227" s="8">
        <v>0.216667</v>
      </c>
    </row>
    <row r="228" spans="1:14" hidden="1" x14ac:dyDescent="0.55000000000000004">
      <c r="A228" s="3" t="s">
        <v>680</v>
      </c>
      <c r="B228" s="3" t="s">
        <v>709</v>
      </c>
      <c r="C228" t="s">
        <v>7327</v>
      </c>
      <c r="D228" s="3" t="s">
        <v>7326</v>
      </c>
      <c r="E228" t="s">
        <v>711</v>
      </c>
      <c r="F228" s="3" t="s">
        <v>712</v>
      </c>
      <c r="G228" s="10">
        <v>0</v>
      </c>
      <c r="H228" s="3" t="s">
        <v>24</v>
      </c>
      <c r="I228" t="s">
        <v>715</v>
      </c>
      <c r="J228" s="3" t="s">
        <v>55</v>
      </c>
      <c r="K228" t="s">
        <v>23</v>
      </c>
      <c r="L228" s="3" t="s">
        <v>5839</v>
      </c>
      <c r="M228" t="s">
        <v>23</v>
      </c>
      <c r="N228" s="8">
        <v>0.18496199999999999</v>
      </c>
    </row>
    <row r="229" spans="1:14" hidden="1" x14ac:dyDescent="0.55000000000000004">
      <c r="A229" s="3" t="s">
        <v>680</v>
      </c>
      <c r="B229" s="3" t="s">
        <v>719</v>
      </c>
      <c r="C229" t="s">
        <v>682</v>
      </c>
      <c r="D229" s="3" t="s">
        <v>7326</v>
      </c>
      <c r="E229" t="s">
        <v>720</v>
      </c>
      <c r="F229" s="3" t="s">
        <v>721</v>
      </c>
      <c r="G229" s="10">
        <v>0</v>
      </c>
      <c r="H229" s="3" t="s">
        <v>24</v>
      </c>
      <c r="I229" t="s">
        <v>724</v>
      </c>
      <c r="J229" s="3" t="s">
        <v>55</v>
      </c>
      <c r="K229" t="s">
        <v>23</v>
      </c>
      <c r="L229" s="3" t="s">
        <v>5839</v>
      </c>
      <c r="M229" t="s">
        <v>23</v>
      </c>
      <c r="N229" s="8">
        <v>0.18473999999999999</v>
      </c>
    </row>
    <row r="230" spans="1:14" hidden="1" x14ac:dyDescent="0.55000000000000004">
      <c r="A230" s="3" t="s">
        <v>680</v>
      </c>
      <c r="B230" s="3" t="s">
        <v>719</v>
      </c>
      <c r="C230" t="s">
        <v>682</v>
      </c>
      <c r="D230" s="3" t="s">
        <v>7326</v>
      </c>
      <c r="E230" t="s">
        <v>728</v>
      </c>
      <c r="F230" s="3" t="s">
        <v>729</v>
      </c>
      <c r="G230" s="10">
        <v>0</v>
      </c>
      <c r="H230" s="3" t="s">
        <v>24</v>
      </c>
      <c r="I230" t="s">
        <v>724</v>
      </c>
      <c r="J230" s="3" t="s">
        <v>55</v>
      </c>
      <c r="K230" t="s">
        <v>23</v>
      </c>
      <c r="L230" s="3" t="s">
        <v>5839</v>
      </c>
      <c r="M230" t="s">
        <v>23</v>
      </c>
      <c r="N230" s="8">
        <v>0.18473999999999999</v>
      </c>
    </row>
    <row r="231" spans="1:14" hidden="1" x14ac:dyDescent="0.55000000000000004">
      <c r="A231" s="3" t="s">
        <v>680</v>
      </c>
      <c r="B231" s="3" t="s">
        <v>719</v>
      </c>
      <c r="C231" t="s">
        <v>682</v>
      </c>
      <c r="D231" s="3" t="s">
        <v>7326</v>
      </c>
      <c r="E231" t="s">
        <v>730</v>
      </c>
      <c r="F231" s="3" t="s">
        <v>731</v>
      </c>
      <c r="G231" s="10">
        <v>0</v>
      </c>
      <c r="H231" s="3" t="s">
        <v>24</v>
      </c>
      <c r="I231" t="s">
        <v>724</v>
      </c>
      <c r="J231" s="3" t="s">
        <v>55</v>
      </c>
      <c r="K231" t="s">
        <v>23</v>
      </c>
      <c r="L231" s="3" t="s">
        <v>5839</v>
      </c>
      <c r="M231" t="s">
        <v>23</v>
      </c>
      <c r="N231" s="8">
        <v>0.18473999999999999</v>
      </c>
    </row>
    <row r="232" spans="1:14" hidden="1" x14ac:dyDescent="0.55000000000000004">
      <c r="A232" s="3" t="s">
        <v>680</v>
      </c>
      <c r="B232" s="3" t="s">
        <v>719</v>
      </c>
      <c r="C232" t="s">
        <v>682</v>
      </c>
      <c r="D232" s="3" t="s">
        <v>7326</v>
      </c>
      <c r="E232" t="s">
        <v>732</v>
      </c>
      <c r="F232" s="3" t="s">
        <v>733</v>
      </c>
      <c r="G232" s="10">
        <v>0</v>
      </c>
      <c r="H232" s="3" t="s">
        <v>24</v>
      </c>
      <c r="I232" t="s">
        <v>724</v>
      </c>
      <c r="J232" s="3" t="s">
        <v>55</v>
      </c>
      <c r="K232" t="s">
        <v>23</v>
      </c>
      <c r="L232" s="3" t="s">
        <v>5839</v>
      </c>
      <c r="M232" t="s">
        <v>23</v>
      </c>
      <c r="N232" s="8">
        <v>0.18473999999999999</v>
      </c>
    </row>
    <row r="233" spans="1:14" hidden="1" x14ac:dyDescent="0.55000000000000004">
      <c r="A233" s="3" t="s">
        <v>680</v>
      </c>
      <c r="B233" s="3" t="s">
        <v>734</v>
      </c>
      <c r="C233" t="s">
        <v>682</v>
      </c>
      <c r="D233" s="3" t="s">
        <v>7326</v>
      </c>
      <c r="E233" t="s">
        <v>735</v>
      </c>
      <c r="F233" s="3" t="s">
        <v>736</v>
      </c>
      <c r="G233" s="10">
        <v>1</v>
      </c>
      <c r="H233" s="3" t="s">
        <v>19</v>
      </c>
      <c r="I233" t="s">
        <v>741</v>
      </c>
      <c r="J233" s="3" t="s">
        <v>689</v>
      </c>
      <c r="K233" t="s">
        <v>5909</v>
      </c>
      <c r="L233" s="3" t="s">
        <v>5910</v>
      </c>
      <c r="M233" t="s">
        <v>5916</v>
      </c>
      <c r="N233" s="8">
        <v>5.8666999999999997E-2</v>
      </c>
    </row>
    <row r="234" spans="1:14" hidden="1" x14ac:dyDescent="0.55000000000000004">
      <c r="A234" s="3" t="s">
        <v>680</v>
      </c>
      <c r="B234" s="3" t="s">
        <v>734</v>
      </c>
      <c r="C234" t="s">
        <v>682</v>
      </c>
      <c r="D234" s="3" t="s">
        <v>7326</v>
      </c>
      <c r="E234" t="s">
        <v>735</v>
      </c>
      <c r="F234" s="3" t="s">
        <v>736</v>
      </c>
      <c r="G234" s="10">
        <v>1</v>
      </c>
      <c r="H234" s="3" t="s">
        <v>19</v>
      </c>
      <c r="I234" t="s">
        <v>741</v>
      </c>
      <c r="J234" s="3" t="s">
        <v>689</v>
      </c>
      <c r="K234" t="s">
        <v>5909</v>
      </c>
      <c r="L234" s="3" t="s">
        <v>5910</v>
      </c>
      <c r="M234" t="s">
        <v>5917</v>
      </c>
      <c r="N234" s="8">
        <v>5.8666999999999997E-2</v>
      </c>
    </row>
    <row r="235" spans="1:14" hidden="1" x14ac:dyDescent="0.55000000000000004">
      <c r="A235" s="3" t="s">
        <v>680</v>
      </c>
      <c r="B235" s="3" t="s">
        <v>734</v>
      </c>
      <c r="C235" t="s">
        <v>682</v>
      </c>
      <c r="D235" s="3" t="s">
        <v>7326</v>
      </c>
      <c r="E235" t="s">
        <v>735</v>
      </c>
      <c r="F235" s="3" t="s">
        <v>736</v>
      </c>
      <c r="G235" s="10">
        <v>1</v>
      </c>
      <c r="H235" s="3" t="s">
        <v>19</v>
      </c>
      <c r="I235" t="s">
        <v>741</v>
      </c>
      <c r="J235" s="3" t="s">
        <v>689</v>
      </c>
      <c r="K235" t="s">
        <v>5909</v>
      </c>
      <c r="L235" s="3" t="s">
        <v>5913</v>
      </c>
      <c r="M235" t="s">
        <v>5916</v>
      </c>
      <c r="N235" s="8">
        <v>5.8666999999999997E-2</v>
      </c>
    </row>
    <row r="236" spans="1:14" hidden="1" x14ac:dyDescent="0.55000000000000004">
      <c r="A236" s="3" t="s">
        <v>680</v>
      </c>
      <c r="B236" s="3" t="s">
        <v>734</v>
      </c>
      <c r="C236" t="s">
        <v>682</v>
      </c>
      <c r="D236" s="3" t="s">
        <v>7326</v>
      </c>
      <c r="E236" t="s">
        <v>735</v>
      </c>
      <c r="F236" s="3" t="s">
        <v>736</v>
      </c>
      <c r="G236" s="10">
        <v>1</v>
      </c>
      <c r="H236" s="3" t="s">
        <v>19</v>
      </c>
      <c r="I236" t="s">
        <v>741</v>
      </c>
      <c r="J236" s="3" t="s">
        <v>689</v>
      </c>
      <c r="K236" t="s">
        <v>5909</v>
      </c>
      <c r="L236" s="3" t="s">
        <v>5913</v>
      </c>
      <c r="M236" t="s">
        <v>5917</v>
      </c>
      <c r="N236" s="8">
        <v>5.8666999999999997E-2</v>
      </c>
    </row>
    <row r="237" spans="1:14" hidden="1" x14ac:dyDescent="0.55000000000000004">
      <c r="A237" s="3" t="s">
        <v>680</v>
      </c>
      <c r="B237" s="3" t="s">
        <v>734</v>
      </c>
      <c r="C237" t="s">
        <v>682</v>
      </c>
      <c r="D237" s="3" t="s">
        <v>7326</v>
      </c>
      <c r="E237" t="s">
        <v>735</v>
      </c>
      <c r="F237" s="3" t="s">
        <v>736</v>
      </c>
      <c r="G237" s="10">
        <v>1</v>
      </c>
      <c r="H237" s="3" t="s">
        <v>19</v>
      </c>
      <c r="I237" t="s">
        <v>741</v>
      </c>
      <c r="J237" s="3" t="s">
        <v>689</v>
      </c>
      <c r="K237" t="s">
        <v>5909</v>
      </c>
      <c r="L237" s="3" t="s">
        <v>5914</v>
      </c>
      <c r="M237" t="s">
        <v>5916</v>
      </c>
      <c r="N237" s="8">
        <v>5.8666999999999997E-2</v>
      </c>
    </row>
    <row r="238" spans="1:14" hidden="1" x14ac:dyDescent="0.55000000000000004">
      <c r="A238" s="3" t="s">
        <v>680</v>
      </c>
      <c r="B238" s="3" t="s">
        <v>734</v>
      </c>
      <c r="C238" t="s">
        <v>682</v>
      </c>
      <c r="D238" s="3" t="s">
        <v>7326</v>
      </c>
      <c r="E238" t="s">
        <v>735</v>
      </c>
      <c r="F238" s="3" t="s">
        <v>736</v>
      </c>
      <c r="G238" s="10">
        <v>1</v>
      </c>
      <c r="H238" s="3" t="s">
        <v>19</v>
      </c>
      <c r="I238" t="s">
        <v>741</v>
      </c>
      <c r="J238" s="3" t="s">
        <v>689</v>
      </c>
      <c r="K238" t="s">
        <v>5909</v>
      </c>
      <c r="L238" s="3" t="s">
        <v>5914</v>
      </c>
      <c r="M238" t="s">
        <v>5917</v>
      </c>
      <c r="N238" s="8">
        <v>5.8666999999999997E-2</v>
      </c>
    </row>
    <row r="239" spans="1:14" hidden="1" x14ac:dyDescent="0.55000000000000004">
      <c r="A239" s="3" t="s">
        <v>680</v>
      </c>
      <c r="B239" s="3" t="s">
        <v>734</v>
      </c>
      <c r="C239" t="s">
        <v>682</v>
      </c>
      <c r="D239" s="3" t="s">
        <v>7326</v>
      </c>
      <c r="E239" t="s">
        <v>735</v>
      </c>
      <c r="F239" s="3" t="s">
        <v>736</v>
      </c>
      <c r="G239" s="10">
        <v>1</v>
      </c>
      <c r="H239" s="3" t="s">
        <v>24</v>
      </c>
      <c r="I239" t="s">
        <v>748</v>
      </c>
      <c r="J239" s="3" t="s">
        <v>76</v>
      </c>
      <c r="K239" t="s">
        <v>5841</v>
      </c>
      <c r="L239" s="3" t="s">
        <v>5840</v>
      </c>
      <c r="M239" t="s">
        <v>5915</v>
      </c>
      <c r="N239" s="8">
        <v>0.216667</v>
      </c>
    </row>
    <row r="240" spans="1:14" hidden="1" x14ac:dyDescent="0.55000000000000004">
      <c r="A240" s="3" t="s">
        <v>680</v>
      </c>
      <c r="B240" s="3" t="s">
        <v>710</v>
      </c>
      <c r="C240" t="s">
        <v>710</v>
      </c>
      <c r="D240" s="3" t="s">
        <v>7326</v>
      </c>
      <c r="E240" t="s">
        <v>749</v>
      </c>
      <c r="F240" s="3" t="s">
        <v>750</v>
      </c>
      <c r="G240" s="10">
        <v>1</v>
      </c>
      <c r="H240" s="3" t="s">
        <v>19</v>
      </c>
      <c r="I240" t="s">
        <v>755</v>
      </c>
      <c r="J240" s="3" t="s">
        <v>689</v>
      </c>
      <c r="K240" t="s">
        <v>5909</v>
      </c>
      <c r="L240" s="3" t="s">
        <v>5910</v>
      </c>
      <c r="M240" t="s">
        <v>5918</v>
      </c>
      <c r="N240" s="8">
        <v>7.8301999999999997E-2</v>
      </c>
    </row>
    <row r="241" spans="1:14" hidden="1" x14ac:dyDescent="0.55000000000000004">
      <c r="A241" s="3" t="s">
        <v>680</v>
      </c>
      <c r="B241" s="3" t="s">
        <v>710</v>
      </c>
      <c r="C241" t="s">
        <v>710</v>
      </c>
      <c r="D241" s="3" t="s">
        <v>7326</v>
      </c>
      <c r="E241" t="s">
        <v>749</v>
      </c>
      <c r="F241" s="3" t="s">
        <v>750</v>
      </c>
      <c r="G241" s="10">
        <v>1</v>
      </c>
      <c r="H241" s="3" t="s">
        <v>19</v>
      </c>
      <c r="I241" t="s">
        <v>755</v>
      </c>
      <c r="J241" s="3" t="s">
        <v>689</v>
      </c>
      <c r="K241" t="s">
        <v>5909</v>
      </c>
      <c r="L241" s="3" t="s">
        <v>5910</v>
      </c>
      <c r="M241" t="s">
        <v>5919</v>
      </c>
      <c r="N241" s="8">
        <v>7.8301999999999997E-2</v>
      </c>
    </row>
    <row r="242" spans="1:14" hidden="1" x14ac:dyDescent="0.55000000000000004">
      <c r="A242" s="3" t="s">
        <v>680</v>
      </c>
      <c r="B242" s="3" t="s">
        <v>710</v>
      </c>
      <c r="C242" t="s">
        <v>710</v>
      </c>
      <c r="D242" s="3" t="s">
        <v>7326</v>
      </c>
      <c r="E242" t="s">
        <v>749</v>
      </c>
      <c r="F242" s="3" t="s">
        <v>750</v>
      </c>
      <c r="G242" s="10">
        <v>1</v>
      </c>
      <c r="H242" s="3" t="s">
        <v>19</v>
      </c>
      <c r="I242" t="s">
        <v>755</v>
      </c>
      <c r="J242" s="3" t="s">
        <v>689</v>
      </c>
      <c r="K242" t="s">
        <v>5909</v>
      </c>
      <c r="L242" s="3" t="s">
        <v>5913</v>
      </c>
      <c r="M242" t="s">
        <v>5918</v>
      </c>
      <c r="N242" s="8">
        <v>7.8301999999999997E-2</v>
      </c>
    </row>
    <row r="243" spans="1:14" hidden="1" x14ac:dyDescent="0.55000000000000004">
      <c r="A243" s="3" t="s">
        <v>680</v>
      </c>
      <c r="B243" s="3" t="s">
        <v>710</v>
      </c>
      <c r="C243" t="s">
        <v>710</v>
      </c>
      <c r="D243" s="3" t="s">
        <v>7326</v>
      </c>
      <c r="E243" t="s">
        <v>749</v>
      </c>
      <c r="F243" s="3" t="s">
        <v>750</v>
      </c>
      <c r="G243" s="10">
        <v>1</v>
      </c>
      <c r="H243" s="3" t="s">
        <v>19</v>
      </c>
      <c r="I243" t="s">
        <v>755</v>
      </c>
      <c r="J243" s="3" t="s">
        <v>689</v>
      </c>
      <c r="K243" t="s">
        <v>5909</v>
      </c>
      <c r="L243" s="3" t="s">
        <v>5913</v>
      </c>
      <c r="M243" t="s">
        <v>5919</v>
      </c>
      <c r="N243" s="8">
        <v>7.8301999999999997E-2</v>
      </c>
    </row>
    <row r="244" spans="1:14" hidden="1" x14ac:dyDescent="0.55000000000000004">
      <c r="A244" s="3" t="s">
        <v>680</v>
      </c>
      <c r="B244" s="3" t="s">
        <v>710</v>
      </c>
      <c r="C244" t="s">
        <v>710</v>
      </c>
      <c r="D244" s="3" t="s">
        <v>7326</v>
      </c>
      <c r="E244" t="s">
        <v>749</v>
      </c>
      <c r="F244" s="3" t="s">
        <v>750</v>
      </c>
      <c r="G244" s="10">
        <v>1</v>
      </c>
      <c r="H244" s="3" t="s">
        <v>19</v>
      </c>
      <c r="I244" t="s">
        <v>755</v>
      </c>
      <c r="J244" s="3" t="s">
        <v>689</v>
      </c>
      <c r="K244" t="s">
        <v>5909</v>
      </c>
      <c r="L244" s="3" t="s">
        <v>5914</v>
      </c>
      <c r="M244" t="s">
        <v>5918</v>
      </c>
      <c r="N244" s="8">
        <v>7.8301999999999997E-2</v>
      </c>
    </row>
    <row r="245" spans="1:14" hidden="1" x14ac:dyDescent="0.55000000000000004">
      <c r="A245" s="3" t="s">
        <v>680</v>
      </c>
      <c r="B245" s="3" t="s">
        <v>710</v>
      </c>
      <c r="C245" t="s">
        <v>710</v>
      </c>
      <c r="D245" s="3" t="s">
        <v>7326</v>
      </c>
      <c r="E245" t="s">
        <v>749</v>
      </c>
      <c r="F245" s="3" t="s">
        <v>750</v>
      </c>
      <c r="G245" s="10">
        <v>1</v>
      </c>
      <c r="H245" s="3" t="s">
        <v>19</v>
      </c>
      <c r="I245" t="s">
        <v>755</v>
      </c>
      <c r="J245" s="3" t="s">
        <v>689</v>
      </c>
      <c r="K245" t="s">
        <v>5909</v>
      </c>
      <c r="L245" s="3" t="s">
        <v>5914</v>
      </c>
      <c r="M245" t="s">
        <v>5919</v>
      </c>
      <c r="N245" s="8">
        <v>7.8301999999999997E-2</v>
      </c>
    </row>
    <row r="246" spans="1:14" hidden="1" x14ac:dyDescent="0.55000000000000004">
      <c r="A246" s="3" t="s">
        <v>680</v>
      </c>
      <c r="B246" s="3" t="s">
        <v>710</v>
      </c>
      <c r="C246" t="s">
        <v>710</v>
      </c>
      <c r="D246" s="3" t="s">
        <v>7326</v>
      </c>
      <c r="E246" t="s">
        <v>749</v>
      </c>
      <c r="F246" s="3" t="s">
        <v>750</v>
      </c>
      <c r="G246" s="10">
        <v>1</v>
      </c>
      <c r="H246" s="3" t="s">
        <v>24</v>
      </c>
      <c r="I246" t="s">
        <v>760</v>
      </c>
      <c r="J246" s="3" t="s">
        <v>76</v>
      </c>
      <c r="K246" t="s">
        <v>5841</v>
      </c>
      <c r="L246" s="3" t="s">
        <v>5840</v>
      </c>
      <c r="M246" t="s">
        <v>5915</v>
      </c>
      <c r="N246" s="8">
        <v>0.216667</v>
      </c>
    </row>
    <row r="247" spans="1:14" hidden="1" x14ac:dyDescent="0.55000000000000004">
      <c r="A247" s="3" t="s">
        <v>680</v>
      </c>
      <c r="B247" s="3" t="s">
        <v>763</v>
      </c>
      <c r="C247" t="s">
        <v>763</v>
      </c>
      <c r="D247" s="3" t="s">
        <v>7326</v>
      </c>
      <c r="E247" t="s">
        <v>764</v>
      </c>
      <c r="F247" s="3" t="s">
        <v>765</v>
      </c>
      <c r="G247" s="10">
        <v>0</v>
      </c>
      <c r="H247" s="3" t="s">
        <v>24</v>
      </c>
      <c r="I247" t="s">
        <v>771</v>
      </c>
      <c r="J247" s="3" t="s">
        <v>76</v>
      </c>
      <c r="K247" t="s">
        <v>5841</v>
      </c>
      <c r="L247" s="3" t="s">
        <v>5840</v>
      </c>
      <c r="M247" t="s">
        <v>23</v>
      </c>
      <c r="N247" s="8">
        <v>0.248333</v>
      </c>
    </row>
    <row r="248" spans="1:14" hidden="1" x14ac:dyDescent="0.55000000000000004">
      <c r="A248" s="3" t="s">
        <v>680</v>
      </c>
      <c r="B248" s="3" t="s">
        <v>772</v>
      </c>
      <c r="C248" t="s">
        <v>682</v>
      </c>
      <c r="D248" s="3" t="s">
        <v>7326</v>
      </c>
      <c r="E248" t="s">
        <v>773</v>
      </c>
      <c r="F248" s="3" t="s">
        <v>774</v>
      </c>
      <c r="G248" s="10">
        <v>0</v>
      </c>
      <c r="H248" s="3" t="s">
        <v>24</v>
      </c>
      <c r="I248" t="s">
        <v>780</v>
      </c>
      <c r="J248" s="3" t="s">
        <v>76</v>
      </c>
      <c r="K248" t="s">
        <v>5841</v>
      </c>
      <c r="L248" s="3" t="s">
        <v>5840</v>
      </c>
      <c r="M248" t="s">
        <v>23</v>
      </c>
      <c r="N248" s="8">
        <v>0.216667</v>
      </c>
    </row>
    <row r="249" spans="1:14" hidden="1" x14ac:dyDescent="0.55000000000000004">
      <c r="A249" s="9" t="s">
        <v>680</v>
      </c>
      <c r="B249" s="3" t="s">
        <v>781</v>
      </c>
      <c r="C249" t="s">
        <v>781</v>
      </c>
      <c r="D249" s="3" t="s">
        <v>7326</v>
      </c>
      <c r="E249" t="s">
        <v>782</v>
      </c>
      <c r="F249" s="3" t="s">
        <v>783</v>
      </c>
      <c r="G249" s="10">
        <v>0</v>
      </c>
      <c r="H249" s="3" t="s">
        <v>24</v>
      </c>
      <c r="I249" t="s">
        <v>786</v>
      </c>
      <c r="J249" s="3" t="s">
        <v>55</v>
      </c>
      <c r="K249" t="s">
        <v>23</v>
      </c>
      <c r="L249" s="3" t="s">
        <v>5839</v>
      </c>
      <c r="M249" t="s">
        <v>23</v>
      </c>
      <c r="N249" s="8">
        <v>0.1845</v>
      </c>
    </row>
    <row r="250" spans="1:14" hidden="1" x14ac:dyDescent="0.55000000000000004">
      <c r="A250" s="3" t="s">
        <v>787</v>
      </c>
      <c r="B250" s="3" t="s">
        <v>788</v>
      </c>
      <c r="C250" t="s">
        <v>789</v>
      </c>
      <c r="D250" s="3" t="s">
        <v>7329</v>
      </c>
      <c r="E250" t="s">
        <v>790</v>
      </c>
      <c r="F250" s="3" t="s">
        <v>791</v>
      </c>
      <c r="G250" s="10">
        <v>0</v>
      </c>
      <c r="H250" s="3" t="s">
        <v>24</v>
      </c>
      <c r="I250" t="s">
        <v>794</v>
      </c>
      <c r="J250" s="3" t="s">
        <v>40</v>
      </c>
      <c r="K250" t="s">
        <v>23</v>
      </c>
      <c r="L250" s="3" t="s">
        <v>5835</v>
      </c>
      <c r="M250" t="s">
        <v>23</v>
      </c>
      <c r="N250" s="8">
        <v>0.25765199999999999</v>
      </c>
    </row>
    <row r="251" spans="1:14" hidden="1" x14ac:dyDescent="0.55000000000000004">
      <c r="A251" s="3" t="s">
        <v>787</v>
      </c>
      <c r="B251" s="3" t="s">
        <v>788</v>
      </c>
      <c r="C251" t="s">
        <v>789</v>
      </c>
      <c r="D251" s="3" t="s">
        <v>7329</v>
      </c>
      <c r="E251" t="s">
        <v>795</v>
      </c>
      <c r="F251" s="3" t="s">
        <v>796</v>
      </c>
      <c r="G251" s="10">
        <v>0</v>
      </c>
      <c r="H251" s="3" t="s">
        <v>24</v>
      </c>
      <c r="I251" t="s">
        <v>794</v>
      </c>
      <c r="J251" s="3" t="s">
        <v>40</v>
      </c>
      <c r="K251" t="s">
        <v>23</v>
      </c>
      <c r="L251" s="3" t="s">
        <v>5835</v>
      </c>
      <c r="M251" t="s">
        <v>23</v>
      </c>
      <c r="N251" s="8">
        <v>0.25765199999999999</v>
      </c>
    </row>
    <row r="252" spans="1:14" hidden="1" x14ac:dyDescent="0.55000000000000004">
      <c r="A252" s="3" t="s">
        <v>787</v>
      </c>
      <c r="B252" s="3" t="s">
        <v>800</v>
      </c>
      <c r="C252" t="s">
        <v>7328</v>
      </c>
      <c r="D252" s="3" t="s">
        <v>7329</v>
      </c>
      <c r="E252" t="s">
        <v>801</v>
      </c>
      <c r="F252" s="3" t="s">
        <v>802</v>
      </c>
      <c r="G252" s="10">
        <v>0</v>
      </c>
      <c r="H252" s="3" t="s">
        <v>19</v>
      </c>
      <c r="I252" t="s">
        <v>806</v>
      </c>
      <c r="J252" s="3" t="s">
        <v>807</v>
      </c>
      <c r="K252" t="s">
        <v>5920</v>
      </c>
      <c r="L252" s="3" t="s">
        <v>5921</v>
      </c>
      <c r="M252" t="s">
        <v>5922</v>
      </c>
      <c r="N252" s="8">
        <v>1.5398E-2</v>
      </c>
    </row>
    <row r="253" spans="1:14" hidden="1" x14ac:dyDescent="0.55000000000000004">
      <c r="A253" s="3" t="s">
        <v>787</v>
      </c>
      <c r="B253" s="3" t="s">
        <v>789</v>
      </c>
      <c r="C253" t="s">
        <v>789</v>
      </c>
      <c r="D253" s="3" t="s">
        <v>7329</v>
      </c>
      <c r="E253" t="s">
        <v>808</v>
      </c>
      <c r="F253" s="3" t="s">
        <v>809</v>
      </c>
      <c r="G253" s="10">
        <v>0</v>
      </c>
      <c r="H253" s="3" t="s">
        <v>24</v>
      </c>
      <c r="I253" t="s">
        <v>812</v>
      </c>
      <c r="J253" s="3" t="s">
        <v>40</v>
      </c>
      <c r="K253" t="s">
        <v>23</v>
      </c>
      <c r="L253" s="3" t="s">
        <v>5835</v>
      </c>
      <c r="M253" t="s">
        <v>23</v>
      </c>
      <c r="N253" s="8">
        <v>0.25783899999999998</v>
      </c>
    </row>
    <row r="254" spans="1:14" hidden="1" x14ac:dyDescent="0.55000000000000004">
      <c r="A254" s="3" t="s">
        <v>787</v>
      </c>
      <c r="B254" s="3" t="s">
        <v>789</v>
      </c>
      <c r="C254" t="s">
        <v>789</v>
      </c>
      <c r="D254" s="3" t="s">
        <v>7329</v>
      </c>
      <c r="E254" t="s">
        <v>813</v>
      </c>
      <c r="F254" s="3" t="s">
        <v>814</v>
      </c>
      <c r="G254" s="10">
        <v>0</v>
      </c>
      <c r="H254" s="3" t="s">
        <v>24</v>
      </c>
      <c r="I254" t="s">
        <v>812</v>
      </c>
      <c r="J254" s="3" t="s">
        <v>40</v>
      </c>
      <c r="K254" t="s">
        <v>23</v>
      </c>
      <c r="L254" s="3" t="s">
        <v>5835</v>
      </c>
      <c r="M254" t="s">
        <v>23</v>
      </c>
      <c r="N254" s="8">
        <v>0.25783899999999998</v>
      </c>
    </row>
    <row r="255" spans="1:14" hidden="1" x14ac:dyDescent="0.55000000000000004">
      <c r="A255" s="3" t="s">
        <v>787</v>
      </c>
      <c r="B255" s="3" t="s">
        <v>789</v>
      </c>
      <c r="C255" t="s">
        <v>789</v>
      </c>
      <c r="D255" s="3" t="s">
        <v>7329</v>
      </c>
      <c r="E255" t="s">
        <v>815</v>
      </c>
      <c r="F255" s="3" t="s">
        <v>816</v>
      </c>
      <c r="G255" s="10">
        <v>0</v>
      </c>
      <c r="H255" s="3" t="s">
        <v>24</v>
      </c>
      <c r="I255" t="s">
        <v>812</v>
      </c>
      <c r="J255" s="3" t="s">
        <v>40</v>
      </c>
      <c r="K255" t="s">
        <v>23</v>
      </c>
      <c r="L255" s="3" t="s">
        <v>5835</v>
      </c>
      <c r="M255" t="s">
        <v>23</v>
      </c>
      <c r="N255" s="8">
        <v>0.25783899999999998</v>
      </c>
    </row>
    <row r="256" spans="1:14" hidden="1" x14ac:dyDescent="0.55000000000000004">
      <c r="A256" s="3" t="s">
        <v>787</v>
      </c>
      <c r="B256" s="3" t="s">
        <v>789</v>
      </c>
      <c r="C256" t="s">
        <v>789</v>
      </c>
      <c r="D256" s="3" t="s">
        <v>7329</v>
      </c>
      <c r="E256" t="s">
        <v>817</v>
      </c>
      <c r="F256" s="3" t="s">
        <v>818</v>
      </c>
      <c r="G256" s="10">
        <v>0</v>
      </c>
      <c r="H256" s="3" t="s">
        <v>24</v>
      </c>
      <c r="I256" t="s">
        <v>812</v>
      </c>
      <c r="J256" s="3" t="s">
        <v>40</v>
      </c>
      <c r="K256" t="s">
        <v>23</v>
      </c>
      <c r="L256" s="3" t="s">
        <v>5835</v>
      </c>
      <c r="M256" t="s">
        <v>23</v>
      </c>
      <c r="N256" s="8">
        <v>0.25783899999999998</v>
      </c>
    </row>
    <row r="257" spans="1:14" hidden="1" x14ac:dyDescent="0.55000000000000004">
      <c r="A257" s="3" t="s">
        <v>787</v>
      </c>
      <c r="B257" s="3" t="s">
        <v>789</v>
      </c>
      <c r="C257" t="s">
        <v>789</v>
      </c>
      <c r="D257" s="3" t="s">
        <v>7329</v>
      </c>
      <c r="E257" t="s">
        <v>819</v>
      </c>
      <c r="F257" s="3" t="s">
        <v>820</v>
      </c>
      <c r="G257" s="10">
        <v>0</v>
      </c>
      <c r="H257" s="3" t="s">
        <v>24</v>
      </c>
      <c r="I257" t="s">
        <v>812</v>
      </c>
      <c r="J257" s="3" t="s">
        <v>40</v>
      </c>
      <c r="K257" t="s">
        <v>23</v>
      </c>
      <c r="L257" s="3" t="s">
        <v>5835</v>
      </c>
      <c r="M257" t="s">
        <v>23</v>
      </c>
      <c r="N257" s="8">
        <v>0.25783899999999998</v>
      </c>
    </row>
    <row r="258" spans="1:14" hidden="1" x14ac:dyDescent="0.55000000000000004">
      <c r="A258" s="3" t="s">
        <v>787</v>
      </c>
      <c r="B258" s="3" t="s">
        <v>789</v>
      </c>
      <c r="C258" t="s">
        <v>789</v>
      </c>
      <c r="D258" s="3" t="s">
        <v>7329</v>
      </c>
      <c r="E258" t="s">
        <v>821</v>
      </c>
      <c r="F258" s="3" t="s">
        <v>822</v>
      </c>
      <c r="G258" s="10">
        <v>0</v>
      </c>
      <c r="H258" s="3" t="s">
        <v>24</v>
      </c>
      <c r="I258" t="s">
        <v>812</v>
      </c>
      <c r="J258" s="3" t="s">
        <v>40</v>
      </c>
      <c r="K258" t="s">
        <v>23</v>
      </c>
      <c r="L258" s="3" t="s">
        <v>5835</v>
      </c>
      <c r="M258" t="s">
        <v>23</v>
      </c>
      <c r="N258" s="8">
        <v>0.25783899999999998</v>
      </c>
    </row>
    <row r="259" spans="1:14" hidden="1" x14ac:dyDescent="0.55000000000000004">
      <c r="A259" s="3" t="s">
        <v>787</v>
      </c>
      <c r="B259" s="3" t="s">
        <v>789</v>
      </c>
      <c r="C259" t="s">
        <v>789</v>
      </c>
      <c r="D259" s="3" t="s">
        <v>7329</v>
      </c>
      <c r="E259" t="s">
        <v>823</v>
      </c>
      <c r="F259" s="3" t="s">
        <v>824</v>
      </c>
      <c r="G259" s="10">
        <v>0</v>
      </c>
      <c r="H259" s="3" t="s">
        <v>24</v>
      </c>
      <c r="I259" t="s">
        <v>812</v>
      </c>
      <c r="J259" s="3" t="s">
        <v>40</v>
      </c>
      <c r="K259" t="s">
        <v>23</v>
      </c>
      <c r="L259" s="3" t="s">
        <v>5835</v>
      </c>
      <c r="M259" t="s">
        <v>23</v>
      </c>
      <c r="N259" s="8">
        <v>0.25783899999999998</v>
      </c>
    </row>
    <row r="260" spans="1:14" hidden="1" x14ac:dyDescent="0.55000000000000004">
      <c r="A260" s="3" t="s">
        <v>787</v>
      </c>
      <c r="B260" s="3" t="s">
        <v>825</v>
      </c>
      <c r="C260" t="s">
        <v>7328</v>
      </c>
      <c r="D260" s="3" t="s">
        <v>7329</v>
      </c>
      <c r="E260" t="s">
        <v>826</v>
      </c>
      <c r="F260" s="3" t="s">
        <v>827</v>
      </c>
      <c r="G260" s="10">
        <v>0</v>
      </c>
      <c r="H260" s="3" t="s">
        <v>19</v>
      </c>
      <c r="I260" t="s">
        <v>830</v>
      </c>
      <c r="J260" s="3" t="s">
        <v>807</v>
      </c>
      <c r="K260" t="s">
        <v>5920</v>
      </c>
      <c r="L260" s="3" t="s">
        <v>5921</v>
      </c>
      <c r="M260" t="s">
        <v>5923</v>
      </c>
      <c r="N260" s="8">
        <v>1.2362E-2</v>
      </c>
    </row>
    <row r="261" spans="1:14" hidden="1" x14ac:dyDescent="0.55000000000000004">
      <c r="A261" s="3" t="s">
        <v>787</v>
      </c>
      <c r="B261" s="3" t="s">
        <v>831</v>
      </c>
      <c r="C261" t="s">
        <v>7328</v>
      </c>
      <c r="D261" s="3" t="s">
        <v>7329</v>
      </c>
      <c r="E261" t="s">
        <v>832</v>
      </c>
      <c r="F261" s="3" t="s">
        <v>833</v>
      </c>
      <c r="G261" s="10">
        <v>0</v>
      </c>
      <c r="H261" s="3" t="s">
        <v>19</v>
      </c>
      <c r="I261" t="s">
        <v>836</v>
      </c>
      <c r="J261" s="3" t="s">
        <v>807</v>
      </c>
      <c r="K261" t="s">
        <v>5920</v>
      </c>
      <c r="L261" s="3" t="s">
        <v>5921</v>
      </c>
      <c r="M261" t="s">
        <v>5924</v>
      </c>
      <c r="N261" s="8">
        <v>1.5398E-2</v>
      </c>
    </row>
    <row r="262" spans="1:14" hidden="1" x14ac:dyDescent="0.55000000000000004">
      <c r="A262" s="3" t="s">
        <v>787</v>
      </c>
      <c r="B262" s="3" t="s">
        <v>837</v>
      </c>
      <c r="C262" t="s">
        <v>7328</v>
      </c>
      <c r="D262" s="3" t="s">
        <v>7329</v>
      </c>
      <c r="E262" t="s">
        <v>838</v>
      </c>
      <c r="F262" s="3" t="s">
        <v>839</v>
      </c>
      <c r="G262" s="10">
        <v>1</v>
      </c>
      <c r="H262" s="3" t="s">
        <v>19</v>
      </c>
      <c r="I262" t="s">
        <v>842</v>
      </c>
      <c r="J262" s="3" t="s">
        <v>807</v>
      </c>
      <c r="K262" t="s">
        <v>5920</v>
      </c>
      <c r="L262" s="3" t="s">
        <v>5921</v>
      </c>
      <c r="M262" t="s">
        <v>5925</v>
      </c>
      <c r="N262" s="8">
        <v>1.5398E-2</v>
      </c>
    </row>
    <row r="263" spans="1:14" hidden="1" x14ac:dyDescent="0.55000000000000004">
      <c r="A263" s="9" t="s">
        <v>787</v>
      </c>
      <c r="B263" s="3" t="s">
        <v>837</v>
      </c>
      <c r="C263" t="s">
        <v>7328</v>
      </c>
      <c r="D263" s="3" t="s">
        <v>7329</v>
      </c>
      <c r="E263" t="s">
        <v>843</v>
      </c>
      <c r="F263" s="3" t="s">
        <v>844</v>
      </c>
      <c r="G263" s="10">
        <v>0</v>
      </c>
      <c r="H263" s="3" t="s">
        <v>19</v>
      </c>
      <c r="I263" t="s">
        <v>842</v>
      </c>
      <c r="J263" s="3" t="s">
        <v>807</v>
      </c>
      <c r="K263" t="s">
        <v>5920</v>
      </c>
      <c r="L263" s="3" t="s">
        <v>5921</v>
      </c>
      <c r="M263" t="s">
        <v>5925</v>
      </c>
      <c r="N263" s="8">
        <v>1.5398E-2</v>
      </c>
    </row>
    <row r="264" spans="1:14" hidden="1" x14ac:dyDescent="0.55000000000000004">
      <c r="A264" s="3" t="s">
        <v>845</v>
      </c>
      <c r="B264" s="3" t="s">
        <v>846</v>
      </c>
      <c r="C264" t="s">
        <v>855</v>
      </c>
      <c r="D264" s="3" t="s">
        <v>7329</v>
      </c>
      <c r="E264" t="s">
        <v>847</v>
      </c>
      <c r="F264" s="3" t="s">
        <v>848</v>
      </c>
      <c r="G264" s="10">
        <v>0</v>
      </c>
      <c r="H264" s="3" t="s">
        <v>24</v>
      </c>
      <c r="I264" t="s">
        <v>851</v>
      </c>
      <c r="J264" s="3" t="s">
        <v>138</v>
      </c>
      <c r="K264" t="s">
        <v>23</v>
      </c>
      <c r="L264" s="3" t="s">
        <v>5837</v>
      </c>
      <c r="M264" t="s">
        <v>23</v>
      </c>
      <c r="N264" s="8">
        <v>0.25719700000000001</v>
      </c>
    </row>
    <row r="265" spans="1:14" hidden="1" x14ac:dyDescent="0.55000000000000004">
      <c r="A265" s="9" t="s">
        <v>845</v>
      </c>
      <c r="B265" s="3" t="s">
        <v>855</v>
      </c>
      <c r="C265" t="s">
        <v>855</v>
      </c>
      <c r="D265" s="3" t="s">
        <v>7329</v>
      </c>
      <c r="E265" t="s">
        <v>856</v>
      </c>
      <c r="F265" s="3" t="s">
        <v>857</v>
      </c>
      <c r="G265" s="10">
        <v>0</v>
      </c>
      <c r="H265" s="3" t="s">
        <v>24</v>
      </c>
      <c r="I265" t="s">
        <v>860</v>
      </c>
      <c r="J265" s="3" t="s">
        <v>138</v>
      </c>
      <c r="K265" t="s">
        <v>23</v>
      </c>
      <c r="L265" s="3" t="s">
        <v>5837</v>
      </c>
      <c r="M265" t="s">
        <v>23</v>
      </c>
      <c r="N265" s="8">
        <v>0.20219999999999999</v>
      </c>
    </row>
    <row r="266" spans="1:14" hidden="1" x14ac:dyDescent="0.55000000000000004">
      <c r="A266" s="3" t="s">
        <v>861</v>
      </c>
      <c r="B266" s="3" t="s">
        <v>862</v>
      </c>
      <c r="C266" t="s">
        <v>930</v>
      </c>
      <c r="D266" s="3" t="s">
        <v>7329</v>
      </c>
      <c r="E266" t="s">
        <v>863</v>
      </c>
      <c r="F266" s="3" t="s">
        <v>864</v>
      </c>
      <c r="G266" s="10">
        <v>0</v>
      </c>
      <c r="H266" s="3" t="s">
        <v>24</v>
      </c>
      <c r="I266" t="s">
        <v>867</v>
      </c>
      <c r="J266" s="3" t="s">
        <v>40</v>
      </c>
      <c r="K266" t="s">
        <v>23</v>
      </c>
      <c r="L266" s="3" t="s">
        <v>5835</v>
      </c>
      <c r="M266" t="s">
        <v>23</v>
      </c>
      <c r="N266" s="8">
        <v>0.261656</v>
      </c>
    </row>
    <row r="267" spans="1:14" hidden="1" x14ac:dyDescent="0.55000000000000004">
      <c r="A267" s="3" t="s">
        <v>861</v>
      </c>
      <c r="B267" s="3" t="s">
        <v>862</v>
      </c>
      <c r="C267" t="s">
        <v>930</v>
      </c>
      <c r="D267" s="3" t="s">
        <v>7329</v>
      </c>
      <c r="E267" t="s">
        <v>871</v>
      </c>
      <c r="F267" s="3" t="s">
        <v>872</v>
      </c>
      <c r="G267" s="10">
        <v>0</v>
      </c>
      <c r="H267" s="3" t="s">
        <v>24</v>
      </c>
      <c r="I267" t="s">
        <v>867</v>
      </c>
      <c r="J267" s="3" t="s">
        <v>40</v>
      </c>
      <c r="K267" t="s">
        <v>23</v>
      </c>
      <c r="L267" s="3" t="s">
        <v>5835</v>
      </c>
      <c r="M267" t="s">
        <v>23</v>
      </c>
      <c r="N267" s="8">
        <v>0.261656</v>
      </c>
    </row>
    <row r="268" spans="1:14" hidden="1" x14ac:dyDescent="0.55000000000000004">
      <c r="A268" s="3" t="s">
        <v>861</v>
      </c>
      <c r="B268" s="3" t="s">
        <v>7333</v>
      </c>
      <c r="C268" t="s">
        <v>874</v>
      </c>
      <c r="D268" s="3" t="s">
        <v>7329</v>
      </c>
      <c r="E268" t="s">
        <v>875</v>
      </c>
      <c r="F268" s="3" t="s">
        <v>876</v>
      </c>
      <c r="G268" s="10">
        <v>0</v>
      </c>
      <c r="H268" s="3" t="s">
        <v>24</v>
      </c>
      <c r="I268" t="s">
        <v>879</v>
      </c>
      <c r="J268" s="3" t="s">
        <v>138</v>
      </c>
      <c r="K268" t="s">
        <v>23</v>
      </c>
      <c r="L268" s="3" t="s">
        <v>5837</v>
      </c>
      <c r="M268" t="s">
        <v>23</v>
      </c>
      <c r="N268" s="8">
        <v>0.25193300000000002</v>
      </c>
    </row>
    <row r="269" spans="1:14" hidden="1" x14ac:dyDescent="0.55000000000000004">
      <c r="A269" s="3" t="s">
        <v>861</v>
      </c>
      <c r="B269" s="3" t="s">
        <v>7333</v>
      </c>
      <c r="C269" t="s">
        <v>874</v>
      </c>
      <c r="D269" s="3" t="s">
        <v>7329</v>
      </c>
      <c r="E269" t="s">
        <v>880</v>
      </c>
      <c r="F269" s="3" t="s">
        <v>881</v>
      </c>
      <c r="G269" s="10">
        <v>0</v>
      </c>
      <c r="H269" s="3" t="s">
        <v>24</v>
      </c>
      <c r="I269" t="s">
        <v>879</v>
      </c>
      <c r="J269" s="3" t="s">
        <v>138</v>
      </c>
      <c r="K269" t="s">
        <v>23</v>
      </c>
      <c r="L269" s="3" t="s">
        <v>5837</v>
      </c>
      <c r="M269" t="s">
        <v>23</v>
      </c>
      <c r="N269" s="8">
        <v>0.25193300000000002</v>
      </c>
    </row>
    <row r="270" spans="1:14" hidden="1" x14ac:dyDescent="0.55000000000000004">
      <c r="A270" s="3" t="s">
        <v>861</v>
      </c>
      <c r="B270" s="3" t="s">
        <v>873</v>
      </c>
      <c r="C270" t="s">
        <v>874</v>
      </c>
      <c r="D270" s="3" t="s">
        <v>7329</v>
      </c>
      <c r="E270" t="s">
        <v>885</v>
      </c>
      <c r="F270" s="3" t="s">
        <v>886</v>
      </c>
      <c r="G270" s="10">
        <v>0</v>
      </c>
      <c r="H270" s="3" t="s">
        <v>24</v>
      </c>
      <c r="I270" t="s">
        <v>879</v>
      </c>
      <c r="J270" s="3" t="s">
        <v>138</v>
      </c>
      <c r="K270" t="s">
        <v>23</v>
      </c>
      <c r="L270" s="3" t="s">
        <v>5837</v>
      </c>
      <c r="M270" t="s">
        <v>23</v>
      </c>
      <c r="N270" s="8">
        <v>0.25193300000000002</v>
      </c>
    </row>
    <row r="271" spans="1:14" hidden="1" x14ac:dyDescent="0.55000000000000004">
      <c r="A271" s="3" t="s">
        <v>861</v>
      </c>
      <c r="B271" s="3" t="s">
        <v>873</v>
      </c>
      <c r="C271" t="s">
        <v>874</v>
      </c>
      <c r="D271" s="3" t="s">
        <v>7329</v>
      </c>
      <c r="E271" t="s">
        <v>887</v>
      </c>
      <c r="F271" s="3" t="s">
        <v>888</v>
      </c>
      <c r="G271" s="10">
        <v>0</v>
      </c>
      <c r="H271" s="3" t="s">
        <v>24</v>
      </c>
      <c r="I271" t="s">
        <v>879</v>
      </c>
      <c r="J271" s="3" t="s">
        <v>138</v>
      </c>
      <c r="K271" t="s">
        <v>23</v>
      </c>
      <c r="L271" s="3" t="s">
        <v>5837</v>
      </c>
      <c r="M271" t="s">
        <v>23</v>
      </c>
      <c r="N271" s="8">
        <v>0.25193300000000002</v>
      </c>
    </row>
    <row r="272" spans="1:14" hidden="1" x14ac:dyDescent="0.55000000000000004">
      <c r="A272" s="3" t="s">
        <v>861</v>
      </c>
      <c r="B272" s="3" t="s">
        <v>873</v>
      </c>
      <c r="C272" t="s">
        <v>874</v>
      </c>
      <c r="D272" s="3" t="s">
        <v>7329</v>
      </c>
      <c r="E272" t="s">
        <v>889</v>
      </c>
      <c r="F272" s="3" t="s">
        <v>890</v>
      </c>
      <c r="G272" s="10">
        <v>0</v>
      </c>
      <c r="H272" s="3" t="s">
        <v>24</v>
      </c>
      <c r="I272" t="s">
        <v>879</v>
      </c>
      <c r="J272" s="3" t="s">
        <v>138</v>
      </c>
      <c r="K272" t="s">
        <v>23</v>
      </c>
      <c r="L272" s="3" t="s">
        <v>5837</v>
      </c>
      <c r="M272" t="s">
        <v>23</v>
      </c>
      <c r="N272" s="8">
        <v>0.25193300000000002</v>
      </c>
    </row>
    <row r="273" spans="1:14" hidden="1" x14ac:dyDescent="0.55000000000000004">
      <c r="A273" s="3" t="s">
        <v>861</v>
      </c>
      <c r="B273" s="3" t="s">
        <v>873</v>
      </c>
      <c r="C273" t="s">
        <v>874</v>
      </c>
      <c r="D273" s="3" t="s">
        <v>7329</v>
      </c>
      <c r="E273" t="s">
        <v>891</v>
      </c>
      <c r="F273" s="3" t="s">
        <v>892</v>
      </c>
      <c r="G273" s="10">
        <v>0</v>
      </c>
      <c r="H273" s="3" t="s">
        <v>24</v>
      </c>
      <c r="I273" t="s">
        <v>879</v>
      </c>
      <c r="J273" s="3" t="s">
        <v>138</v>
      </c>
      <c r="K273" t="s">
        <v>23</v>
      </c>
      <c r="L273" s="3" t="s">
        <v>5837</v>
      </c>
      <c r="M273" t="s">
        <v>23</v>
      </c>
      <c r="N273" s="8">
        <v>0.25193300000000002</v>
      </c>
    </row>
    <row r="274" spans="1:14" hidden="1" x14ac:dyDescent="0.55000000000000004">
      <c r="A274" s="3" t="s">
        <v>861</v>
      </c>
      <c r="B274" s="3" t="s">
        <v>7333</v>
      </c>
      <c r="C274" t="s">
        <v>874</v>
      </c>
      <c r="D274" s="3" t="s">
        <v>7329</v>
      </c>
      <c r="E274" t="s">
        <v>893</v>
      </c>
      <c r="F274" s="3" t="s">
        <v>894</v>
      </c>
      <c r="G274" s="10">
        <v>0</v>
      </c>
      <c r="H274" s="3" t="s">
        <v>24</v>
      </c>
      <c r="I274" t="s">
        <v>879</v>
      </c>
      <c r="J274" s="3" t="s">
        <v>138</v>
      </c>
      <c r="K274" t="s">
        <v>23</v>
      </c>
      <c r="L274" s="3" t="s">
        <v>5837</v>
      </c>
      <c r="M274" t="s">
        <v>23</v>
      </c>
      <c r="N274" s="8">
        <v>0.25193300000000002</v>
      </c>
    </row>
    <row r="275" spans="1:14" hidden="1" x14ac:dyDescent="0.55000000000000004">
      <c r="A275" s="3" t="s">
        <v>861</v>
      </c>
      <c r="B275" s="3" t="s">
        <v>873</v>
      </c>
      <c r="C275" t="s">
        <v>874</v>
      </c>
      <c r="D275" s="3" t="s">
        <v>7329</v>
      </c>
      <c r="E275" t="s">
        <v>895</v>
      </c>
      <c r="F275" s="3" t="s">
        <v>896</v>
      </c>
      <c r="G275" s="10">
        <v>0</v>
      </c>
      <c r="H275" s="3" t="s">
        <v>24</v>
      </c>
      <c r="I275" t="s">
        <v>879</v>
      </c>
      <c r="J275" s="3" t="s">
        <v>138</v>
      </c>
      <c r="K275" t="s">
        <v>23</v>
      </c>
      <c r="L275" s="3" t="s">
        <v>5837</v>
      </c>
      <c r="M275" t="s">
        <v>23</v>
      </c>
      <c r="N275" s="8">
        <v>0.25193300000000002</v>
      </c>
    </row>
    <row r="276" spans="1:14" hidden="1" x14ac:dyDescent="0.55000000000000004">
      <c r="A276" s="3" t="s">
        <v>861</v>
      </c>
      <c r="B276" s="3" t="s">
        <v>873</v>
      </c>
      <c r="C276" t="s">
        <v>874</v>
      </c>
      <c r="D276" s="3" t="s">
        <v>7329</v>
      </c>
      <c r="E276" t="s">
        <v>897</v>
      </c>
      <c r="F276" s="3" t="s">
        <v>898</v>
      </c>
      <c r="G276" s="10">
        <v>0</v>
      </c>
      <c r="H276" s="3" t="s">
        <v>24</v>
      </c>
      <c r="I276" t="s">
        <v>879</v>
      </c>
      <c r="J276" s="3" t="s">
        <v>138</v>
      </c>
      <c r="K276" t="s">
        <v>23</v>
      </c>
      <c r="L276" s="3" t="s">
        <v>5837</v>
      </c>
      <c r="M276" t="s">
        <v>23</v>
      </c>
      <c r="N276" s="8">
        <v>0.25193300000000002</v>
      </c>
    </row>
    <row r="277" spans="1:14" hidden="1" x14ac:dyDescent="0.55000000000000004">
      <c r="A277" s="3" t="s">
        <v>861</v>
      </c>
      <c r="B277" s="3" t="s">
        <v>7333</v>
      </c>
      <c r="C277" t="s">
        <v>874</v>
      </c>
      <c r="D277" s="3" t="s">
        <v>7329</v>
      </c>
      <c r="E277" t="s">
        <v>899</v>
      </c>
      <c r="F277" s="3" t="s">
        <v>900</v>
      </c>
      <c r="G277" s="10">
        <v>0</v>
      </c>
      <c r="H277" s="3" t="s">
        <v>24</v>
      </c>
      <c r="I277" t="s">
        <v>879</v>
      </c>
      <c r="J277" s="3" t="s">
        <v>138</v>
      </c>
      <c r="K277" t="s">
        <v>23</v>
      </c>
      <c r="L277" s="3" t="s">
        <v>5837</v>
      </c>
      <c r="M277" t="s">
        <v>23</v>
      </c>
      <c r="N277" s="8">
        <v>0.25193300000000002</v>
      </c>
    </row>
    <row r="278" spans="1:14" hidden="1" x14ac:dyDescent="0.55000000000000004">
      <c r="A278" s="3" t="s">
        <v>861</v>
      </c>
      <c r="B278" s="3" t="s">
        <v>7333</v>
      </c>
      <c r="C278" t="s">
        <v>874</v>
      </c>
      <c r="D278" s="3" t="s">
        <v>7329</v>
      </c>
      <c r="E278" t="s">
        <v>901</v>
      </c>
      <c r="F278" s="3" t="s">
        <v>902</v>
      </c>
      <c r="G278" s="10">
        <v>0</v>
      </c>
      <c r="H278" s="3" t="s">
        <v>24</v>
      </c>
      <c r="I278" t="s">
        <v>879</v>
      </c>
      <c r="J278" s="3" t="s">
        <v>138</v>
      </c>
      <c r="K278" t="s">
        <v>23</v>
      </c>
      <c r="L278" s="3" t="s">
        <v>5837</v>
      </c>
      <c r="M278" t="s">
        <v>23</v>
      </c>
      <c r="N278" s="8">
        <v>0.25193300000000002</v>
      </c>
    </row>
    <row r="279" spans="1:14" hidden="1" x14ac:dyDescent="0.55000000000000004">
      <c r="A279" s="3" t="s">
        <v>861</v>
      </c>
      <c r="B279" s="3" t="s">
        <v>873</v>
      </c>
      <c r="C279" t="s">
        <v>874</v>
      </c>
      <c r="D279" s="3" t="s">
        <v>7329</v>
      </c>
      <c r="E279" t="s">
        <v>903</v>
      </c>
      <c r="F279" s="3" t="s">
        <v>904</v>
      </c>
      <c r="G279" s="10">
        <v>0</v>
      </c>
      <c r="H279" s="3" t="s">
        <v>24</v>
      </c>
      <c r="I279" t="s">
        <v>879</v>
      </c>
      <c r="J279" s="3" t="s">
        <v>138</v>
      </c>
      <c r="K279" t="s">
        <v>23</v>
      </c>
      <c r="L279" s="3" t="s">
        <v>5837</v>
      </c>
      <c r="M279" t="s">
        <v>23</v>
      </c>
      <c r="N279" s="8">
        <v>0.25193300000000002</v>
      </c>
    </row>
    <row r="280" spans="1:14" hidden="1" x14ac:dyDescent="0.55000000000000004">
      <c r="A280" s="3" t="s">
        <v>861</v>
      </c>
      <c r="B280" s="3" t="s">
        <v>905</v>
      </c>
      <c r="C280" t="s">
        <v>905</v>
      </c>
      <c r="D280" s="3" t="s">
        <v>7329</v>
      </c>
      <c r="E280" t="s">
        <v>906</v>
      </c>
      <c r="F280" s="3" t="s">
        <v>907</v>
      </c>
      <c r="G280" s="10">
        <v>1</v>
      </c>
      <c r="H280" s="3" t="s">
        <v>24</v>
      </c>
      <c r="I280" t="s">
        <v>913</v>
      </c>
      <c r="J280" s="3" t="s">
        <v>46</v>
      </c>
      <c r="K280" t="s">
        <v>5836</v>
      </c>
      <c r="L280" s="3" t="s">
        <v>5837</v>
      </c>
      <c r="M280" t="s">
        <v>5926</v>
      </c>
      <c r="N280" s="8">
        <v>0.2356</v>
      </c>
    </row>
    <row r="281" spans="1:14" hidden="1" x14ac:dyDescent="0.55000000000000004">
      <c r="A281" s="3" t="s">
        <v>861</v>
      </c>
      <c r="B281" s="3" t="s">
        <v>905</v>
      </c>
      <c r="C281" t="s">
        <v>905</v>
      </c>
      <c r="D281" s="3" t="s">
        <v>7329</v>
      </c>
      <c r="E281" t="s">
        <v>916</v>
      </c>
      <c r="F281" s="3" t="s">
        <v>917</v>
      </c>
      <c r="G281" s="10">
        <v>0</v>
      </c>
      <c r="H281" s="3" t="s">
        <v>24</v>
      </c>
      <c r="I281" t="s">
        <v>913</v>
      </c>
      <c r="J281" s="3" t="s">
        <v>46</v>
      </c>
      <c r="K281" t="s">
        <v>5836</v>
      </c>
      <c r="L281" s="3" t="s">
        <v>5837</v>
      </c>
      <c r="M281" t="s">
        <v>5926</v>
      </c>
      <c r="N281" s="8">
        <v>0.2356</v>
      </c>
    </row>
    <row r="282" spans="1:14" hidden="1" x14ac:dyDescent="0.55000000000000004">
      <c r="A282" s="3" t="s">
        <v>861</v>
      </c>
      <c r="B282" s="3" t="s">
        <v>905</v>
      </c>
      <c r="C282" t="s">
        <v>905</v>
      </c>
      <c r="D282" s="3" t="s">
        <v>7329</v>
      </c>
      <c r="E282" t="s">
        <v>918</v>
      </c>
      <c r="F282" s="3" t="s">
        <v>919</v>
      </c>
      <c r="G282" s="10">
        <v>0</v>
      </c>
      <c r="H282" s="3" t="s">
        <v>24</v>
      </c>
      <c r="I282" t="s">
        <v>913</v>
      </c>
      <c r="J282" s="3" t="s">
        <v>46</v>
      </c>
      <c r="K282" t="s">
        <v>5836</v>
      </c>
      <c r="L282" s="3" t="s">
        <v>5837</v>
      </c>
      <c r="M282" t="s">
        <v>5926</v>
      </c>
      <c r="N282" s="8">
        <v>0.2356</v>
      </c>
    </row>
    <row r="283" spans="1:14" hidden="1" x14ac:dyDescent="0.55000000000000004">
      <c r="A283" s="3" t="s">
        <v>861</v>
      </c>
      <c r="B283" s="3" t="s">
        <v>905</v>
      </c>
      <c r="C283" t="s">
        <v>905</v>
      </c>
      <c r="D283" s="3" t="s">
        <v>7329</v>
      </c>
      <c r="E283" t="s">
        <v>920</v>
      </c>
      <c r="F283" s="3" t="s">
        <v>921</v>
      </c>
      <c r="G283" s="10">
        <v>0</v>
      </c>
      <c r="H283" s="3" t="s">
        <v>24</v>
      </c>
      <c r="I283" t="s">
        <v>913</v>
      </c>
      <c r="J283" s="3" t="s">
        <v>46</v>
      </c>
      <c r="K283" t="s">
        <v>5836</v>
      </c>
      <c r="L283" s="3" t="s">
        <v>5837</v>
      </c>
      <c r="M283" t="s">
        <v>5926</v>
      </c>
      <c r="N283" s="8">
        <v>0.2356</v>
      </c>
    </row>
    <row r="284" spans="1:14" hidden="1" x14ac:dyDescent="0.55000000000000004">
      <c r="A284" s="3" t="s">
        <v>861</v>
      </c>
      <c r="B284" s="3" t="s">
        <v>922</v>
      </c>
      <c r="C284" t="s">
        <v>922</v>
      </c>
      <c r="D284" s="3" t="s">
        <v>7329</v>
      </c>
      <c r="E284" t="s">
        <v>923</v>
      </c>
      <c r="F284" s="3" t="s">
        <v>924</v>
      </c>
      <c r="G284" s="10">
        <v>0</v>
      </c>
      <c r="H284" s="3" t="s">
        <v>24</v>
      </c>
      <c r="I284" t="s">
        <v>927</v>
      </c>
      <c r="J284" s="3" t="s">
        <v>40</v>
      </c>
      <c r="K284" t="s">
        <v>23</v>
      </c>
      <c r="L284" s="3" t="s">
        <v>5835</v>
      </c>
      <c r="M284" t="s">
        <v>23</v>
      </c>
      <c r="N284" s="8">
        <v>0.25825799999999999</v>
      </c>
    </row>
    <row r="285" spans="1:14" hidden="1" x14ac:dyDescent="0.55000000000000004">
      <c r="A285" s="3" t="s">
        <v>861</v>
      </c>
      <c r="B285" s="3" t="s">
        <v>7330</v>
      </c>
      <c r="C285" t="s">
        <v>922</v>
      </c>
      <c r="D285" s="3" t="s">
        <v>7329</v>
      </c>
      <c r="E285" t="s">
        <v>928</v>
      </c>
      <c r="F285" s="3" t="s">
        <v>929</v>
      </c>
      <c r="G285" s="10">
        <v>0</v>
      </c>
      <c r="H285" s="3" t="s">
        <v>24</v>
      </c>
      <c r="I285" t="s">
        <v>927</v>
      </c>
      <c r="J285" s="3" t="s">
        <v>40</v>
      </c>
      <c r="K285" t="s">
        <v>23</v>
      </c>
      <c r="L285" s="3" t="s">
        <v>5835</v>
      </c>
      <c r="M285" t="s">
        <v>23</v>
      </c>
      <c r="N285" s="8">
        <v>0.25825799999999999</v>
      </c>
    </row>
    <row r="286" spans="1:14" hidden="1" x14ac:dyDescent="0.55000000000000004">
      <c r="A286" s="3" t="s">
        <v>861</v>
      </c>
      <c r="B286" s="3" t="s">
        <v>7332</v>
      </c>
      <c r="C286" t="s">
        <v>930</v>
      </c>
      <c r="D286" s="3" t="s">
        <v>7329</v>
      </c>
      <c r="E286" t="s">
        <v>931</v>
      </c>
      <c r="F286" s="3" t="s">
        <v>932</v>
      </c>
      <c r="G286" s="10">
        <v>0</v>
      </c>
      <c r="H286" s="3" t="s">
        <v>24</v>
      </c>
      <c r="I286" t="s">
        <v>941</v>
      </c>
      <c r="J286" s="3" t="s">
        <v>40</v>
      </c>
      <c r="K286" t="s">
        <v>23</v>
      </c>
      <c r="L286" s="3" t="s">
        <v>5835</v>
      </c>
      <c r="M286" t="s">
        <v>23</v>
      </c>
      <c r="N286" s="8">
        <v>0.26126500000000002</v>
      </c>
    </row>
    <row r="287" spans="1:14" hidden="1" x14ac:dyDescent="0.55000000000000004">
      <c r="A287" s="3" t="s">
        <v>861</v>
      </c>
      <c r="B287" s="3" t="s">
        <v>942</v>
      </c>
      <c r="C287" t="s">
        <v>942</v>
      </c>
      <c r="D287" s="3" t="s">
        <v>7329</v>
      </c>
      <c r="E287" t="s">
        <v>943</v>
      </c>
      <c r="F287" s="3" t="s">
        <v>944</v>
      </c>
      <c r="G287" s="10">
        <v>0</v>
      </c>
      <c r="H287" s="3" t="s">
        <v>24</v>
      </c>
      <c r="I287" t="s">
        <v>947</v>
      </c>
      <c r="J287" s="3" t="s">
        <v>40</v>
      </c>
      <c r="K287" t="s">
        <v>23</v>
      </c>
      <c r="L287" s="3" t="s">
        <v>5835</v>
      </c>
      <c r="M287" t="s">
        <v>23</v>
      </c>
      <c r="N287" s="8">
        <v>0.25867099999999998</v>
      </c>
    </row>
    <row r="288" spans="1:14" hidden="1" x14ac:dyDescent="0.55000000000000004">
      <c r="A288" s="3" t="s">
        <v>861</v>
      </c>
      <c r="B288" s="3" t="s">
        <v>948</v>
      </c>
      <c r="C288" t="s">
        <v>948</v>
      </c>
      <c r="D288" s="3" t="s">
        <v>7329</v>
      </c>
      <c r="E288" t="s">
        <v>949</v>
      </c>
      <c r="F288" s="3" t="s">
        <v>950</v>
      </c>
      <c r="G288" s="10">
        <v>0</v>
      </c>
      <c r="H288" s="3" t="s">
        <v>24</v>
      </c>
      <c r="I288" t="s">
        <v>953</v>
      </c>
      <c r="J288" s="3" t="s">
        <v>40</v>
      </c>
      <c r="K288" t="s">
        <v>23</v>
      </c>
      <c r="L288" s="3" t="s">
        <v>5835</v>
      </c>
      <c r="M288" t="s">
        <v>23</v>
      </c>
      <c r="N288" s="8">
        <v>0.25834099999999999</v>
      </c>
    </row>
    <row r="289" spans="1:14" hidden="1" x14ac:dyDescent="0.55000000000000004">
      <c r="A289" s="3" t="s">
        <v>861</v>
      </c>
      <c r="B289" s="3" t="s">
        <v>954</v>
      </c>
      <c r="C289" t="s">
        <v>954</v>
      </c>
      <c r="D289" s="3" t="s">
        <v>7329</v>
      </c>
      <c r="E289" t="s">
        <v>955</v>
      </c>
      <c r="F289" s="3" t="s">
        <v>956</v>
      </c>
      <c r="G289" s="10">
        <v>0</v>
      </c>
      <c r="H289" s="3" t="s">
        <v>24</v>
      </c>
      <c r="I289" t="s">
        <v>959</v>
      </c>
      <c r="J289" s="3" t="s">
        <v>40</v>
      </c>
      <c r="K289" t="s">
        <v>23</v>
      </c>
      <c r="L289" s="3" t="s">
        <v>5835</v>
      </c>
      <c r="M289" t="s">
        <v>23</v>
      </c>
      <c r="N289" s="8">
        <v>0.26155800000000001</v>
      </c>
    </row>
    <row r="290" spans="1:14" hidden="1" x14ac:dyDescent="0.55000000000000004">
      <c r="A290" s="3" t="s">
        <v>861</v>
      </c>
      <c r="B290" s="3" t="s">
        <v>954</v>
      </c>
      <c r="C290" t="s">
        <v>954</v>
      </c>
      <c r="D290" s="3" t="s">
        <v>7329</v>
      </c>
      <c r="E290" t="s">
        <v>960</v>
      </c>
      <c r="F290" s="3" t="s">
        <v>961</v>
      </c>
      <c r="G290" s="10">
        <v>0</v>
      </c>
      <c r="H290" s="3" t="s">
        <v>24</v>
      </c>
      <c r="I290" t="s">
        <v>959</v>
      </c>
      <c r="J290" s="3" t="s">
        <v>40</v>
      </c>
      <c r="K290" t="s">
        <v>23</v>
      </c>
      <c r="L290" s="3" t="s">
        <v>5835</v>
      </c>
      <c r="M290" t="s">
        <v>23</v>
      </c>
      <c r="N290" s="8">
        <v>0.26155800000000001</v>
      </c>
    </row>
    <row r="291" spans="1:14" hidden="1" x14ac:dyDescent="0.55000000000000004">
      <c r="A291" s="3" t="s">
        <v>861</v>
      </c>
      <c r="B291" s="3" t="s">
        <v>954</v>
      </c>
      <c r="C291" t="s">
        <v>954</v>
      </c>
      <c r="D291" s="3" t="s">
        <v>7329</v>
      </c>
      <c r="E291" t="s">
        <v>962</v>
      </c>
      <c r="F291" s="3" t="s">
        <v>963</v>
      </c>
      <c r="G291" s="10">
        <v>0</v>
      </c>
      <c r="H291" s="3" t="s">
        <v>24</v>
      </c>
      <c r="I291" t="s">
        <v>959</v>
      </c>
      <c r="J291" s="3" t="s">
        <v>40</v>
      </c>
      <c r="K291" t="s">
        <v>23</v>
      </c>
      <c r="L291" s="3" t="s">
        <v>5835</v>
      </c>
      <c r="M291" t="s">
        <v>23</v>
      </c>
      <c r="N291" s="8">
        <v>0.26155800000000001</v>
      </c>
    </row>
    <row r="292" spans="1:14" hidden="1" x14ac:dyDescent="0.55000000000000004">
      <c r="A292" s="3" t="s">
        <v>861</v>
      </c>
      <c r="B292" s="3" t="s">
        <v>7331</v>
      </c>
      <c r="C292" t="s">
        <v>954</v>
      </c>
      <c r="D292" s="3" t="s">
        <v>7329</v>
      </c>
      <c r="E292" t="s">
        <v>964</v>
      </c>
      <c r="F292" s="3" t="s">
        <v>965</v>
      </c>
      <c r="G292" s="10">
        <v>0</v>
      </c>
      <c r="H292" s="3" t="s">
        <v>24</v>
      </c>
      <c r="I292" t="s">
        <v>959</v>
      </c>
      <c r="J292" s="3" t="s">
        <v>40</v>
      </c>
      <c r="K292" t="s">
        <v>23</v>
      </c>
      <c r="L292" s="3" t="s">
        <v>5835</v>
      </c>
      <c r="M292" t="s">
        <v>23</v>
      </c>
      <c r="N292" s="8">
        <v>0.26155800000000001</v>
      </c>
    </row>
    <row r="293" spans="1:14" hidden="1" x14ac:dyDescent="0.55000000000000004">
      <c r="A293" s="3" t="s">
        <v>861</v>
      </c>
      <c r="B293" s="3" t="s">
        <v>954</v>
      </c>
      <c r="C293" t="s">
        <v>954</v>
      </c>
      <c r="D293" s="3" t="s">
        <v>7329</v>
      </c>
      <c r="E293" t="s">
        <v>966</v>
      </c>
      <c r="F293" s="3" t="s">
        <v>967</v>
      </c>
      <c r="G293" s="10">
        <v>1</v>
      </c>
      <c r="H293" s="3" t="s">
        <v>24</v>
      </c>
      <c r="I293" t="s">
        <v>959</v>
      </c>
      <c r="J293" s="3" t="s">
        <v>40</v>
      </c>
      <c r="K293" t="s">
        <v>23</v>
      </c>
      <c r="L293" s="3" t="s">
        <v>5835</v>
      </c>
      <c r="M293" t="s">
        <v>23</v>
      </c>
      <c r="N293" s="8">
        <v>0.26155800000000001</v>
      </c>
    </row>
    <row r="294" spans="1:14" hidden="1" x14ac:dyDescent="0.55000000000000004">
      <c r="A294" s="3" t="s">
        <v>861</v>
      </c>
      <c r="B294" s="3" t="s">
        <v>954</v>
      </c>
      <c r="C294" t="s">
        <v>954</v>
      </c>
      <c r="D294" s="3" t="s">
        <v>7329</v>
      </c>
      <c r="E294" t="s">
        <v>968</v>
      </c>
      <c r="F294" s="3" t="s">
        <v>969</v>
      </c>
      <c r="G294" s="10">
        <v>0</v>
      </c>
      <c r="H294" s="3" t="s">
        <v>24</v>
      </c>
      <c r="I294" t="s">
        <v>959</v>
      </c>
      <c r="J294" s="3" t="s">
        <v>40</v>
      </c>
      <c r="K294" t="s">
        <v>23</v>
      </c>
      <c r="L294" s="3" t="s">
        <v>5835</v>
      </c>
      <c r="M294" t="s">
        <v>23</v>
      </c>
      <c r="N294" s="8">
        <v>0.26155800000000001</v>
      </c>
    </row>
    <row r="295" spans="1:14" hidden="1" x14ac:dyDescent="0.55000000000000004">
      <c r="A295" s="3" t="s">
        <v>861</v>
      </c>
      <c r="B295" s="3" t="s">
        <v>954</v>
      </c>
      <c r="C295" t="s">
        <v>954</v>
      </c>
      <c r="D295" s="3" t="s">
        <v>7329</v>
      </c>
      <c r="E295" t="s">
        <v>970</v>
      </c>
      <c r="F295" s="3" t="s">
        <v>971</v>
      </c>
      <c r="G295" s="10">
        <v>0</v>
      </c>
      <c r="H295" s="3" t="s">
        <v>24</v>
      </c>
      <c r="I295" t="s">
        <v>959</v>
      </c>
      <c r="J295" s="3" t="s">
        <v>40</v>
      </c>
      <c r="K295" t="s">
        <v>23</v>
      </c>
      <c r="L295" s="3" t="s">
        <v>5835</v>
      </c>
      <c r="M295" t="s">
        <v>23</v>
      </c>
      <c r="N295" s="8">
        <v>0.26155800000000001</v>
      </c>
    </row>
    <row r="296" spans="1:14" hidden="1" x14ac:dyDescent="0.55000000000000004">
      <c r="A296" s="3" t="s">
        <v>861</v>
      </c>
      <c r="B296" s="3" t="s">
        <v>954</v>
      </c>
      <c r="C296" t="s">
        <v>954</v>
      </c>
      <c r="D296" s="3" t="s">
        <v>7329</v>
      </c>
      <c r="E296" t="s">
        <v>972</v>
      </c>
      <c r="F296" s="3" t="s">
        <v>973</v>
      </c>
      <c r="G296" s="10">
        <v>0</v>
      </c>
      <c r="H296" s="3" t="s">
        <v>24</v>
      </c>
      <c r="I296" t="s">
        <v>959</v>
      </c>
      <c r="J296" s="3" t="s">
        <v>40</v>
      </c>
      <c r="K296" t="s">
        <v>23</v>
      </c>
      <c r="L296" s="3" t="s">
        <v>5835</v>
      </c>
      <c r="M296" t="s">
        <v>23</v>
      </c>
      <c r="N296" s="8">
        <v>0.26155800000000001</v>
      </c>
    </row>
    <row r="297" spans="1:14" hidden="1" x14ac:dyDescent="0.55000000000000004">
      <c r="A297" s="3" t="s">
        <v>861</v>
      </c>
      <c r="B297" s="3" t="s">
        <v>954</v>
      </c>
      <c r="C297" t="s">
        <v>954</v>
      </c>
      <c r="D297" s="3" t="s">
        <v>7329</v>
      </c>
      <c r="E297" t="s">
        <v>974</v>
      </c>
      <c r="F297" s="3" t="s">
        <v>975</v>
      </c>
      <c r="G297" s="10">
        <v>0</v>
      </c>
      <c r="H297" s="3" t="s">
        <v>24</v>
      </c>
      <c r="I297" t="s">
        <v>959</v>
      </c>
      <c r="J297" s="3" t="s">
        <v>40</v>
      </c>
      <c r="K297" t="s">
        <v>23</v>
      </c>
      <c r="L297" s="3" t="s">
        <v>5835</v>
      </c>
      <c r="M297" t="s">
        <v>23</v>
      </c>
      <c r="N297" s="8">
        <v>0.26155800000000001</v>
      </c>
    </row>
    <row r="298" spans="1:14" hidden="1" x14ac:dyDescent="0.55000000000000004">
      <c r="A298" s="3" t="s">
        <v>861</v>
      </c>
      <c r="B298" s="3" t="s">
        <v>954</v>
      </c>
      <c r="C298" t="s">
        <v>954</v>
      </c>
      <c r="D298" s="3" t="s">
        <v>7329</v>
      </c>
      <c r="E298" t="s">
        <v>976</v>
      </c>
      <c r="F298" s="3" t="s">
        <v>977</v>
      </c>
      <c r="G298" s="10">
        <v>0</v>
      </c>
      <c r="H298" s="3" t="s">
        <v>24</v>
      </c>
      <c r="I298" t="s">
        <v>959</v>
      </c>
      <c r="J298" s="3" t="s">
        <v>40</v>
      </c>
      <c r="K298" t="s">
        <v>23</v>
      </c>
      <c r="L298" s="3" t="s">
        <v>5835</v>
      </c>
      <c r="M298" t="s">
        <v>23</v>
      </c>
      <c r="N298" s="8">
        <v>0.26155800000000001</v>
      </c>
    </row>
    <row r="299" spans="1:14" hidden="1" x14ac:dyDescent="0.55000000000000004">
      <c r="A299" s="9" t="s">
        <v>861</v>
      </c>
      <c r="B299" s="3" t="s">
        <v>978</v>
      </c>
      <c r="C299" t="s">
        <v>978</v>
      </c>
      <c r="D299" s="3" t="s">
        <v>7329</v>
      </c>
      <c r="E299" t="s">
        <v>979</v>
      </c>
      <c r="F299" s="3" t="s">
        <v>980</v>
      </c>
      <c r="G299" s="10">
        <v>0</v>
      </c>
      <c r="H299" s="3" t="s">
        <v>24</v>
      </c>
      <c r="I299" t="s">
        <v>983</v>
      </c>
      <c r="J299" s="3" t="s">
        <v>40</v>
      </c>
      <c r="K299" t="s">
        <v>23</v>
      </c>
      <c r="L299" s="3" t="s">
        <v>5835</v>
      </c>
      <c r="M299" t="s">
        <v>23</v>
      </c>
      <c r="N299" s="8">
        <v>0.29324299999999998</v>
      </c>
    </row>
    <row r="300" spans="1:14" hidden="1" x14ac:dyDescent="0.55000000000000004">
      <c r="A300" s="3" t="s">
        <v>987</v>
      </c>
      <c r="B300" s="3" t="s">
        <v>988</v>
      </c>
      <c r="C300" t="s">
        <v>988</v>
      </c>
      <c r="D300" s="3" t="s">
        <v>7329</v>
      </c>
      <c r="E300" t="s">
        <v>989</v>
      </c>
      <c r="F300" s="3" t="s">
        <v>990</v>
      </c>
      <c r="G300" s="10">
        <v>0</v>
      </c>
      <c r="H300" s="3" t="s">
        <v>19</v>
      </c>
      <c r="I300" t="s">
        <v>993</v>
      </c>
      <c r="J300" s="3" t="s">
        <v>84</v>
      </c>
      <c r="K300" t="s">
        <v>5842</v>
      </c>
      <c r="L300" s="3" t="s">
        <v>5843</v>
      </c>
      <c r="M300" t="s">
        <v>5927</v>
      </c>
      <c r="N300" s="8">
        <v>4.2035999999999997E-2</v>
      </c>
    </row>
    <row r="301" spans="1:14" hidden="1" x14ac:dyDescent="0.55000000000000004">
      <c r="A301" s="3" t="s">
        <v>987</v>
      </c>
      <c r="B301" s="3" t="s">
        <v>988</v>
      </c>
      <c r="C301" t="s">
        <v>988</v>
      </c>
      <c r="D301" s="3" t="s">
        <v>7329</v>
      </c>
      <c r="E301" t="s">
        <v>989</v>
      </c>
      <c r="F301" s="3" t="s">
        <v>990</v>
      </c>
      <c r="G301" s="10">
        <v>0</v>
      </c>
      <c r="H301" s="3" t="s">
        <v>24</v>
      </c>
      <c r="I301" t="s">
        <v>996</v>
      </c>
      <c r="J301" s="3" t="s">
        <v>46</v>
      </c>
      <c r="K301" t="s">
        <v>5836</v>
      </c>
      <c r="L301" s="3" t="s">
        <v>5837</v>
      </c>
      <c r="M301" t="s">
        <v>5928</v>
      </c>
      <c r="N301" s="8">
        <v>0.23910000000000001</v>
      </c>
    </row>
    <row r="302" spans="1:14" hidden="1" x14ac:dyDescent="0.55000000000000004">
      <c r="A302" s="3" t="s">
        <v>987</v>
      </c>
      <c r="B302" s="3" t="s">
        <v>988</v>
      </c>
      <c r="C302" t="s">
        <v>988</v>
      </c>
      <c r="D302" s="3" t="s">
        <v>7329</v>
      </c>
      <c r="E302" t="s">
        <v>999</v>
      </c>
      <c r="F302" s="3" t="s">
        <v>1000</v>
      </c>
      <c r="G302" s="10">
        <v>1</v>
      </c>
      <c r="H302" s="3" t="s">
        <v>19</v>
      </c>
      <c r="I302" t="s">
        <v>993</v>
      </c>
      <c r="J302" s="3" t="s">
        <v>84</v>
      </c>
      <c r="K302" t="s">
        <v>5842</v>
      </c>
      <c r="L302" s="3" t="s">
        <v>5843</v>
      </c>
      <c r="M302" t="s">
        <v>5927</v>
      </c>
      <c r="N302" s="8">
        <v>4.2035999999999997E-2</v>
      </c>
    </row>
    <row r="303" spans="1:14" hidden="1" x14ac:dyDescent="0.55000000000000004">
      <c r="A303" s="3" t="s">
        <v>987</v>
      </c>
      <c r="B303" s="3" t="s">
        <v>988</v>
      </c>
      <c r="C303" t="s">
        <v>988</v>
      </c>
      <c r="D303" s="3" t="s">
        <v>7329</v>
      </c>
      <c r="E303" t="s">
        <v>999</v>
      </c>
      <c r="F303" s="3" t="s">
        <v>1000</v>
      </c>
      <c r="G303" s="10">
        <v>1</v>
      </c>
      <c r="H303" s="3" t="s">
        <v>24</v>
      </c>
      <c r="I303" t="s">
        <v>996</v>
      </c>
      <c r="J303" s="3" t="s">
        <v>46</v>
      </c>
      <c r="K303" t="s">
        <v>5836</v>
      </c>
      <c r="L303" s="3" t="s">
        <v>5837</v>
      </c>
      <c r="M303" t="s">
        <v>5928</v>
      </c>
      <c r="N303" s="8">
        <v>0.23910000000000001</v>
      </c>
    </row>
    <row r="304" spans="1:14" hidden="1" x14ac:dyDescent="0.55000000000000004">
      <c r="A304" s="3" t="s">
        <v>987</v>
      </c>
      <c r="B304" s="3" t="s">
        <v>988</v>
      </c>
      <c r="C304" t="s">
        <v>988</v>
      </c>
      <c r="D304" s="3" t="s">
        <v>7329</v>
      </c>
      <c r="E304" t="s">
        <v>1001</v>
      </c>
      <c r="F304" s="3" t="s">
        <v>1002</v>
      </c>
      <c r="G304" s="10">
        <v>0</v>
      </c>
      <c r="H304" s="3" t="s">
        <v>19</v>
      </c>
      <c r="I304" t="s">
        <v>1005</v>
      </c>
      <c r="J304" s="3" t="s">
        <v>84</v>
      </c>
      <c r="K304" t="s">
        <v>5842</v>
      </c>
      <c r="L304" s="3" t="s">
        <v>5843</v>
      </c>
      <c r="M304" t="s">
        <v>5929</v>
      </c>
      <c r="N304" s="8">
        <v>4.2035999999999997E-2</v>
      </c>
    </row>
    <row r="305" spans="1:14" hidden="1" x14ac:dyDescent="0.55000000000000004">
      <c r="A305" s="3" t="s">
        <v>987</v>
      </c>
      <c r="B305" s="3" t="s">
        <v>988</v>
      </c>
      <c r="C305" t="s">
        <v>988</v>
      </c>
      <c r="D305" s="3" t="s">
        <v>7329</v>
      </c>
      <c r="E305" t="s">
        <v>1001</v>
      </c>
      <c r="F305" s="3" t="s">
        <v>1002</v>
      </c>
      <c r="G305" s="10">
        <v>0</v>
      </c>
      <c r="H305" s="3" t="s">
        <v>24</v>
      </c>
      <c r="I305" t="s">
        <v>996</v>
      </c>
      <c r="J305" s="3" t="s">
        <v>46</v>
      </c>
      <c r="K305" t="s">
        <v>5836</v>
      </c>
      <c r="L305" s="3" t="s">
        <v>5837</v>
      </c>
      <c r="M305" t="s">
        <v>5928</v>
      </c>
      <c r="N305" s="8">
        <v>0.23910000000000001</v>
      </c>
    </row>
    <row r="306" spans="1:14" hidden="1" x14ac:dyDescent="0.55000000000000004">
      <c r="A306" s="3" t="s">
        <v>987</v>
      </c>
      <c r="B306" s="3" t="s">
        <v>1006</v>
      </c>
      <c r="C306" t="s">
        <v>1006</v>
      </c>
      <c r="D306" s="3" t="s">
        <v>7329</v>
      </c>
      <c r="E306" t="s">
        <v>1007</v>
      </c>
      <c r="F306" s="3" t="s">
        <v>1008</v>
      </c>
      <c r="G306" s="10">
        <v>0</v>
      </c>
      <c r="H306" s="3" t="s">
        <v>19</v>
      </c>
      <c r="I306" t="s">
        <v>1011</v>
      </c>
      <c r="J306" s="3" t="s">
        <v>84</v>
      </c>
      <c r="K306" t="s">
        <v>5842</v>
      </c>
      <c r="L306" s="3" t="s">
        <v>5843</v>
      </c>
      <c r="M306" t="s">
        <v>5930</v>
      </c>
      <c r="N306" s="8">
        <v>4.1707000000000001E-2</v>
      </c>
    </row>
    <row r="307" spans="1:14" hidden="1" x14ac:dyDescent="0.55000000000000004">
      <c r="A307" s="3" t="s">
        <v>987</v>
      </c>
      <c r="B307" s="3" t="s">
        <v>1006</v>
      </c>
      <c r="C307" t="s">
        <v>1006</v>
      </c>
      <c r="D307" s="3" t="s">
        <v>7329</v>
      </c>
      <c r="E307" t="s">
        <v>1007</v>
      </c>
      <c r="F307" s="3" t="s">
        <v>1008</v>
      </c>
      <c r="G307" s="10">
        <v>0</v>
      </c>
      <c r="H307" s="3" t="s">
        <v>24</v>
      </c>
      <c r="I307" t="s">
        <v>1014</v>
      </c>
      <c r="J307" s="3" t="s">
        <v>46</v>
      </c>
      <c r="K307" t="s">
        <v>5836</v>
      </c>
      <c r="L307" s="3" t="s">
        <v>5837</v>
      </c>
      <c r="M307" t="s">
        <v>5931</v>
      </c>
      <c r="N307" s="8">
        <v>0.2298</v>
      </c>
    </row>
    <row r="308" spans="1:14" hidden="1" x14ac:dyDescent="0.55000000000000004">
      <c r="A308" s="3" t="s">
        <v>987</v>
      </c>
      <c r="B308" s="3" t="s">
        <v>1017</v>
      </c>
      <c r="C308" t="s">
        <v>1017</v>
      </c>
      <c r="D308" s="3" t="s">
        <v>7329</v>
      </c>
      <c r="E308" t="s">
        <v>1018</v>
      </c>
      <c r="F308" s="3" t="s">
        <v>1019</v>
      </c>
      <c r="G308" s="10">
        <v>1</v>
      </c>
      <c r="H308" s="3" t="s">
        <v>19</v>
      </c>
      <c r="I308" t="s">
        <v>1022</v>
      </c>
      <c r="J308" s="3" t="s">
        <v>84</v>
      </c>
      <c r="K308" t="s">
        <v>5842</v>
      </c>
      <c r="L308" s="3" t="s">
        <v>5843</v>
      </c>
      <c r="M308" t="s">
        <v>5932</v>
      </c>
      <c r="N308" s="8">
        <v>3.9913999999999998E-2</v>
      </c>
    </row>
    <row r="309" spans="1:14" hidden="1" x14ac:dyDescent="0.55000000000000004">
      <c r="A309" s="3" t="s">
        <v>987</v>
      </c>
      <c r="B309" s="3" t="s">
        <v>1017</v>
      </c>
      <c r="C309" t="s">
        <v>1017</v>
      </c>
      <c r="D309" s="3" t="s">
        <v>7329</v>
      </c>
      <c r="E309" t="s">
        <v>1018</v>
      </c>
      <c r="F309" s="3" t="s">
        <v>1019</v>
      </c>
      <c r="G309" s="10">
        <v>1</v>
      </c>
      <c r="H309" s="3" t="s">
        <v>24</v>
      </c>
      <c r="I309" t="s">
        <v>1028</v>
      </c>
      <c r="J309" s="3" t="s">
        <v>46</v>
      </c>
      <c r="K309" t="s">
        <v>5836</v>
      </c>
      <c r="L309" s="3" t="s">
        <v>5837</v>
      </c>
      <c r="M309" t="s">
        <v>5933</v>
      </c>
      <c r="N309" s="8">
        <v>0.22689999999999999</v>
      </c>
    </row>
    <row r="310" spans="1:14" hidden="1" x14ac:dyDescent="0.55000000000000004">
      <c r="A310" s="3" t="s">
        <v>987</v>
      </c>
      <c r="B310" s="3" t="s">
        <v>1017</v>
      </c>
      <c r="C310" t="s">
        <v>1017</v>
      </c>
      <c r="D310" s="3" t="s">
        <v>7329</v>
      </c>
      <c r="E310" t="s">
        <v>1031</v>
      </c>
      <c r="F310" s="3" t="s">
        <v>1032</v>
      </c>
      <c r="G310" s="10">
        <v>0</v>
      </c>
      <c r="H310" s="3" t="s">
        <v>19</v>
      </c>
      <c r="I310" t="s">
        <v>1022</v>
      </c>
      <c r="J310" s="3" t="s">
        <v>84</v>
      </c>
      <c r="K310" t="s">
        <v>5842</v>
      </c>
      <c r="L310" s="3" t="s">
        <v>5843</v>
      </c>
      <c r="M310" t="s">
        <v>5932</v>
      </c>
      <c r="N310" s="8">
        <v>3.9913999999999998E-2</v>
      </c>
    </row>
    <row r="311" spans="1:14" hidden="1" x14ac:dyDescent="0.55000000000000004">
      <c r="A311" s="3" t="s">
        <v>987</v>
      </c>
      <c r="B311" s="3" t="s">
        <v>1017</v>
      </c>
      <c r="C311" t="s">
        <v>1017</v>
      </c>
      <c r="D311" s="3" t="s">
        <v>7329</v>
      </c>
      <c r="E311" t="s">
        <v>1031</v>
      </c>
      <c r="F311" s="3" t="s">
        <v>1032</v>
      </c>
      <c r="G311" s="10">
        <v>0</v>
      </c>
      <c r="H311" s="3" t="s">
        <v>24</v>
      </c>
      <c r="I311" t="s">
        <v>1028</v>
      </c>
      <c r="J311" s="3" t="s">
        <v>46</v>
      </c>
      <c r="K311" t="s">
        <v>5836</v>
      </c>
      <c r="L311" s="3" t="s">
        <v>5837</v>
      </c>
      <c r="M311" t="s">
        <v>5933</v>
      </c>
      <c r="N311" s="8">
        <v>0.22689999999999999</v>
      </c>
    </row>
    <row r="312" spans="1:14" hidden="1" x14ac:dyDescent="0.55000000000000004">
      <c r="A312" s="3" t="s">
        <v>987</v>
      </c>
      <c r="B312" s="3" t="s">
        <v>1033</v>
      </c>
      <c r="C312" t="s">
        <v>1033</v>
      </c>
      <c r="D312" s="3" t="s">
        <v>7329</v>
      </c>
      <c r="E312" t="s">
        <v>1034</v>
      </c>
      <c r="F312" s="3" t="s">
        <v>1035</v>
      </c>
      <c r="G312" s="10">
        <v>0</v>
      </c>
      <c r="H312" s="3" t="s">
        <v>19</v>
      </c>
      <c r="I312" t="s">
        <v>1038</v>
      </c>
      <c r="J312" s="3" t="s">
        <v>84</v>
      </c>
      <c r="K312" t="s">
        <v>5842</v>
      </c>
      <c r="L312" s="3" t="s">
        <v>5843</v>
      </c>
      <c r="M312" t="s">
        <v>5934</v>
      </c>
      <c r="N312" s="8">
        <v>4.2923999999999997E-2</v>
      </c>
    </row>
    <row r="313" spans="1:14" hidden="1" x14ac:dyDescent="0.55000000000000004">
      <c r="A313" s="3" t="s">
        <v>987</v>
      </c>
      <c r="B313" s="3" t="s">
        <v>1033</v>
      </c>
      <c r="C313" t="s">
        <v>1033</v>
      </c>
      <c r="D313" s="3" t="s">
        <v>7329</v>
      </c>
      <c r="E313" t="s">
        <v>1034</v>
      </c>
      <c r="F313" s="3" t="s">
        <v>1035</v>
      </c>
      <c r="G313" s="10">
        <v>0</v>
      </c>
      <c r="H313" s="3" t="s">
        <v>24</v>
      </c>
      <c r="I313" t="s">
        <v>1041</v>
      </c>
      <c r="J313" s="3" t="s">
        <v>40</v>
      </c>
      <c r="K313" t="s">
        <v>23</v>
      </c>
      <c r="L313" s="3" t="s">
        <v>5835</v>
      </c>
      <c r="M313" t="s">
        <v>23</v>
      </c>
      <c r="N313" s="8">
        <v>0.25809700000000002</v>
      </c>
    </row>
    <row r="314" spans="1:14" hidden="1" x14ac:dyDescent="0.55000000000000004">
      <c r="A314" s="3" t="s">
        <v>987</v>
      </c>
      <c r="B314" s="3" t="s">
        <v>1033</v>
      </c>
      <c r="C314" t="s">
        <v>1033</v>
      </c>
      <c r="D314" s="3" t="s">
        <v>7329</v>
      </c>
      <c r="E314" t="s">
        <v>1042</v>
      </c>
      <c r="F314" s="3" t="s">
        <v>1043</v>
      </c>
      <c r="G314" s="10">
        <v>1</v>
      </c>
      <c r="H314" s="3" t="s">
        <v>19</v>
      </c>
      <c r="I314" t="s">
        <v>1038</v>
      </c>
      <c r="J314" s="3" t="s">
        <v>84</v>
      </c>
      <c r="K314" t="s">
        <v>5842</v>
      </c>
      <c r="L314" s="3" t="s">
        <v>5843</v>
      </c>
      <c r="M314" t="s">
        <v>5934</v>
      </c>
      <c r="N314" s="8">
        <v>4.2923999999999997E-2</v>
      </c>
    </row>
    <row r="315" spans="1:14" hidden="1" x14ac:dyDescent="0.55000000000000004">
      <c r="A315" s="3" t="s">
        <v>987</v>
      </c>
      <c r="B315" s="3" t="s">
        <v>1033</v>
      </c>
      <c r="C315" t="s">
        <v>1033</v>
      </c>
      <c r="D315" s="3" t="s">
        <v>7329</v>
      </c>
      <c r="E315" t="s">
        <v>1042</v>
      </c>
      <c r="F315" s="3" t="s">
        <v>1043</v>
      </c>
      <c r="G315" s="10">
        <v>1</v>
      </c>
      <c r="H315" s="3" t="s">
        <v>24</v>
      </c>
      <c r="I315" t="s">
        <v>1041</v>
      </c>
      <c r="J315" s="3" t="s">
        <v>40</v>
      </c>
      <c r="K315" t="s">
        <v>23</v>
      </c>
      <c r="L315" s="3" t="s">
        <v>5835</v>
      </c>
      <c r="M315" t="s">
        <v>23</v>
      </c>
      <c r="N315" s="8">
        <v>0.25809700000000002</v>
      </c>
    </row>
    <row r="316" spans="1:14" hidden="1" x14ac:dyDescent="0.55000000000000004">
      <c r="A316" s="3" t="s">
        <v>987</v>
      </c>
      <c r="B316" s="3" t="s">
        <v>1044</v>
      </c>
      <c r="C316" t="s">
        <v>1045</v>
      </c>
      <c r="D316" s="3" t="s">
        <v>7329</v>
      </c>
      <c r="E316" t="s">
        <v>1046</v>
      </c>
      <c r="F316" s="3" t="s">
        <v>1047</v>
      </c>
      <c r="G316" s="10">
        <v>1</v>
      </c>
      <c r="H316" s="3" t="s">
        <v>19</v>
      </c>
      <c r="I316" t="s">
        <v>1050</v>
      </c>
      <c r="J316" s="3" t="s">
        <v>89</v>
      </c>
      <c r="K316" t="s">
        <v>5849</v>
      </c>
      <c r="L316" s="3" t="s">
        <v>5850</v>
      </c>
      <c r="M316" t="s">
        <v>5935</v>
      </c>
      <c r="N316" s="8">
        <v>3.3750000000000002E-2</v>
      </c>
    </row>
    <row r="317" spans="1:14" hidden="1" x14ac:dyDescent="0.55000000000000004">
      <c r="A317" s="3" t="s">
        <v>987</v>
      </c>
      <c r="B317" s="3" t="s">
        <v>1044</v>
      </c>
      <c r="C317" t="s">
        <v>1045</v>
      </c>
      <c r="D317" s="3" t="s">
        <v>7329</v>
      </c>
      <c r="E317" t="s">
        <v>1046</v>
      </c>
      <c r="F317" s="3" t="s">
        <v>1047</v>
      </c>
      <c r="G317" s="10">
        <v>1</v>
      </c>
      <c r="H317" s="3" t="s">
        <v>24</v>
      </c>
      <c r="I317" t="s">
        <v>1056</v>
      </c>
      <c r="J317" s="3" t="s">
        <v>46</v>
      </c>
      <c r="K317" t="s">
        <v>5836</v>
      </c>
      <c r="L317" s="3" t="s">
        <v>5837</v>
      </c>
      <c r="M317" t="s">
        <v>5933</v>
      </c>
      <c r="N317" s="8">
        <v>0.22689999999999999</v>
      </c>
    </row>
    <row r="318" spans="1:14" hidden="1" x14ac:dyDescent="0.55000000000000004">
      <c r="A318" s="3" t="s">
        <v>987</v>
      </c>
      <c r="B318" s="3" t="s">
        <v>1062</v>
      </c>
      <c r="C318" t="s">
        <v>1045</v>
      </c>
      <c r="D318" s="3" t="s">
        <v>7329</v>
      </c>
      <c r="E318" t="s">
        <v>1063</v>
      </c>
      <c r="F318" s="3" t="s">
        <v>1064</v>
      </c>
      <c r="G318" s="10">
        <v>0</v>
      </c>
      <c r="H318" s="3" t="s">
        <v>19</v>
      </c>
      <c r="I318" t="s">
        <v>1067</v>
      </c>
      <c r="J318" s="3" t="s">
        <v>84</v>
      </c>
      <c r="K318" t="s">
        <v>5842</v>
      </c>
      <c r="L318" s="3" t="s">
        <v>5843</v>
      </c>
      <c r="M318" t="s">
        <v>5936</v>
      </c>
      <c r="N318" s="8">
        <v>3.8151999999999998E-2</v>
      </c>
    </row>
    <row r="319" spans="1:14" hidden="1" x14ac:dyDescent="0.55000000000000004">
      <c r="A319" s="3" t="s">
        <v>987</v>
      </c>
      <c r="B319" s="3" t="s">
        <v>1062</v>
      </c>
      <c r="C319" t="s">
        <v>1045</v>
      </c>
      <c r="D319" s="3" t="s">
        <v>7329</v>
      </c>
      <c r="E319" t="s">
        <v>1063</v>
      </c>
      <c r="F319" s="3" t="s">
        <v>1064</v>
      </c>
      <c r="G319" s="10">
        <v>0</v>
      </c>
      <c r="H319" s="3" t="s">
        <v>24</v>
      </c>
      <c r="I319" t="s">
        <v>1073</v>
      </c>
      <c r="J319" s="3" t="s">
        <v>46</v>
      </c>
      <c r="K319" t="s">
        <v>5836</v>
      </c>
      <c r="L319" s="3" t="s">
        <v>5837</v>
      </c>
      <c r="M319" t="s">
        <v>5933</v>
      </c>
      <c r="N319" s="8">
        <v>0.22689999999999999</v>
      </c>
    </row>
    <row r="320" spans="1:14" hidden="1" x14ac:dyDescent="0.55000000000000004">
      <c r="A320" s="3" t="s">
        <v>987</v>
      </c>
      <c r="B320" s="3" t="s">
        <v>1062</v>
      </c>
      <c r="C320" t="s">
        <v>1045</v>
      </c>
      <c r="D320" s="3" t="s">
        <v>7329</v>
      </c>
      <c r="E320" t="s">
        <v>1076</v>
      </c>
      <c r="F320" s="3" t="s">
        <v>1077</v>
      </c>
      <c r="G320" s="10">
        <v>1</v>
      </c>
      <c r="H320" s="3" t="s">
        <v>19</v>
      </c>
      <c r="I320" t="s">
        <v>1067</v>
      </c>
      <c r="J320" s="3" t="s">
        <v>84</v>
      </c>
      <c r="K320" t="s">
        <v>5842</v>
      </c>
      <c r="L320" s="3" t="s">
        <v>5843</v>
      </c>
      <c r="M320" t="s">
        <v>5936</v>
      </c>
      <c r="N320" s="8">
        <v>3.8151999999999998E-2</v>
      </c>
    </row>
    <row r="321" spans="1:14" hidden="1" x14ac:dyDescent="0.55000000000000004">
      <c r="A321" s="3" t="s">
        <v>987</v>
      </c>
      <c r="B321" s="3" t="s">
        <v>1062</v>
      </c>
      <c r="C321" t="s">
        <v>1045</v>
      </c>
      <c r="D321" s="3" t="s">
        <v>7329</v>
      </c>
      <c r="E321" t="s">
        <v>1076</v>
      </c>
      <c r="F321" s="3" t="s">
        <v>1077</v>
      </c>
      <c r="G321" s="10">
        <v>1</v>
      </c>
      <c r="H321" s="3" t="s">
        <v>24</v>
      </c>
      <c r="I321" t="s">
        <v>1073</v>
      </c>
      <c r="J321" s="3" t="s">
        <v>46</v>
      </c>
      <c r="K321" t="s">
        <v>5836</v>
      </c>
      <c r="L321" s="3" t="s">
        <v>5837</v>
      </c>
      <c r="M321" t="s">
        <v>5933</v>
      </c>
      <c r="N321" s="8">
        <v>0.22689999999999999</v>
      </c>
    </row>
    <row r="322" spans="1:14" hidden="1" x14ac:dyDescent="0.55000000000000004">
      <c r="A322" s="3" t="s">
        <v>987</v>
      </c>
      <c r="B322" s="3" t="s">
        <v>1078</v>
      </c>
      <c r="C322" t="s">
        <v>1078</v>
      </c>
      <c r="D322" s="3" t="s">
        <v>7329</v>
      </c>
      <c r="E322" t="s">
        <v>1079</v>
      </c>
      <c r="F322" s="3" t="s">
        <v>1080</v>
      </c>
      <c r="G322" s="10">
        <v>1</v>
      </c>
      <c r="H322" s="3" t="s">
        <v>19</v>
      </c>
      <c r="I322" t="s">
        <v>1083</v>
      </c>
      <c r="J322" s="3" t="s">
        <v>89</v>
      </c>
      <c r="K322" t="s">
        <v>5849</v>
      </c>
      <c r="L322" s="3" t="s">
        <v>5850</v>
      </c>
      <c r="M322" t="s">
        <v>5937</v>
      </c>
      <c r="N322" s="8">
        <v>3.5505000000000002E-2</v>
      </c>
    </row>
    <row r="323" spans="1:14" hidden="1" x14ac:dyDescent="0.55000000000000004">
      <c r="A323" s="3" t="s">
        <v>987</v>
      </c>
      <c r="B323" s="3" t="s">
        <v>1078</v>
      </c>
      <c r="C323" t="s">
        <v>1078</v>
      </c>
      <c r="D323" s="3" t="s">
        <v>7329</v>
      </c>
      <c r="E323" t="s">
        <v>1079</v>
      </c>
      <c r="F323" s="3" t="s">
        <v>1080</v>
      </c>
      <c r="G323" s="10">
        <v>1</v>
      </c>
      <c r="H323" s="3" t="s">
        <v>24</v>
      </c>
      <c r="I323" t="s">
        <v>1086</v>
      </c>
      <c r="J323" s="3" t="s">
        <v>46</v>
      </c>
      <c r="K323" t="s">
        <v>5836</v>
      </c>
      <c r="L323" s="3" t="s">
        <v>5837</v>
      </c>
      <c r="M323" t="s">
        <v>5938</v>
      </c>
      <c r="N323" s="8">
        <v>0.233067</v>
      </c>
    </row>
    <row r="324" spans="1:14" hidden="1" x14ac:dyDescent="0.55000000000000004">
      <c r="A324" s="3" t="s">
        <v>987</v>
      </c>
      <c r="B324" s="3" t="s">
        <v>1078</v>
      </c>
      <c r="C324" t="s">
        <v>1078</v>
      </c>
      <c r="D324" s="3" t="s">
        <v>7329</v>
      </c>
      <c r="E324" t="s">
        <v>1089</v>
      </c>
      <c r="F324" s="3" t="s">
        <v>1090</v>
      </c>
      <c r="G324" s="10">
        <v>0</v>
      </c>
      <c r="H324" s="3" t="s">
        <v>19</v>
      </c>
      <c r="I324" t="s">
        <v>1083</v>
      </c>
      <c r="J324" s="3" t="s">
        <v>89</v>
      </c>
      <c r="K324" t="s">
        <v>5849</v>
      </c>
      <c r="L324" s="3" t="s">
        <v>5850</v>
      </c>
      <c r="M324" t="s">
        <v>5937</v>
      </c>
      <c r="N324" s="8">
        <v>3.5505000000000002E-2</v>
      </c>
    </row>
    <row r="325" spans="1:14" hidden="1" x14ac:dyDescent="0.55000000000000004">
      <c r="A325" s="3" t="s">
        <v>987</v>
      </c>
      <c r="B325" s="3" t="s">
        <v>1078</v>
      </c>
      <c r="C325" t="s">
        <v>1078</v>
      </c>
      <c r="D325" s="3" t="s">
        <v>7329</v>
      </c>
      <c r="E325" t="s">
        <v>1089</v>
      </c>
      <c r="F325" s="3" t="s">
        <v>1090</v>
      </c>
      <c r="G325" s="10">
        <v>0</v>
      </c>
      <c r="H325" s="3" t="s">
        <v>24</v>
      </c>
      <c r="I325" t="s">
        <v>1086</v>
      </c>
      <c r="J325" s="3" t="s">
        <v>46</v>
      </c>
      <c r="K325" t="s">
        <v>5836</v>
      </c>
      <c r="L325" s="3" t="s">
        <v>5837</v>
      </c>
      <c r="M325" t="s">
        <v>5938</v>
      </c>
      <c r="N325" s="8">
        <v>0.233067</v>
      </c>
    </row>
    <row r="326" spans="1:14" hidden="1" x14ac:dyDescent="0.55000000000000004">
      <c r="A326" s="3" t="s">
        <v>987</v>
      </c>
      <c r="B326" s="3" t="s">
        <v>1078</v>
      </c>
      <c r="C326" t="s">
        <v>1078</v>
      </c>
      <c r="D326" s="3" t="s">
        <v>7329</v>
      </c>
      <c r="E326" t="s">
        <v>1091</v>
      </c>
      <c r="F326" s="3" t="s">
        <v>1092</v>
      </c>
      <c r="G326" s="10">
        <v>0</v>
      </c>
      <c r="H326" s="3" t="s">
        <v>19</v>
      </c>
      <c r="I326" t="s">
        <v>1083</v>
      </c>
      <c r="J326" s="3" t="s">
        <v>89</v>
      </c>
      <c r="K326" t="s">
        <v>5849</v>
      </c>
      <c r="L326" s="3" t="s">
        <v>5850</v>
      </c>
      <c r="M326" t="s">
        <v>5937</v>
      </c>
      <c r="N326" s="8">
        <v>3.5505000000000002E-2</v>
      </c>
    </row>
    <row r="327" spans="1:14" hidden="1" x14ac:dyDescent="0.55000000000000004">
      <c r="A327" s="3" t="s">
        <v>987</v>
      </c>
      <c r="B327" s="3" t="s">
        <v>1078</v>
      </c>
      <c r="C327" t="s">
        <v>1078</v>
      </c>
      <c r="D327" s="3" t="s">
        <v>7329</v>
      </c>
      <c r="E327" t="s">
        <v>1091</v>
      </c>
      <c r="F327" s="3" t="s">
        <v>1092</v>
      </c>
      <c r="G327" s="10">
        <v>0</v>
      </c>
      <c r="H327" s="3" t="s">
        <v>24</v>
      </c>
      <c r="I327" t="s">
        <v>1086</v>
      </c>
      <c r="J327" s="3" t="s">
        <v>46</v>
      </c>
      <c r="K327" t="s">
        <v>5836</v>
      </c>
      <c r="L327" s="3" t="s">
        <v>5837</v>
      </c>
      <c r="M327" t="s">
        <v>5938</v>
      </c>
      <c r="N327" s="8">
        <v>0.233067</v>
      </c>
    </row>
    <row r="328" spans="1:14" hidden="1" x14ac:dyDescent="0.55000000000000004">
      <c r="A328" s="3" t="s">
        <v>987</v>
      </c>
      <c r="B328" s="3" t="s">
        <v>1093</v>
      </c>
      <c r="C328" t="s">
        <v>1045</v>
      </c>
      <c r="D328" s="3" t="s">
        <v>7329</v>
      </c>
      <c r="E328" t="s">
        <v>1094</v>
      </c>
      <c r="F328" s="3" t="s">
        <v>1095</v>
      </c>
      <c r="G328" s="10">
        <v>0</v>
      </c>
      <c r="H328" s="3" t="s">
        <v>19</v>
      </c>
      <c r="I328" t="s">
        <v>1098</v>
      </c>
      <c r="J328" s="3" t="s">
        <v>84</v>
      </c>
      <c r="K328" t="s">
        <v>5842</v>
      </c>
      <c r="L328" s="3" t="s">
        <v>5843</v>
      </c>
      <c r="M328" t="s">
        <v>5939</v>
      </c>
      <c r="N328" s="8">
        <v>3.8151999999999998E-2</v>
      </c>
    </row>
    <row r="329" spans="1:14" hidden="1" x14ac:dyDescent="0.55000000000000004">
      <c r="A329" s="3" t="s">
        <v>987</v>
      </c>
      <c r="B329" s="3" t="s">
        <v>1093</v>
      </c>
      <c r="C329" t="s">
        <v>1045</v>
      </c>
      <c r="D329" s="3" t="s">
        <v>7329</v>
      </c>
      <c r="E329" t="s">
        <v>1094</v>
      </c>
      <c r="F329" s="3" t="s">
        <v>1095</v>
      </c>
      <c r="G329" s="10">
        <v>0</v>
      </c>
      <c r="H329" s="3" t="s">
        <v>24</v>
      </c>
      <c r="I329" t="s">
        <v>1101</v>
      </c>
      <c r="J329" s="3" t="s">
        <v>46</v>
      </c>
      <c r="K329" t="s">
        <v>5836</v>
      </c>
      <c r="L329" s="3" t="s">
        <v>5837</v>
      </c>
      <c r="M329" t="s">
        <v>5933</v>
      </c>
      <c r="N329" s="8">
        <v>0.22689999999999999</v>
      </c>
    </row>
    <row r="330" spans="1:14" hidden="1" x14ac:dyDescent="0.55000000000000004">
      <c r="A330" s="3" t="s">
        <v>987</v>
      </c>
      <c r="B330" s="3" t="s">
        <v>1093</v>
      </c>
      <c r="C330" t="s">
        <v>1045</v>
      </c>
      <c r="D330" s="3" t="s">
        <v>7329</v>
      </c>
      <c r="E330" t="s">
        <v>1104</v>
      </c>
      <c r="F330" s="3" t="s">
        <v>1105</v>
      </c>
      <c r="G330" s="10">
        <v>0</v>
      </c>
      <c r="H330" s="3" t="s">
        <v>19</v>
      </c>
      <c r="I330" t="s">
        <v>1098</v>
      </c>
      <c r="J330" s="3" t="s">
        <v>84</v>
      </c>
      <c r="K330" t="s">
        <v>5842</v>
      </c>
      <c r="L330" s="3" t="s">
        <v>5843</v>
      </c>
      <c r="M330" t="s">
        <v>5939</v>
      </c>
      <c r="N330" s="8">
        <v>3.8151999999999998E-2</v>
      </c>
    </row>
    <row r="331" spans="1:14" hidden="1" x14ac:dyDescent="0.55000000000000004">
      <c r="A331" s="3" t="s">
        <v>987</v>
      </c>
      <c r="B331" s="3" t="s">
        <v>1093</v>
      </c>
      <c r="C331" t="s">
        <v>1045</v>
      </c>
      <c r="D331" s="3" t="s">
        <v>7329</v>
      </c>
      <c r="E331" t="s">
        <v>1104</v>
      </c>
      <c r="F331" s="3" t="s">
        <v>1105</v>
      </c>
      <c r="G331" s="10">
        <v>0</v>
      </c>
      <c r="H331" s="3" t="s">
        <v>24</v>
      </c>
      <c r="I331" t="s">
        <v>1101</v>
      </c>
      <c r="J331" s="3" t="s">
        <v>46</v>
      </c>
      <c r="K331" t="s">
        <v>5836</v>
      </c>
      <c r="L331" s="3" t="s">
        <v>5837</v>
      </c>
      <c r="M331" t="s">
        <v>5933</v>
      </c>
      <c r="N331" s="8">
        <v>0.22689999999999999</v>
      </c>
    </row>
    <row r="332" spans="1:14" hidden="1" x14ac:dyDescent="0.55000000000000004">
      <c r="A332" s="3" t="s">
        <v>987</v>
      </c>
      <c r="B332" s="3" t="s">
        <v>1093</v>
      </c>
      <c r="C332" t="s">
        <v>1045</v>
      </c>
      <c r="D332" s="3" t="s">
        <v>7329</v>
      </c>
      <c r="E332" t="s">
        <v>1106</v>
      </c>
      <c r="F332" s="3" t="s">
        <v>1107</v>
      </c>
      <c r="G332" s="10">
        <v>0</v>
      </c>
      <c r="H332" s="3" t="s">
        <v>19</v>
      </c>
      <c r="I332" t="s">
        <v>1098</v>
      </c>
      <c r="J332" s="3" t="s">
        <v>84</v>
      </c>
      <c r="K332" t="s">
        <v>5842</v>
      </c>
      <c r="L332" s="3" t="s">
        <v>5843</v>
      </c>
      <c r="M332" t="s">
        <v>5939</v>
      </c>
      <c r="N332" s="8">
        <v>3.8151999999999998E-2</v>
      </c>
    </row>
    <row r="333" spans="1:14" hidden="1" x14ac:dyDescent="0.55000000000000004">
      <c r="A333" s="3" t="s">
        <v>987</v>
      </c>
      <c r="B333" s="3" t="s">
        <v>1093</v>
      </c>
      <c r="C333" t="s">
        <v>1045</v>
      </c>
      <c r="D333" s="3" t="s">
        <v>7329</v>
      </c>
      <c r="E333" t="s">
        <v>1106</v>
      </c>
      <c r="F333" s="3" t="s">
        <v>1107</v>
      </c>
      <c r="G333" s="10">
        <v>0</v>
      </c>
      <c r="H333" s="3" t="s">
        <v>24</v>
      </c>
      <c r="I333" t="s">
        <v>1101</v>
      </c>
      <c r="J333" s="3" t="s">
        <v>46</v>
      </c>
      <c r="K333" t="s">
        <v>5836</v>
      </c>
      <c r="L333" s="3" t="s">
        <v>5837</v>
      </c>
      <c r="M333" t="s">
        <v>5933</v>
      </c>
      <c r="N333" s="8">
        <v>0.22689999999999999</v>
      </c>
    </row>
    <row r="334" spans="1:14" hidden="1" x14ac:dyDescent="0.55000000000000004">
      <c r="A334" s="3" t="s">
        <v>987</v>
      </c>
      <c r="B334" s="3" t="s">
        <v>1093</v>
      </c>
      <c r="C334" t="s">
        <v>1045</v>
      </c>
      <c r="D334" s="3" t="s">
        <v>7329</v>
      </c>
      <c r="E334" t="s">
        <v>1111</v>
      </c>
      <c r="F334" s="3" t="s">
        <v>1112</v>
      </c>
      <c r="G334" s="10">
        <v>0</v>
      </c>
      <c r="H334" s="3" t="s">
        <v>19</v>
      </c>
      <c r="I334" t="s">
        <v>1098</v>
      </c>
      <c r="J334" s="3" t="s">
        <v>84</v>
      </c>
      <c r="K334" t="s">
        <v>5842</v>
      </c>
      <c r="L334" s="3" t="s">
        <v>5843</v>
      </c>
      <c r="M334" t="s">
        <v>5939</v>
      </c>
      <c r="N334" s="8">
        <v>3.8151999999999998E-2</v>
      </c>
    </row>
    <row r="335" spans="1:14" hidden="1" x14ac:dyDescent="0.55000000000000004">
      <c r="A335" s="3" t="s">
        <v>987</v>
      </c>
      <c r="B335" s="3" t="s">
        <v>1093</v>
      </c>
      <c r="C335" t="s">
        <v>1045</v>
      </c>
      <c r="D335" s="3" t="s">
        <v>7329</v>
      </c>
      <c r="E335" t="s">
        <v>1111</v>
      </c>
      <c r="F335" s="3" t="s">
        <v>1112</v>
      </c>
      <c r="G335" s="10">
        <v>0</v>
      </c>
      <c r="H335" s="3" t="s">
        <v>24</v>
      </c>
      <c r="I335" t="s">
        <v>1101</v>
      </c>
      <c r="J335" s="3" t="s">
        <v>46</v>
      </c>
      <c r="K335" t="s">
        <v>5836</v>
      </c>
      <c r="L335" s="3" t="s">
        <v>5837</v>
      </c>
      <c r="M335" t="s">
        <v>5933</v>
      </c>
      <c r="N335" s="8">
        <v>0.22689999999999999</v>
      </c>
    </row>
    <row r="336" spans="1:14" hidden="1" x14ac:dyDescent="0.55000000000000004">
      <c r="A336" s="3" t="s">
        <v>987</v>
      </c>
      <c r="B336" s="3" t="s">
        <v>1093</v>
      </c>
      <c r="C336" t="s">
        <v>1045</v>
      </c>
      <c r="D336" s="3" t="s">
        <v>7329</v>
      </c>
      <c r="E336" t="s">
        <v>1113</v>
      </c>
      <c r="F336" s="3" t="s">
        <v>1114</v>
      </c>
      <c r="G336" s="10">
        <v>0</v>
      </c>
      <c r="H336" s="3" t="s">
        <v>19</v>
      </c>
      <c r="I336" t="s">
        <v>1098</v>
      </c>
      <c r="J336" s="3" t="s">
        <v>84</v>
      </c>
      <c r="K336" t="s">
        <v>5842</v>
      </c>
      <c r="L336" s="3" t="s">
        <v>5843</v>
      </c>
      <c r="M336" t="s">
        <v>5939</v>
      </c>
      <c r="N336" s="8">
        <v>3.8151999999999998E-2</v>
      </c>
    </row>
    <row r="337" spans="1:14" hidden="1" x14ac:dyDescent="0.55000000000000004">
      <c r="A337" s="3" t="s">
        <v>987</v>
      </c>
      <c r="B337" s="3" t="s">
        <v>1093</v>
      </c>
      <c r="C337" t="s">
        <v>1045</v>
      </c>
      <c r="D337" s="3" t="s">
        <v>7329</v>
      </c>
      <c r="E337" t="s">
        <v>1113</v>
      </c>
      <c r="F337" s="3" t="s">
        <v>1114</v>
      </c>
      <c r="G337" s="10">
        <v>0</v>
      </c>
      <c r="H337" s="3" t="s">
        <v>24</v>
      </c>
      <c r="I337" t="s">
        <v>1101</v>
      </c>
      <c r="J337" s="3" t="s">
        <v>46</v>
      </c>
      <c r="K337" t="s">
        <v>5836</v>
      </c>
      <c r="L337" s="3" t="s">
        <v>5837</v>
      </c>
      <c r="M337" t="s">
        <v>5933</v>
      </c>
      <c r="N337" s="8">
        <v>0.22689999999999999</v>
      </c>
    </row>
    <row r="338" spans="1:14" hidden="1" x14ac:dyDescent="0.55000000000000004">
      <c r="A338" s="3" t="s">
        <v>987</v>
      </c>
      <c r="B338" s="3" t="s">
        <v>1093</v>
      </c>
      <c r="C338" t="s">
        <v>1045</v>
      </c>
      <c r="D338" s="3" t="s">
        <v>7329</v>
      </c>
      <c r="E338" t="s">
        <v>1115</v>
      </c>
      <c r="F338" s="3" t="s">
        <v>1116</v>
      </c>
      <c r="G338" s="10">
        <v>0</v>
      </c>
      <c r="H338" s="3" t="s">
        <v>19</v>
      </c>
      <c r="I338" t="s">
        <v>1098</v>
      </c>
      <c r="J338" s="3" t="s">
        <v>84</v>
      </c>
      <c r="K338" t="s">
        <v>5842</v>
      </c>
      <c r="L338" s="3" t="s">
        <v>5843</v>
      </c>
      <c r="M338" t="s">
        <v>5939</v>
      </c>
      <c r="N338" s="8">
        <v>3.8151999999999998E-2</v>
      </c>
    </row>
    <row r="339" spans="1:14" hidden="1" x14ac:dyDescent="0.55000000000000004">
      <c r="A339" s="3" t="s">
        <v>987</v>
      </c>
      <c r="B339" s="3" t="s">
        <v>1093</v>
      </c>
      <c r="C339" t="s">
        <v>1045</v>
      </c>
      <c r="D339" s="3" t="s">
        <v>7329</v>
      </c>
      <c r="E339" t="s">
        <v>1115</v>
      </c>
      <c r="F339" s="3" t="s">
        <v>1116</v>
      </c>
      <c r="G339" s="10">
        <v>0</v>
      </c>
      <c r="H339" s="3" t="s">
        <v>24</v>
      </c>
      <c r="I339" t="s">
        <v>1101</v>
      </c>
      <c r="J339" s="3" t="s">
        <v>46</v>
      </c>
      <c r="K339" t="s">
        <v>5836</v>
      </c>
      <c r="L339" s="3" t="s">
        <v>5837</v>
      </c>
      <c r="M339" t="s">
        <v>5933</v>
      </c>
      <c r="N339" s="8">
        <v>0.22689999999999999</v>
      </c>
    </row>
    <row r="340" spans="1:14" hidden="1" x14ac:dyDescent="0.55000000000000004">
      <c r="A340" s="3" t="s">
        <v>987</v>
      </c>
      <c r="B340" s="3" t="s">
        <v>1093</v>
      </c>
      <c r="C340" t="s">
        <v>1045</v>
      </c>
      <c r="D340" s="3" t="s">
        <v>7329</v>
      </c>
      <c r="E340" t="s">
        <v>1117</v>
      </c>
      <c r="F340" s="3" t="s">
        <v>1118</v>
      </c>
      <c r="G340" s="10">
        <v>0</v>
      </c>
      <c r="H340" s="3" t="s">
        <v>19</v>
      </c>
      <c r="I340" t="s">
        <v>1098</v>
      </c>
      <c r="J340" s="3" t="s">
        <v>84</v>
      </c>
      <c r="K340" t="s">
        <v>5842</v>
      </c>
      <c r="L340" s="3" t="s">
        <v>5843</v>
      </c>
      <c r="M340" t="s">
        <v>5939</v>
      </c>
      <c r="N340" s="8">
        <v>3.8151999999999998E-2</v>
      </c>
    </row>
    <row r="341" spans="1:14" hidden="1" x14ac:dyDescent="0.55000000000000004">
      <c r="A341" s="3" t="s">
        <v>987</v>
      </c>
      <c r="B341" s="3" t="s">
        <v>1093</v>
      </c>
      <c r="C341" t="s">
        <v>1045</v>
      </c>
      <c r="D341" s="3" t="s">
        <v>7329</v>
      </c>
      <c r="E341" t="s">
        <v>1117</v>
      </c>
      <c r="F341" s="3" t="s">
        <v>1118</v>
      </c>
      <c r="G341" s="10">
        <v>0</v>
      </c>
      <c r="H341" s="3" t="s">
        <v>24</v>
      </c>
      <c r="I341" t="s">
        <v>1101</v>
      </c>
      <c r="J341" s="3" t="s">
        <v>46</v>
      </c>
      <c r="K341" t="s">
        <v>5836</v>
      </c>
      <c r="L341" s="3" t="s">
        <v>5837</v>
      </c>
      <c r="M341" t="s">
        <v>5933</v>
      </c>
      <c r="N341" s="8">
        <v>0.22689999999999999</v>
      </c>
    </row>
    <row r="342" spans="1:14" hidden="1" x14ac:dyDescent="0.55000000000000004">
      <c r="A342" s="3" t="s">
        <v>987</v>
      </c>
      <c r="B342" s="3" t="s">
        <v>1093</v>
      </c>
      <c r="C342" t="s">
        <v>1045</v>
      </c>
      <c r="D342" s="3" t="s">
        <v>7329</v>
      </c>
      <c r="E342" t="s">
        <v>1119</v>
      </c>
      <c r="F342" s="3" t="s">
        <v>1120</v>
      </c>
      <c r="G342" s="10">
        <v>1</v>
      </c>
      <c r="H342" s="3" t="s">
        <v>19</v>
      </c>
      <c r="I342" t="s">
        <v>1098</v>
      </c>
      <c r="J342" s="3" t="s">
        <v>84</v>
      </c>
      <c r="K342" t="s">
        <v>5842</v>
      </c>
      <c r="L342" s="3" t="s">
        <v>5843</v>
      </c>
      <c r="M342" t="s">
        <v>5939</v>
      </c>
      <c r="N342" s="8">
        <v>3.8151999999999998E-2</v>
      </c>
    </row>
    <row r="343" spans="1:14" hidden="1" x14ac:dyDescent="0.55000000000000004">
      <c r="A343" s="3" t="s">
        <v>987</v>
      </c>
      <c r="B343" s="3" t="s">
        <v>1093</v>
      </c>
      <c r="C343" t="s">
        <v>1045</v>
      </c>
      <c r="D343" s="3" t="s">
        <v>7329</v>
      </c>
      <c r="E343" t="s">
        <v>1119</v>
      </c>
      <c r="F343" s="3" t="s">
        <v>1120</v>
      </c>
      <c r="G343" s="10">
        <v>1</v>
      </c>
      <c r="H343" s="3" t="s">
        <v>24</v>
      </c>
      <c r="I343" t="s">
        <v>1101</v>
      </c>
      <c r="J343" s="3" t="s">
        <v>46</v>
      </c>
      <c r="K343" t="s">
        <v>5836</v>
      </c>
      <c r="L343" s="3" t="s">
        <v>5837</v>
      </c>
      <c r="M343" t="s">
        <v>5933</v>
      </c>
      <c r="N343" s="8">
        <v>0.22689999999999999</v>
      </c>
    </row>
    <row r="344" spans="1:14" hidden="1" x14ac:dyDescent="0.55000000000000004">
      <c r="A344" s="3" t="s">
        <v>987</v>
      </c>
      <c r="B344" s="3" t="s">
        <v>1093</v>
      </c>
      <c r="C344" t="s">
        <v>1045</v>
      </c>
      <c r="D344" s="3" t="s">
        <v>7329</v>
      </c>
      <c r="E344" t="s">
        <v>1121</v>
      </c>
      <c r="F344" s="3" t="s">
        <v>1122</v>
      </c>
      <c r="G344" s="10">
        <v>0</v>
      </c>
      <c r="H344" s="3" t="s">
        <v>19</v>
      </c>
      <c r="I344" t="s">
        <v>1098</v>
      </c>
      <c r="J344" s="3" t="s">
        <v>84</v>
      </c>
      <c r="K344" t="s">
        <v>5842</v>
      </c>
      <c r="L344" s="3" t="s">
        <v>5843</v>
      </c>
      <c r="M344" t="s">
        <v>5939</v>
      </c>
      <c r="N344" s="8">
        <v>3.8151999999999998E-2</v>
      </c>
    </row>
    <row r="345" spans="1:14" hidden="1" x14ac:dyDescent="0.55000000000000004">
      <c r="A345" s="3" t="s">
        <v>987</v>
      </c>
      <c r="B345" s="3" t="s">
        <v>1093</v>
      </c>
      <c r="C345" t="s">
        <v>1045</v>
      </c>
      <c r="D345" s="3" t="s">
        <v>7329</v>
      </c>
      <c r="E345" t="s">
        <v>1121</v>
      </c>
      <c r="F345" s="3" t="s">
        <v>1122</v>
      </c>
      <c r="G345" s="10">
        <v>0</v>
      </c>
      <c r="H345" s="3" t="s">
        <v>24</v>
      </c>
      <c r="I345" t="s">
        <v>1101</v>
      </c>
      <c r="J345" s="3" t="s">
        <v>46</v>
      </c>
      <c r="K345" t="s">
        <v>5836</v>
      </c>
      <c r="L345" s="3" t="s">
        <v>5837</v>
      </c>
      <c r="M345" t="s">
        <v>5933</v>
      </c>
      <c r="N345" s="8">
        <v>0.22689999999999999</v>
      </c>
    </row>
    <row r="346" spans="1:14" hidden="1" x14ac:dyDescent="0.55000000000000004">
      <c r="A346" s="3" t="s">
        <v>987</v>
      </c>
      <c r="B346" s="3" t="s">
        <v>1093</v>
      </c>
      <c r="C346" t="s">
        <v>1045</v>
      </c>
      <c r="D346" s="3" t="s">
        <v>7329</v>
      </c>
      <c r="E346" t="s">
        <v>1123</v>
      </c>
      <c r="F346" s="3" t="s">
        <v>1124</v>
      </c>
      <c r="G346" s="10">
        <v>0</v>
      </c>
      <c r="H346" s="3" t="s">
        <v>19</v>
      </c>
      <c r="I346" t="s">
        <v>1098</v>
      </c>
      <c r="J346" s="3" t="s">
        <v>84</v>
      </c>
      <c r="K346" t="s">
        <v>5842</v>
      </c>
      <c r="L346" s="3" t="s">
        <v>5843</v>
      </c>
      <c r="M346" t="s">
        <v>5939</v>
      </c>
      <c r="N346" s="8">
        <v>3.8151999999999998E-2</v>
      </c>
    </row>
    <row r="347" spans="1:14" hidden="1" x14ac:dyDescent="0.55000000000000004">
      <c r="A347" s="3" t="s">
        <v>987</v>
      </c>
      <c r="B347" s="3" t="s">
        <v>1093</v>
      </c>
      <c r="C347" t="s">
        <v>1045</v>
      </c>
      <c r="D347" s="3" t="s">
        <v>7329</v>
      </c>
      <c r="E347" t="s">
        <v>1123</v>
      </c>
      <c r="F347" s="3" t="s">
        <v>1124</v>
      </c>
      <c r="G347" s="10">
        <v>0</v>
      </c>
      <c r="H347" s="3" t="s">
        <v>24</v>
      </c>
      <c r="I347" t="s">
        <v>1101</v>
      </c>
      <c r="J347" s="3" t="s">
        <v>46</v>
      </c>
      <c r="K347" t="s">
        <v>5836</v>
      </c>
      <c r="L347" s="3" t="s">
        <v>5837</v>
      </c>
      <c r="M347" t="s">
        <v>5933</v>
      </c>
      <c r="N347" s="8">
        <v>0.22689999999999999</v>
      </c>
    </row>
    <row r="348" spans="1:14" hidden="1" x14ac:dyDescent="0.55000000000000004">
      <c r="A348" s="3" t="s">
        <v>987</v>
      </c>
      <c r="B348" s="3" t="s">
        <v>1125</v>
      </c>
      <c r="C348" t="s">
        <v>1125</v>
      </c>
      <c r="D348" s="3" t="s">
        <v>7329</v>
      </c>
      <c r="E348" t="s">
        <v>1126</v>
      </c>
      <c r="F348" s="3" t="s">
        <v>1127</v>
      </c>
      <c r="G348" s="10">
        <v>0</v>
      </c>
      <c r="H348" s="3" t="s">
        <v>19</v>
      </c>
      <c r="I348" t="s">
        <v>1130</v>
      </c>
      <c r="J348" s="3" t="s">
        <v>84</v>
      </c>
      <c r="K348" t="s">
        <v>5842</v>
      </c>
      <c r="L348" s="3" t="s">
        <v>5843</v>
      </c>
      <c r="M348" t="s">
        <v>5940</v>
      </c>
      <c r="N348" s="8">
        <v>3.9383000000000001E-2</v>
      </c>
    </row>
    <row r="349" spans="1:14" hidden="1" x14ac:dyDescent="0.55000000000000004">
      <c r="A349" s="3" t="s">
        <v>987</v>
      </c>
      <c r="B349" s="3" t="s">
        <v>1125</v>
      </c>
      <c r="C349" t="s">
        <v>1125</v>
      </c>
      <c r="D349" s="3" t="s">
        <v>7329</v>
      </c>
      <c r="E349" t="s">
        <v>1126</v>
      </c>
      <c r="F349" s="3" t="s">
        <v>1127</v>
      </c>
      <c r="G349" s="10">
        <v>0</v>
      </c>
      <c r="H349" s="3" t="s">
        <v>24</v>
      </c>
      <c r="I349" t="s">
        <v>1133</v>
      </c>
      <c r="J349" s="3" t="s">
        <v>46</v>
      </c>
      <c r="K349" t="s">
        <v>5836</v>
      </c>
      <c r="L349" s="3" t="s">
        <v>5837</v>
      </c>
      <c r="M349" t="s">
        <v>5933</v>
      </c>
      <c r="N349" s="8">
        <v>0.22689999999999999</v>
      </c>
    </row>
    <row r="350" spans="1:14" hidden="1" x14ac:dyDescent="0.55000000000000004">
      <c r="A350" s="3" t="s">
        <v>987</v>
      </c>
      <c r="B350" s="3" t="s">
        <v>1136</v>
      </c>
      <c r="C350" t="s">
        <v>1137</v>
      </c>
      <c r="D350" s="3" t="s">
        <v>7329</v>
      </c>
      <c r="E350" t="s">
        <v>1138</v>
      </c>
      <c r="F350" s="3" t="s">
        <v>1139</v>
      </c>
      <c r="G350" s="10">
        <v>1</v>
      </c>
      <c r="H350" s="3" t="s">
        <v>19</v>
      </c>
      <c r="I350" t="s">
        <v>1142</v>
      </c>
      <c r="J350" s="3" t="s">
        <v>84</v>
      </c>
      <c r="K350" t="s">
        <v>5842</v>
      </c>
      <c r="L350" s="3" t="s">
        <v>5843</v>
      </c>
      <c r="M350" t="s">
        <v>5941</v>
      </c>
      <c r="N350" s="8">
        <v>4.0399999999999998E-2</v>
      </c>
    </row>
    <row r="351" spans="1:14" hidden="1" x14ac:dyDescent="0.55000000000000004">
      <c r="A351" s="3" t="s">
        <v>987</v>
      </c>
      <c r="B351" s="3" t="s">
        <v>1136</v>
      </c>
      <c r="C351" t="s">
        <v>1137</v>
      </c>
      <c r="D351" s="3" t="s">
        <v>7329</v>
      </c>
      <c r="E351" t="s">
        <v>1138</v>
      </c>
      <c r="F351" s="3" t="s">
        <v>1139</v>
      </c>
      <c r="G351" s="10">
        <v>1</v>
      </c>
      <c r="H351" s="3" t="s">
        <v>24</v>
      </c>
      <c r="I351" t="s">
        <v>1145</v>
      </c>
      <c r="J351" s="3" t="s">
        <v>46</v>
      </c>
      <c r="K351" t="s">
        <v>5836</v>
      </c>
      <c r="L351" s="3" t="s">
        <v>5837</v>
      </c>
      <c r="M351" t="s">
        <v>5942</v>
      </c>
      <c r="N351" s="8">
        <v>0.20116700000000001</v>
      </c>
    </row>
    <row r="352" spans="1:14" hidden="1" x14ac:dyDescent="0.55000000000000004">
      <c r="A352" s="3" t="s">
        <v>987</v>
      </c>
      <c r="B352" s="3" t="s">
        <v>1148</v>
      </c>
      <c r="C352" t="s">
        <v>1148</v>
      </c>
      <c r="D352" s="3" t="s">
        <v>7329</v>
      </c>
      <c r="E352" t="s">
        <v>1149</v>
      </c>
      <c r="F352" s="3" t="s">
        <v>1150</v>
      </c>
      <c r="G352" s="10">
        <v>0</v>
      </c>
      <c r="H352" s="3" t="s">
        <v>19</v>
      </c>
      <c r="I352" t="s">
        <v>1153</v>
      </c>
      <c r="J352" s="3" t="s">
        <v>84</v>
      </c>
      <c r="K352" t="s">
        <v>5842</v>
      </c>
      <c r="L352" s="3" t="s">
        <v>5843</v>
      </c>
      <c r="M352" t="s">
        <v>5943</v>
      </c>
      <c r="N352" s="8">
        <v>4.0399999999999998E-2</v>
      </c>
    </row>
    <row r="353" spans="1:14" hidden="1" x14ac:dyDescent="0.55000000000000004">
      <c r="A353" s="3" t="s">
        <v>987</v>
      </c>
      <c r="B353" s="3" t="s">
        <v>1148</v>
      </c>
      <c r="C353" t="s">
        <v>1148</v>
      </c>
      <c r="D353" s="3" t="s">
        <v>7329</v>
      </c>
      <c r="E353" t="s">
        <v>1149</v>
      </c>
      <c r="F353" s="3" t="s">
        <v>1150</v>
      </c>
      <c r="G353" s="10">
        <v>0</v>
      </c>
      <c r="H353" s="3" t="s">
        <v>24</v>
      </c>
      <c r="I353" t="s">
        <v>1159</v>
      </c>
      <c r="J353" s="3" t="s">
        <v>46</v>
      </c>
      <c r="K353" t="s">
        <v>5836</v>
      </c>
      <c r="L353" s="3" t="s">
        <v>5837</v>
      </c>
      <c r="M353" t="s">
        <v>5931</v>
      </c>
      <c r="N353" s="8">
        <v>0.2298</v>
      </c>
    </row>
    <row r="354" spans="1:14" hidden="1" x14ac:dyDescent="0.55000000000000004">
      <c r="A354" s="3" t="s">
        <v>987</v>
      </c>
      <c r="B354" s="3" t="s">
        <v>1148</v>
      </c>
      <c r="C354" t="s">
        <v>1148</v>
      </c>
      <c r="D354" s="3" t="s">
        <v>7329</v>
      </c>
      <c r="E354" t="s">
        <v>1162</v>
      </c>
      <c r="F354" s="3" t="s">
        <v>1163</v>
      </c>
      <c r="G354" s="10">
        <v>0</v>
      </c>
      <c r="H354" s="3" t="s">
        <v>19</v>
      </c>
      <c r="I354" t="s">
        <v>1153</v>
      </c>
      <c r="J354" s="3" t="s">
        <v>84</v>
      </c>
      <c r="K354" t="s">
        <v>5842</v>
      </c>
      <c r="L354" s="3" t="s">
        <v>5843</v>
      </c>
      <c r="M354" t="s">
        <v>5943</v>
      </c>
      <c r="N354" s="8">
        <v>4.0399999999999998E-2</v>
      </c>
    </row>
    <row r="355" spans="1:14" hidden="1" x14ac:dyDescent="0.55000000000000004">
      <c r="A355" s="3" t="s">
        <v>987</v>
      </c>
      <c r="B355" s="3" t="s">
        <v>1148</v>
      </c>
      <c r="C355" t="s">
        <v>1148</v>
      </c>
      <c r="D355" s="3" t="s">
        <v>7329</v>
      </c>
      <c r="E355" t="s">
        <v>1162</v>
      </c>
      <c r="F355" s="3" t="s">
        <v>1163</v>
      </c>
      <c r="G355" s="10">
        <v>0</v>
      </c>
      <c r="H355" s="3" t="s">
        <v>24</v>
      </c>
      <c r="I355" t="s">
        <v>1159</v>
      </c>
      <c r="J355" s="3" t="s">
        <v>46</v>
      </c>
      <c r="K355" t="s">
        <v>5836</v>
      </c>
      <c r="L355" s="3" t="s">
        <v>5837</v>
      </c>
      <c r="M355" t="s">
        <v>5931</v>
      </c>
      <c r="N355" s="8">
        <v>0.2298</v>
      </c>
    </row>
    <row r="356" spans="1:14" hidden="1" x14ac:dyDescent="0.55000000000000004">
      <c r="A356" s="3" t="s">
        <v>987</v>
      </c>
      <c r="B356" s="3" t="s">
        <v>1148</v>
      </c>
      <c r="C356" t="s">
        <v>1148</v>
      </c>
      <c r="D356" s="3" t="s">
        <v>7329</v>
      </c>
      <c r="E356" t="s">
        <v>1164</v>
      </c>
      <c r="F356" s="3" t="s">
        <v>1165</v>
      </c>
      <c r="G356" s="10">
        <v>0</v>
      </c>
      <c r="H356" s="3" t="s">
        <v>19</v>
      </c>
      <c r="I356" t="s">
        <v>1156</v>
      </c>
      <c r="J356" s="3" t="s">
        <v>89</v>
      </c>
      <c r="K356" t="s">
        <v>5849</v>
      </c>
      <c r="L356" s="3" t="s">
        <v>5850</v>
      </c>
      <c r="M356" t="s">
        <v>5944</v>
      </c>
      <c r="N356" s="8">
        <v>3.6364E-2</v>
      </c>
    </row>
    <row r="357" spans="1:14" hidden="1" x14ac:dyDescent="0.55000000000000004">
      <c r="A357" s="3" t="s">
        <v>987</v>
      </c>
      <c r="B357" s="3" t="s">
        <v>1148</v>
      </c>
      <c r="C357" t="s">
        <v>1148</v>
      </c>
      <c r="D357" s="3" t="s">
        <v>7329</v>
      </c>
      <c r="E357" t="s">
        <v>1164</v>
      </c>
      <c r="F357" s="3" t="s">
        <v>1165</v>
      </c>
      <c r="G357" s="10">
        <v>0</v>
      </c>
      <c r="H357" s="3" t="s">
        <v>24</v>
      </c>
      <c r="I357" t="s">
        <v>1159</v>
      </c>
      <c r="J357" s="3" t="s">
        <v>46</v>
      </c>
      <c r="K357" t="s">
        <v>5836</v>
      </c>
      <c r="L357" s="3" t="s">
        <v>5837</v>
      </c>
      <c r="M357" t="s">
        <v>5931</v>
      </c>
      <c r="N357" s="8">
        <v>0.2298</v>
      </c>
    </row>
    <row r="358" spans="1:14" hidden="1" x14ac:dyDescent="0.55000000000000004">
      <c r="A358" s="3" t="s">
        <v>987</v>
      </c>
      <c r="B358" s="3" t="s">
        <v>1148</v>
      </c>
      <c r="C358" t="s">
        <v>1148</v>
      </c>
      <c r="D358" s="3" t="s">
        <v>7329</v>
      </c>
      <c r="E358" t="s">
        <v>1166</v>
      </c>
      <c r="F358" s="3" t="s">
        <v>1167</v>
      </c>
      <c r="G358" s="10">
        <v>1</v>
      </c>
      <c r="H358" s="3" t="s">
        <v>19</v>
      </c>
      <c r="I358" t="s">
        <v>1153</v>
      </c>
      <c r="J358" s="3" t="s">
        <v>84</v>
      </c>
      <c r="K358" t="s">
        <v>5842</v>
      </c>
      <c r="L358" s="3" t="s">
        <v>5843</v>
      </c>
      <c r="M358" t="s">
        <v>5943</v>
      </c>
      <c r="N358" s="8">
        <v>4.0399999999999998E-2</v>
      </c>
    </row>
    <row r="359" spans="1:14" hidden="1" x14ac:dyDescent="0.55000000000000004">
      <c r="A359" s="3" t="s">
        <v>987</v>
      </c>
      <c r="B359" s="3" t="s">
        <v>1148</v>
      </c>
      <c r="C359" t="s">
        <v>1148</v>
      </c>
      <c r="D359" s="3" t="s">
        <v>7329</v>
      </c>
      <c r="E359" t="s">
        <v>1166</v>
      </c>
      <c r="F359" s="3" t="s">
        <v>1167</v>
      </c>
      <c r="G359" s="10">
        <v>1</v>
      </c>
      <c r="H359" s="3" t="s">
        <v>24</v>
      </c>
      <c r="I359" t="s">
        <v>1159</v>
      </c>
      <c r="J359" s="3" t="s">
        <v>46</v>
      </c>
      <c r="K359" t="s">
        <v>5836</v>
      </c>
      <c r="L359" s="3" t="s">
        <v>5837</v>
      </c>
      <c r="M359" t="s">
        <v>5931</v>
      </c>
      <c r="N359" s="8">
        <v>0.2298</v>
      </c>
    </row>
    <row r="360" spans="1:14" hidden="1" x14ac:dyDescent="0.55000000000000004">
      <c r="A360" s="3" t="s">
        <v>987</v>
      </c>
      <c r="B360" s="3" t="s">
        <v>1148</v>
      </c>
      <c r="C360" t="s">
        <v>1148</v>
      </c>
      <c r="D360" s="3" t="s">
        <v>7329</v>
      </c>
      <c r="E360" t="s">
        <v>1168</v>
      </c>
      <c r="F360" s="3" t="s">
        <v>1169</v>
      </c>
      <c r="G360" s="10">
        <v>0</v>
      </c>
      <c r="H360" s="3" t="s">
        <v>19</v>
      </c>
      <c r="I360" t="s">
        <v>1156</v>
      </c>
      <c r="J360" s="3" t="s">
        <v>89</v>
      </c>
      <c r="K360" t="s">
        <v>5849</v>
      </c>
      <c r="L360" s="3" t="s">
        <v>5850</v>
      </c>
      <c r="M360" t="s">
        <v>5944</v>
      </c>
      <c r="N360" s="8">
        <v>3.6364E-2</v>
      </c>
    </row>
    <row r="361" spans="1:14" hidden="1" x14ac:dyDescent="0.55000000000000004">
      <c r="A361" s="3" t="s">
        <v>987</v>
      </c>
      <c r="B361" s="3" t="s">
        <v>1148</v>
      </c>
      <c r="C361" t="s">
        <v>1148</v>
      </c>
      <c r="D361" s="3" t="s">
        <v>7329</v>
      </c>
      <c r="E361" t="s">
        <v>1168</v>
      </c>
      <c r="F361" s="3" t="s">
        <v>1169</v>
      </c>
      <c r="G361" s="10">
        <v>0</v>
      </c>
      <c r="H361" s="3" t="s">
        <v>24</v>
      </c>
      <c r="I361" t="s">
        <v>1159</v>
      </c>
      <c r="J361" s="3" t="s">
        <v>46</v>
      </c>
      <c r="K361" t="s">
        <v>5836</v>
      </c>
      <c r="L361" s="3" t="s">
        <v>5837</v>
      </c>
      <c r="M361" t="s">
        <v>5931</v>
      </c>
      <c r="N361" s="8">
        <v>0.2298</v>
      </c>
    </row>
    <row r="362" spans="1:14" hidden="1" x14ac:dyDescent="0.55000000000000004">
      <c r="A362" s="3" t="s">
        <v>987</v>
      </c>
      <c r="B362" s="3" t="s">
        <v>1170</v>
      </c>
      <c r="C362" t="s">
        <v>1045</v>
      </c>
      <c r="D362" s="3" t="s">
        <v>7329</v>
      </c>
      <c r="E362" t="s">
        <v>1171</v>
      </c>
      <c r="F362" s="3" t="s">
        <v>1172</v>
      </c>
      <c r="G362" s="10">
        <v>1</v>
      </c>
      <c r="H362" s="3" t="s">
        <v>19</v>
      </c>
      <c r="I362" t="s">
        <v>1175</v>
      </c>
      <c r="J362" s="3" t="s">
        <v>84</v>
      </c>
      <c r="K362" t="s">
        <v>5842</v>
      </c>
      <c r="L362" s="3" t="s">
        <v>5843</v>
      </c>
      <c r="M362" t="s">
        <v>5945</v>
      </c>
      <c r="N362" s="8">
        <v>3.8151999999999998E-2</v>
      </c>
    </row>
    <row r="363" spans="1:14" hidden="1" x14ac:dyDescent="0.55000000000000004">
      <c r="A363" s="3" t="s">
        <v>987</v>
      </c>
      <c r="B363" s="3" t="s">
        <v>1170</v>
      </c>
      <c r="C363" t="s">
        <v>1045</v>
      </c>
      <c r="D363" s="3" t="s">
        <v>7329</v>
      </c>
      <c r="E363" t="s">
        <v>1171</v>
      </c>
      <c r="F363" s="3" t="s">
        <v>1172</v>
      </c>
      <c r="G363" s="10">
        <v>1</v>
      </c>
      <c r="H363" s="3" t="s">
        <v>24</v>
      </c>
      <c r="I363" t="s">
        <v>1178</v>
      </c>
      <c r="J363" s="3" t="s">
        <v>46</v>
      </c>
      <c r="K363" t="s">
        <v>5836</v>
      </c>
      <c r="L363" s="3" t="s">
        <v>5835</v>
      </c>
      <c r="M363" t="s">
        <v>5946</v>
      </c>
      <c r="N363" s="8">
        <v>0.20519999999999999</v>
      </c>
    </row>
    <row r="364" spans="1:14" hidden="1" x14ac:dyDescent="0.55000000000000004">
      <c r="A364" s="3" t="s">
        <v>987</v>
      </c>
      <c r="B364" s="3" t="s">
        <v>1170</v>
      </c>
      <c r="C364" t="s">
        <v>1045</v>
      </c>
      <c r="D364" s="3" t="s">
        <v>7329</v>
      </c>
      <c r="E364" t="s">
        <v>1171</v>
      </c>
      <c r="F364" s="3" t="s">
        <v>1172</v>
      </c>
      <c r="G364" s="10">
        <v>1</v>
      </c>
      <c r="H364" s="3" t="s">
        <v>24</v>
      </c>
      <c r="I364" t="s">
        <v>1178</v>
      </c>
      <c r="J364" s="3" t="s">
        <v>46</v>
      </c>
      <c r="K364" t="s">
        <v>5836</v>
      </c>
      <c r="L364" s="3" t="s">
        <v>5947</v>
      </c>
      <c r="M364" t="s">
        <v>5946</v>
      </c>
      <c r="N364" s="8">
        <v>0.20519999999999999</v>
      </c>
    </row>
    <row r="365" spans="1:14" hidden="1" x14ac:dyDescent="0.55000000000000004">
      <c r="A365" s="3" t="s">
        <v>987</v>
      </c>
      <c r="B365" s="3" t="s">
        <v>1179</v>
      </c>
      <c r="C365" t="s">
        <v>1179</v>
      </c>
      <c r="D365" s="3" t="s">
        <v>7329</v>
      </c>
      <c r="E365" t="s">
        <v>1180</v>
      </c>
      <c r="F365" s="3" t="s">
        <v>1181</v>
      </c>
      <c r="G365" s="10">
        <v>1</v>
      </c>
      <c r="H365" s="3" t="s">
        <v>19</v>
      </c>
      <c r="I365" t="s">
        <v>1184</v>
      </c>
      <c r="J365" s="3" t="s">
        <v>84</v>
      </c>
      <c r="K365" t="s">
        <v>5842</v>
      </c>
      <c r="L365" s="3" t="s">
        <v>5843</v>
      </c>
      <c r="M365" t="s">
        <v>5948</v>
      </c>
      <c r="N365" s="8">
        <v>3.9038000000000003E-2</v>
      </c>
    </row>
    <row r="366" spans="1:14" hidden="1" x14ac:dyDescent="0.55000000000000004">
      <c r="A366" s="3" t="s">
        <v>987</v>
      </c>
      <c r="B366" s="3" t="s">
        <v>1179</v>
      </c>
      <c r="C366" t="s">
        <v>1179</v>
      </c>
      <c r="D366" s="3" t="s">
        <v>7329</v>
      </c>
      <c r="E366" t="s">
        <v>1180</v>
      </c>
      <c r="F366" s="3" t="s">
        <v>1181</v>
      </c>
      <c r="G366" s="10">
        <v>1</v>
      </c>
      <c r="H366" s="3" t="s">
        <v>24</v>
      </c>
      <c r="I366" t="s">
        <v>1187</v>
      </c>
      <c r="J366" s="3" t="s">
        <v>46</v>
      </c>
      <c r="K366" t="s">
        <v>5836</v>
      </c>
      <c r="L366" s="3" t="s">
        <v>5835</v>
      </c>
      <c r="M366" t="s">
        <v>5946</v>
      </c>
      <c r="N366" s="8">
        <v>0.20519999999999999</v>
      </c>
    </row>
    <row r="367" spans="1:14" hidden="1" x14ac:dyDescent="0.55000000000000004">
      <c r="A367" s="3" t="s">
        <v>987</v>
      </c>
      <c r="B367" s="3" t="s">
        <v>1179</v>
      </c>
      <c r="C367" t="s">
        <v>1179</v>
      </c>
      <c r="D367" s="3" t="s">
        <v>7329</v>
      </c>
      <c r="E367" t="s">
        <v>1180</v>
      </c>
      <c r="F367" s="3" t="s">
        <v>1181</v>
      </c>
      <c r="G367" s="10">
        <v>1</v>
      </c>
      <c r="H367" s="3" t="s">
        <v>24</v>
      </c>
      <c r="I367" t="s">
        <v>1187</v>
      </c>
      <c r="J367" s="3" t="s">
        <v>46</v>
      </c>
      <c r="K367" t="s">
        <v>5836</v>
      </c>
      <c r="L367" s="3" t="s">
        <v>5947</v>
      </c>
      <c r="M367" t="s">
        <v>5946</v>
      </c>
      <c r="N367" s="8">
        <v>0.20519999999999999</v>
      </c>
    </row>
    <row r="368" spans="1:14" hidden="1" x14ac:dyDescent="0.55000000000000004">
      <c r="A368" s="3" t="s">
        <v>987</v>
      </c>
      <c r="B368" s="3" t="s">
        <v>1188</v>
      </c>
      <c r="C368" t="s">
        <v>1188</v>
      </c>
      <c r="D368" s="3" t="s">
        <v>7329</v>
      </c>
      <c r="E368" t="s">
        <v>1189</v>
      </c>
      <c r="F368" s="3" t="s">
        <v>1190</v>
      </c>
      <c r="G368" s="10">
        <v>0</v>
      </c>
      <c r="H368" s="3" t="s">
        <v>24</v>
      </c>
      <c r="I368" t="s">
        <v>1193</v>
      </c>
      <c r="J368" s="3" t="s">
        <v>40</v>
      </c>
      <c r="K368" t="s">
        <v>23</v>
      </c>
      <c r="L368" s="3" t="s">
        <v>5835</v>
      </c>
      <c r="M368" t="s">
        <v>23</v>
      </c>
      <c r="N368" s="8">
        <v>0.257942</v>
      </c>
    </row>
    <row r="369" spans="1:14" hidden="1" x14ac:dyDescent="0.55000000000000004">
      <c r="A369" s="3" t="s">
        <v>987</v>
      </c>
      <c r="B369" s="3" t="s">
        <v>1188</v>
      </c>
      <c r="C369" t="s">
        <v>1188</v>
      </c>
      <c r="D369" s="3" t="s">
        <v>7329</v>
      </c>
      <c r="E369" t="s">
        <v>1197</v>
      </c>
      <c r="F369" s="3" t="s">
        <v>1198</v>
      </c>
      <c r="G369" s="10">
        <v>0</v>
      </c>
      <c r="H369" s="3" t="s">
        <v>24</v>
      </c>
      <c r="I369" t="s">
        <v>1193</v>
      </c>
      <c r="J369" s="3" t="s">
        <v>40</v>
      </c>
      <c r="K369" t="s">
        <v>23</v>
      </c>
      <c r="L369" s="3" t="s">
        <v>5835</v>
      </c>
      <c r="M369" t="s">
        <v>23</v>
      </c>
      <c r="N369" s="8">
        <v>0.257942</v>
      </c>
    </row>
    <row r="370" spans="1:14" hidden="1" x14ac:dyDescent="0.55000000000000004">
      <c r="A370" s="9" t="s">
        <v>987</v>
      </c>
      <c r="B370" s="3" t="s">
        <v>1188</v>
      </c>
      <c r="C370" t="s">
        <v>1188</v>
      </c>
      <c r="D370" s="3" t="s">
        <v>7329</v>
      </c>
      <c r="E370" t="s">
        <v>1199</v>
      </c>
      <c r="F370" s="3" t="s">
        <v>1200</v>
      </c>
      <c r="G370" s="10">
        <v>0</v>
      </c>
      <c r="H370" s="3" t="s">
        <v>24</v>
      </c>
      <c r="I370" t="s">
        <v>1193</v>
      </c>
      <c r="J370" s="3" t="s">
        <v>40</v>
      </c>
      <c r="K370" t="s">
        <v>23</v>
      </c>
      <c r="L370" s="3" t="s">
        <v>5835</v>
      </c>
      <c r="M370" t="s">
        <v>23</v>
      </c>
      <c r="N370" s="8">
        <v>0.257942</v>
      </c>
    </row>
    <row r="371" spans="1:14" hidden="1" x14ac:dyDescent="0.55000000000000004">
      <c r="A371" s="3" t="s">
        <v>1211</v>
      </c>
      <c r="B371" s="3" t="s">
        <v>1212</v>
      </c>
      <c r="C371" t="s">
        <v>1212</v>
      </c>
      <c r="D371" s="3" t="s">
        <v>7312</v>
      </c>
      <c r="E371" t="s">
        <v>1220</v>
      </c>
      <c r="F371" s="3" t="s">
        <v>1221</v>
      </c>
      <c r="G371" s="10">
        <v>1</v>
      </c>
      <c r="H371" s="3" t="s">
        <v>19</v>
      </c>
      <c r="I371" t="s">
        <v>1233</v>
      </c>
      <c r="J371" s="3" t="s">
        <v>212</v>
      </c>
      <c r="K371" t="s">
        <v>5855</v>
      </c>
      <c r="L371" s="3" t="s">
        <v>5949</v>
      </c>
      <c r="M371" t="s">
        <v>5950</v>
      </c>
      <c r="N371" s="8">
        <v>0.109517</v>
      </c>
    </row>
    <row r="372" spans="1:14" hidden="1" x14ac:dyDescent="0.55000000000000004">
      <c r="A372" s="3" t="s">
        <v>1211</v>
      </c>
      <c r="B372" s="3" t="s">
        <v>1237</v>
      </c>
      <c r="C372" t="s">
        <v>7335</v>
      </c>
      <c r="D372" s="3" t="s">
        <v>7312</v>
      </c>
      <c r="E372" t="s">
        <v>1239</v>
      </c>
      <c r="F372" s="3" t="s">
        <v>1240</v>
      </c>
      <c r="G372" s="10">
        <v>1</v>
      </c>
      <c r="H372" s="3" t="s">
        <v>19</v>
      </c>
      <c r="I372" t="s">
        <v>1247</v>
      </c>
      <c r="J372" s="3" t="s">
        <v>212</v>
      </c>
      <c r="K372" t="s">
        <v>5855</v>
      </c>
      <c r="L372" s="3" t="s">
        <v>5949</v>
      </c>
      <c r="M372" t="s">
        <v>5951</v>
      </c>
      <c r="N372" s="8">
        <v>9.7156999999999993E-2</v>
      </c>
    </row>
    <row r="373" spans="1:14" hidden="1" x14ac:dyDescent="0.55000000000000004">
      <c r="A373" s="3" t="s">
        <v>1211</v>
      </c>
      <c r="B373" s="3" t="s">
        <v>7334</v>
      </c>
      <c r="C373" t="s">
        <v>7334</v>
      </c>
      <c r="D373" s="3" t="s">
        <v>7312</v>
      </c>
      <c r="E373" t="s">
        <v>1256</v>
      </c>
      <c r="F373" s="3" t="s">
        <v>1257</v>
      </c>
      <c r="G373" s="10">
        <v>1</v>
      </c>
      <c r="H373" s="3" t="s">
        <v>19</v>
      </c>
      <c r="I373" t="s">
        <v>1264</v>
      </c>
      <c r="J373" s="3" t="s">
        <v>212</v>
      </c>
      <c r="K373" t="s">
        <v>5855</v>
      </c>
      <c r="L373" s="3" t="s">
        <v>5949</v>
      </c>
      <c r="M373" t="s">
        <v>5952</v>
      </c>
      <c r="N373" s="8">
        <v>9.3175999999999995E-2</v>
      </c>
    </row>
    <row r="374" spans="1:14" hidden="1" x14ac:dyDescent="0.55000000000000004">
      <c r="A374" s="3" t="s">
        <v>1211</v>
      </c>
      <c r="B374" s="3" t="s">
        <v>1272</v>
      </c>
      <c r="C374" t="s">
        <v>1272</v>
      </c>
      <c r="D374" s="3" t="s">
        <v>7312</v>
      </c>
      <c r="E374" t="s">
        <v>1273</v>
      </c>
      <c r="F374" s="3" t="s">
        <v>1274</v>
      </c>
      <c r="G374" s="10">
        <v>1</v>
      </c>
      <c r="H374" s="3" t="s">
        <v>19</v>
      </c>
      <c r="I374" t="s">
        <v>1278</v>
      </c>
      <c r="J374" s="3" t="s">
        <v>1279</v>
      </c>
      <c r="K374" t="s">
        <v>5953</v>
      </c>
      <c r="L374" s="3" t="s">
        <v>5954</v>
      </c>
      <c r="M374" t="s">
        <v>5955</v>
      </c>
      <c r="N374" s="8">
        <v>5.5979999999999997E-3</v>
      </c>
    </row>
    <row r="375" spans="1:14" hidden="1" x14ac:dyDescent="0.55000000000000004">
      <c r="A375" s="3" t="s">
        <v>1211</v>
      </c>
      <c r="B375" s="3" t="s">
        <v>1272</v>
      </c>
      <c r="C375" t="s">
        <v>1272</v>
      </c>
      <c r="D375" s="3" t="s">
        <v>7312</v>
      </c>
      <c r="E375" t="s">
        <v>1273</v>
      </c>
      <c r="F375" s="3" t="s">
        <v>1274</v>
      </c>
      <c r="G375" s="10">
        <v>1</v>
      </c>
      <c r="H375" s="3" t="s">
        <v>19</v>
      </c>
      <c r="I375" t="s">
        <v>1280</v>
      </c>
      <c r="J375" s="3" t="s">
        <v>1279</v>
      </c>
      <c r="K375" t="s">
        <v>5953</v>
      </c>
      <c r="L375" s="3" t="s">
        <v>5956</v>
      </c>
      <c r="M375" t="s">
        <v>5954</v>
      </c>
      <c r="N375" s="8">
        <v>5.5162000000000003E-2</v>
      </c>
    </row>
    <row r="376" spans="1:14" hidden="1" x14ac:dyDescent="0.55000000000000004">
      <c r="A376" s="3" t="s">
        <v>1211</v>
      </c>
      <c r="B376" s="3" t="s">
        <v>1272</v>
      </c>
      <c r="C376" t="s">
        <v>1272</v>
      </c>
      <c r="D376" s="3" t="s">
        <v>7312</v>
      </c>
      <c r="E376" t="s">
        <v>1273</v>
      </c>
      <c r="F376" s="3" t="s">
        <v>1274</v>
      </c>
      <c r="G376" s="10">
        <v>1</v>
      </c>
      <c r="H376" s="3" t="s">
        <v>19</v>
      </c>
      <c r="I376" t="s">
        <v>1281</v>
      </c>
      <c r="J376" s="3" t="s">
        <v>1282</v>
      </c>
      <c r="K376" t="s">
        <v>5957</v>
      </c>
      <c r="L376" s="3" t="s">
        <v>5958</v>
      </c>
      <c r="M376" t="s">
        <v>5959</v>
      </c>
      <c r="N376" s="8">
        <v>2.8874E-2</v>
      </c>
    </row>
    <row r="377" spans="1:14" hidden="1" x14ac:dyDescent="0.55000000000000004">
      <c r="A377" s="3" t="s">
        <v>1211</v>
      </c>
      <c r="B377" s="3" t="s">
        <v>1272</v>
      </c>
      <c r="C377" t="s">
        <v>1272</v>
      </c>
      <c r="D377" s="3" t="s">
        <v>7312</v>
      </c>
      <c r="E377" t="s">
        <v>1293</v>
      </c>
      <c r="F377" s="3" t="s">
        <v>1294</v>
      </c>
      <c r="G377" s="10">
        <v>0</v>
      </c>
      <c r="H377" s="3" t="s">
        <v>19</v>
      </c>
      <c r="I377" t="s">
        <v>1278</v>
      </c>
      <c r="J377" s="3" t="s">
        <v>1279</v>
      </c>
      <c r="K377" t="s">
        <v>5953</v>
      </c>
      <c r="L377" s="3" t="s">
        <v>5954</v>
      </c>
      <c r="M377" t="s">
        <v>5955</v>
      </c>
      <c r="N377" s="8">
        <v>5.5979999999999997E-3</v>
      </c>
    </row>
    <row r="378" spans="1:14" hidden="1" x14ac:dyDescent="0.55000000000000004">
      <c r="A378" s="3" t="s">
        <v>1211</v>
      </c>
      <c r="B378" s="3" t="s">
        <v>1272</v>
      </c>
      <c r="C378" t="s">
        <v>1272</v>
      </c>
      <c r="D378" s="3" t="s">
        <v>7312</v>
      </c>
      <c r="E378" t="s">
        <v>1293</v>
      </c>
      <c r="F378" s="3" t="s">
        <v>1294</v>
      </c>
      <c r="G378" s="10">
        <v>0</v>
      </c>
      <c r="H378" s="3" t="s">
        <v>19</v>
      </c>
      <c r="I378" t="s">
        <v>1280</v>
      </c>
      <c r="J378" s="3" t="s">
        <v>1279</v>
      </c>
      <c r="K378" t="s">
        <v>5953</v>
      </c>
      <c r="L378" s="3" t="s">
        <v>5956</v>
      </c>
      <c r="M378" t="s">
        <v>5954</v>
      </c>
      <c r="N378" s="8">
        <v>5.5162000000000003E-2</v>
      </c>
    </row>
    <row r="379" spans="1:14" hidden="1" x14ac:dyDescent="0.55000000000000004">
      <c r="A379" s="3" t="s">
        <v>1211</v>
      </c>
      <c r="B379" s="3" t="s">
        <v>1272</v>
      </c>
      <c r="C379" t="s">
        <v>1272</v>
      </c>
      <c r="D379" s="3" t="s">
        <v>7312</v>
      </c>
      <c r="E379" t="s">
        <v>1293</v>
      </c>
      <c r="F379" s="3" t="s">
        <v>1294</v>
      </c>
      <c r="G379" s="10">
        <v>0</v>
      </c>
      <c r="H379" s="3" t="s">
        <v>19</v>
      </c>
      <c r="I379" t="s">
        <v>1281</v>
      </c>
      <c r="J379" s="3" t="s">
        <v>1282</v>
      </c>
      <c r="K379" t="s">
        <v>5957</v>
      </c>
      <c r="L379" s="3" t="s">
        <v>5958</v>
      </c>
      <c r="M379" t="s">
        <v>5959</v>
      </c>
      <c r="N379" s="8">
        <v>2.8874E-2</v>
      </c>
    </row>
    <row r="380" spans="1:14" hidden="1" x14ac:dyDescent="0.55000000000000004">
      <c r="A380" s="3" t="s">
        <v>1211</v>
      </c>
      <c r="B380" s="3" t="s">
        <v>1295</v>
      </c>
      <c r="C380" t="s">
        <v>1295</v>
      </c>
      <c r="D380" s="3" t="s">
        <v>7312</v>
      </c>
      <c r="E380" t="s">
        <v>1296</v>
      </c>
      <c r="F380" s="3" t="s">
        <v>1297</v>
      </c>
      <c r="G380" s="10">
        <v>1</v>
      </c>
      <c r="H380" s="3" t="s">
        <v>19</v>
      </c>
      <c r="I380" t="s">
        <v>1300</v>
      </c>
      <c r="J380" s="3" t="s">
        <v>1279</v>
      </c>
      <c r="K380" t="s">
        <v>5953</v>
      </c>
      <c r="L380" s="3" t="s">
        <v>5954</v>
      </c>
      <c r="M380" t="s">
        <v>5960</v>
      </c>
      <c r="N380" s="8">
        <v>8.1399999999999997E-3</v>
      </c>
    </row>
    <row r="381" spans="1:14" hidden="1" x14ac:dyDescent="0.55000000000000004">
      <c r="A381" s="3" t="s">
        <v>1211</v>
      </c>
      <c r="B381" s="3" t="s">
        <v>1295</v>
      </c>
      <c r="C381" t="s">
        <v>1295</v>
      </c>
      <c r="D381" s="3" t="s">
        <v>7312</v>
      </c>
      <c r="E381" t="s">
        <v>1296</v>
      </c>
      <c r="F381" s="3" t="s">
        <v>1297</v>
      </c>
      <c r="G381" s="10">
        <v>1</v>
      </c>
      <c r="H381" s="3" t="s">
        <v>19</v>
      </c>
      <c r="I381" t="s">
        <v>1280</v>
      </c>
      <c r="J381" s="3" t="s">
        <v>1279</v>
      </c>
      <c r="K381" t="s">
        <v>5953</v>
      </c>
      <c r="L381" s="3" t="s">
        <v>5956</v>
      </c>
      <c r="M381" t="s">
        <v>5954</v>
      </c>
      <c r="N381" s="8">
        <v>5.5162000000000003E-2</v>
      </c>
    </row>
    <row r="382" spans="1:14" hidden="1" x14ac:dyDescent="0.55000000000000004">
      <c r="A382" s="3" t="s">
        <v>1211</v>
      </c>
      <c r="B382" s="3" t="s">
        <v>1295</v>
      </c>
      <c r="C382" t="s">
        <v>1295</v>
      </c>
      <c r="D382" s="3" t="s">
        <v>7312</v>
      </c>
      <c r="E382" t="s">
        <v>1296</v>
      </c>
      <c r="F382" s="3" t="s">
        <v>1297</v>
      </c>
      <c r="G382" s="10">
        <v>1</v>
      </c>
      <c r="H382" s="3" t="s">
        <v>19</v>
      </c>
      <c r="I382" t="s">
        <v>1281</v>
      </c>
      <c r="J382" s="3" t="s">
        <v>1282</v>
      </c>
      <c r="K382" t="s">
        <v>5957</v>
      </c>
      <c r="L382" s="3" t="s">
        <v>5958</v>
      </c>
      <c r="M382" t="s">
        <v>5959</v>
      </c>
      <c r="N382" s="8">
        <v>2.8874E-2</v>
      </c>
    </row>
    <row r="383" spans="1:14" hidden="1" x14ac:dyDescent="0.55000000000000004">
      <c r="A383" s="3" t="s">
        <v>1211</v>
      </c>
      <c r="B383" s="3" t="s">
        <v>1307</v>
      </c>
      <c r="C383" t="s">
        <v>1307</v>
      </c>
      <c r="D383" s="3" t="s">
        <v>7312</v>
      </c>
      <c r="E383" t="s">
        <v>1308</v>
      </c>
      <c r="F383" s="3" t="s">
        <v>1309</v>
      </c>
      <c r="G383" s="10">
        <v>1</v>
      </c>
      <c r="H383" s="3" t="s">
        <v>19</v>
      </c>
      <c r="I383" t="s">
        <v>1316</v>
      </c>
      <c r="J383" s="3" t="s">
        <v>212</v>
      </c>
      <c r="K383" t="s">
        <v>5855</v>
      </c>
      <c r="L383" s="3" t="s">
        <v>5949</v>
      </c>
      <c r="M383" t="s">
        <v>5961</v>
      </c>
      <c r="N383" s="8">
        <v>0.122324</v>
      </c>
    </row>
    <row r="384" spans="1:14" hidden="1" x14ac:dyDescent="0.55000000000000004">
      <c r="A384" s="3" t="s">
        <v>1211</v>
      </c>
      <c r="B384" s="3" t="s">
        <v>1324</v>
      </c>
      <c r="C384" t="s">
        <v>1324</v>
      </c>
      <c r="D384" s="3" t="s">
        <v>7312</v>
      </c>
      <c r="E384" t="s">
        <v>1325</v>
      </c>
      <c r="F384" s="3" t="s">
        <v>1326</v>
      </c>
      <c r="G384" s="10">
        <v>0</v>
      </c>
      <c r="H384" s="3" t="s">
        <v>19</v>
      </c>
      <c r="I384" t="s">
        <v>1333</v>
      </c>
      <c r="J384" s="3" t="s">
        <v>212</v>
      </c>
      <c r="K384" t="s">
        <v>5855</v>
      </c>
      <c r="L384" s="3" t="s">
        <v>5949</v>
      </c>
      <c r="M384" t="s">
        <v>5962</v>
      </c>
      <c r="N384" s="8">
        <v>7.6982999999999996E-2</v>
      </c>
    </row>
    <row r="385" spans="1:14" hidden="1" x14ac:dyDescent="0.55000000000000004">
      <c r="A385" s="3" t="s">
        <v>1211</v>
      </c>
      <c r="B385" s="3" t="s">
        <v>1347</v>
      </c>
      <c r="C385" t="s">
        <v>1347</v>
      </c>
      <c r="D385" s="3" t="s">
        <v>7312</v>
      </c>
      <c r="E385" t="s">
        <v>1349</v>
      </c>
      <c r="F385" s="3" t="s">
        <v>1350</v>
      </c>
      <c r="G385" s="10">
        <v>1</v>
      </c>
      <c r="H385" s="3" t="s">
        <v>19</v>
      </c>
      <c r="I385" t="s">
        <v>1358</v>
      </c>
      <c r="J385" s="3" t="s">
        <v>1287</v>
      </c>
      <c r="K385" t="s">
        <v>5963</v>
      </c>
      <c r="L385" s="3" t="s">
        <v>5964</v>
      </c>
      <c r="M385" t="s">
        <v>5965</v>
      </c>
      <c r="N385" s="8">
        <v>6.3890000000000002E-2</v>
      </c>
    </row>
    <row r="386" spans="1:14" hidden="1" x14ac:dyDescent="0.55000000000000004">
      <c r="A386" s="3" t="s">
        <v>1211</v>
      </c>
      <c r="B386" s="3" t="s">
        <v>1363</v>
      </c>
      <c r="C386" t="s">
        <v>1363</v>
      </c>
      <c r="D386" s="3" t="s">
        <v>7312</v>
      </c>
      <c r="E386" t="s">
        <v>1364</v>
      </c>
      <c r="F386" s="3" t="s">
        <v>1365</v>
      </c>
      <c r="G386" s="10">
        <v>0</v>
      </c>
      <c r="H386" s="3" t="s">
        <v>19</v>
      </c>
      <c r="I386" t="s">
        <v>1372</v>
      </c>
      <c r="J386" s="3" t="s">
        <v>1287</v>
      </c>
      <c r="K386" t="s">
        <v>5963</v>
      </c>
      <c r="L386" s="3" t="s">
        <v>5964</v>
      </c>
      <c r="M386" t="s">
        <v>5966</v>
      </c>
      <c r="N386" s="8">
        <v>4.9016999999999998E-2</v>
      </c>
    </row>
    <row r="387" spans="1:14" hidden="1" x14ac:dyDescent="0.55000000000000004">
      <c r="A387" s="3" t="s">
        <v>1211</v>
      </c>
      <c r="B387" s="3" t="s">
        <v>1363</v>
      </c>
      <c r="C387" t="s">
        <v>1363</v>
      </c>
      <c r="D387" s="3" t="s">
        <v>7312</v>
      </c>
      <c r="E387" t="s">
        <v>1376</v>
      </c>
      <c r="F387" s="3" t="s">
        <v>1377</v>
      </c>
      <c r="G387" s="10">
        <v>1</v>
      </c>
      <c r="H387" s="3" t="s">
        <v>19</v>
      </c>
      <c r="I387" t="s">
        <v>1384</v>
      </c>
      <c r="J387" s="3" t="s">
        <v>212</v>
      </c>
      <c r="K387" t="s">
        <v>5855</v>
      </c>
      <c r="L387" s="3" t="s">
        <v>5949</v>
      </c>
      <c r="M387" t="s">
        <v>5966</v>
      </c>
      <c r="N387" s="8">
        <v>6.1633E-2</v>
      </c>
    </row>
    <row r="388" spans="1:14" hidden="1" x14ac:dyDescent="0.55000000000000004">
      <c r="A388" s="3" t="s">
        <v>1211</v>
      </c>
      <c r="B388" s="3" t="s">
        <v>1255</v>
      </c>
      <c r="C388" t="s">
        <v>7334</v>
      </c>
      <c r="D388" s="3" t="s">
        <v>7312</v>
      </c>
      <c r="E388" t="s">
        <v>1389</v>
      </c>
      <c r="F388" s="3" t="s">
        <v>1390</v>
      </c>
      <c r="G388" s="10">
        <v>1</v>
      </c>
      <c r="H388" s="3" t="s">
        <v>19</v>
      </c>
      <c r="I388" t="s">
        <v>1393</v>
      </c>
      <c r="J388" s="3" t="s">
        <v>1279</v>
      </c>
      <c r="K388" t="s">
        <v>5953</v>
      </c>
      <c r="L388" s="3" t="s">
        <v>5956</v>
      </c>
      <c r="M388" t="s">
        <v>5967</v>
      </c>
      <c r="N388" s="8">
        <v>2.0471E-2</v>
      </c>
    </row>
    <row r="389" spans="1:14" hidden="1" x14ac:dyDescent="0.55000000000000004">
      <c r="A389" s="3" t="s">
        <v>1211</v>
      </c>
      <c r="B389" s="3" t="s">
        <v>1255</v>
      </c>
      <c r="C389" t="s">
        <v>7334</v>
      </c>
      <c r="D389" s="3" t="s">
        <v>7312</v>
      </c>
      <c r="E389" t="s">
        <v>1389</v>
      </c>
      <c r="F389" s="3" t="s">
        <v>1390</v>
      </c>
      <c r="G389" s="10">
        <v>1</v>
      </c>
      <c r="H389" s="3" t="s">
        <v>19</v>
      </c>
      <c r="I389" t="s">
        <v>1281</v>
      </c>
      <c r="J389" s="3" t="s">
        <v>1282</v>
      </c>
      <c r="K389" t="s">
        <v>5957</v>
      </c>
      <c r="L389" s="3" t="s">
        <v>5958</v>
      </c>
      <c r="M389" t="s">
        <v>5959</v>
      </c>
      <c r="N389" s="8">
        <v>2.8874E-2</v>
      </c>
    </row>
    <row r="390" spans="1:14" hidden="1" x14ac:dyDescent="0.55000000000000004">
      <c r="A390" s="3" t="s">
        <v>1211</v>
      </c>
      <c r="B390" s="3" t="s">
        <v>1394</v>
      </c>
      <c r="C390" t="s">
        <v>1394</v>
      </c>
      <c r="D390" s="3" t="s">
        <v>7312</v>
      </c>
      <c r="E390" t="s">
        <v>1395</v>
      </c>
      <c r="F390" s="3" t="s">
        <v>1396</v>
      </c>
      <c r="G390" s="10">
        <v>0</v>
      </c>
      <c r="H390" s="3" t="s">
        <v>19</v>
      </c>
      <c r="I390" t="s">
        <v>1399</v>
      </c>
      <c r="J390" s="3" t="s">
        <v>1279</v>
      </c>
      <c r="K390" t="s">
        <v>5953</v>
      </c>
      <c r="L390" s="3" t="s">
        <v>5956</v>
      </c>
      <c r="M390" t="s">
        <v>5968</v>
      </c>
      <c r="N390" s="8">
        <v>2.6232999999999999E-2</v>
      </c>
    </row>
    <row r="391" spans="1:14" hidden="1" x14ac:dyDescent="0.55000000000000004">
      <c r="A391" s="3" t="s">
        <v>1211</v>
      </c>
      <c r="B391" s="3" t="s">
        <v>1394</v>
      </c>
      <c r="C391" t="s">
        <v>1394</v>
      </c>
      <c r="D391" s="3" t="s">
        <v>7312</v>
      </c>
      <c r="E391" t="s">
        <v>1395</v>
      </c>
      <c r="F391" s="3" t="s">
        <v>1396</v>
      </c>
      <c r="G391" s="10">
        <v>0</v>
      </c>
      <c r="H391" s="3" t="s">
        <v>19</v>
      </c>
      <c r="I391" t="s">
        <v>1281</v>
      </c>
      <c r="J391" s="3" t="s">
        <v>1282</v>
      </c>
      <c r="K391" t="s">
        <v>5957</v>
      </c>
      <c r="L391" s="3" t="s">
        <v>5958</v>
      </c>
      <c r="M391" t="s">
        <v>5959</v>
      </c>
      <c r="N391" s="8">
        <v>2.8874E-2</v>
      </c>
    </row>
    <row r="392" spans="1:14" hidden="1" x14ac:dyDescent="0.55000000000000004">
      <c r="A392" s="3" t="s">
        <v>1211</v>
      </c>
      <c r="B392" s="3" t="s">
        <v>1307</v>
      </c>
      <c r="C392" t="s">
        <v>1307</v>
      </c>
      <c r="D392" s="3" t="s">
        <v>7312</v>
      </c>
      <c r="E392" t="s">
        <v>1406</v>
      </c>
      <c r="F392" s="3" t="s">
        <v>1407</v>
      </c>
      <c r="G392" s="10">
        <v>1</v>
      </c>
      <c r="H392" s="3" t="s">
        <v>19</v>
      </c>
      <c r="I392" t="s">
        <v>1281</v>
      </c>
      <c r="J392" s="3" t="s">
        <v>1282</v>
      </c>
      <c r="K392" t="s">
        <v>5957</v>
      </c>
      <c r="L392" s="3" t="s">
        <v>5958</v>
      </c>
      <c r="M392" t="s">
        <v>5959</v>
      </c>
      <c r="N392" s="8">
        <v>2.8874E-2</v>
      </c>
    </row>
    <row r="393" spans="1:14" hidden="1" x14ac:dyDescent="0.55000000000000004">
      <c r="A393" s="3" t="s">
        <v>1211</v>
      </c>
      <c r="B393" s="3" t="s">
        <v>1295</v>
      </c>
      <c r="C393" t="s">
        <v>1295</v>
      </c>
      <c r="D393" s="3" t="s">
        <v>7312</v>
      </c>
      <c r="E393" t="s">
        <v>1415</v>
      </c>
      <c r="F393" s="3" t="s">
        <v>1416</v>
      </c>
      <c r="G393" s="10">
        <v>1</v>
      </c>
      <c r="H393" s="3" t="s">
        <v>19</v>
      </c>
      <c r="I393" t="s">
        <v>1425</v>
      </c>
      <c r="J393" s="3" t="s">
        <v>212</v>
      </c>
      <c r="K393" t="s">
        <v>5855</v>
      </c>
      <c r="L393" s="3" t="s">
        <v>5949</v>
      </c>
      <c r="M393" t="s">
        <v>5969</v>
      </c>
      <c r="N393" s="8">
        <v>7.6982999999999996E-2</v>
      </c>
    </row>
    <row r="394" spans="1:14" hidden="1" x14ac:dyDescent="0.55000000000000004">
      <c r="A394" s="3" t="s">
        <v>1211</v>
      </c>
      <c r="B394" s="3" t="s">
        <v>1414</v>
      </c>
      <c r="C394" t="s">
        <v>1295</v>
      </c>
      <c r="D394" s="3" t="s">
        <v>7312</v>
      </c>
      <c r="E394" t="s">
        <v>1431</v>
      </c>
      <c r="F394" s="3" t="s">
        <v>1432</v>
      </c>
      <c r="G394" s="10">
        <v>0</v>
      </c>
      <c r="H394" s="3" t="s">
        <v>19</v>
      </c>
      <c r="I394" t="s">
        <v>1425</v>
      </c>
      <c r="J394" s="3" t="s">
        <v>212</v>
      </c>
      <c r="K394" t="s">
        <v>5855</v>
      </c>
      <c r="L394" s="3" t="s">
        <v>5949</v>
      </c>
      <c r="M394" t="s">
        <v>5969</v>
      </c>
      <c r="N394" s="8">
        <v>7.6982999999999996E-2</v>
      </c>
    </row>
    <row r="395" spans="1:14" hidden="1" x14ac:dyDescent="0.55000000000000004">
      <c r="A395" s="3" t="s">
        <v>1211</v>
      </c>
      <c r="B395" s="3" t="s">
        <v>1433</v>
      </c>
      <c r="C395" t="s">
        <v>1433</v>
      </c>
      <c r="D395" s="3" t="s">
        <v>7312</v>
      </c>
      <c r="E395" t="s">
        <v>1434</v>
      </c>
      <c r="F395" s="3" t="s">
        <v>1435</v>
      </c>
      <c r="G395" s="10">
        <v>1</v>
      </c>
      <c r="H395" s="3" t="s">
        <v>19</v>
      </c>
      <c r="I395" t="s">
        <v>1442</v>
      </c>
      <c r="J395" s="3" t="s">
        <v>1287</v>
      </c>
      <c r="K395" t="s">
        <v>5963</v>
      </c>
      <c r="L395" s="3" t="s">
        <v>5964</v>
      </c>
      <c r="M395" t="s">
        <v>5970</v>
      </c>
      <c r="N395" s="8">
        <v>6.3890000000000002E-2</v>
      </c>
    </row>
    <row r="396" spans="1:14" hidden="1" x14ac:dyDescent="0.55000000000000004">
      <c r="A396" s="9" t="s">
        <v>1211</v>
      </c>
      <c r="B396" s="3" t="s">
        <v>1238</v>
      </c>
      <c r="C396" t="s">
        <v>1238</v>
      </c>
      <c r="D396" s="3" t="s">
        <v>7312</v>
      </c>
      <c r="E396" t="s">
        <v>1462</v>
      </c>
      <c r="F396" s="3" t="s">
        <v>1463</v>
      </c>
      <c r="G396" s="10">
        <v>1</v>
      </c>
      <c r="H396" s="3" t="s">
        <v>19</v>
      </c>
      <c r="I396" t="s">
        <v>1466</v>
      </c>
      <c r="J396" s="3" t="s">
        <v>212</v>
      </c>
      <c r="K396" t="s">
        <v>5855</v>
      </c>
      <c r="L396" s="3" t="s">
        <v>5949</v>
      </c>
      <c r="M396" t="s">
        <v>5971</v>
      </c>
      <c r="N396" s="8">
        <v>9.3175999999999995E-2</v>
      </c>
    </row>
    <row r="397" spans="1:14" hidden="1" x14ac:dyDescent="0.55000000000000004">
      <c r="A397" s="3" t="s">
        <v>1478</v>
      </c>
      <c r="B397" s="3" t="s">
        <v>1479</v>
      </c>
      <c r="C397" t="s">
        <v>1479</v>
      </c>
      <c r="D397" s="3" t="s">
        <v>7326</v>
      </c>
      <c r="E397" t="s">
        <v>1480</v>
      </c>
      <c r="F397" s="3" t="s">
        <v>1481</v>
      </c>
      <c r="G397" s="10">
        <v>0</v>
      </c>
      <c r="H397" s="3" t="s">
        <v>19</v>
      </c>
      <c r="I397" t="s">
        <v>1485</v>
      </c>
      <c r="J397" s="3" t="s">
        <v>1486</v>
      </c>
      <c r="K397" t="s">
        <v>5972</v>
      </c>
      <c r="L397" s="3" t="s">
        <v>5973</v>
      </c>
      <c r="M397" t="s">
        <v>5974</v>
      </c>
      <c r="N397" s="8">
        <v>5.4938000000000001E-2</v>
      </c>
    </row>
    <row r="398" spans="1:14" hidden="1" x14ac:dyDescent="0.55000000000000004">
      <c r="A398" s="3" t="s">
        <v>1478</v>
      </c>
      <c r="B398" s="3" t="s">
        <v>1479</v>
      </c>
      <c r="C398" t="s">
        <v>1479</v>
      </c>
      <c r="D398" s="3" t="s">
        <v>7326</v>
      </c>
      <c r="E398" t="s">
        <v>1480</v>
      </c>
      <c r="F398" s="3" t="s">
        <v>1481</v>
      </c>
      <c r="G398" s="10">
        <v>0</v>
      </c>
      <c r="H398" s="3" t="s">
        <v>24</v>
      </c>
      <c r="I398" t="s">
        <v>1489</v>
      </c>
      <c r="J398" s="3" t="s">
        <v>76</v>
      </c>
      <c r="K398" t="s">
        <v>5841</v>
      </c>
      <c r="L398" s="3" t="s">
        <v>5840</v>
      </c>
      <c r="M398" t="s">
        <v>5975</v>
      </c>
      <c r="N398" s="8">
        <v>0.27583299999999999</v>
      </c>
    </row>
    <row r="399" spans="1:14" hidden="1" x14ac:dyDescent="0.55000000000000004">
      <c r="A399" s="3" t="s">
        <v>1478</v>
      </c>
      <c r="B399" s="3" t="s">
        <v>1479</v>
      </c>
      <c r="C399" t="s">
        <v>1479</v>
      </c>
      <c r="D399" s="3" t="s">
        <v>7326</v>
      </c>
      <c r="E399" t="s">
        <v>1492</v>
      </c>
      <c r="F399" s="3" t="s">
        <v>1493</v>
      </c>
      <c r="G399" s="10">
        <v>1</v>
      </c>
      <c r="H399" s="3" t="s">
        <v>19</v>
      </c>
      <c r="I399" t="s">
        <v>1485</v>
      </c>
      <c r="J399" s="3" t="s">
        <v>1486</v>
      </c>
      <c r="K399" t="s">
        <v>5972</v>
      </c>
      <c r="L399" s="3" t="s">
        <v>5973</v>
      </c>
      <c r="M399" t="s">
        <v>5974</v>
      </c>
      <c r="N399" s="8">
        <v>5.4938000000000001E-2</v>
      </c>
    </row>
    <row r="400" spans="1:14" hidden="1" x14ac:dyDescent="0.55000000000000004">
      <c r="A400" s="3" t="s">
        <v>1478</v>
      </c>
      <c r="B400" s="3" t="s">
        <v>1479</v>
      </c>
      <c r="C400" t="s">
        <v>1479</v>
      </c>
      <c r="D400" s="3" t="s">
        <v>7326</v>
      </c>
      <c r="E400" t="s">
        <v>1492</v>
      </c>
      <c r="F400" s="3" t="s">
        <v>1493</v>
      </c>
      <c r="G400" s="10">
        <v>1</v>
      </c>
      <c r="H400" s="3" t="s">
        <v>24</v>
      </c>
      <c r="I400" t="s">
        <v>1489</v>
      </c>
      <c r="J400" s="3" t="s">
        <v>76</v>
      </c>
      <c r="K400" t="s">
        <v>5841</v>
      </c>
      <c r="L400" s="3" t="s">
        <v>5840</v>
      </c>
      <c r="M400" t="s">
        <v>5975</v>
      </c>
      <c r="N400" s="8">
        <v>0.27583299999999999</v>
      </c>
    </row>
    <row r="401" spans="1:14" hidden="1" x14ac:dyDescent="0.55000000000000004">
      <c r="A401" s="3" t="s">
        <v>1478</v>
      </c>
      <c r="B401" s="3" t="s">
        <v>1494</v>
      </c>
      <c r="C401" t="s">
        <v>1494</v>
      </c>
      <c r="D401" s="3" t="s">
        <v>7326</v>
      </c>
      <c r="E401" t="s">
        <v>1495</v>
      </c>
      <c r="F401" s="3" t="s">
        <v>1496</v>
      </c>
      <c r="G401" s="10">
        <v>1</v>
      </c>
      <c r="H401" s="3" t="s">
        <v>19</v>
      </c>
      <c r="I401" t="s">
        <v>1499</v>
      </c>
      <c r="J401" s="3" t="s">
        <v>1486</v>
      </c>
      <c r="K401" t="s">
        <v>5972</v>
      </c>
      <c r="L401" s="3" t="s">
        <v>5973</v>
      </c>
      <c r="M401" t="s">
        <v>5976</v>
      </c>
      <c r="N401" s="8">
        <v>3.4486000000000003E-2</v>
      </c>
    </row>
    <row r="402" spans="1:14" hidden="1" x14ac:dyDescent="0.55000000000000004">
      <c r="A402" s="3" t="s">
        <v>1478</v>
      </c>
      <c r="B402" s="3" t="s">
        <v>1494</v>
      </c>
      <c r="C402" t="s">
        <v>1494</v>
      </c>
      <c r="D402" s="3" t="s">
        <v>7326</v>
      </c>
      <c r="E402" t="s">
        <v>1495</v>
      </c>
      <c r="F402" s="3" t="s">
        <v>1496</v>
      </c>
      <c r="G402" s="10">
        <v>1</v>
      </c>
      <c r="H402" s="3" t="s">
        <v>24</v>
      </c>
      <c r="I402" t="s">
        <v>1502</v>
      </c>
      <c r="J402" s="3" t="s">
        <v>76</v>
      </c>
      <c r="K402" t="s">
        <v>5841</v>
      </c>
      <c r="L402" s="3" t="s">
        <v>5840</v>
      </c>
      <c r="M402" t="s">
        <v>5977</v>
      </c>
      <c r="N402" s="8">
        <v>0.27583299999999999</v>
      </c>
    </row>
    <row r="403" spans="1:14" hidden="1" x14ac:dyDescent="0.55000000000000004">
      <c r="A403" s="3" t="s">
        <v>1478</v>
      </c>
      <c r="B403" s="3" t="s">
        <v>1494</v>
      </c>
      <c r="C403" t="s">
        <v>1494</v>
      </c>
      <c r="D403" s="3" t="s">
        <v>7326</v>
      </c>
      <c r="E403" t="s">
        <v>1505</v>
      </c>
      <c r="F403" s="3" t="s">
        <v>1506</v>
      </c>
      <c r="G403" s="10">
        <v>0</v>
      </c>
      <c r="H403" s="3" t="s">
        <v>19</v>
      </c>
      <c r="I403" t="s">
        <v>1499</v>
      </c>
      <c r="J403" s="3" t="s">
        <v>1486</v>
      </c>
      <c r="K403" t="s">
        <v>5972</v>
      </c>
      <c r="L403" s="3" t="s">
        <v>5973</v>
      </c>
      <c r="M403" t="s">
        <v>5976</v>
      </c>
      <c r="N403" s="8">
        <v>3.4486000000000003E-2</v>
      </c>
    </row>
    <row r="404" spans="1:14" hidden="1" x14ac:dyDescent="0.55000000000000004">
      <c r="A404" s="3" t="s">
        <v>1478</v>
      </c>
      <c r="B404" s="3" t="s">
        <v>1494</v>
      </c>
      <c r="C404" t="s">
        <v>1494</v>
      </c>
      <c r="D404" s="3" t="s">
        <v>7326</v>
      </c>
      <c r="E404" t="s">
        <v>1505</v>
      </c>
      <c r="F404" s="3" t="s">
        <v>1506</v>
      </c>
      <c r="G404" s="10">
        <v>0</v>
      </c>
      <c r="H404" s="3" t="s">
        <v>24</v>
      </c>
      <c r="I404" t="s">
        <v>1502</v>
      </c>
      <c r="J404" s="3" t="s">
        <v>76</v>
      </c>
      <c r="K404" t="s">
        <v>5841</v>
      </c>
      <c r="L404" s="3" t="s">
        <v>5840</v>
      </c>
      <c r="M404" t="s">
        <v>5977</v>
      </c>
      <c r="N404" s="8">
        <v>0.27583299999999999</v>
      </c>
    </row>
    <row r="405" spans="1:14" hidden="1" x14ac:dyDescent="0.55000000000000004">
      <c r="A405" s="3" t="s">
        <v>1478</v>
      </c>
      <c r="B405" s="3" t="s">
        <v>1507</v>
      </c>
      <c r="C405" t="s">
        <v>1507</v>
      </c>
      <c r="D405" s="3" t="s">
        <v>7326</v>
      </c>
      <c r="E405" t="s">
        <v>1508</v>
      </c>
      <c r="F405" s="3" t="s">
        <v>1509</v>
      </c>
      <c r="G405" s="10">
        <v>1</v>
      </c>
      <c r="H405" s="3" t="s">
        <v>19</v>
      </c>
      <c r="I405" t="s">
        <v>1512</v>
      </c>
      <c r="J405" s="3" t="s">
        <v>1486</v>
      </c>
      <c r="K405" t="s">
        <v>5972</v>
      </c>
      <c r="L405" s="3" t="s">
        <v>5973</v>
      </c>
      <c r="M405" t="s">
        <v>5978</v>
      </c>
      <c r="N405" s="8">
        <v>4.2980999999999998E-2</v>
      </c>
    </row>
    <row r="406" spans="1:14" hidden="1" x14ac:dyDescent="0.55000000000000004">
      <c r="A406" s="9" t="s">
        <v>1478</v>
      </c>
      <c r="B406" s="3" t="s">
        <v>1507</v>
      </c>
      <c r="C406" t="s">
        <v>1507</v>
      </c>
      <c r="D406" s="3" t="s">
        <v>7326</v>
      </c>
      <c r="E406" t="s">
        <v>1508</v>
      </c>
      <c r="F406" s="3" t="s">
        <v>1509</v>
      </c>
      <c r="G406" s="10">
        <v>1</v>
      </c>
      <c r="H406" s="3" t="s">
        <v>24</v>
      </c>
      <c r="I406" t="s">
        <v>1515</v>
      </c>
      <c r="J406" s="3" t="s">
        <v>76</v>
      </c>
      <c r="K406" t="s">
        <v>5841</v>
      </c>
      <c r="L406" s="3" t="s">
        <v>5840</v>
      </c>
      <c r="M406" t="s">
        <v>5977</v>
      </c>
      <c r="N406" s="8">
        <v>0.27583299999999999</v>
      </c>
    </row>
    <row r="407" spans="1:14" hidden="1" x14ac:dyDescent="0.55000000000000004">
      <c r="A407" s="3" t="s">
        <v>1518</v>
      </c>
      <c r="B407" s="3" t="s">
        <v>1519</v>
      </c>
      <c r="C407" t="s">
        <v>1520</v>
      </c>
      <c r="D407" s="3" t="s">
        <v>7312</v>
      </c>
      <c r="E407" t="s">
        <v>1537</v>
      </c>
      <c r="F407" s="3" t="s">
        <v>1538</v>
      </c>
      <c r="G407" s="10">
        <v>1</v>
      </c>
      <c r="H407" s="3" t="s">
        <v>19</v>
      </c>
      <c r="I407" t="s">
        <v>1542</v>
      </c>
      <c r="J407" s="3" t="s">
        <v>1543</v>
      </c>
      <c r="K407" t="s">
        <v>5979</v>
      </c>
      <c r="L407" s="3" t="s">
        <v>5980</v>
      </c>
      <c r="M407" t="s">
        <v>5981</v>
      </c>
      <c r="N407" s="8">
        <v>3.6200000000000003E-2</v>
      </c>
    </row>
    <row r="408" spans="1:14" hidden="1" x14ac:dyDescent="0.55000000000000004">
      <c r="A408" s="3" t="s">
        <v>1518</v>
      </c>
      <c r="B408" s="3" t="s">
        <v>7336</v>
      </c>
      <c r="C408" t="s">
        <v>1520</v>
      </c>
      <c r="D408" s="3" t="s">
        <v>7312</v>
      </c>
      <c r="E408" t="s">
        <v>1544</v>
      </c>
      <c r="F408" s="3" t="s">
        <v>1545</v>
      </c>
      <c r="G408" s="10">
        <v>1</v>
      </c>
      <c r="H408" s="3" t="s">
        <v>19</v>
      </c>
      <c r="I408" t="s">
        <v>1548</v>
      </c>
      <c r="J408" s="3" t="s">
        <v>1549</v>
      </c>
      <c r="K408" t="s">
        <v>5982</v>
      </c>
      <c r="L408" s="3" t="s">
        <v>5983</v>
      </c>
      <c r="M408" t="s">
        <v>5984</v>
      </c>
      <c r="N408" s="8">
        <v>4.2182999999999998E-2</v>
      </c>
    </row>
    <row r="409" spans="1:14" hidden="1" x14ac:dyDescent="0.55000000000000004">
      <c r="A409" s="3" t="s">
        <v>1518</v>
      </c>
      <c r="B409" s="3" t="s">
        <v>1603</v>
      </c>
      <c r="C409" t="s">
        <v>2921</v>
      </c>
      <c r="D409" s="3" t="s">
        <v>7312</v>
      </c>
      <c r="E409" t="s">
        <v>1604</v>
      </c>
      <c r="F409" s="3" t="s">
        <v>1605</v>
      </c>
      <c r="G409" s="10">
        <v>1</v>
      </c>
      <c r="H409" s="3" t="s">
        <v>19</v>
      </c>
      <c r="I409" t="s">
        <v>1609</v>
      </c>
      <c r="J409" s="3" t="s">
        <v>1610</v>
      </c>
      <c r="K409" t="s">
        <v>5985</v>
      </c>
      <c r="L409" s="3" t="s">
        <v>5986</v>
      </c>
      <c r="M409" t="s">
        <v>5987</v>
      </c>
      <c r="N409" s="8">
        <v>5.3880999999999998E-2</v>
      </c>
    </row>
    <row r="410" spans="1:14" hidden="1" x14ac:dyDescent="0.55000000000000004">
      <c r="A410" s="3" t="s">
        <v>1518</v>
      </c>
      <c r="B410" s="3" t="s">
        <v>1603</v>
      </c>
      <c r="C410" t="s">
        <v>2921</v>
      </c>
      <c r="D410" s="3" t="s">
        <v>7312</v>
      </c>
      <c r="E410" t="s">
        <v>1604</v>
      </c>
      <c r="F410" s="3" t="s">
        <v>1605</v>
      </c>
      <c r="G410" s="10">
        <v>1</v>
      </c>
      <c r="H410" s="3" t="s">
        <v>24</v>
      </c>
      <c r="I410" t="s">
        <v>1621</v>
      </c>
      <c r="J410" s="3" t="s">
        <v>76</v>
      </c>
      <c r="K410" t="s">
        <v>5841</v>
      </c>
      <c r="L410" s="3" t="s">
        <v>5840</v>
      </c>
      <c r="M410" t="s">
        <v>5988</v>
      </c>
      <c r="N410" s="8">
        <v>0.188167</v>
      </c>
    </row>
    <row r="411" spans="1:14" hidden="1" x14ac:dyDescent="0.55000000000000004">
      <c r="A411" s="3" t="s">
        <v>1518</v>
      </c>
      <c r="B411" s="3" t="s">
        <v>7341</v>
      </c>
      <c r="C411" t="s">
        <v>7340</v>
      </c>
      <c r="D411" s="3" t="s">
        <v>7312</v>
      </c>
      <c r="E411" t="s">
        <v>1634</v>
      </c>
      <c r="F411" s="3" t="s">
        <v>1635</v>
      </c>
      <c r="G411" s="10">
        <v>1</v>
      </c>
      <c r="H411" s="3" t="s">
        <v>19</v>
      </c>
      <c r="I411" t="s">
        <v>1638</v>
      </c>
      <c r="J411" s="3" t="s">
        <v>1543</v>
      </c>
      <c r="K411" t="s">
        <v>5979</v>
      </c>
      <c r="L411" s="3" t="s">
        <v>5980</v>
      </c>
      <c r="M411" t="s">
        <v>5989</v>
      </c>
      <c r="N411" s="8">
        <v>1.7314E-2</v>
      </c>
    </row>
    <row r="412" spans="1:14" hidden="1" x14ac:dyDescent="0.55000000000000004">
      <c r="A412" s="3" t="s">
        <v>1518</v>
      </c>
      <c r="B412" s="3" t="s">
        <v>1639</v>
      </c>
      <c r="C412" t="s">
        <v>1714</v>
      </c>
      <c r="D412" s="3" t="s">
        <v>7312</v>
      </c>
      <c r="E412" t="s">
        <v>1640</v>
      </c>
      <c r="F412" s="3" t="s">
        <v>1641</v>
      </c>
      <c r="G412" s="10">
        <v>1</v>
      </c>
      <c r="H412" s="3" t="s">
        <v>19</v>
      </c>
      <c r="I412" t="s">
        <v>1644</v>
      </c>
      <c r="J412" s="3" t="s">
        <v>1543</v>
      </c>
      <c r="K412" t="s">
        <v>5979</v>
      </c>
      <c r="L412" s="3" t="s">
        <v>5980</v>
      </c>
      <c r="M412" t="s">
        <v>5990</v>
      </c>
      <c r="N412" s="8">
        <v>2.5186E-2</v>
      </c>
    </row>
    <row r="413" spans="1:14" hidden="1" x14ac:dyDescent="0.55000000000000004">
      <c r="A413" s="3" t="s">
        <v>1518</v>
      </c>
      <c r="B413" s="3" t="s">
        <v>1648</v>
      </c>
      <c r="C413" t="s">
        <v>1520</v>
      </c>
      <c r="D413" s="3" t="s">
        <v>7312</v>
      </c>
      <c r="E413" t="s">
        <v>1649</v>
      </c>
      <c r="F413" s="3" t="s">
        <v>1650</v>
      </c>
      <c r="G413" s="10">
        <v>1</v>
      </c>
      <c r="H413" s="3" t="s">
        <v>19</v>
      </c>
      <c r="I413" t="s">
        <v>1653</v>
      </c>
      <c r="J413" s="3" t="s">
        <v>1549</v>
      </c>
      <c r="K413" t="s">
        <v>5982</v>
      </c>
      <c r="L413" s="3" t="s">
        <v>5983</v>
      </c>
      <c r="M413" t="s">
        <v>5991</v>
      </c>
      <c r="N413" s="8">
        <v>3.4229000000000002E-2</v>
      </c>
    </row>
    <row r="414" spans="1:14" hidden="1" x14ac:dyDescent="0.55000000000000004">
      <c r="A414" s="3" t="s">
        <v>1518</v>
      </c>
      <c r="B414" s="3" t="s">
        <v>1666</v>
      </c>
      <c r="C414" t="s">
        <v>1666</v>
      </c>
      <c r="D414" s="3" t="s">
        <v>7312</v>
      </c>
      <c r="E414" t="s">
        <v>1667</v>
      </c>
      <c r="F414" s="3" t="s">
        <v>1668</v>
      </c>
      <c r="G414" s="10">
        <v>1</v>
      </c>
      <c r="H414" s="3" t="s">
        <v>19</v>
      </c>
      <c r="I414" t="s">
        <v>1671</v>
      </c>
      <c r="J414" s="3" t="s">
        <v>1549</v>
      </c>
      <c r="K414" t="s">
        <v>5982</v>
      </c>
      <c r="L414" s="3" t="s">
        <v>5983</v>
      </c>
      <c r="M414" t="s">
        <v>5992</v>
      </c>
      <c r="N414" s="8">
        <v>1.184E-2</v>
      </c>
    </row>
    <row r="415" spans="1:14" hidden="1" x14ac:dyDescent="0.55000000000000004">
      <c r="A415" s="3" t="s">
        <v>1518</v>
      </c>
      <c r="B415" s="3" t="s">
        <v>1666</v>
      </c>
      <c r="C415" t="s">
        <v>1666</v>
      </c>
      <c r="D415" s="3" t="s">
        <v>7312</v>
      </c>
      <c r="E415" t="s">
        <v>1667</v>
      </c>
      <c r="F415" s="3" t="s">
        <v>1668</v>
      </c>
      <c r="G415" s="10">
        <v>1</v>
      </c>
      <c r="H415" s="3" t="s">
        <v>19</v>
      </c>
      <c r="I415" t="s">
        <v>1671</v>
      </c>
      <c r="J415" s="3" t="s">
        <v>1549</v>
      </c>
      <c r="K415" t="s">
        <v>5982</v>
      </c>
      <c r="L415" s="3" t="s">
        <v>5983</v>
      </c>
      <c r="M415" t="s">
        <v>5993</v>
      </c>
      <c r="N415" s="8">
        <v>1.184E-2</v>
      </c>
    </row>
    <row r="416" spans="1:14" hidden="1" x14ac:dyDescent="0.55000000000000004">
      <c r="A416" s="3" t="s">
        <v>1518</v>
      </c>
      <c r="B416" s="3" t="s">
        <v>1666</v>
      </c>
      <c r="C416" t="s">
        <v>1666</v>
      </c>
      <c r="D416" s="3" t="s">
        <v>7312</v>
      </c>
      <c r="E416" t="s">
        <v>1667</v>
      </c>
      <c r="F416" s="3" t="s">
        <v>1668</v>
      </c>
      <c r="G416" s="10">
        <v>1</v>
      </c>
      <c r="H416" s="3" t="s">
        <v>19</v>
      </c>
      <c r="I416" t="s">
        <v>1672</v>
      </c>
      <c r="J416" s="3" t="s">
        <v>1673</v>
      </c>
      <c r="K416" t="s">
        <v>5994</v>
      </c>
      <c r="L416" s="3" t="s">
        <v>5995</v>
      </c>
      <c r="M416" t="s">
        <v>5996</v>
      </c>
      <c r="N416" s="8">
        <v>3.6797999999999997E-2</v>
      </c>
    </row>
    <row r="417" spans="1:14" hidden="1" x14ac:dyDescent="0.55000000000000004">
      <c r="A417" s="3" t="s">
        <v>1518</v>
      </c>
      <c r="B417" s="3" t="s">
        <v>1586</v>
      </c>
      <c r="C417" t="s">
        <v>1586</v>
      </c>
      <c r="D417" s="3" t="s">
        <v>7312</v>
      </c>
      <c r="E417" t="s">
        <v>1677</v>
      </c>
      <c r="F417" s="3" t="s">
        <v>1678</v>
      </c>
      <c r="G417" s="10">
        <v>0</v>
      </c>
      <c r="H417" s="3" t="s">
        <v>19</v>
      </c>
      <c r="I417" t="s">
        <v>1682</v>
      </c>
      <c r="J417" s="3" t="s">
        <v>1683</v>
      </c>
      <c r="K417" t="s">
        <v>5997</v>
      </c>
      <c r="L417" s="3" t="s">
        <v>5998</v>
      </c>
      <c r="M417" t="s">
        <v>5998</v>
      </c>
      <c r="N417" s="8">
        <v>2.2355E-2</v>
      </c>
    </row>
    <row r="418" spans="1:14" hidden="1" x14ac:dyDescent="0.55000000000000004">
      <c r="A418" s="3" t="s">
        <v>1518</v>
      </c>
      <c r="B418" s="3" t="s">
        <v>1586</v>
      </c>
      <c r="C418" t="s">
        <v>1586</v>
      </c>
      <c r="D418" s="3" t="s">
        <v>7312</v>
      </c>
      <c r="E418" t="s">
        <v>1677</v>
      </c>
      <c r="F418" s="3" t="s">
        <v>1678</v>
      </c>
      <c r="G418" s="10">
        <v>0</v>
      </c>
      <c r="H418" s="3" t="s">
        <v>19</v>
      </c>
      <c r="I418" t="s">
        <v>1682</v>
      </c>
      <c r="J418" s="3" t="s">
        <v>1683</v>
      </c>
      <c r="K418" t="s">
        <v>5997</v>
      </c>
      <c r="L418" s="3" t="s">
        <v>5998</v>
      </c>
      <c r="M418" t="s">
        <v>5999</v>
      </c>
      <c r="N418" s="8">
        <v>2.2355E-2</v>
      </c>
    </row>
    <row r="419" spans="1:14" hidden="1" x14ac:dyDescent="0.55000000000000004">
      <c r="A419" s="3" t="s">
        <v>1518</v>
      </c>
      <c r="B419" s="3" t="s">
        <v>1699</v>
      </c>
      <c r="C419" t="s">
        <v>1786</v>
      </c>
      <c r="D419" s="3" t="s">
        <v>7312</v>
      </c>
      <c r="E419" t="s">
        <v>1700</v>
      </c>
      <c r="F419" s="3" t="s">
        <v>1701</v>
      </c>
      <c r="G419" s="10">
        <v>1</v>
      </c>
      <c r="H419" s="3" t="s">
        <v>19</v>
      </c>
      <c r="I419" t="s">
        <v>1704</v>
      </c>
      <c r="J419" s="3" t="s">
        <v>249</v>
      </c>
      <c r="K419" t="s">
        <v>5866</v>
      </c>
      <c r="L419" s="3" t="s">
        <v>5867</v>
      </c>
      <c r="M419" t="s">
        <v>6000</v>
      </c>
      <c r="N419" s="8">
        <v>8.0498E-2</v>
      </c>
    </row>
    <row r="420" spans="1:14" hidden="1" x14ac:dyDescent="0.55000000000000004">
      <c r="A420" s="3" t="s">
        <v>1518</v>
      </c>
      <c r="B420" s="3" t="s">
        <v>1699</v>
      </c>
      <c r="C420" t="s">
        <v>1786</v>
      </c>
      <c r="D420" s="3" t="s">
        <v>7312</v>
      </c>
      <c r="E420" t="s">
        <v>1700</v>
      </c>
      <c r="F420" s="3" t="s">
        <v>1701</v>
      </c>
      <c r="G420" s="10">
        <v>1</v>
      </c>
      <c r="H420" s="3" t="s">
        <v>24</v>
      </c>
      <c r="I420" t="s">
        <v>1707</v>
      </c>
      <c r="J420" s="3" t="s">
        <v>138</v>
      </c>
      <c r="K420" t="s">
        <v>23</v>
      </c>
      <c r="L420" s="3" t="s">
        <v>5837</v>
      </c>
      <c r="M420" t="s">
        <v>23</v>
      </c>
      <c r="N420" s="8">
        <v>0.17976700000000001</v>
      </c>
    </row>
    <row r="421" spans="1:14" hidden="1" x14ac:dyDescent="0.55000000000000004">
      <c r="A421" s="3" t="s">
        <v>1518</v>
      </c>
      <c r="B421" s="3" t="s">
        <v>1720</v>
      </c>
      <c r="C421" t="s">
        <v>1721</v>
      </c>
      <c r="D421" s="3" t="s">
        <v>7312</v>
      </c>
      <c r="E421" t="s">
        <v>1722</v>
      </c>
      <c r="F421" s="3" t="s">
        <v>1723</v>
      </c>
      <c r="G421" s="10">
        <v>1</v>
      </c>
      <c r="H421" s="3" t="s">
        <v>19</v>
      </c>
      <c r="I421" t="s">
        <v>1726</v>
      </c>
      <c r="J421" s="3" t="s">
        <v>1282</v>
      </c>
      <c r="K421" t="s">
        <v>5957</v>
      </c>
      <c r="L421" s="3" t="s">
        <v>5958</v>
      </c>
      <c r="M421" t="s">
        <v>6001</v>
      </c>
      <c r="N421" s="8">
        <v>2.6112E-2</v>
      </c>
    </row>
    <row r="422" spans="1:14" hidden="1" x14ac:dyDescent="0.55000000000000004">
      <c r="A422" s="3" t="s">
        <v>1518</v>
      </c>
      <c r="B422" s="3" t="s">
        <v>1721</v>
      </c>
      <c r="C422" t="s">
        <v>1721</v>
      </c>
      <c r="D422" s="3" t="s">
        <v>7312</v>
      </c>
      <c r="E422" t="s">
        <v>1732</v>
      </c>
      <c r="F422" s="3" t="s">
        <v>1733</v>
      </c>
      <c r="G422" s="10">
        <v>1</v>
      </c>
      <c r="H422" s="3" t="s">
        <v>19</v>
      </c>
      <c r="I422" t="s">
        <v>1738</v>
      </c>
      <c r="J422" s="3" t="s">
        <v>1571</v>
      </c>
      <c r="K422" t="s">
        <v>6002</v>
      </c>
      <c r="L422" s="3" t="s">
        <v>6003</v>
      </c>
      <c r="M422" t="s">
        <v>6004</v>
      </c>
      <c r="N422" s="8">
        <v>3.6524000000000001E-2</v>
      </c>
    </row>
    <row r="423" spans="1:14" hidden="1" x14ac:dyDescent="0.55000000000000004">
      <c r="A423" s="3" t="s">
        <v>1518</v>
      </c>
      <c r="B423" s="3" t="s">
        <v>1744</v>
      </c>
      <c r="C423" t="s">
        <v>2921</v>
      </c>
      <c r="D423" s="3" t="s">
        <v>7312</v>
      </c>
      <c r="E423" t="s">
        <v>1745</v>
      </c>
      <c r="F423" s="3" t="s">
        <v>1746</v>
      </c>
      <c r="G423" s="10">
        <v>0</v>
      </c>
      <c r="H423" s="3" t="s">
        <v>19</v>
      </c>
      <c r="I423" t="s">
        <v>1749</v>
      </c>
      <c r="J423" s="3" t="s">
        <v>1610</v>
      </c>
      <c r="K423" t="s">
        <v>5985</v>
      </c>
      <c r="L423" s="3" t="s">
        <v>5986</v>
      </c>
      <c r="M423" t="s">
        <v>6005</v>
      </c>
      <c r="N423" s="8">
        <v>5.3166999999999999E-2</v>
      </c>
    </row>
    <row r="424" spans="1:14" hidden="1" x14ac:dyDescent="0.55000000000000004">
      <c r="A424" s="3" t="s">
        <v>1518</v>
      </c>
      <c r="B424" s="3" t="s">
        <v>1744</v>
      </c>
      <c r="C424" t="s">
        <v>2921</v>
      </c>
      <c r="D424" s="3" t="s">
        <v>7312</v>
      </c>
      <c r="E424" t="s">
        <v>1745</v>
      </c>
      <c r="F424" s="3" t="s">
        <v>1746</v>
      </c>
      <c r="G424" s="10">
        <v>0</v>
      </c>
      <c r="H424" s="3" t="s">
        <v>24</v>
      </c>
      <c r="I424" t="s">
        <v>1752</v>
      </c>
      <c r="J424" s="3" t="s">
        <v>76</v>
      </c>
      <c r="K424" t="s">
        <v>5841</v>
      </c>
      <c r="L424" s="3" t="s">
        <v>5840</v>
      </c>
      <c r="M424" t="s">
        <v>5988</v>
      </c>
      <c r="N424" s="8">
        <v>0.188167</v>
      </c>
    </row>
    <row r="425" spans="1:14" hidden="1" x14ac:dyDescent="0.55000000000000004">
      <c r="A425" s="3" t="s">
        <v>1518</v>
      </c>
      <c r="B425" s="3" t="s">
        <v>1744</v>
      </c>
      <c r="C425" t="s">
        <v>2921</v>
      </c>
      <c r="D425" s="3" t="s">
        <v>7312</v>
      </c>
      <c r="E425" t="s">
        <v>1755</v>
      </c>
      <c r="F425" s="3" t="s">
        <v>1756</v>
      </c>
      <c r="G425" s="10">
        <v>0</v>
      </c>
      <c r="H425" s="3" t="s">
        <v>19</v>
      </c>
      <c r="I425" t="s">
        <v>1749</v>
      </c>
      <c r="J425" s="3" t="s">
        <v>1610</v>
      </c>
      <c r="K425" t="s">
        <v>5985</v>
      </c>
      <c r="L425" s="3" t="s">
        <v>5986</v>
      </c>
      <c r="M425" t="s">
        <v>6005</v>
      </c>
      <c r="N425" s="8">
        <v>5.3166999999999999E-2</v>
      </c>
    </row>
    <row r="426" spans="1:14" hidden="1" x14ac:dyDescent="0.55000000000000004">
      <c r="A426" s="3" t="s">
        <v>1518</v>
      </c>
      <c r="B426" s="3" t="s">
        <v>1744</v>
      </c>
      <c r="C426" t="s">
        <v>2921</v>
      </c>
      <c r="D426" s="3" t="s">
        <v>7312</v>
      </c>
      <c r="E426" t="s">
        <v>1755</v>
      </c>
      <c r="F426" s="3" t="s">
        <v>1756</v>
      </c>
      <c r="G426" s="10">
        <v>0</v>
      </c>
      <c r="H426" s="3" t="s">
        <v>24</v>
      </c>
      <c r="I426" t="s">
        <v>1752</v>
      </c>
      <c r="J426" s="3" t="s">
        <v>76</v>
      </c>
      <c r="K426" t="s">
        <v>5841</v>
      </c>
      <c r="L426" s="3" t="s">
        <v>5840</v>
      </c>
      <c r="M426" t="s">
        <v>5988</v>
      </c>
      <c r="N426" s="8">
        <v>0.188167</v>
      </c>
    </row>
    <row r="427" spans="1:14" hidden="1" x14ac:dyDescent="0.55000000000000004">
      <c r="A427" s="3" t="s">
        <v>1518</v>
      </c>
      <c r="B427" s="3" t="s">
        <v>7313</v>
      </c>
      <c r="C427" t="s">
        <v>2921</v>
      </c>
      <c r="D427" s="3" t="s">
        <v>7312</v>
      </c>
      <c r="E427" t="s">
        <v>1757</v>
      </c>
      <c r="F427" s="3" t="s">
        <v>1758</v>
      </c>
      <c r="G427" s="10">
        <v>0</v>
      </c>
      <c r="H427" s="3" t="s">
        <v>19</v>
      </c>
      <c r="I427" t="s">
        <v>1749</v>
      </c>
      <c r="J427" s="3" t="s">
        <v>1610</v>
      </c>
      <c r="K427" t="s">
        <v>5985</v>
      </c>
      <c r="L427" s="3" t="s">
        <v>5986</v>
      </c>
      <c r="M427" t="s">
        <v>6005</v>
      </c>
      <c r="N427" s="8">
        <v>5.3166999999999999E-2</v>
      </c>
    </row>
    <row r="428" spans="1:14" hidden="1" x14ac:dyDescent="0.55000000000000004">
      <c r="A428" s="3" t="s">
        <v>1518</v>
      </c>
      <c r="B428" s="3" t="s">
        <v>7313</v>
      </c>
      <c r="C428" t="s">
        <v>2921</v>
      </c>
      <c r="D428" s="3" t="s">
        <v>7312</v>
      </c>
      <c r="E428" t="s">
        <v>1757</v>
      </c>
      <c r="F428" s="3" t="s">
        <v>1758</v>
      </c>
      <c r="G428" s="10">
        <v>0</v>
      </c>
      <c r="H428" s="3" t="s">
        <v>24</v>
      </c>
      <c r="I428" t="s">
        <v>1752</v>
      </c>
      <c r="J428" s="3" t="s">
        <v>76</v>
      </c>
      <c r="K428" t="s">
        <v>5841</v>
      </c>
      <c r="L428" s="3" t="s">
        <v>5840</v>
      </c>
      <c r="M428" t="s">
        <v>5988</v>
      </c>
      <c r="N428" s="8">
        <v>0.188167</v>
      </c>
    </row>
    <row r="429" spans="1:14" hidden="1" x14ac:dyDescent="0.55000000000000004">
      <c r="A429" s="3" t="s">
        <v>1518</v>
      </c>
      <c r="B429" s="3" t="s">
        <v>1744</v>
      </c>
      <c r="C429" t="s">
        <v>2921</v>
      </c>
      <c r="D429" s="3" t="s">
        <v>7312</v>
      </c>
      <c r="E429" t="s">
        <v>1759</v>
      </c>
      <c r="F429" s="3" t="s">
        <v>1760</v>
      </c>
      <c r="G429" s="10">
        <v>1</v>
      </c>
      <c r="H429" s="3" t="s">
        <v>19</v>
      </c>
      <c r="I429" t="s">
        <v>1749</v>
      </c>
      <c r="J429" s="3" t="s">
        <v>1610</v>
      </c>
      <c r="K429" t="s">
        <v>5985</v>
      </c>
      <c r="L429" s="3" t="s">
        <v>5986</v>
      </c>
      <c r="M429" t="s">
        <v>6005</v>
      </c>
      <c r="N429" s="8">
        <v>5.3166999999999999E-2</v>
      </c>
    </row>
    <row r="430" spans="1:14" hidden="1" x14ac:dyDescent="0.55000000000000004">
      <c r="A430" s="9" t="s">
        <v>1518</v>
      </c>
      <c r="B430" s="3" t="s">
        <v>1744</v>
      </c>
      <c r="C430" t="s">
        <v>2921</v>
      </c>
      <c r="D430" s="3" t="s">
        <v>7312</v>
      </c>
      <c r="E430" t="s">
        <v>1759</v>
      </c>
      <c r="F430" s="3" t="s">
        <v>1760</v>
      </c>
      <c r="G430" s="10">
        <v>1</v>
      </c>
      <c r="H430" s="3" t="s">
        <v>24</v>
      </c>
      <c r="I430" t="s">
        <v>1752</v>
      </c>
      <c r="J430" s="3" t="s">
        <v>76</v>
      </c>
      <c r="K430" t="s">
        <v>5841</v>
      </c>
      <c r="L430" s="3" t="s">
        <v>5840</v>
      </c>
      <c r="M430" t="s">
        <v>5988</v>
      </c>
      <c r="N430" s="8">
        <v>0.188167</v>
      </c>
    </row>
    <row r="431" spans="1:14" hidden="1" x14ac:dyDescent="0.55000000000000004">
      <c r="A431" s="3" t="s">
        <v>1761</v>
      </c>
      <c r="B431" s="3" t="s">
        <v>1763</v>
      </c>
      <c r="C431" t="s">
        <v>1763</v>
      </c>
      <c r="D431" s="3" t="s">
        <v>7312</v>
      </c>
      <c r="E431" t="s">
        <v>1764</v>
      </c>
      <c r="F431" s="3" t="s">
        <v>1765</v>
      </c>
      <c r="G431" s="10">
        <v>1</v>
      </c>
      <c r="H431" s="3" t="s">
        <v>19</v>
      </c>
      <c r="I431" t="s">
        <v>1769</v>
      </c>
      <c r="J431" s="3" t="s">
        <v>1770</v>
      </c>
      <c r="K431" t="s">
        <v>6006</v>
      </c>
      <c r="L431" s="3" t="s">
        <v>5998</v>
      </c>
      <c r="M431" t="s">
        <v>6007</v>
      </c>
      <c r="N431" s="8">
        <v>3.8678999999999998E-2</v>
      </c>
    </row>
    <row r="432" spans="1:14" hidden="1" x14ac:dyDescent="0.55000000000000004">
      <c r="A432" s="3" t="s">
        <v>1761</v>
      </c>
      <c r="B432" s="3" t="s">
        <v>1762</v>
      </c>
      <c r="C432" t="s">
        <v>1763</v>
      </c>
      <c r="D432" s="3" t="s">
        <v>7312</v>
      </c>
      <c r="E432" t="s">
        <v>1781</v>
      </c>
      <c r="F432" s="3" t="s">
        <v>1782</v>
      </c>
      <c r="G432" s="10">
        <v>0</v>
      </c>
      <c r="H432" s="3" t="s">
        <v>19</v>
      </c>
      <c r="I432" t="s">
        <v>1769</v>
      </c>
      <c r="J432" s="3" t="s">
        <v>1770</v>
      </c>
      <c r="K432" t="s">
        <v>6006</v>
      </c>
      <c r="L432" s="3" t="s">
        <v>5998</v>
      </c>
      <c r="M432" t="s">
        <v>6007</v>
      </c>
      <c r="N432" s="8">
        <v>3.8678999999999998E-2</v>
      </c>
    </row>
    <row r="433" spans="1:14" hidden="1" x14ac:dyDescent="0.55000000000000004">
      <c r="A433" s="3" t="s">
        <v>1761</v>
      </c>
      <c r="B433" s="3" t="s">
        <v>1795</v>
      </c>
      <c r="C433" t="s">
        <v>1796</v>
      </c>
      <c r="D433" s="3" t="s">
        <v>7312</v>
      </c>
      <c r="E433" t="s">
        <v>1797</v>
      </c>
      <c r="F433" s="3" t="s">
        <v>1798</v>
      </c>
      <c r="G433" s="10">
        <v>1</v>
      </c>
      <c r="H433" s="3" t="s">
        <v>19</v>
      </c>
      <c r="I433" t="s">
        <v>1802</v>
      </c>
      <c r="J433" s="3" t="s">
        <v>1803</v>
      </c>
      <c r="K433" t="s">
        <v>6008</v>
      </c>
      <c r="L433" s="3" t="s">
        <v>6009</v>
      </c>
      <c r="M433" t="s">
        <v>6010</v>
      </c>
      <c r="N433" s="8">
        <v>2.2416999999999999E-2</v>
      </c>
    </row>
    <row r="434" spans="1:14" hidden="1" x14ac:dyDescent="0.55000000000000004">
      <c r="A434" s="3" t="s">
        <v>1761</v>
      </c>
      <c r="B434" s="3" t="s">
        <v>1807</v>
      </c>
      <c r="C434" t="s">
        <v>1807</v>
      </c>
      <c r="D434" s="3" t="s">
        <v>7312</v>
      </c>
      <c r="E434" t="s">
        <v>1808</v>
      </c>
      <c r="F434" s="3" t="s">
        <v>1809</v>
      </c>
      <c r="G434" s="10">
        <v>0</v>
      </c>
      <c r="H434" s="3" t="s">
        <v>19</v>
      </c>
      <c r="I434" t="s">
        <v>1812</v>
      </c>
      <c r="J434" s="3" t="s">
        <v>1610</v>
      </c>
      <c r="K434" t="s">
        <v>5985</v>
      </c>
      <c r="L434" s="3" t="s">
        <v>5986</v>
      </c>
      <c r="M434" t="s">
        <v>6011</v>
      </c>
      <c r="N434" s="8">
        <v>5.7189999999999998E-2</v>
      </c>
    </row>
    <row r="435" spans="1:14" hidden="1" x14ac:dyDescent="0.55000000000000004">
      <c r="A435" s="3" t="s">
        <v>1761</v>
      </c>
      <c r="B435" s="3" t="s">
        <v>7343</v>
      </c>
      <c r="C435" t="s">
        <v>1807</v>
      </c>
      <c r="D435" s="3" t="s">
        <v>7312</v>
      </c>
      <c r="E435" t="s">
        <v>1821</v>
      </c>
      <c r="F435" s="3" t="s">
        <v>1822</v>
      </c>
      <c r="G435" s="10">
        <v>0</v>
      </c>
      <c r="H435" s="3" t="s">
        <v>19</v>
      </c>
      <c r="I435" t="s">
        <v>1812</v>
      </c>
      <c r="J435" s="3" t="s">
        <v>1610</v>
      </c>
      <c r="K435" t="s">
        <v>5985</v>
      </c>
      <c r="L435" s="3" t="s">
        <v>5986</v>
      </c>
      <c r="M435" t="s">
        <v>6011</v>
      </c>
      <c r="N435" s="8">
        <v>5.7189999999999998E-2</v>
      </c>
    </row>
    <row r="436" spans="1:14" hidden="1" x14ac:dyDescent="0.55000000000000004">
      <c r="A436" s="3" t="s">
        <v>1761</v>
      </c>
      <c r="B436" s="3" t="s">
        <v>1807</v>
      </c>
      <c r="C436" t="s">
        <v>1807</v>
      </c>
      <c r="D436" s="3" t="s">
        <v>7312</v>
      </c>
      <c r="E436" t="s">
        <v>1823</v>
      </c>
      <c r="F436" s="3" t="s">
        <v>1824</v>
      </c>
      <c r="G436" s="10">
        <v>0</v>
      </c>
      <c r="H436" s="3" t="s">
        <v>19</v>
      </c>
      <c r="I436" t="s">
        <v>1812</v>
      </c>
      <c r="J436" s="3" t="s">
        <v>1610</v>
      </c>
      <c r="K436" t="s">
        <v>5985</v>
      </c>
      <c r="L436" s="3" t="s">
        <v>5986</v>
      </c>
      <c r="M436" t="s">
        <v>6011</v>
      </c>
      <c r="N436" s="8">
        <v>5.7189999999999998E-2</v>
      </c>
    </row>
    <row r="437" spans="1:14" hidden="1" x14ac:dyDescent="0.55000000000000004">
      <c r="A437" s="3" t="s">
        <v>1761</v>
      </c>
      <c r="B437" s="3" t="s">
        <v>1807</v>
      </c>
      <c r="C437" t="s">
        <v>1807</v>
      </c>
      <c r="D437" s="3" t="s">
        <v>7312</v>
      </c>
      <c r="E437" t="s">
        <v>1825</v>
      </c>
      <c r="F437" s="3" t="s">
        <v>1826</v>
      </c>
      <c r="G437" s="10">
        <v>0</v>
      </c>
      <c r="H437" s="3" t="s">
        <v>19</v>
      </c>
      <c r="I437" t="s">
        <v>1812</v>
      </c>
      <c r="J437" s="3" t="s">
        <v>1610</v>
      </c>
      <c r="K437" t="s">
        <v>5985</v>
      </c>
      <c r="L437" s="3" t="s">
        <v>5986</v>
      </c>
      <c r="M437" t="s">
        <v>6011</v>
      </c>
      <c r="N437" s="8">
        <v>5.7189999999999998E-2</v>
      </c>
    </row>
    <row r="438" spans="1:14" hidden="1" x14ac:dyDescent="0.55000000000000004">
      <c r="A438" s="3" t="s">
        <v>1761</v>
      </c>
      <c r="B438" s="3" t="s">
        <v>7343</v>
      </c>
      <c r="C438" t="s">
        <v>1807</v>
      </c>
      <c r="D438" s="3" t="s">
        <v>7312</v>
      </c>
      <c r="E438" t="s">
        <v>1827</v>
      </c>
      <c r="F438" s="3" t="s">
        <v>1828</v>
      </c>
      <c r="G438" s="10">
        <v>1</v>
      </c>
      <c r="H438" s="3" t="s">
        <v>19</v>
      </c>
      <c r="I438" t="s">
        <v>1812</v>
      </c>
      <c r="J438" s="3" t="s">
        <v>1610</v>
      </c>
      <c r="K438" t="s">
        <v>5985</v>
      </c>
      <c r="L438" s="3" t="s">
        <v>5986</v>
      </c>
      <c r="M438" t="s">
        <v>6011</v>
      </c>
      <c r="N438" s="8">
        <v>5.7189999999999998E-2</v>
      </c>
    </row>
    <row r="439" spans="1:14" hidden="1" x14ac:dyDescent="0.55000000000000004">
      <c r="A439" s="3" t="s">
        <v>1761</v>
      </c>
      <c r="B439" s="3" t="s">
        <v>1807</v>
      </c>
      <c r="C439" t="s">
        <v>1807</v>
      </c>
      <c r="D439" s="3" t="s">
        <v>7312</v>
      </c>
      <c r="E439" t="s">
        <v>1829</v>
      </c>
      <c r="F439" s="3" t="s">
        <v>1830</v>
      </c>
      <c r="G439" s="10">
        <v>0</v>
      </c>
      <c r="H439" s="3" t="s">
        <v>19</v>
      </c>
      <c r="I439" t="s">
        <v>1812</v>
      </c>
      <c r="J439" s="3" t="s">
        <v>1610</v>
      </c>
      <c r="K439" t="s">
        <v>5985</v>
      </c>
      <c r="L439" s="3" t="s">
        <v>5986</v>
      </c>
      <c r="M439" t="s">
        <v>6011</v>
      </c>
      <c r="N439" s="8">
        <v>5.7189999999999998E-2</v>
      </c>
    </row>
    <row r="440" spans="1:14" hidden="1" x14ac:dyDescent="0.55000000000000004">
      <c r="A440" s="3" t="s">
        <v>1761</v>
      </c>
      <c r="B440" s="3" t="s">
        <v>1831</v>
      </c>
      <c r="C440" t="s">
        <v>1831</v>
      </c>
      <c r="D440" s="3" t="s">
        <v>7312</v>
      </c>
      <c r="E440" t="s">
        <v>1832</v>
      </c>
      <c r="F440" s="3" t="s">
        <v>1833</v>
      </c>
      <c r="G440" s="10">
        <v>0</v>
      </c>
      <c r="H440" s="3" t="s">
        <v>19</v>
      </c>
      <c r="I440" t="s">
        <v>1836</v>
      </c>
      <c r="J440" s="3" t="s">
        <v>1770</v>
      </c>
      <c r="K440" t="s">
        <v>6006</v>
      </c>
      <c r="L440" s="3" t="s">
        <v>5998</v>
      </c>
      <c r="M440" t="s">
        <v>6012</v>
      </c>
      <c r="N440" s="8">
        <v>5.2879000000000002E-2</v>
      </c>
    </row>
    <row r="441" spans="1:14" hidden="1" x14ac:dyDescent="0.55000000000000004">
      <c r="A441" s="3" t="s">
        <v>1761</v>
      </c>
      <c r="B441" s="3" t="s">
        <v>1831</v>
      </c>
      <c r="C441" t="s">
        <v>1831</v>
      </c>
      <c r="D441" s="3" t="s">
        <v>7312</v>
      </c>
      <c r="E441" t="s">
        <v>1841</v>
      </c>
      <c r="F441" s="3" t="s">
        <v>1842</v>
      </c>
      <c r="G441" s="10">
        <v>0</v>
      </c>
      <c r="H441" s="3" t="s">
        <v>19</v>
      </c>
      <c r="I441" t="s">
        <v>1836</v>
      </c>
      <c r="J441" s="3" t="s">
        <v>1770</v>
      </c>
      <c r="K441" t="s">
        <v>6006</v>
      </c>
      <c r="L441" s="3" t="s">
        <v>5998</v>
      </c>
      <c r="M441" t="s">
        <v>6012</v>
      </c>
      <c r="N441" s="8">
        <v>5.2879000000000002E-2</v>
      </c>
    </row>
    <row r="442" spans="1:14" hidden="1" x14ac:dyDescent="0.55000000000000004">
      <c r="A442" s="3" t="s">
        <v>1761</v>
      </c>
      <c r="B442" s="3" t="s">
        <v>1831</v>
      </c>
      <c r="C442" t="s">
        <v>1831</v>
      </c>
      <c r="D442" s="3" t="s">
        <v>7312</v>
      </c>
      <c r="E442" t="s">
        <v>1843</v>
      </c>
      <c r="F442" s="3" t="s">
        <v>1844</v>
      </c>
      <c r="G442" s="10">
        <v>0</v>
      </c>
      <c r="H442" s="3" t="s">
        <v>19</v>
      </c>
      <c r="I442" t="s">
        <v>1836</v>
      </c>
      <c r="J442" s="3" t="s">
        <v>1770</v>
      </c>
      <c r="K442" t="s">
        <v>6006</v>
      </c>
      <c r="L442" s="3" t="s">
        <v>5998</v>
      </c>
      <c r="M442" t="s">
        <v>6012</v>
      </c>
      <c r="N442" s="8">
        <v>5.2879000000000002E-2</v>
      </c>
    </row>
    <row r="443" spans="1:14" hidden="1" x14ac:dyDescent="0.55000000000000004">
      <c r="A443" s="3" t="s">
        <v>1761</v>
      </c>
      <c r="B443" s="3" t="s">
        <v>1831</v>
      </c>
      <c r="C443" t="s">
        <v>1831</v>
      </c>
      <c r="D443" s="3" t="s">
        <v>7312</v>
      </c>
      <c r="E443" t="s">
        <v>1845</v>
      </c>
      <c r="F443" s="3" t="s">
        <v>1846</v>
      </c>
      <c r="G443" s="10">
        <v>1</v>
      </c>
      <c r="H443" s="3" t="s">
        <v>19</v>
      </c>
      <c r="I443" t="s">
        <v>1836</v>
      </c>
      <c r="J443" s="3" t="s">
        <v>1770</v>
      </c>
      <c r="K443" t="s">
        <v>6006</v>
      </c>
      <c r="L443" s="3" t="s">
        <v>5998</v>
      </c>
      <c r="M443" t="s">
        <v>6012</v>
      </c>
      <c r="N443" s="8">
        <v>5.2879000000000002E-2</v>
      </c>
    </row>
    <row r="444" spans="1:14" hidden="1" x14ac:dyDescent="0.55000000000000004">
      <c r="A444" s="3" t="s">
        <v>1761</v>
      </c>
      <c r="B444" s="3" t="s">
        <v>1763</v>
      </c>
      <c r="C444" t="s">
        <v>1763</v>
      </c>
      <c r="D444" s="3" t="s">
        <v>7312</v>
      </c>
      <c r="E444" t="s">
        <v>1847</v>
      </c>
      <c r="F444" s="3" t="s">
        <v>1848</v>
      </c>
      <c r="G444" s="10">
        <v>1</v>
      </c>
      <c r="H444" s="3" t="s">
        <v>19</v>
      </c>
      <c r="I444" t="s">
        <v>1852</v>
      </c>
      <c r="J444" s="3" t="s">
        <v>1853</v>
      </c>
      <c r="K444" t="s">
        <v>6013</v>
      </c>
      <c r="L444" s="3" t="s">
        <v>5983</v>
      </c>
      <c r="M444" t="s">
        <v>6014</v>
      </c>
      <c r="N444" s="8">
        <v>7.0113999999999996E-2</v>
      </c>
    </row>
    <row r="445" spans="1:14" hidden="1" x14ac:dyDescent="0.55000000000000004">
      <c r="A445" s="3" t="s">
        <v>1761</v>
      </c>
      <c r="B445" s="3" t="s">
        <v>7344</v>
      </c>
      <c r="C445" t="s">
        <v>1763</v>
      </c>
      <c r="D445" s="3" t="s">
        <v>7312</v>
      </c>
      <c r="E445" t="s">
        <v>1854</v>
      </c>
      <c r="F445" s="3" t="s">
        <v>1855</v>
      </c>
      <c r="G445" s="10">
        <v>0</v>
      </c>
      <c r="H445" s="3" t="s">
        <v>19</v>
      </c>
      <c r="I445" t="s">
        <v>1858</v>
      </c>
      <c r="J445" s="3" t="s">
        <v>249</v>
      </c>
      <c r="K445" t="s">
        <v>5866</v>
      </c>
      <c r="L445" s="3" t="s">
        <v>5867</v>
      </c>
      <c r="M445" t="s">
        <v>6015</v>
      </c>
      <c r="N445" s="8">
        <v>9.9498000000000003E-2</v>
      </c>
    </row>
    <row r="446" spans="1:14" hidden="1" x14ac:dyDescent="0.55000000000000004">
      <c r="A446" s="3" t="s">
        <v>1761</v>
      </c>
      <c r="B446" s="3" t="s">
        <v>1865</v>
      </c>
      <c r="C446" t="s">
        <v>1786</v>
      </c>
      <c r="D446" s="3" t="s">
        <v>7312</v>
      </c>
      <c r="E446" t="s">
        <v>1866</v>
      </c>
      <c r="F446" s="3" t="s">
        <v>1867</v>
      </c>
      <c r="G446" s="10">
        <v>0</v>
      </c>
      <c r="H446" s="3" t="s">
        <v>24</v>
      </c>
      <c r="I446" t="s">
        <v>1870</v>
      </c>
      <c r="J446" s="3" t="s">
        <v>40</v>
      </c>
      <c r="K446" t="s">
        <v>23</v>
      </c>
      <c r="L446" s="3" t="s">
        <v>5835</v>
      </c>
      <c r="M446" t="s">
        <v>23</v>
      </c>
      <c r="N446" s="8">
        <v>0.18193599999999999</v>
      </c>
    </row>
    <row r="447" spans="1:14" hidden="1" x14ac:dyDescent="0.55000000000000004">
      <c r="A447" s="3" t="s">
        <v>1761</v>
      </c>
      <c r="B447" s="3" t="s">
        <v>1865</v>
      </c>
      <c r="C447" t="s">
        <v>1786</v>
      </c>
      <c r="D447" s="3" t="s">
        <v>7312</v>
      </c>
      <c r="E447" t="s">
        <v>1871</v>
      </c>
      <c r="F447" s="3" t="s">
        <v>1872</v>
      </c>
      <c r="G447" s="10">
        <v>0</v>
      </c>
      <c r="H447" s="3" t="s">
        <v>24</v>
      </c>
      <c r="I447" t="s">
        <v>1870</v>
      </c>
      <c r="J447" s="3" t="s">
        <v>40</v>
      </c>
      <c r="K447" t="s">
        <v>23</v>
      </c>
      <c r="L447" s="3" t="s">
        <v>5835</v>
      </c>
      <c r="M447" t="s">
        <v>23</v>
      </c>
      <c r="N447" s="8">
        <v>0.18193599999999999</v>
      </c>
    </row>
    <row r="448" spans="1:14" hidden="1" x14ac:dyDescent="0.55000000000000004">
      <c r="A448" s="3" t="s">
        <v>1761</v>
      </c>
      <c r="B448" s="3" t="s">
        <v>1873</v>
      </c>
      <c r="C448" t="s">
        <v>1873</v>
      </c>
      <c r="D448" s="3" t="s">
        <v>7312</v>
      </c>
      <c r="E448" t="s">
        <v>1879</v>
      </c>
      <c r="F448" s="3" t="s">
        <v>1880</v>
      </c>
      <c r="G448" s="10">
        <v>1</v>
      </c>
      <c r="H448" s="3" t="s">
        <v>19</v>
      </c>
      <c r="I448" t="s">
        <v>1883</v>
      </c>
      <c r="J448" s="3" t="s">
        <v>1543</v>
      </c>
      <c r="K448" t="s">
        <v>5979</v>
      </c>
      <c r="L448" s="3" t="s">
        <v>5980</v>
      </c>
      <c r="M448" t="s">
        <v>6016</v>
      </c>
      <c r="N448" s="8">
        <v>3.7775999999999997E-2</v>
      </c>
    </row>
    <row r="449" spans="1:14" hidden="1" x14ac:dyDescent="0.55000000000000004">
      <c r="A449" s="3" t="s">
        <v>1761</v>
      </c>
      <c r="B449" s="3" t="s">
        <v>1893</v>
      </c>
      <c r="C449" t="s">
        <v>1893</v>
      </c>
      <c r="D449" s="3" t="s">
        <v>7312</v>
      </c>
      <c r="E449" t="s">
        <v>1894</v>
      </c>
      <c r="F449" s="3" t="s">
        <v>1895</v>
      </c>
      <c r="G449" s="10">
        <v>1</v>
      </c>
      <c r="H449" s="3" t="s">
        <v>19</v>
      </c>
      <c r="I449" t="s">
        <v>1898</v>
      </c>
      <c r="J449" s="3" t="s">
        <v>249</v>
      </c>
      <c r="K449" t="s">
        <v>5866</v>
      </c>
      <c r="L449" s="3" t="s">
        <v>5867</v>
      </c>
      <c r="M449" t="s">
        <v>6017</v>
      </c>
      <c r="N449" s="8">
        <v>8.7168999999999996E-2</v>
      </c>
    </row>
    <row r="450" spans="1:14" hidden="1" x14ac:dyDescent="0.55000000000000004">
      <c r="A450" s="3" t="s">
        <v>1761</v>
      </c>
      <c r="B450" s="3" t="s">
        <v>1893</v>
      </c>
      <c r="C450" t="s">
        <v>1893</v>
      </c>
      <c r="D450" s="3" t="s">
        <v>7312</v>
      </c>
      <c r="E450" t="s">
        <v>1894</v>
      </c>
      <c r="F450" s="3" t="s">
        <v>1895</v>
      </c>
      <c r="G450" s="10">
        <v>1</v>
      </c>
      <c r="H450" s="3" t="s">
        <v>24</v>
      </c>
      <c r="I450" t="s">
        <v>1901</v>
      </c>
      <c r="J450" s="3" t="s">
        <v>138</v>
      </c>
      <c r="K450" t="s">
        <v>23</v>
      </c>
      <c r="L450" s="3" t="s">
        <v>5837</v>
      </c>
      <c r="M450" t="s">
        <v>23</v>
      </c>
      <c r="N450" s="8">
        <v>0.18007300000000001</v>
      </c>
    </row>
    <row r="451" spans="1:14" hidden="1" x14ac:dyDescent="0.55000000000000004">
      <c r="A451" s="3" t="s">
        <v>1761</v>
      </c>
      <c r="B451" s="3" t="s">
        <v>1902</v>
      </c>
      <c r="C451" t="s">
        <v>1902</v>
      </c>
      <c r="D451" s="3" t="s">
        <v>7312</v>
      </c>
      <c r="E451" t="s">
        <v>1903</v>
      </c>
      <c r="F451" s="3" t="s">
        <v>1904</v>
      </c>
      <c r="G451" s="10">
        <v>1</v>
      </c>
      <c r="H451" s="3" t="s">
        <v>19</v>
      </c>
      <c r="I451" t="s">
        <v>1907</v>
      </c>
      <c r="J451" s="3" t="s">
        <v>249</v>
      </c>
      <c r="K451" t="s">
        <v>5866</v>
      </c>
      <c r="L451" s="3" t="s">
        <v>5867</v>
      </c>
      <c r="M451" t="s">
        <v>6018</v>
      </c>
      <c r="N451" s="8">
        <v>8.1961999999999993E-2</v>
      </c>
    </row>
    <row r="452" spans="1:14" hidden="1" x14ac:dyDescent="0.55000000000000004">
      <c r="A452" s="3" t="s">
        <v>1761</v>
      </c>
      <c r="B452" s="3" t="s">
        <v>1917</v>
      </c>
      <c r="C452" t="s">
        <v>1763</v>
      </c>
      <c r="D452" s="3" t="s">
        <v>7312</v>
      </c>
      <c r="E452" t="s">
        <v>1918</v>
      </c>
      <c r="F452" s="3" t="s">
        <v>1919</v>
      </c>
      <c r="G452" s="10">
        <v>0</v>
      </c>
      <c r="H452" s="3" t="s">
        <v>24</v>
      </c>
      <c r="I452" t="s">
        <v>1922</v>
      </c>
      <c r="J452" s="3" t="s">
        <v>40</v>
      </c>
      <c r="K452" t="s">
        <v>23</v>
      </c>
      <c r="L452" s="3" t="s">
        <v>5835</v>
      </c>
      <c r="M452" t="s">
        <v>23</v>
      </c>
      <c r="N452" s="8">
        <v>0.18095600000000001</v>
      </c>
    </row>
    <row r="453" spans="1:14" hidden="1" x14ac:dyDescent="0.55000000000000004">
      <c r="A453" s="3" t="s">
        <v>1761</v>
      </c>
      <c r="B453" s="3" t="s">
        <v>1763</v>
      </c>
      <c r="C453" t="s">
        <v>1763</v>
      </c>
      <c r="D453" s="3" t="s">
        <v>7312</v>
      </c>
      <c r="E453" t="s">
        <v>1924</v>
      </c>
      <c r="F453" s="3" t="s">
        <v>1925</v>
      </c>
      <c r="G453" s="10">
        <v>0</v>
      </c>
      <c r="H453" s="3" t="s">
        <v>19</v>
      </c>
      <c r="I453" t="s">
        <v>1928</v>
      </c>
      <c r="J453" s="3" t="s">
        <v>249</v>
      </c>
      <c r="K453" t="s">
        <v>5866</v>
      </c>
      <c r="L453" s="3" t="s">
        <v>5867</v>
      </c>
      <c r="M453" t="s">
        <v>6019</v>
      </c>
      <c r="N453" s="8">
        <v>9.9498000000000003E-2</v>
      </c>
    </row>
    <row r="454" spans="1:14" hidden="1" x14ac:dyDescent="0.55000000000000004">
      <c r="A454" s="9" t="s">
        <v>1761</v>
      </c>
      <c r="B454" s="3" t="s">
        <v>1923</v>
      </c>
      <c r="C454" t="s">
        <v>1763</v>
      </c>
      <c r="D454" s="3" t="s">
        <v>7312</v>
      </c>
      <c r="E454" t="s">
        <v>1932</v>
      </c>
      <c r="F454" s="3" t="s">
        <v>1933</v>
      </c>
      <c r="G454" s="10">
        <v>1</v>
      </c>
      <c r="H454" s="3" t="s">
        <v>19</v>
      </c>
      <c r="I454" t="s">
        <v>1936</v>
      </c>
      <c r="J454" s="3" t="s">
        <v>1543</v>
      </c>
      <c r="K454" t="s">
        <v>5979</v>
      </c>
      <c r="L454" s="3" t="s">
        <v>5980</v>
      </c>
      <c r="M454" t="s">
        <v>6020</v>
      </c>
      <c r="N454" s="8">
        <v>2.8330999999999999E-2</v>
      </c>
    </row>
    <row r="455" spans="1:14" hidden="1" x14ac:dyDescent="0.55000000000000004">
      <c r="A455" s="3" t="s">
        <v>1937</v>
      </c>
      <c r="B455" s="3" t="s">
        <v>1938</v>
      </c>
      <c r="C455" t="s">
        <v>1938</v>
      </c>
      <c r="D455" s="3" t="s">
        <v>7312</v>
      </c>
      <c r="E455" t="s">
        <v>1939</v>
      </c>
      <c r="F455" s="3" t="s">
        <v>1940</v>
      </c>
      <c r="G455" s="10">
        <v>0</v>
      </c>
      <c r="H455" s="3" t="s">
        <v>24</v>
      </c>
      <c r="I455" t="s">
        <v>1943</v>
      </c>
      <c r="J455" s="3" t="s">
        <v>29</v>
      </c>
      <c r="K455" t="s">
        <v>23</v>
      </c>
      <c r="L455" s="3" t="s">
        <v>5840</v>
      </c>
      <c r="M455" t="s">
        <v>23</v>
      </c>
      <c r="N455" s="8">
        <v>0.182144</v>
      </c>
    </row>
    <row r="456" spans="1:14" hidden="1" x14ac:dyDescent="0.55000000000000004">
      <c r="A456" s="3" t="s">
        <v>1937</v>
      </c>
      <c r="B456" s="3" t="s">
        <v>1944</v>
      </c>
      <c r="C456" t="s">
        <v>1944</v>
      </c>
      <c r="D456" s="3" t="s">
        <v>7312</v>
      </c>
      <c r="E456" t="s">
        <v>1945</v>
      </c>
      <c r="F456" s="3" t="s">
        <v>1946</v>
      </c>
      <c r="G456" s="10">
        <v>1</v>
      </c>
      <c r="H456" s="3" t="s">
        <v>19</v>
      </c>
      <c r="I456" t="s">
        <v>1954</v>
      </c>
      <c r="J456" s="3" t="s">
        <v>1287</v>
      </c>
      <c r="K456" t="s">
        <v>5963</v>
      </c>
      <c r="L456" s="3" t="s">
        <v>5964</v>
      </c>
      <c r="M456" t="s">
        <v>6021</v>
      </c>
      <c r="N456" s="8">
        <v>2.9488E-2</v>
      </c>
    </row>
    <row r="457" spans="1:14" hidden="1" x14ac:dyDescent="0.55000000000000004">
      <c r="A457" s="3" t="s">
        <v>1937</v>
      </c>
      <c r="B457" s="3" t="s">
        <v>1944</v>
      </c>
      <c r="C457" t="s">
        <v>1944</v>
      </c>
      <c r="D457" s="3" t="s">
        <v>7312</v>
      </c>
      <c r="E457" t="s">
        <v>1945</v>
      </c>
      <c r="F457" s="3" t="s">
        <v>1946</v>
      </c>
      <c r="G457" s="10">
        <v>1</v>
      </c>
      <c r="H457" s="3" t="s">
        <v>24</v>
      </c>
      <c r="I457" t="s">
        <v>1958</v>
      </c>
      <c r="J457" s="3" t="s">
        <v>55</v>
      </c>
      <c r="K457" t="s">
        <v>23</v>
      </c>
      <c r="L457" s="3" t="s">
        <v>5839</v>
      </c>
      <c r="M457" t="s">
        <v>23</v>
      </c>
      <c r="N457" s="8">
        <v>0.180311</v>
      </c>
    </row>
    <row r="458" spans="1:14" hidden="1" x14ac:dyDescent="0.55000000000000004">
      <c r="A458" s="3" t="s">
        <v>1937</v>
      </c>
      <c r="B458" s="3" t="s">
        <v>1959</v>
      </c>
      <c r="C458" t="s">
        <v>1959</v>
      </c>
      <c r="D458" s="3" t="s">
        <v>7312</v>
      </c>
      <c r="E458" t="s">
        <v>1960</v>
      </c>
      <c r="F458" s="3" t="s">
        <v>1961</v>
      </c>
      <c r="G458" s="10">
        <v>0</v>
      </c>
      <c r="H458" s="3" t="s">
        <v>24</v>
      </c>
      <c r="I458" t="s">
        <v>1964</v>
      </c>
      <c r="J458" s="3" t="s">
        <v>55</v>
      </c>
      <c r="K458" t="s">
        <v>23</v>
      </c>
      <c r="L458" s="3" t="s">
        <v>5839</v>
      </c>
      <c r="M458" t="s">
        <v>23</v>
      </c>
      <c r="N458" s="8">
        <v>0.18154500000000001</v>
      </c>
    </row>
    <row r="459" spans="1:14" hidden="1" x14ac:dyDescent="0.55000000000000004">
      <c r="A459" s="3" t="s">
        <v>1937</v>
      </c>
      <c r="B459" s="3" t="s">
        <v>1966</v>
      </c>
      <c r="C459" t="s">
        <v>1966</v>
      </c>
      <c r="D459" s="3" t="s">
        <v>7312</v>
      </c>
      <c r="E459" t="s">
        <v>1968</v>
      </c>
      <c r="F459" s="3" t="s">
        <v>1969</v>
      </c>
      <c r="G459" s="10">
        <v>1</v>
      </c>
      <c r="H459" s="3" t="s">
        <v>19</v>
      </c>
      <c r="I459" t="s">
        <v>1976</v>
      </c>
      <c r="J459" s="3" t="s">
        <v>212</v>
      </c>
      <c r="K459" t="s">
        <v>5855</v>
      </c>
      <c r="L459" s="3" t="s">
        <v>5949</v>
      </c>
      <c r="M459" t="s">
        <v>6022</v>
      </c>
      <c r="N459" s="8">
        <v>6.5721000000000002E-2</v>
      </c>
    </row>
    <row r="460" spans="1:14" hidden="1" x14ac:dyDescent="0.55000000000000004">
      <c r="A460" s="3" t="s">
        <v>1937</v>
      </c>
      <c r="B460" s="3" t="s">
        <v>1966</v>
      </c>
      <c r="C460" t="s">
        <v>1966</v>
      </c>
      <c r="D460" s="3" t="s">
        <v>7312</v>
      </c>
      <c r="E460" t="s">
        <v>1968</v>
      </c>
      <c r="F460" s="3" t="s">
        <v>1969</v>
      </c>
      <c r="G460" s="10">
        <v>1</v>
      </c>
      <c r="H460" s="3" t="s">
        <v>24</v>
      </c>
      <c r="I460" t="s">
        <v>1982</v>
      </c>
      <c r="J460" s="3" t="s">
        <v>23</v>
      </c>
      <c r="K460" t="s">
        <v>23</v>
      </c>
      <c r="L460" s="3" t="s">
        <v>5835</v>
      </c>
      <c r="M460" t="s">
        <v>6023</v>
      </c>
      <c r="N460" s="8" t="s">
        <v>23</v>
      </c>
    </row>
    <row r="461" spans="1:14" hidden="1" x14ac:dyDescent="0.55000000000000004">
      <c r="A461" s="3" t="s">
        <v>1937</v>
      </c>
      <c r="B461" s="3" t="s">
        <v>1983</v>
      </c>
      <c r="C461" t="s">
        <v>1983</v>
      </c>
      <c r="D461" s="3" t="s">
        <v>7312</v>
      </c>
      <c r="E461" t="s">
        <v>1984</v>
      </c>
      <c r="F461" s="3" t="s">
        <v>1985</v>
      </c>
      <c r="G461" s="10">
        <v>1</v>
      </c>
      <c r="H461" s="3" t="s">
        <v>19</v>
      </c>
      <c r="I461" t="s">
        <v>1992</v>
      </c>
      <c r="J461" s="3" t="s">
        <v>1287</v>
      </c>
      <c r="K461" t="s">
        <v>5963</v>
      </c>
      <c r="L461" s="3" t="s">
        <v>5964</v>
      </c>
      <c r="M461" t="s">
        <v>6024</v>
      </c>
      <c r="N461" s="8">
        <v>1.9675999999999999E-2</v>
      </c>
    </row>
    <row r="462" spans="1:14" hidden="1" x14ac:dyDescent="0.55000000000000004">
      <c r="A462" s="3" t="s">
        <v>1937</v>
      </c>
      <c r="B462" s="3" t="s">
        <v>1983</v>
      </c>
      <c r="C462" t="s">
        <v>1983</v>
      </c>
      <c r="D462" s="3" t="s">
        <v>7312</v>
      </c>
      <c r="E462" t="s">
        <v>1984</v>
      </c>
      <c r="F462" s="3" t="s">
        <v>1985</v>
      </c>
      <c r="G462" s="10">
        <v>1</v>
      </c>
      <c r="H462" s="3" t="s">
        <v>24</v>
      </c>
      <c r="I462" t="s">
        <v>1997</v>
      </c>
      <c r="J462" s="3" t="s">
        <v>55</v>
      </c>
      <c r="K462" t="s">
        <v>23</v>
      </c>
      <c r="L462" s="3" t="s">
        <v>5839</v>
      </c>
      <c r="M462" t="s">
        <v>23</v>
      </c>
      <c r="N462" s="8">
        <v>0.18157499999999999</v>
      </c>
    </row>
    <row r="463" spans="1:14" hidden="1" x14ac:dyDescent="0.55000000000000004">
      <c r="A463" s="3" t="s">
        <v>1937</v>
      </c>
      <c r="B463" s="3" t="s">
        <v>1999</v>
      </c>
      <c r="C463" t="s">
        <v>1999</v>
      </c>
      <c r="D463" s="3" t="s">
        <v>7312</v>
      </c>
      <c r="E463" t="s">
        <v>2000</v>
      </c>
      <c r="F463" s="3" t="s">
        <v>2001</v>
      </c>
      <c r="G463" s="10">
        <v>0</v>
      </c>
      <c r="H463" s="3" t="s">
        <v>19</v>
      </c>
      <c r="I463" t="s">
        <v>2006</v>
      </c>
      <c r="J463" s="3" t="s">
        <v>212</v>
      </c>
      <c r="K463" t="s">
        <v>5855</v>
      </c>
      <c r="L463" s="3" t="s">
        <v>5949</v>
      </c>
      <c r="M463" t="s">
        <v>6025</v>
      </c>
      <c r="N463" s="8">
        <v>7.6704999999999995E-2</v>
      </c>
    </row>
    <row r="464" spans="1:14" hidden="1" x14ac:dyDescent="0.55000000000000004">
      <c r="A464" s="3" t="s">
        <v>1937</v>
      </c>
      <c r="B464" s="3" t="s">
        <v>1999</v>
      </c>
      <c r="C464" t="s">
        <v>1999</v>
      </c>
      <c r="D464" s="3" t="s">
        <v>7312</v>
      </c>
      <c r="E464" t="s">
        <v>2000</v>
      </c>
      <c r="F464" s="3" t="s">
        <v>2001</v>
      </c>
      <c r="G464" s="10">
        <v>0</v>
      </c>
      <c r="H464" s="3" t="s">
        <v>24</v>
      </c>
      <c r="I464" t="s">
        <v>2015</v>
      </c>
      <c r="J464" s="3" t="s">
        <v>55</v>
      </c>
      <c r="K464" t="s">
        <v>23</v>
      </c>
      <c r="L464" s="3" t="s">
        <v>5839</v>
      </c>
      <c r="M464" t="s">
        <v>23</v>
      </c>
      <c r="N464" s="8">
        <v>0.18046400000000001</v>
      </c>
    </row>
    <row r="465" spans="1:14" hidden="1" x14ac:dyDescent="0.55000000000000004">
      <c r="A465" s="3" t="s">
        <v>1937</v>
      </c>
      <c r="B465" s="3" t="s">
        <v>1999</v>
      </c>
      <c r="C465" t="s">
        <v>1999</v>
      </c>
      <c r="D465" s="3" t="s">
        <v>7312</v>
      </c>
      <c r="E465" t="s">
        <v>2016</v>
      </c>
      <c r="F465" s="3" t="s">
        <v>2017</v>
      </c>
      <c r="G465" s="10">
        <v>0</v>
      </c>
      <c r="H465" s="3" t="s">
        <v>19</v>
      </c>
      <c r="I465" t="s">
        <v>2024</v>
      </c>
      <c r="J465" s="3" t="s">
        <v>212</v>
      </c>
      <c r="K465" t="s">
        <v>5855</v>
      </c>
      <c r="L465" s="3" t="s">
        <v>5949</v>
      </c>
      <c r="M465" t="s">
        <v>6026</v>
      </c>
      <c r="N465" s="8">
        <v>7.0723999999999995E-2</v>
      </c>
    </row>
    <row r="466" spans="1:14" hidden="1" x14ac:dyDescent="0.55000000000000004">
      <c r="A466" s="3" t="s">
        <v>1937</v>
      </c>
      <c r="B466" s="3" t="s">
        <v>1999</v>
      </c>
      <c r="C466" t="s">
        <v>1999</v>
      </c>
      <c r="D466" s="3" t="s">
        <v>7312</v>
      </c>
      <c r="E466" t="s">
        <v>2016</v>
      </c>
      <c r="F466" s="3" t="s">
        <v>2017</v>
      </c>
      <c r="G466" s="10">
        <v>0</v>
      </c>
      <c r="H466" s="3" t="s">
        <v>24</v>
      </c>
      <c r="I466" t="s">
        <v>2015</v>
      </c>
      <c r="J466" s="3" t="s">
        <v>55</v>
      </c>
      <c r="K466" t="s">
        <v>23</v>
      </c>
      <c r="L466" s="3" t="s">
        <v>5839</v>
      </c>
      <c r="M466" t="s">
        <v>23</v>
      </c>
      <c r="N466" s="8">
        <v>0.18046400000000001</v>
      </c>
    </row>
    <row r="467" spans="1:14" hidden="1" x14ac:dyDescent="0.55000000000000004">
      <c r="A467" s="3" t="s">
        <v>1937</v>
      </c>
      <c r="B467" s="3" t="s">
        <v>1999</v>
      </c>
      <c r="C467" t="s">
        <v>1999</v>
      </c>
      <c r="D467" s="3" t="s">
        <v>7312</v>
      </c>
      <c r="E467" t="s">
        <v>2027</v>
      </c>
      <c r="F467" s="3" t="s">
        <v>2028</v>
      </c>
      <c r="G467" s="10">
        <v>1</v>
      </c>
      <c r="H467" s="3" t="s">
        <v>19</v>
      </c>
      <c r="I467" t="s">
        <v>2006</v>
      </c>
      <c r="J467" s="3" t="s">
        <v>212</v>
      </c>
      <c r="K467" t="s">
        <v>5855</v>
      </c>
      <c r="L467" s="3" t="s">
        <v>5949</v>
      </c>
      <c r="M467" t="s">
        <v>6025</v>
      </c>
      <c r="N467" s="8">
        <v>7.6704999999999995E-2</v>
      </c>
    </row>
    <row r="468" spans="1:14" hidden="1" x14ac:dyDescent="0.55000000000000004">
      <c r="A468" s="3" t="s">
        <v>1937</v>
      </c>
      <c r="B468" s="3" t="s">
        <v>1999</v>
      </c>
      <c r="C468" t="s">
        <v>1999</v>
      </c>
      <c r="D468" s="3" t="s">
        <v>7312</v>
      </c>
      <c r="E468" t="s">
        <v>2027</v>
      </c>
      <c r="F468" s="3" t="s">
        <v>2028</v>
      </c>
      <c r="G468" s="10">
        <v>1</v>
      </c>
      <c r="H468" s="3" t="s">
        <v>24</v>
      </c>
      <c r="I468" t="s">
        <v>2015</v>
      </c>
      <c r="J468" s="3" t="s">
        <v>55</v>
      </c>
      <c r="K468" t="s">
        <v>23</v>
      </c>
      <c r="L468" s="3" t="s">
        <v>5839</v>
      </c>
      <c r="M468" t="s">
        <v>23</v>
      </c>
      <c r="N468" s="8">
        <v>0.18046400000000001</v>
      </c>
    </row>
    <row r="469" spans="1:14" hidden="1" x14ac:dyDescent="0.55000000000000004">
      <c r="A469" s="3" t="s">
        <v>1937</v>
      </c>
      <c r="B469" s="3" t="s">
        <v>2032</v>
      </c>
      <c r="C469" t="s">
        <v>2032</v>
      </c>
      <c r="D469" s="3" t="s">
        <v>7312</v>
      </c>
      <c r="E469" t="s">
        <v>2033</v>
      </c>
      <c r="F469" s="3" t="s">
        <v>2034</v>
      </c>
      <c r="G469" s="10">
        <v>0</v>
      </c>
      <c r="H469" s="3" t="s">
        <v>24</v>
      </c>
      <c r="I469" t="s">
        <v>2037</v>
      </c>
      <c r="J469" s="3" t="s">
        <v>29</v>
      </c>
      <c r="K469" t="s">
        <v>23</v>
      </c>
      <c r="L469" s="3" t="s">
        <v>5840</v>
      </c>
      <c r="M469" t="s">
        <v>23</v>
      </c>
      <c r="N469" s="8">
        <v>0.18121999999999999</v>
      </c>
    </row>
    <row r="470" spans="1:14" hidden="1" x14ac:dyDescent="0.55000000000000004">
      <c r="A470" s="3" t="s">
        <v>1937</v>
      </c>
      <c r="B470" s="3" t="s">
        <v>2038</v>
      </c>
      <c r="C470" t="s">
        <v>2038</v>
      </c>
      <c r="D470" s="3" t="s">
        <v>7312</v>
      </c>
      <c r="E470" t="s">
        <v>2039</v>
      </c>
      <c r="F470" s="3" t="s">
        <v>2040</v>
      </c>
      <c r="G470" s="10">
        <v>1</v>
      </c>
      <c r="H470" s="3" t="s">
        <v>19</v>
      </c>
      <c r="I470" t="s">
        <v>2047</v>
      </c>
      <c r="J470" s="3" t="s">
        <v>212</v>
      </c>
      <c r="K470" t="s">
        <v>5855</v>
      </c>
      <c r="L470" s="3" t="s">
        <v>5949</v>
      </c>
      <c r="M470" t="s">
        <v>6027</v>
      </c>
      <c r="N470" s="8">
        <v>7.0723999999999995E-2</v>
      </c>
    </row>
    <row r="471" spans="1:14" hidden="1" x14ac:dyDescent="0.55000000000000004">
      <c r="A471" s="3" t="s">
        <v>1937</v>
      </c>
      <c r="B471" s="3" t="s">
        <v>2038</v>
      </c>
      <c r="C471" t="s">
        <v>2038</v>
      </c>
      <c r="D471" s="3" t="s">
        <v>7312</v>
      </c>
      <c r="E471" t="s">
        <v>2039</v>
      </c>
      <c r="F471" s="3" t="s">
        <v>2040</v>
      </c>
      <c r="G471" s="10">
        <v>1</v>
      </c>
      <c r="H471" s="3" t="s">
        <v>24</v>
      </c>
      <c r="I471" t="s">
        <v>2052</v>
      </c>
      <c r="J471" s="3" t="s">
        <v>55</v>
      </c>
      <c r="K471" t="s">
        <v>23</v>
      </c>
      <c r="L471" s="3" t="s">
        <v>5839</v>
      </c>
      <c r="M471" t="s">
        <v>23</v>
      </c>
      <c r="N471" s="8">
        <v>0.18061099999999999</v>
      </c>
    </row>
    <row r="472" spans="1:14" hidden="1" x14ac:dyDescent="0.55000000000000004">
      <c r="A472" s="3" t="s">
        <v>1937</v>
      </c>
      <c r="B472" s="3" t="s">
        <v>1967</v>
      </c>
      <c r="C472" t="s">
        <v>1967</v>
      </c>
      <c r="D472" s="3" t="s">
        <v>7312</v>
      </c>
      <c r="E472" t="s">
        <v>2056</v>
      </c>
      <c r="F472" s="3" t="s">
        <v>2057</v>
      </c>
      <c r="G472" s="10">
        <v>1</v>
      </c>
      <c r="H472" s="3" t="s">
        <v>19</v>
      </c>
      <c r="I472" t="s">
        <v>2064</v>
      </c>
      <c r="J472" s="3" t="s">
        <v>1287</v>
      </c>
      <c r="K472" t="s">
        <v>5963</v>
      </c>
      <c r="L472" s="3" t="s">
        <v>5964</v>
      </c>
      <c r="M472" t="s">
        <v>6028</v>
      </c>
      <c r="N472" s="8">
        <v>2.8323999999999998E-2</v>
      </c>
    </row>
    <row r="473" spans="1:14" hidden="1" x14ac:dyDescent="0.55000000000000004">
      <c r="A473" s="3" t="s">
        <v>1937</v>
      </c>
      <c r="B473" s="3" t="s">
        <v>1967</v>
      </c>
      <c r="C473" t="s">
        <v>1967</v>
      </c>
      <c r="D473" s="3" t="s">
        <v>7312</v>
      </c>
      <c r="E473" t="s">
        <v>2056</v>
      </c>
      <c r="F473" s="3" t="s">
        <v>2057</v>
      </c>
      <c r="G473" s="10">
        <v>1</v>
      </c>
      <c r="H473" s="3" t="s">
        <v>24</v>
      </c>
      <c r="I473" t="s">
        <v>2068</v>
      </c>
      <c r="J473" s="3" t="s">
        <v>29</v>
      </c>
      <c r="K473" t="s">
        <v>23</v>
      </c>
      <c r="L473" s="3" t="s">
        <v>5840</v>
      </c>
      <c r="M473" t="s">
        <v>23</v>
      </c>
      <c r="N473" s="8">
        <v>0.18085999999999999</v>
      </c>
    </row>
    <row r="474" spans="1:14" hidden="1" x14ac:dyDescent="0.55000000000000004">
      <c r="A474" s="3" t="s">
        <v>1937</v>
      </c>
      <c r="B474" s="3" t="s">
        <v>2069</v>
      </c>
      <c r="C474" t="s">
        <v>2069</v>
      </c>
      <c r="D474" s="3" t="s">
        <v>7312</v>
      </c>
      <c r="E474" t="s">
        <v>2070</v>
      </c>
      <c r="F474" s="3" t="s">
        <v>2071</v>
      </c>
      <c r="G474" s="10">
        <v>1</v>
      </c>
      <c r="H474" s="3" t="s">
        <v>19</v>
      </c>
      <c r="I474" t="s">
        <v>2078</v>
      </c>
      <c r="J474" s="3" t="s">
        <v>212</v>
      </c>
      <c r="K474" t="s">
        <v>5855</v>
      </c>
      <c r="L474" s="3" t="s">
        <v>5949</v>
      </c>
      <c r="M474" t="s">
        <v>6029</v>
      </c>
      <c r="N474" s="8">
        <v>7.7338000000000004E-2</v>
      </c>
    </row>
    <row r="475" spans="1:14" hidden="1" x14ac:dyDescent="0.55000000000000004">
      <c r="A475" s="3" t="s">
        <v>1937</v>
      </c>
      <c r="B475" s="3" t="s">
        <v>2069</v>
      </c>
      <c r="C475" t="s">
        <v>2069</v>
      </c>
      <c r="D475" s="3" t="s">
        <v>7312</v>
      </c>
      <c r="E475" t="s">
        <v>2070</v>
      </c>
      <c r="F475" s="3" t="s">
        <v>2071</v>
      </c>
      <c r="G475" s="10">
        <v>1</v>
      </c>
      <c r="H475" s="3" t="s">
        <v>24</v>
      </c>
      <c r="I475" t="s">
        <v>2083</v>
      </c>
      <c r="J475" s="3" t="s">
        <v>23</v>
      </c>
      <c r="K475" t="s">
        <v>23</v>
      </c>
      <c r="L475" s="3" t="s">
        <v>5835</v>
      </c>
      <c r="M475" t="s">
        <v>6023</v>
      </c>
      <c r="N475" s="8" t="s">
        <v>23</v>
      </c>
    </row>
    <row r="476" spans="1:14" hidden="1" x14ac:dyDescent="0.55000000000000004">
      <c r="A476" s="3" t="s">
        <v>1937</v>
      </c>
      <c r="B476" s="3" t="s">
        <v>2084</v>
      </c>
      <c r="C476" t="s">
        <v>2084</v>
      </c>
      <c r="D476" s="3" t="s">
        <v>7312</v>
      </c>
      <c r="E476" t="s">
        <v>2085</v>
      </c>
      <c r="F476" s="3" t="s">
        <v>2086</v>
      </c>
      <c r="G476" s="10">
        <v>1</v>
      </c>
      <c r="H476" s="3" t="s">
        <v>19</v>
      </c>
      <c r="I476" t="s">
        <v>2089</v>
      </c>
      <c r="J476" s="3" t="s">
        <v>212</v>
      </c>
      <c r="K476" t="s">
        <v>5855</v>
      </c>
      <c r="L476" s="3" t="s">
        <v>5949</v>
      </c>
      <c r="M476" t="s">
        <v>6030</v>
      </c>
      <c r="N476" s="8">
        <v>6.1633E-2</v>
      </c>
    </row>
    <row r="477" spans="1:14" hidden="1" x14ac:dyDescent="0.55000000000000004">
      <c r="A477" s="3" t="s">
        <v>1937</v>
      </c>
      <c r="B477" s="3" t="s">
        <v>2084</v>
      </c>
      <c r="C477" t="s">
        <v>2084</v>
      </c>
      <c r="D477" s="3" t="s">
        <v>7312</v>
      </c>
      <c r="E477" t="s">
        <v>2085</v>
      </c>
      <c r="F477" s="3" t="s">
        <v>2086</v>
      </c>
      <c r="G477" s="10">
        <v>1</v>
      </c>
      <c r="H477" s="3" t="s">
        <v>24</v>
      </c>
      <c r="I477" t="s">
        <v>2098</v>
      </c>
      <c r="J477" s="3" t="s">
        <v>55</v>
      </c>
      <c r="K477" t="s">
        <v>23</v>
      </c>
      <c r="L477" s="3" t="s">
        <v>5839</v>
      </c>
      <c r="M477" t="s">
        <v>23</v>
      </c>
      <c r="N477" s="8">
        <v>0.18034500000000001</v>
      </c>
    </row>
    <row r="478" spans="1:14" hidden="1" x14ac:dyDescent="0.55000000000000004">
      <c r="A478" s="3" t="s">
        <v>1937</v>
      </c>
      <c r="B478" s="3" t="s">
        <v>2102</v>
      </c>
      <c r="C478" t="s">
        <v>2102</v>
      </c>
      <c r="D478" s="3" t="s">
        <v>7312</v>
      </c>
      <c r="E478" t="s">
        <v>2103</v>
      </c>
      <c r="F478" s="3" t="s">
        <v>2104</v>
      </c>
      <c r="G478" s="10">
        <v>0</v>
      </c>
      <c r="H478" s="3" t="s">
        <v>19</v>
      </c>
      <c r="I478" t="s">
        <v>2113</v>
      </c>
      <c r="J478" s="3" t="s">
        <v>212</v>
      </c>
      <c r="K478" t="s">
        <v>5855</v>
      </c>
      <c r="L478" s="3" t="s">
        <v>5949</v>
      </c>
      <c r="M478" t="s">
        <v>6031</v>
      </c>
      <c r="N478" s="8">
        <v>7.6704999999999995E-2</v>
      </c>
    </row>
    <row r="479" spans="1:14" hidden="1" x14ac:dyDescent="0.55000000000000004">
      <c r="A479" s="3" t="s">
        <v>1937</v>
      </c>
      <c r="B479" s="3" t="s">
        <v>2102</v>
      </c>
      <c r="C479" t="s">
        <v>2102</v>
      </c>
      <c r="D479" s="3" t="s">
        <v>7312</v>
      </c>
      <c r="E479" t="s">
        <v>2103</v>
      </c>
      <c r="F479" s="3" t="s">
        <v>2104</v>
      </c>
      <c r="G479" s="10">
        <v>0</v>
      </c>
      <c r="H479" s="3" t="s">
        <v>24</v>
      </c>
      <c r="I479" t="s">
        <v>2116</v>
      </c>
      <c r="J479" s="3" t="s">
        <v>29</v>
      </c>
      <c r="K479" t="s">
        <v>23</v>
      </c>
      <c r="L479" s="3" t="s">
        <v>5840</v>
      </c>
      <c r="M479" t="s">
        <v>23</v>
      </c>
      <c r="N479" s="8">
        <v>0.17981800000000001</v>
      </c>
    </row>
    <row r="480" spans="1:14" hidden="1" x14ac:dyDescent="0.55000000000000004">
      <c r="A480" s="3" t="s">
        <v>1937</v>
      </c>
      <c r="B480" s="3" t="s">
        <v>7345</v>
      </c>
      <c r="C480" t="s">
        <v>2117</v>
      </c>
      <c r="D480" s="3" t="s">
        <v>7312</v>
      </c>
      <c r="E480" t="s">
        <v>2118</v>
      </c>
      <c r="F480" s="3" t="s">
        <v>2119</v>
      </c>
      <c r="G480" s="10">
        <v>1</v>
      </c>
      <c r="H480" s="3" t="s">
        <v>19</v>
      </c>
      <c r="I480" t="s">
        <v>2122</v>
      </c>
      <c r="J480" s="3" t="s">
        <v>212</v>
      </c>
      <c r="K480" t="s">
        <v>5855</v>
      </c>
      <c r="L480" s="3" t="s">
        <v>5949</v>
      </c>
      <c r="M480" t="s">
        <v>6032</v>
      </c>
      <c r="N480" s="8">
        <v>4.3740000000000001E-2</v>
      </c>
    </row>
    <row r="481" spans="1:14" hidden="1" x14ac:dyDescent="0.55000000000000004">
      <c r="A481" s="3" t="s">
        <v>1937</v>
      </c>
      <c r="B481" s="3" t="s">
        <v>7345</v>
      </c>
      <c r="C481" t="s">
        <v>2117</v>
      </c>
      <c r="D481" s="3" t="s">
        <v>7312</v>
      </c>
      <c r="E481" t="s">
        <v>2118</v>
      </c>
      <c r="F481" s="3" t="s">
        <v>2119</v>
      </c>
      <c r="G481" s="10">
        <v>1</v>
      </c>
      <c r="H481" s="3" t="s">
        <v>24</v>
      </c>
      <c r="I481" t="s">
        <v>2131</v>
      </c>
      <c r="J481" s="3" t="s">
        <v>55</v>
      </c>
      <c r="K481" t="s">
        <v>23</v>
      </c>
      <c r="L481" s="3" t="s">
        <v>5839</v>
      </c>
      <c r="M481" t="s">
        <v>23</v>
      </c>
      <c r="N481" s="8">
        <v>0.18174899999999999</v>
      </c>
    </row>
    <row r="482" spans="1:14" hidden="1" x14ac:dyDescent="0.55000000000000004">
      <c r="A482" s="3" t="s">
        <v>1937</v>
      </c>
      <c r="B482" s="3" t="s">
        <v>2117</v>
      </c>
      <c r="C482" t="s">
        <v>2117</v>
      </c>
      <c r="D482" s="3" t="s">
        <v>7312</v>
      </c>
      <c r="E482" t="s">
        <v>2135</v>
      </c>
      <c r="F482" s="3" t="s">
        <v>2136</v>
      </c>
      <c r="G482" s="10">
        <v>0</v>
      </c>
      <c r="H482" s="3" t="s">
        <v>19</v>
      </c>
      <c r="I482" t="s">
        <v>1618</v>
      </c>
      <c r="J482" s="3" t="s">
        <v>1615</v>
      </c>
      <c r="K482" t="s">
        <v>6033</v>
      </c>
      <c r="L482" s="3" t="s">
        <v>6034</v>
      </c>
      <c r="M482" t="s">
        <v>6035</v>
      </c>
      <c r="N482" s="8">
        <v>4.1689999999999998E-2</v>
      </c>
    </row>
    <row r="483" spans="1:14" hidden="1" x14ac:dyDescent="0.55000000000000004">
      <c r="A483" s="3" t="s">
        <v>1937</v>
      </c>
      <c r="B483" s="3" t="s">
        <v>2117</v>
      </c>
      <c r="C483" t="s">
        <v>2117</v>
      </c>
      <c r="D483" s="3" t="s">
        <v>7312</v>
      </c>
      <c r="E483" t="s">
        <v>2135</v>
      </c>
      <c r="F483" s="3" t="s">
        <v>2136</v>
      </c>
      <c r="G483" s="10">
        <v>0</v>
      </c>
      <c r="H483" s="3" t="s">
        <v>19</v>
      </c>
      <c r="I483" t="s">
        <v>1618</v>
      </c>
      <c r="J483" s="3" t="s">
        <v>1615</v>
      </c>
      <c r="K483" t="s">
        <v>6033</v>
      </c>
      <c r="L483" s="3" t="s">
        <v>6036</v>
      </c>
      <c r="M483" t="s">
        <v>6035</v>
      </c>
      <c r="N483" s="8">
        <v>4.1689999999999998E-2</v>
      </c>
    </row>
    <row r="484" spans="1:14" hidden="1" x14ac:dyDescent="0.55000000000000004">
      <c r="A484" s="3" t="s">
        <v>1937</v>
      </c>
      <c r="B484" s="3" t="s">
        <v>2117</v>
      </c>
      <c r="C484" t="s">
        <v>2117</v>
      </c>
      <c r="D484" s="3" t="s">
        <v>7312</v>
      </c>
      <c r="E484" t="s">
        <v>2135</v>
      </c>
      <c r="F484" s="3" t="s">
        <v>2136</v>
      </c>
      <c r="G484" s="10">
        <v>0</v>
      </c>
      <c r="H484" s="3" t="s">
        <v>24</v>
      </c>
      <c r="I484" t="s">
        <v>2131</v>
      </c>
      <c r="J484" s="3" t="s">
        <v>55</v>
      </c>
      <c r="K484" t="s">
        <v>23</v>
      </c>
      <c r="L484" s="3" t="s">
        <v>5839</v>
      </c>
      <c r="M484" t="s">
        <v>23</v>
      </c>
      <c r="N484" s="8">
        <v>0.18174899999999999</v>
      </c>
    </row>
    <row r="485" spans="1:14" hidden="1" x14ac:dyDescent="0.55000000000000004">
      <c r="A485" s="3" t="s">
        <v>1937</v>
      </c>
      <c r="B485" s="3" t="s">
        <v>2117</v>
      </c>
      <c r="C485" t="s">
        <v>2117</v>
      </c>
      <c r="D485" s="3" t="s">
        <v>7312</v>
      </c>
      <c r="E485" t="s">
        <v>2141</v>
      </c>
      <c r="F485" s="3" t="s">
        <v>2142</v>
      </c>
      <c r="G485" s="10">
        <v>0</v>
      </c>
      <c r="H485" s="3" t="s">
        <v>19</v>
      </c>
      <c r="I485" t="s">
        <v>1618</v>
      </c>
      <c r="J485" s="3" t="s">
        <v>1615</v>
      </c>
      <c r="K485" t="s">
        <v>6033</v>
      </c>
      <c r="L485" s="3" t="s">
        <v>6034</v>
      </c>
      <c r="M485" t="s">
        <v>6035</v>
      </c>
      <c r="N485" s="8">
        <v>4.1689999999999998E-2</v>
      </c>
    </row>
    <row r="486" spans="1:14" hidden="1" x14ac:dyDescent="0.55000000000000004">
      <c r="A486" s="3" t="s">
        <v>1937</v>
      </c>
      <c r="B486" s="3" t="s">
        <v>2117</v>
      </c>
      <c r="C486" t="s">
        <v>2117</v>
      </c>
      <c r="D486" s="3" t="s">
        <v>7312</v>
      </c>
      <c r="E486" t="s">
        <v>2141</v>
      </c>
      <c r="F486" s="3" t="s">
        <v>2142</v>
      </c>
      <c r="G486" s="10">
        <v>0</v>
      </c>
      <c r="H486" s="3" t="s">
        <v>19</v>
      </c>
      <c r="I486" t="s">
        <v>1618</v>
      </c>
      <c r="J486" s="3" t="s">
        <v>1615</v>
      </c>
      <c r="K486" t="s">
        <v>6033</v>
      </c>
      <c r="L486" s="3" t="s">
        <v>6036</v>
      </c>
      <c r="M486" t="s">
        <v>6035</v>
      </c>
      <c r="N486" s="8">
        <v>4.1689999999999998E-2</v>
      </c>
    </row>
    <row r="487" spans="1:14" hidden="1" x14ac:dyDescent="0.55000000000000004">
      <c r="A487" s="9" t="s">
        <v>1937</v>
      </c>
      <c r="B487" s="3" t="s">
        <v>2117</v>
      </c>
      <c r="C487" t="s">
        <v>2117</v>
      </c>
      <c r="D487" s="3" t="s">
        <v>7312</v>
      </c>
      <c r="E487" t="s">
        <v>2141</v>
      </c>
      <c r="F487" s="3" t="s">
        <v>2142</v>
      </c>
      <c r="G487" s="10">
        <v>0</v>
      </c>
      <c r="H487" s="3" t="s">
        <v>24</v>
      </c>
      <c r="I487" t="s">
        <v>2131</v>
      </c>
      <c r="J487" s="3" t="s">
        <v>55</v>
      </c>
      <c r="K487" t="s">
        <v>23</v>
      </c>
      <c r="L487" s="3" t="s">
        <v>5839</v>
      </c>
      <c r="M487" t="s">
        <v>23</v>
      </c>
      <c r="N487" s="8">
        <v>0.18174899999999999</v>
      </c>
    </row>
    <row r="488" spans="1:14" hidden="1" x14ac:dyDescent="0.55000000000000004">
      <c r="A488" s="3" t="s">
        <v>2143</v>
      </c>
      <c r="B488" s="3" t="s">
        <v>7346</v>
      </c>
      <c r="C488" t="s">
        <v>2144</v>
      </c>
      <c r="D488" s="3" t="s">
        <v>7312</v>
      </c>
      <c r="E488" t="s">
        <v>2145</v>
      </c>
      <c r="F488" s="3" t="s">
        <v>2146</v>
      </c>
      <c r="G488" s="10">
        <v>0</v>
      </c>
      <c r="H488" s="3" t="s">
        <v>24</v>
      </c>
      <c r="I488" t="s">
        <v>2149</v>
      </c>
      <c r="J488" s="3" t="s">
        <v>40</v>
      </c>
      <c r="K488" t="s">
        <v>23</v>
      </c>
      <c r="L488" s="3" t="s">
        <v>5835</v>
      </c>
      <c r="M488" t="s">
        <v>23</v>
      </c>
      <c r="N488" s="8">
        <v>0.18298700000000001</v>
      </c>
    </row>
    <row r="489" spans="1:14" hidden="1" x14ac:dyDescent="0.55000000000000004">
      <c r="A489" s="3" t="s">
        <v>2143</v>
      </c>
      <c r="B489" s="3" t="s">
        <v>2161</v>
      </c>
      <c r="C489" t="s">
        <v>1786</v>
      </c>
      <c r="D489" s="3" t="s">
        <v>7312</v>
      </c>
      <c r="E489" t="s">
        <v>2162</v>
      </c>
      <c r="F489" s="3" t="s">
        <v>2163</v>
      </c>
      <c r="G489" s="10">
        <v>0</v>
      </c>
      <c r="H489" s="3" t="s">
        <v>24</v>
      </c>
      <c r="I489" t="s">
        <v>2166</v>
      </c>
      <c r="J489" s="3" t="s">
        <v>40</v>
      </c>
      <c r="K489" t="s">
        <v>23</v>
      </c>
      <c r="L489" s="3" t="s">
        <v>5835</v>
      </c>
      <c r="M489" t="s">
        <v>23</v>
      </c>
      <c r="N489" s="8">
        <v>0.18201899999999999</v>
      </c>
    </row>
    <row r="490" spans="1:14" hidden="1" x14ac:dyDescent="0.55000000000000004">
      <c r="A490" s="3" t="s">
        <v>2143</v>
      </c>
      <c r="B490" s="3" t="s">
        <v>2161</v>
      </c>
      <c r="C490" t="s">
        <v>1786</v>
      </c>
      <c r="D490" s="3" t="s">
        <v>7312</v>
      </c>
      <c r="E490" t="s">
        <v>2167</v>
      </c>
      <c r="F490" s="3" t="s">
        <v>2168</v>
      </c>
      <c r="G490" s="10">
        <v>0</v>
      </c>
      <c r="H490" s="3" t="s">
        <v>24</v>
      </c>
      <c r="I490" t="s">
        <v>2166</v>
      </c>
      <c r="J490" s="3" t="s">
        <v>40</v>
      </c>
      <c r="K490" t="s">
        <v>23</v>
      </c>
      <c r="L490" s="3" t="s">
        <v>5835</v>
      </c>
      <c r="M490" t="s">
        <v>23</v>
      </c>
      <c r="N490" s="8">
        <v>0.18201899999999999</v>
      </c>
    </row>
    <row r="491" spans="1:14" hidden="1" x14ac:dyDescent="0.55000000000000004">
      <c r="A491" s="3" t="s">
        <v>2143</v>
      </c>
      <c r="B491" s="3" t="s">
        <v>2169</v>
      </c>
      <c r="C491" t="s">
        <v>2169</v>
      </c>
      <c r="D491" s="3" t="s">
        <v>7312</v>
      </c>
      <c r="E491" t="s">
        <v>2170</v>
      </c>
      <c r="F491" s="3" t="s">
        <v>2171</v>
      </c>
      <c r="G491" s="10">
        <v>0</v>
      </c>
      <c r="H491" s="3" t="s">
        <v>19</v>
      </c>
      <c r="I491" t="s">
        <v>23</v>
      </c>
      <c r="J491" s="3" t="s">
        <v>23</v>
      </c>
      <c r="K491" t="s">
        <v>23</v>
      </c>
      <c r="L491" s="3" t="s">
        <v>23</v>
      </c>
      <c r="M491" t="s">
        <v>23</v>
      </c>
      <c r="N491" s="8" t="s">
        <v>23</v>
      </c>
    </row>
    <row r="492" spans="1:14" hidden="1" x14ac:dyDescent="0.55000000000000004">
      <c r="A492" s="3" t="s">
        <v>2143</v>
      </c>
      <c r="B492" s="3" t="s">
        <v>2169</v>
      </c>
      <c r="C492" t="s">
        <v>2169</v>
      </c>
      <c r="D492" s="3" t="s">
        <v>7312</v>
      </c>
      <c r="E492" t="s">
        <v>2170</v>
      </c>
      <c r="F492" s="3" t="s">
        <v>2171</v>
      </c>
      <c r="G492" s="10">
        <v>0</v>
      </c>
      <c r="H492" s="3" t="s">
        <v>24</v>
      </c>
      <c r="I492" t="s">
        <v>2177</v>
      </c>
      <c r="J492" s="3" t="s">
        <v>40</v>
      </c>
      <c r="K492" t="s">
        <v>23</v>
      </c>
      <c r="L492" s="3" t="s">
        <v>5835</v>
      </c>
      <c r="M492" t="s">
        <v>23</v>
      </c>
      <c r="N492" s="8">
        <v>0.18245600000000001</v>
      </c>
    </row>
    <row r="493" spans="1:14" hidden="1" x14ac:dyDescent="0.55000000000000004">
      <c r="A493" s="3" t="s">
        <v>2143</v>
      </c>
      <c r="B493" s="3" t="s">
        <v>2169</v>
      </c>
      <c r="C493" t="s">
        <v>2169</v>
      </c>
      <c r="D493" s="3" t="s">
        <v>7312</v>
      </c>
      <c r="E493" t="s">
        <v>2178</v>
      </c>
      <c r="F493" s="3" t="s">
        <v>2179</v>
      </c>
      <c r="G493" s="10">
        <v>0</v>
      </c>
      <c r="H493" s="3" t="s">
        <v>19</v>
      </c>
      <c r="I493" t="s">
        <v>23</v>
      </c>
      <c r="J493" s="3" t="s">
        <v>23</v>
      </c>
      <c r="K493" t="s">
        <v>23</v>
      </c>
      <c r="L493" s="3" t="s">
        <v>23</v>
      </c>
      <c r="M493" t="s">
        <v>23</v>
      </c>
      <c r="N493" s="8" t="s">
        <v>23</v>
      </c>
    </row>
    <row r="494" spans="1:14" hidden="1" x14ac:dyDescent="0.55000000000000004">
      <c r="A494" s="3" t="s">
        <v>2143</v>
      </c>
      <c r="B494" s="3" t="s">
        <v>2169</v>
      </c>
      <c r="C494" t="s">
        <v>2169</v>
      </c>
      <c r="D494" s="3" t="s">
        <v>7312</v>
      </c>
      <c r="E494" t="s">
        <v>2178</v>
      </c>
      <c r="F494" s="3" t="s">
        <v>2179</v>
      </c>
      <c r="G494" s="10">
        <v>0</v>
      </c>
      <c r="H494" s="3" t="s">
        <v>24</v>
      </c>
      <c r="I494" t="s">
        <v>2177</v>
      </c>
      <c r="J494" s="3" t="s">
        <v>40</v>
      </c>
      <c r="K494" t="s">
        <v>23</v>
      </c>
      <c r="L494" s="3" t="s">
        <v>5835</v>
      </c>
      <c r="M494" t="s">
        <v>23</v>
      </c>
      <c r="N494" s="8">
        <v>0.18245600000000001</v>
      </c>
    </row>
    <row r="495" spans="1:14" hidden="1" x14ac:dyDescent="0.55000000000000004">
      <c r="A495" s="3" t="s">
        <v>2143</v>
      </c>
      <c r="B495" s="3" t="s">
        <v>2180</v>
      </c>
      <c r="C495" t="s">
        <v>2180</v>
      </c>
      <c r="D495" s="3" t="s">
        <v>7312</v>
      </c>
      <c r="E495" t="s">
        <v>2181</v>
      </c>
      <c r="F495" s="3" t="s">
        <v>2182</v>
      </c>
      <c r="G495" s="10">
        <v>0</v>
      </c>
      <c r="H495" s="3" t="s">
        <v>19</v>
      </c>
      <c r="I495" t="s">
        <v>2185</v>
      </c>
      <c r="J495" s="3" t="s">
        <v>2186</v>
      </c>
      <c r="K495" t="s">
        <v>6037</v>
      </c>
      <c r="L495" s="3" t="s">
        <v>6038</v>
      </c>
      <c r="M495" t="s">
        <v>6039</v>
      </c>
      <c r="N495" s="8">
        <v>3.3914E-2</v>
      </c>
    </row>
    <row r="496" spans="1:14" hidden="1" x14ac:dyDescent="0.55000000000000004">
      <c r="A496" s="3" t="s">
        <v>2143</v>
      </c>
      <c r="B496" s="3" t="s">
        <v>2180</v>
      </c>
      <c r="C496" t="s">
        <v>2180</v>
      </c>
      <c r="D496" s="3" t="s">
        <v>7312</v>
      </c>
      <c r="E496" t="s">
        <v>2181</v>
      </c>
      <c r="F496" s="3" t="s">
        <v>2182</v>
      </c>
      <c r="G496" s="10">
        <v>0</v>
      </c>
      <c r="H496" s="3" t="s">
        <v>24</v>
      </c>
      <c r="I496" t="s">
        <v>2189</v>
      </c>
      <c r="J496" s="3" t="s">
        <v>40</v>
      </c>
      <c r="K496" t="s">
        <v>23</v>
      </c>
      <c r="L496" s="3" t="s">
        <v>5835</v>
      </c>
      <c r="M496" t="s">
        <v>23</v>
      </c>
      <c r="N496" s="8">
        <v>0.18196000000000001</v>
      </c>
    </row>
    <row r="497" spans="1:14" hidden="1" x14ac:dyDescent="0.55000000000000004">
      <c r="A497" s="3" t="s">
        <v>2143</v>
      </c>
      <c r="B497" s="3" t="s">
        <v>2180</v>
      </c>
      <c r="C497" t="s">
        <v>2180</v>
      </c>
      <c r="D497" s="3" t="s">
        <v>7312</v>
      </c>
      <c r="E497" t="s">
        <v>2193</v>
      </c>
      <c r="F497" s="3" t="s">
        <v>2194</v>
      </c>
      <c r="G497" s="10">
        <v>1</v>
      </c>
      <c r="H497" s="3" t="s">
        <v>19</v>
      </c>
      <c r="I497" t="s">
        <v>2185</v>
      </c>
      <c r="J497" s="3" t="s">
        <v>2186</v>
      </c>
      <c r="K497" t="s">
        <v>6037</v>
      </c>
      <c r="L497" s="3" t="s">
        <v>6038</v>
      </c>
      <c r="M497" t="s">
        <v>6039</v>
      </c>
      <c r="N497" s="8">
        <v>3.3914E-2</v>
      </c>
    </row>
    <row r="498" spans="1:14" hidden="1" x14ac:dyDescent="0.55000000000000004">
      <c r="A498" s="3" t="s">
        <v>2143</v>
      </c>
      <c r="B498" s="3" t="s">
        <v>2180</v>
      </c>
      <c r="C498" t="s">
        <v>2180</v>
      </c>
      <c r="D498" s="3" t="s">
        <v>7312</v>
      </c>
      <c r="E498" t="s">
        <v>2193</v>
      </c>
      <c r="F498" s="3" t="s">
        <v>2194</v>
      </c>
      <c r="G498" s="10">
        <v>1</v>
      </c>
      <c r="H498" s="3" t="s">
        <v>24</v>
      </c>
      <c r="I498" t="s">
        <v>2189</v>
      </c>
      <c r="J498" s="3" t="s">
        <v>40</v>
      </c>
      <c r="K498" t="s">
        <v>23</v>
      </c>
      <c r="L498" s="3" t="s">
        <v>5835</v>
      </c>
      <c r="M498" t="s">
        <v>23</v>
      </c>
      <c r="N498" s="8">
        <v>0.18196000000000001</v>
      </c>
    </row>
    <row r="499" spans="1:14" hidden="1" x14ac:dyDescent="0.55000000000000004">
      <c r="A499" s="3" t="s">
        <v>2143</v>
      </c>
      <c r="B499" s="3" t="s">
        <v>2180</v>
      </c>
      <c r="C499" t="s">
        <v>2180</v>
      </c>
      <c r="D499" s="3" t="s">
        <v>7312</v>
      </c>
      <c r="E499" t="s">
        <v>2195</v>
      </c>
      <c r="F499" s="3" t="s">
        <v>2196</v>
      </c>
      <c r="G499" s="10">
        <v>0</v>
      </c>
      <c r="H499" s="3" t="s">
        <v>19</v>
      </c>
      <c r="I499" t="s">
        <v>2185</v>
      </c>
      <c r="J499" s="3" t="s">
        <v>2186</v>
      </c>
      <c r="K499" t="s">
        <v>6037</v>
      </c>
      <c r="L499" s="3" t="s">
        <v>6038</v>
      </c>
      <c r="M499" t="s">
        <v>6039</v>
      </c>
      <c r="N499" s="8">
        <v>3.3914E-2</v>
      </c>
    </row>
    <row r="500" spans="1:14" hidden="1" x14ac:dyDescent="0.55000000000000004">
      <c r="A500" s="3" t="s">
        <v>2143</v>
      </c>
      <c r="B500" s="3" t="s">
        <v>2180</v>
      </c>
      <c r="C500" t="s">
        <v>2180</v>
      </c>
      <c r="D500" s="3" t="s">
        <v>7312</v>
      </c>
      <c r="E500" t="s">
        <v>2195</v>
      </c>
      <c r="F500" s="3" t="s">
        <v>2196</v>
      </c>
      <c r="G500" s="10">
        <v>0</v>
      </c>
      <c r="H500" s="3" t="s">
        <v>24</v>
      </c>
      <c r="I500" t="s">
        <v>2189</v>
      </c>
      <c r="J500" s="3" t="s">
        <v>40</v>
      </c>
      <c r="K500" t="s">
        <v>23</v>
      </c>
      <c r="L500" s="3" t="s">
        <v>5835</v>
      </c>
      <c r="M500" t="s">
        <v>23</v>
      </c>
      <c r="N500" s="8">
        <v>0.18196000000000001</v>
      </c>
    </row>
    <row r="501" spans="1:14" hidden="1" x14ac:dyDescent="0.55000000000000004">
      <c r="A501" s="3" t="s">
        <v>2143</v>
      </c>
      <c r="B501" s="3" t="s">
        <v>2180</v>
      </c>
      <c r="C501" t="s">
        <v>2180</v>
      </c>
      <c r="D501" s="3" t="s">
        <v>7312</v>
      </c>
      <c r="E501" t="s">
        <v>2197</v>
      </c>
      <c r="F501" s="3" t="s">
        <v>2198</v>
      </c>
      <c r="G501" s="10">
        <v>0</v>
      </c>
      <c r="H501" s="3" t="s">
        <v>19</v>
      </c>
      <c r="I501" t="s">
        <v>2201</v>
      </c>
      <c r="J501" s="3" t="s">
        <v>2186</v>
      </c>
      <c r="K501" t="s">
        <v>6037</v>
      </c>
      <c r="L501" s="3" t="s">
        <v>6038</v>
      </c>
      <c r="M501" t="s">
        <v>6039</v>
      </c>
      <c r="N501" s="8">
        <v>3.3914E-2</v>
      </c>
    </row>
    <row r="502" spans="1:14" hidden="1" x14ac:dyDescent="0.55000000000000004">
      <c r="A502" s="3" t="s">
        <v>2143</v>
      </c>
      <c r="B502" s="3" t="s">
        <v>2180</v>
      </c>
      <c r="C502" t="s">
        <v>2180</v>
      </c>
      <c r="D502" s="3" t="s">
        <v>7312</v>
      </c>
      <c r="E502" t="s">
        <v>2197</v>
      </c>
      <c r="F502" s="3" t="s">
        <v>2198</v>
      </c>
      <c r="G502" s="10">
        <v>0</v>
      </c>
      <c r="H502" s="3" t="s">
        <v>24</v>
      </c>
      <c r="I502" t="s">
        <v>2189</v>
      </c>
      <c r="J502" s="3" t="s">
        <v>40</v>
      </c>
      <c r="K502" t="s">
        <v>23</v>
      </c>
      <c r="L502" s="3" t="s">
        <v>5835</v>
      </c>
      <c r="M502" t="s">
        <v>23</v>
      </c>
      <c r="N502" s="8">
        <v>0.18196000000000001</v>
      </c>
    </row>
    <row r="503" spans="1:14" hidden="1" x14ac:dyDescent="0.55000000000000004">
      <c r="A503" s="3" t="s">
        <v>2143</v>
      </c>
      <c r="B503" s="3" t="s">
        <v>2202</v>
      </c>
      <c r="C503" t="s">
        <v>2202</v>
      </c>
      <c r="D503" s="3" t="s">
        <v>7312</v>
      </c>
      <c r="E503" t="s">
        <v>2203</v>
      </c>
      <c r="F503" s="3" t="s">
        <v>2204</v>
      </c>
      <c r="G503" s="10">
        <v>0</v>
      </c>
      <c r="H503" s="3" t="s">
        <v>24</v>
      </c>
      <c r="I503" t="s">
        <v>2207</v>
      </c>
      <c r="J503" s="3" t="s">
        <v>40</v>
      </c>
      <c r="K503" t="s">
        <v>23</v>
      </c>
      <c r="L503" s="3" t="s">
        <v>5835</v>
      </c>
      <c r="M503" t="s">
        <v>23</v>
      </c>
      <c r="N503" s="8">
        <v>0.18209400000000001</v>
      </c>
    </row>
    <row r="504" spans="1:14" hidden="1" x14ac:dyDescent="0.55000000000000004">
      <c r="A504" s="3" t="s">
        <v>2143</v>
      </c>
      <c r="B504" s="3" t="s">
        <v>2202</v>
      </c>
      <c r="C504" t="s">
        <v>2202</v>
      </c>
      <c r="D504" s="3" t="s">
        <v>7312</v>
      </c>
      <c r="E504" t="s">
        <v>2209</v>
      </c>
      <c r="F504" s="3" t="s">
        <v>2210</v>
      </c>
      <c r="G504" s="10">
        <v>0</v>
      </c>
      <c r="H504" s="3" t="s">
        <v>24</v>
      </c>
      <c r="I504" t="s">
        <v>2207</v>
      </c>
      <c r="J504" s="3" t="s">
        <v>40</v>
      </c>
      <c r="K504" t="s">
        <v>23</v>
      </c>
      <c r="L504" s="3" t="s">
        <v>5835</v>
      </c>
      <c r="M504" t="s">
        <v>23</v>
      </c>
      <c r="N504" s="8">
        <v>0.18209400000000001</v>
      </c>
    </row>
    <row r="505" spans="1:14" hidden="1" x14ac:dyDescent="0.55000000000000004">
      <c r="A505" s="3" t="s">
        <v>2143</v>
      </c>
      <c r="B505" s="3" t="s">
        <v>2211</v>
      </c>
      <c r="C505" t="s">
        <v>2211</v>
      </c>
      <c r="D505" s="3" t="s">
        <v>7312</v>
      </c>
      <c r="E505" t="s">
        <v>2212</v>
      </c>
      <c r="F505" s="3" t="s">
        <v>2213</v>
      </c>
      <c r="G505" s="10">
        <v>0</v>
      </c>
      <c r="H505" s="3" t="s">
        <v>24</v>
      </c>
      <c r="I505" t="s">
        <v>2216</v>
      </c>
      <c r="J505" s="3" t="s">
        <v>55</v>
      </c>
      <c r="K505" t="s">
        <v>23</v>
      </c>
      <c r="L505" s="3" t="s">
        <v>5839</v>
      </c>
      <c r="M505" t="s">
        <v>23</v>
      </c>
      <c r="N505" s="8">
        <v>0.18471099999999999</v>
      </c>
    </row>
    <row r="506" spans="1:14" hidden="1" x14ac:dyDescent="0.55000000000000004">
      <c r="A506" s="9" t="s">
        <v>2143</v>
      </c>
      <c r="B506" s="3" t="s">
        <v>2211</v>
      </c>
      <c r="C506" t="s">
        <v>2211</v>
      </c>
      <c r="D506" s="3" t="s">
        <v>7312</v>
      </c>
      <c r="E506" t="s">
        <v>2217</v>
      </c>
      <c r="F506" s="3" t="s">
        <v>2218</v>
      </c>
      <c r="G506" s="10">
        <v>0</v>
      </c>
      <c r="H506" s="3" t="s">
        <v>24</v>
      </c>
      <c r="I506" t="s">
        <v>2216</v>
      </c>
      <c r="J506" s="3" t="s">
        <v>55</v>
      </c>
      <c r="K506" t="s">
        <v>23</v>
      </c>
      <c r="L506" s="3" t="s">
        <v>5839</v>
      </c>
      <c r="M506" t="s">
        <v>23</v>
      </c>
      <c r="N506" s="8">
        <v>0.18471099999999999</v>
      </c>
    </row>
    <row r="507" spans="1:14" hidden="1" x14ac:dyDescent="0.55000000000000004">
      <c r="A507" s="3" t="s">
        <v>2219</v>
      </c>
      <c r="B507" s="3" t="s">
        <v>2220</v>
      </c>
      <c r="C507" t="s">
        <v>2220</v>
      </c>
      <c r="D507" s="3" t="s">
        <v>7314</v>
      </c>
      <c r="E507" t="s">
        <v>2222</v>
      </c>
      <c r="F507" s="3" t="s">
        <v>2223</v>
      </c>
      <c r="G507" s="10">
        <v>0</v>
      </c>
      <c r="H507" s="3" t="s">
        <v>24</v>
      </c>
      <c r="I507" t="s">
        <v>2226</v>
      </c>
      <c r="J507" s="3" t="s">
        <v>29</v>
      </c>
      <c r="K507" t="s">
        <v>23</v>
      </c>
      <c r="L507" s="3" t="s">
        <v>5840</v>
      </c>
      <c r="M507" t="s">
        <v>23</v>
      </c>
      <c r="N507" s="8">
        <v>0.23966699999999999</v>
      </c>
    </row>
    <row r="508" spans="1:14" hidden="1" x14ac:dyDescent="0.55000000000000004">
      <c r="A508" s="3" t="s">
        <v>2219</v>
      </c>
      <c r="B508" s="3" t="s">
        <v>2227</v>
      </c>
      <c r="C508" t="s">
        <v>2227</v>
      </c>
      <c r="D508" s="3" t="s">
        <v>7314</v>
      </c>
      <c r="E508" t="s">
        <v>2228</v>
      </c>
      <c r="F508" s="3" t="s">
        <v>2229</v>
      </c>
      <c r="G508" s="10">
        <v>0</v>
      </c>
      <c r="H508" s="3" t="s">
        <v>24</v>
      </c>
      <c r="I508" t="s">
        <v>2232</v>
      </c>
      <c r="J508" s="3" t="s">
        <v>29</v>
      </c>
      <c r="K508" t="s">
        <v>23</v>
      </c>
      <c r="L508" s="3" t="s">
        <v>5840</v>
      </c>
      <c r="M508" t="s">
        <v>23</v>
      </c>
      <c r="N508" s="8">
        <v>0.23300000000000001</v>
      </c>
    </row>
    <row r="509" spans="1:14" hidden="1" x14ac:dyDescent="0.55000000000000004">
      <c r="A509" s="3" t="s">
        <v>2219</v>
      </c>
      <c r="B509" s="3" t="s">
        <v>2227</v>
      </c>
      <c r="C509" t="s">
        <v>2227</v>
      </c>
      <c r="D509" s="3" t="s">
        <v>7314</v>
      </c>
      <c r="E509" t="s">
        <v>2233</v>
      </c>
      <c r="F509" s="3" t="s">
        <v>2234</v>
      </c>
      <c r="G509" s="10">
        <v>1</v>
      </c>
      <c r="H509" s="3" t="s">
        <v>19</v>
      </c>
      <c r="I509" t="s">
        <v>2237</v>
      </c>
      <c r="J509" s="3" t="s">
        <v>249</v>
      </c>
      <c r="K509" t="s">
        <v>5866</v>
      </c>
      <c r="L509" s="3" t="s">
        <v>5867</v>
      </c>
      <c r="M509" t="s">
        <v>6040</v>
      </c>
      <c r="N509" s="8">
        <v>4.2845000000000001E-2</v>
      </c>
    </row>
    <row r="510" spans="1:14" hidden="1" x14ac:dyDescent="0.55000000000000004">
      <c r="A510" s="3" t="s">
        <v>2219</v>
      </c>
      <c r="B510" s="3" t="s">
        <v>2227</v>
      </c>
      <c r="C510" t="s">
        <v>2227</v>
      </c>
      <c r="D510" s="3" t="s">
        <v>7314</v>
      </c>
      <c r="E510" t="s">
        <v>2233</v>
      </c>
      <c r="F510" s="3" t="s">
        <v>2234</v>
      </c>
      <c r="G510" s="10">
        <v>1</v>
      </c>
      <c r="H510" s="3" t="s">
        <v>24</v>
      </c>
      <c r="I510" t="s">
        <v>2232</v>
      </c>
      <c r="J510" s="3" t="s">
        <v>29</v>
      </c>
      <c r="K510" t="s">
        <v>23</v>
      </c>
      <c r="L510" s="3" t="s">
        <v>5840</v>
      </c>
      <c r="M510" t="s">
        <v>23</v>
      </c>
      <c r="N510" s="8">
        <v>0.23300000000000001</v>
      </c>
    </row>
    <row r="511" spans="1:14" hidden="1" x14ac:dyDescent="0.55000000000000004">
      <c r="A511" s="3" t="s">
        <v>2219</v>
      </c>
      <c r="B511" s="3" t="s">
        <v>2238</v>
      </c>
      <c r="C511" t="s">
        <v>2238</v>
      </c>
      <c r="D511" s="3" t="s">
        <v>7314</v>
      </c>
      <c r="E511" t="s">
        <v>2240</v>
      </c>
      <c r="F511" s="3" t="s">
        <v>2241</v>
      </c>
      <c r="G511" s="10">
        <v>0</v>
      </c>
      <c r="H511" s="3" t="s">
        <v>24</v>
      </c>
      <c r="I511" t="s">
        <v>2244</v>
      </c>
      <c r="J511" s="3" t="s">
        <v>55</v>
      </c>
      <c r="K511" t="s">
        <v>23</v>
      </c>
      <c r="L511" s="3" t="s">
        <v>5839</v>
      </c>
      <c r="M511" t="s">
        <v>23</v>
      </c>
      <c r="N511" s="8">
        <v>0.25881900000000002</v>
      </c>
    </row>
    <row r="512" spans="1:14" hidden="1" x14ac:dyDescent="0.55000000000000004">
      <c r="A512" s="3" t="s">
        <v>2219</v>
      </c>
      <c r="B512" s="3" t="s">
        <v>2239</v>
      </c>
      <c r="C512" t="s">
        <v>2239</v>
      </c>
      <c r="D512" s="3" t="s">
        <v>7314</v>
      </c>
      <c r="E512" t="s">
        <v>2248</v>
      </c>
      <c r="F512" s="3" t="s">
        <v>2249</v>
      </c>
      <c r="G512" s="10">
        <v>0</v>
      </c>
      <c r="H512" s="3" t="s">
        <v>24</v>
      </c>
      <c r="I512" t="s">
        <v>2252</v>
      </c>
      <c r="J512" s="3" t="s">
        <v>29</v>
      </c>
      <c r="K512" t="s">
        <v>23</v>
      </c>
      <c r="L512" s="3" t="s">
        <v>5840</v>
      </c>
      <c r="M512" t="s">
        <v>23</v>
      </c>
      <c r="N512" s="8">
        <v>0.23966699999999999</v>
      </c>
    </row>
    <row r="513" spans="1:14" hidden="1" x14ac:dyDescent="0.55000000000000004">
      <c r="A513" s="3" t="s">
        <v>2219</v>
      </c>
      <c r="B513" s="3" t="s">
        <v>7349</v>
      </c>
      <c r="C513" t="s">
        <v>2239</v>
      </c>
      <c r="D513" s="3" t="s">
        <v>7314</v>
      </c>
      <c r="E513" t="s">
        <v>2253</v>
      </c>
      <c r="F513" s="3" t="s">
        <v>2254</v>
      </c>
      <c r="G513" s="10">
        <v>0</v>
      </c>
      <c r="H513" s="3" t="s">
        <v>24</v>
      </c>
      <c r="I513" t="s">
        <v>2252</v>
      </c>
      <c r="J513" s="3" t="s">
        <v>29</v>
      </c>
      <c r="K513" t="s">
        <v>23</v>
      </c>
      <c r="L513" s="3" t="s">
        <v>5840</v>
      </c>
      <c r="M513" t="s">
        <v>23</v>
      </c>
      <c r="N513" s="8">
        <v>0.23966699999999999</v>
      </c>
    </row>
    <row r="514" spans="1:14" hidden="1" x14ac:dyDescent="0.55000000000000004">
      <c r="A514" s="3" t="s">
        <v>2219</v>
      </c>
      <c r="B514" s="3" t="s">
        <v>2255</v>
      </c>
      <c r="C514" t="s">
        <v>2255</v>
      </c>
      <c r="D514" s="3" t="s">
        <v>7314</v>
      </c>
      <c r="E514" t="s">
        <v>2257</v>
      </c>
      <c r="F514" s="3" t="s">
        <v>2258</v>
      </c>
      <c r="G514" s="10">
        <v>0</v>
      </c>
      <c r="H514" s="3" t="s">
        <v>24</v>
      </c>
      <c r="I514" t="s">
        <v>2261</v>
      </c>
      <c r="J514" s="3" t="s">
        <v>76</v>
      </c>
      <c r="K514" t="s">
        <v>5841</v>
      </c>
      <c r="L514" s="3" t="s">
        <v>5840</v>
      </c>
      <c r="M514" t="s">
        <v>23</v>
      </c>
      <c r="N514" s="8">
        <v>0.23966699999999999</v>
      </c>
    </row>
    <row r="515" spans="1:14" hidden="1" x14ac:dyDescent="0.55000000000000004">
      <c r="A515" s="3" t="s">
        <v>2219</v>
      </c>
      <c r="B515" s="3" t="s">
        <v>7348</v>
      </c>
      <c r="C515" t="s">
        <v>2256</v>
      </c>
      <c r="D515" s="3" t="s">
        <v>7314</v>
      </c>
      <c r="E515" t="s">
        <v>2262</v>
      </c>
      <c r="F515" s="3" t="s">
        <v>2263</v>
      </c>
      <c r="G515" s="10">
        <v>0</v>
      </c>
      <c r="H515" s="3" t="s">
        <v>24</v>
      </c>
      <c r="I515" t="s">
        <v>2261</v>
      </c>
      <c r="J515" s="3" t="s">
        <v>76</v>
      </c>
      <c r="K515" t="s">
        <v>5841</v>
      </c>
      <c r="L515" s="3" t="s">
        <v>5840</v>
      </c>
      <c r="M515" t="s">
        <v>23</v>
      </c>
      <c r="N515" s="8">
        <v>0.23966699999999999</v>
      </c>
    </row>
    <row r="516" spans="1:14" hidden="1" x14ac:dyDescent="0.55000000000000004">
      <c r="A516" s="3" t="s">
        <v>2219</v>
      </c>
      <c r="B516" s="3" t="s">
        <v>2264</v>
      </c>
      <c r="C516" t="s">
        <v>7347</v>
      </c>
      <c r="D516" s="3" t="s">
        <v>7314</v>
      </c>
      <c r="E516" t="s">
        <v>2265</v>
      </c>
      <c r="F516" s="3" t="s">
        <v>2266</v>
      </c>
      <c r="G516" s="10">
        <v>0</v>
      </c>
      <c r="H516" s="3" t="s">
        <v>24</v>
      </c>
      <c r="I516" t="s">
        <v>2269</v>
      </c>
      <c r="J516" s="3" t="s">
        <v>76</v>
      </c>
      <c r="K516" t="s">
        <v>5841</v>
      </c>
      <c r="L516" s="3" t="s">
        <v>5840</v>
      </c>
      <c r="M516" t="s">
        <v>23</v>
      </c>
      <c r="N516" s="8">
        <v>0.23966699999999999</v>
      </c>
    </row>
    <row r="517" spans="1:14" hidden="1" x14ac:dyDescent="0.55000000000000004">
      <c r="A517" s="3" t="s">
        <v>2219</v>
      </c>
      <c r="B517" s="3" t="s">
        <v>2270</v>
      </c>
      <c r="C517" t="s">
        <v>2221</v>
      </c>
      <c r="D517" s="3" t="s">
        <v>7314</v>
      </c>
      <c r="E517" t="s">
        <v>2271</v>
      </c>
      <c r="F517" s="3" t="s">
        <v>2272</v>
      </c>
      <c r="G517" s="10">
        <v>0</v>
      </c>
      <c r="H517" s="3" t="s">
        <v>24</v>
      </c>
      <c r="I517" t="s">
        <v>2275</v>
      </c>
      <c r="J517" s="3" t="s">
        <v>29</v>
      </c>
      <c r="K517" t="s">
        <v>23</v>
      </c>
      <c r="L517" s="3" t="s">
        <v>5840</v>
      </c>
      <c r="M517" t="s">
        <v>23</v>
      </c>
      <c r="N517" s="8">
        <v>0.23300000000000001</v>
      </c>
    </row>
    <row r="518" spans="1:14" hidden="1" x14ac:dyDescent="0.55000000000000004">
      <c r="A518" s="3" t="s">
        <v>2219</v>
      </c>
      <c r="B518" s="3" t="s">
        <v>2276</v>
      </c>
      <c r="C518" t="s">
        <v>7347</v>
      </c>
      <c r="D518" s="3" t="s">
        <v>7314</v>
      </c>
      <c r="E518" t="s">
        <v>2277</v>
      </c>
      <c r="F518" s="3" t="s">
        <v>2278</v>
      </c>
      <c r="G518" s="10">
        <v>0</v>
      </c>
      <c r="H518" s="3" t="s">
        <v>24</v>
      </c>
      <c r="I518" t="s">
        <v>2281</v>
      </c>
      <c r="J518" s="3" t="s">
        <v>76</v>
      </c>
      <c r="K518" t="s">
        <v>5841</v>
      </c>
      <c r="L518" s="3" t="s">
        <v>5840</v>
      </c>
      <c r="M518" t="s">
        <v>23</v>
      </c>
      <c r="N518" s="8">
        <v>0.23966699999999999</v>
      </c>
    </row>
    <row r="519" spans="1:14" hidden="1" x14ac:dyDescent="0.55000000000000004">
      <c r="A519" s="3" t="s">
        <v>2219</v>
      </c>
      <c r="B519" s="3" t="s">
        <v>7352</v>
      </c>
      <c r="C519" t="s">
        <v>7347</v>
      </c>
      <c r="D519" s="3" t="s">
        <v>7314</v>
      </c>
      <c r="E519" t="s">
        <v>2282</v>
      </c>
      <c r="F519" s="3" t="s">
        <v>2283</v>
      </c>
      <c r="G519" s="10">
        <v>0</v>
      </c>
      <c r="H519" s="3" t="s">
        <v>24</v>
      </c>
      <c r="I519" t="s">
        <v>2281</v>
      </c>
      <c r="J519" s="3" t="s">
        <v>76</v>
      </c>
      <c r="K519" t="s">
        <v>5841</v>
      </c>
      <c r="L519" s="3" t="s">
        <v>5840</v>
      </c>
      <c r="M519" t="s">
        <v>23</v>
      </c>
      <c r="N519" s="8">
        <v>0.23966699999999999</v>
      </c>
    </row>
    <row r="520" spans="1:14" hidden="1" x14ac:dyDescent="0.55000000000000004">
      <c r="A520" s="3" t="s">
        <v>2219</v>
      </c>
      <c r="B520" s="3" t="s">
        <v>2284</v>
      </c>
      <c r="C520" t="s">
        <v>2256</v>
      </c>
      <c r="D520" s="3" t="s">
        <v>7314</v>
      </c>
      <c r="E520" t="s">
        <v>2285</v>
      </c>
      <c r="F520" s="3" t="s">
        <v>2286</v>
      </c>
      <c r="G520" s="10">
        <v>0</v>
      </c>
      <c r="H520" s="3" t="s">
        <v>24</v>
      </c>
      <c r="I520" t="s">
        <v>2292</v>
      </c>
      <c r="J520" s="3" t="s">
        <v>76</v>
      </c>
      <c r="K520" t="s">
        <v>5841</v>
      </c>
      <c r="L520" s="3" t="s">
        <v>5840</v>
      </c>
      <c r="M520" t="s">
        <v>23</v>
      </c>
      <c r="N520" s="8">
        <v>0.23966699999999999</v>
      </c>
    </row>
    <row r="521" spans="1:14" hidden="1" x14ac:dyDescent="0.55000000000000004">
      <c r="A521" s="3" t="s">
        <v>2219</v>
      </c>
      <c r="B521" s="3" t="s">
        <v>2294</v>
      </c>
      <c r="C521" t="s">
        <v>2294</v>
      </c>
      <c r="D521" s="3" t="s">
        <v>7314</v>
      </c>
      <c r="E521" t="s">
        <v>2295</v>
      </c>
      <c r="F521" s="3" t="s">
        <v>2296</v>
      </c>
      <c r="G521" s="10">
        <v>0</v>
      </c>
      <c r="H521" s="3" t="s">
        <v>24</v>
      </c>
      <c r="I521" t="s">
        <v>2299</v>
      </c>
      <c r="J521" s="3" t="s">
        <v>55</v>
      </c>
      <c r="K521" t="s">
        <v>23</v>
      </c>
      <c r="L521" s="3" t="s">
        <v>5839</v>
      </c>
      <c r="M521" t="s">
        <v>23</v>
      </c>
      <c r="N521" s="8">
        <v>0.25808199999999998</v>
      </c>
    </row>
    <row r="522" spans="1:14" hidden="1" x14ac:dyDescent="0.55000000000000004">
      <c r="A522" s="3" t="s">
        <v>2219</v>
      </c>
      <c r="B522" s="3" t="s">
        <v>7350</v>
      </c>
      <c r="C522" t="s">
        <v>2294</v>
      </c>
      <c r="D522" s="3" t="s">
        <v>7314</v>
      </c>
      <c r="E522" t="s">
        <v>2303</v>
      </c>
      <c r="F522" s="3" t="s">
        <v>2304</v>
      </c>
      <c r="G522" s="10">
        <v>0</v>
      </c>
      <c r="H522" s="3" t="s">
        <v>24</v>
      </c>
      <c r="I522" t="s">
        <v>2299</v>
      </c>
      <c r="J522" s="3" t="s">
        <v>55</v>
      </c>
      <c r="K522" t="s">
        <v>23</v>
      </c>
      <c r="L522" s="3" t="s">
        <v>5839</v>
      </c>
      <c r="M522" t="s">
        <v>23</v>
      </c>
      <c r="N522" s="8">
        <v>0.25808199999999998</v>
      </c>
    </row>
    <row r="523" spans="1:14" hidden="1" x14ac:dyDescent="0.55000000000000004">
      <c r="A523" s="3" t="s">
        <v>2219</v>
      </c>
      <c r="B523" s="3" t="s">
        <v>2305</v>
      </c>
      <c r="C523" t="s">
        <v>2305</v>
      </c>
      <c r="D523" s="3" t="s">
        <v>7314</v>
      </c>
      <c r="E523" t="s">
        <v>2306</v>
      </c>
      <c r="F523" s="3" t="s">
        <v>2307</v>
      </c>
      <c r="G523" s="10">
        <v>0</v>
      </c>
      <c r="H523" s="3" t="s">
        <v>24</v>
      </c>
      <c r="I523" t="s">
        <v>2310</v>
      </c>
      <c r="J523" s="3" t="s">
        <v>29</v>
      </c>
      <c r="K523" t="s">
        <v>23</v>
      </c>
      <c r="L523" s="3" t="s">
        <v>5840</v>
      </c>
      <c r="M523" t="s">
        <v>23</v>
      </c>
      <c r="N523" s="8">
        <v>0.23300000000000001</v>
      </c>
    </row>
    <row r="524" spans="1:14" hidden="1" x14ac:dyDescent="0.55000000000000004">
      <c r="A524" s="3" t="s">
        <v>2219</v>
      </c>
      <c r="B524" s="3" t="s">
        <v>2311</v>
      </c>
      <c r="C524" t="s">
        <v>2311</v>
      </c>
      <c r="D524" s="3" t="s">
        <v>7314</v>
      </c>
      <c r="E524" t="s">
        <v>2312</v>
      </c>
      <c r="F524" s="3" t="s">
        <v>2313</v>
      </c>
      <c r="G524" s="10">
        <v>1</v>
      </c>
      <c r="H524" s="3" t="s">
        <v>19</v>
      </c>
      <c r="I524" t="s">
        <v>2316</v>
      </c>
      <c r="J524" s="3" t="s">
        <v>84</v>
      </c>
      <c r="K524" t="s">
        <v>5842</v>
      </c>
      <c r="L524" s="3" t="s">
        <v>5843</v>
      </c>
      <c r="M524" t="s">
        <v>6041</v>
      </c>
      <c r="N524" s="8">
        <v>1.5942999999999999E-2</v>
      </c>
    </row>
    <row r="525" spans="1:14" hidden="1" x14ac:dyDescent="0.55000000000000004">
      <c r="A525" s="3" t="s">
        <v>2219</v>
      </c>
      <c r="B525" s="3" t="s">
        <v>2311</v>
      </c>
      <c r="C525" t="s">
        <v>2311</v>
      </c>
      <c r="D525" s="3" t="s">
        <v>7314</v>
      </c>
      <c r="E525" t="s">
        <v>2312</v>
      </c>
      <c r="F525" s="3" t="s">
        <v>2313</v>
      </c>
      <c r="G525" s="10">
        <v>1</v>
      </c>
      <c r="H525" s="3" t="s">
        <v>24</v>
      </c>
      <c r="I525" t="s">
        <v>2319</v>
      </c>
      <c r="J525" s="3" t="s">
        <v>76</v>
      </c>
      <c r="K525" t="s">
        <v>5841</v>
      </c>
      <c r="L525" s="3" t="s">
        <v>5840</v>
      </c>
      <c r="M525" t="s">
        <v>23</v>
      </c>
      <c r="N525" s="8">
        <v>0.23966699999999999</v>
      </c>
    </row>
    <row r="526" spans="1:14" hidden="1" x14ac:dyDescent="0.55000000000000004">
      <c r="A526" s="3" t="s">
        <v>2219</v>
      </c>
      <c r="B526" s="3" t="s">
        <v>2221</v>
      </c>
      <c r="C526" t="s">
        <v>2221</v>
      </c>
      <c r="D526" s="3" t="s">
        <v>7314</v>
      </c>
      <c r="E526" t="s">
        <v>2320</v>
      </c>
      <c r="F526" s="3" t="s">
        <v>2321</v>
      </c>
      <c r="G526" s="10">
        <v>0</v>
      </c>
      <c r="H526" s="3" t="s">
        <v>24</v>
      </c>
      <c r="I526" t="s">
        <v>2324</v>
      </c>
      <c r="J526" s="3" t="s">
        <v>55</v>
      </c>
      <c r="K526" t="s">
        <v>23</v>
      </c>
      <c r="L526" s="3" t="s">
        <v>5839</v>
      </c>
      <c r="M526" t="s">
        <v>23</v>
      </c>
      <c r="N526" s="8">
        <v>0.21859100000000001</v>
      </c>
    </row>
    <row r="527" spans="1:14" hidden="1" x14ac:dyDescent="0.55000000000000004">
      <c r="A527" s="3" t="s">
        <v>2219</v>
      </c>
      <c r="B527" s="3" t="s">
        <v>7351</v>
      </c>
      <c r="C527" t="s">
        <v>2221</v>
      </c>
      <c r="D527" s="3" t="s">
        <v>7314</v>
      </c>
      <c r="E527" t="s">
        <v>2328</v>
      </c>
      <c r="F527" s="3" t="s">
        <v>2329</v>
      </c>
      <c r="G527" s="10">
        <v>1</v>
      </c>
      <c r="H527" s="3" t="s">
        <v>19</v>
      </c>
      <c r="I527" t="s">
        <v>2332</v>
      </c>
      <c r="J527" s="3" t="s">
        <v>249</v>
      </c>
      <c r="K527" t="s">
        <v>5866</v>
      </c>
      <c r="L527" s="3" t="s">
        <v>5867</v>
      </c>
      <c r="M527" t="s">
        <v>6042</v>
      </c>
      <c r="N527" s="8">
        <v>0.101857</v>
      </c>
    </row>
    <row r="528" spans="1:14" hidden="1" x14ac:dyDescent="0.55000000000000004">
      <c r="A528" s="9" t="s">
        <v>2219</v>
      </c>
      <c r="B528" s="3" t="s">
        <v>7351</v>
      </c>
      <c r="C528" t="s">
        <v>2221</v>
      </c>
      <c r="D528" s="3" t="s">
        <v>7314</v>
      </c>
      <c r="E528" t="s">
        <v>2328</v>
      </c>
      <c r="F528" s="3" t="s">
        <v>2329</v>
      </c>
      <c r="G528" s="10">
        <v>1</v>
      </c>
      <c r="H528" s="3" t="s">
        <v>24</v>
      </c>
      <c r="I528" t="s">
        <v>2324</v>
      </c>
      <c r="J528" s="3" t="s">
        <v>55</v>
      </c>
      <c r="K528" t="s">
        <v>23</v>
      </c>
      <c r="L528" s="3" t="s">
        <v>5839</v>
      </c>
      <c r="M528" t="s">
        <v>23</v>
      </c>
      <c r="N528" s="8">
        <v>0.21859100000000001</v>
      </c>
    </row>
    <row r="529" spans="1:14" hidden="1" x14ac:dyDescent="0.55000000000000004">
      <c r="A529" s="3" t="s">
        <v>2333</v>
      </c>
      <c r="B529" s="3" t="s">
        <v>2334</v>
      </c>
      <c r="C529" t="s">
        <v>2346</v>
      </c>
      <c r="D529" s="3" t="s">
        <v>7329</v>
      </c>
      <c r="E529" t="s">
        <v>2335</v>
      </c>
      <c r="F529" s="3" t="s">
        <v>2336</v>
      </c>
      <c r="G529" s="10">
        <v>0</v>
      </c>
      <c r="H529" s="3" t="s">
        <v>24</v>
      </c>
      <c r="I529" t="s">
        <v>2339</v>
      </c>
      <c r="J529" s="3" t="s">
        <v>40</v>
      </c>
      <c r="K529" t="s">
        <v>23</v>
      </c>
      <c r="L529" s="3" t="s">
        <v>5835</v>
      </c>
      <c r="M529" t="s">
        <v>23</v>
      </c>
      <c r="N529" s="8">
        <v>0.25923099999999999</v>
      </c>
    </row>
    <row r="530" spans="1:14" hidden="1" x14ac:dyDescent="0.55000000000000004">
      <c r="A530" s="3" t="s">
        <v>2333</v>
      </c>
      <c r="B530" s="3" t="s">
        <v>2346</v>
      </c>
      <c r="C530" t="s">
        <v>2346</v>
      </c>
      <c r="D530" s="3" t="s">
        <v>7329</v>
      </c>
      <c r="E530" t="s">
        <v>2340</v>
      </c>
      <c r="F530" s="3" t="s">
        <v>2341</v>
      </c>
      <c r="G530" s="10">
        <v>0</v>
      </c>
      <c r="H530" s="3" t="s">
        <v>24</v>
      </c>
      <c r="I530" t="s">
        <v>2339</v>
      </c>
      <c r="J530" s="3" t="s">
        <v>40</v>
      </c>
      <c r="K530" t="s">
        <v>23</v>
      </c>
      <c r="L530" s="3" t="s">
        <v>5835</v>
      </c>
      <c r="M530" t="s">
        <v>23</v>
      </c>
      <c r="N530" s="8">
        <v>0.25923099999999999</v>
      </c>
    </row>
    <row r="531" spans="1:14" hidden="1" x14ac:dyDescent="0.55000000000000004">
      <c r="A531" s="3" t="s">
        <v>2333</v>
      </c>
      <c r="B531" s="3" t="s">
        <v>2345</v>
      </c>
      <c r="C531" t="s">
        <v>2346</v>
      </c>
      <c r="D531" s="3" t="s">
        <v>7329</v>
      </c>
      <c r="E531" t="s">
        <v>2347</v>
      </c>
      <c r="F531" s="3" t="s">
        <v>2348</v>
      </c>
      <c r="G531" s="10">
        <v>0</v>
      </c>
      <c r="H531" s="3" t="s">
        <v>24</v>
      </c>
      <c r="I531" t="s">
        <v>2351</v>
      </c>
      <c r="J531" s="3" t="s">
        <v>40</v>
      </c>
      <c r="K531" t="s">
        <v>23</v>
      </c>
      <c r="L531" s="3" t="s">
        <v>5835</v>
      </c>
      <c r="M531" t="s">
        <v>23</v>
      </c>
      <c r="N531" s="8">
        <v>0.25919700000000001</v>
      </c>
    </row>
    <row r="532" spans="1:14" hidden="1" x14ac:dyDescent="0.55000000000000004">
      <c r="A532" s="3" t="s">
        <v>2333</v>
      </c>
      <c r="B532" s="3" t="s">
        <v>2345</v>
      </c>
      <c r="C532" t="s">
        <v>2346</v>
      </c>
      <c r="D532" s="3" t="s">
        <v>7329</v>
      </c>
      <c r="E532" t="s">
        <v>2352</v>
      </c>
      <c r="F532" s="3" t="s">
        <v>2353</v>
      </c>
      <c r="G532" s="10">
        <v>0</v>
      </c>
      <c r="H532" s="3" t="s">
        <v>24</v>
      </c>
      <c r="I532" t="s">
        <v>2351</v>
      </c>
      <c r="J532" s="3" t="s">
        <v>40</v>
      </c>
      <c r="K532" t="s">
        <v>23</v>
      </c>
      <c r="L532" s="3" t="s">
        <v>5835</v>
      </c>
      <c r="M532" t="s">
        <v>23</v>
      </c>
      <c r="N532" s="8">
        <v>0.25919700000000001</v>
      </c>
    </row>
    <row r="533" spans="1:14" hidden="1" x14ac:dyDescent="0.55000000000000004">
      <c r="A533" s="3" t="s">
        <v>2333</v>
      </c>
      <c r="B533" s="3" t="s">
        <v>2354</v>
      </c>
      <c r="C533" t="s">
        <v>2346</v>
      </c>
      <c r="D533" s="3" t="s">
        <v>7329</v>
      </c>
      <c r="E533" t="s">
        <v>2355</v>
      </c>
      <c r="F533" s="3" t="s">
        <v>2356</v>
      </c>
      <c r="G533" s="10">
        <v>0</v>
      </c>
      <c r="H533" s="3" t="s">
        <v>24</v>
      </c>
      <c r="I533" t="s">
        <v>2359</v>
      </c>
      <c r="J533" s="3" t="s">
        <v>40</v>
      </c>
      <c r="K533" t="s">
        <v>23</v>
      </c>
      <c r="L533" s="3" t="s">
        <v>5835</v>
      </c>
      <c r="M533" t="s">
        <v>23</v>
      </c>
      <c r="N533" s="8">
        <v>0.25919300000000001</v>
      </c>
    </row>
    <row r="534" spans="1:14" hidden="1" x14ac:dyDescent="0.55000000000000004">
      <c r="A534" s="3" t="s">
        <v>2333</v>
      </c>
      <c r="B534" s="3" t="s">
        <v>2360</v>
      </c>
      <c r="C534" t="s">
        <v>2346</v>
      </c>
      <c r="D534" s="3" t="s">
        <v>7329</v>
      </c>
      <c r="E534" t="s">
        <v>2361</v>
      </c>
      <c r="F534" s="3" t="s">
        <v>2362</v>
      </c>
      <c r="G534" s="10">
        <v>0</v>
      </c>
      <c r="H534" s="3" t="s">
        <v>24</v>
      </c>
      <c r="I534" t="s">
        <v>2365</v>
      </c>
      <c r="J534" s="3" t="s">
        <v>40</v>
      </c>
      <c r="K534" t="s">
        <v>23</v>
      </c>
      <c r="L534" s="3" t="s">
        <v>5835</v>
      </c>
      <c r="M534" t="s">
        <v>23</v>
      </c>
      <c r="N534" s="8">
        <v>0.25917899999999999</v>
      </c>
    </row>
    <row r="535" spans="1:14" hidden="1" x14ac:dyDescent="0.55000000000000004">
      <c r="A535" s="3" t="s">
        <v>2333</v>
      </c>
      <c r="B535" s="3" t="s">
        <v>2366</v>
      </c>
      <c r="C535" t="s">
        <v>2346</v>
      </c>
      <c r="D535" s="3" t="s">
        <v>7329</v>
      </c>
      <c r="E535" t="s">
        <v>2367</v>
      </c>
      <c r="F535" s="3" t="s">
        <v>2368</v>
      </c>
      <c r="G535" s="10">
        <v>0</v>
      </c>
      <c r="H535" s="3" t="s">
        <v>24</v>
      </c>
      <c r="I535" t="s">
        <v>2371</v>
      </c>
      <c r="J535" s="3" t="s">
        <v>40</v>
      </c>
      <c r="K535" t="s">
        <v>23</v>
      </c>
      <c r="L535" s="3" t="s">
        <v>5835</v>
      </c>
      <c r="M535" t="s">
        <v>23</v>
      </c>
      <c r="N535" s="8">
        <v>0.25921100000000002</v>
      </c>
    </row>
    <row r="536" spans="1:14" hidden="1" x14ac:dyDescent="0.55000000000000004">
      <c r="A536" s="3" t="s">
        <v>2333</v>
      </c>
      <c r="B536" s="3" t="s">
        <v>2366</v>
      </c>
      <c r="C536" t="s">
        <v>2346</v>
      </c>
      <c r="D536" s="3" t="s">
        <v>7329</v>
      </c>
      <c r="E536" t="s">
        <v>2372</v>
      </c>
      <c r="F536" s="3" t="s">
        <v>2373</v>
      </c>
      <c r="G536" s="10">
        <v>0</v>
      </c>
      <c r="H536" s="3" t="s">
        <v>24</v>
      </c>
      <c r="I536" t="s">
        <v>2371</v>
      </c>
      <c r="J536" s="3" t="s">
        <v>40</v>
      </c>
      <c r="K536" t="s">
        <v>23</v>
      </c>
      <c r="L536" s="3" t="s">
        <v>5835</v>
      </c>
      <c r="M536" t="s">
        <v>23</v>
      </c>
      <c r="N536" s="8">
        <v>0.25921100000000002</v>
      </c>
    </row>
    <row r="537" spans="1:14" hidden="1" x14ac:dyDescent="0.55000000000000004">
      <c r="A537" s="3" t="s">
        <v>2333</v>
      </c>
      <c r="B537" s="3" t="s">
        <v>2374</v>
      </c>
      <c r="C537" t="s">
        <v>2374</v>
      </c>
      <c r="D537" s="3" t="s">
        <v>7329</v>
      </c>
      <c r="E537" t="s">
        <v>2375</v>
      </c>
      <c r="F537" s="3" t="s">
        <v>2376</v>
      </c>
      <c r="G537" s="10">
        <v>0</v>
      </c>
      <c r="H537" s="3" t="s">
        <v>19</v>
      </c>
      <c r="I537" t="s">
        <v>2379</v>
      </c>
      <c r="J537" s="3" t="s">
        <v>807</v>
      </c>
      <c r="K537" t="s">
        <v>5920</v>
      </c>
      <c r="L537" s="3" t="s">
        <v>5921</v>
      </c>
      <c r="M537" t="s">
        <v>6043</v>
      </c>
      <c r="N537" s="8">
        <v>2.5364000000000001E-2</v>
      </c>
    </row>
    <row r="538" spans="1:14" hidden="1" x14ac:dyDescent="0.55000000000000004">
      <c r="A538" s="3" t="s">
        <v>2333</v>
      </c>
      <c r="B538" s="3" t="s">
        <v>2374</v>
      </c>
      <c r="C538" t="s">
        <v>2374</v>
      </c>
      <c r="D538" s="3" t="s">
        <v>7329</v>
      </c>
      <c r="E538" t="s">
        <v>2375</v>
      </c>
      <c r="F538" s="3" t="s">
        <v>2376</v>
      </c>
      <c r="G538" s="10">
        <v>0</v>
      </c>
      <c r="H538" s="3" t="s">
        <v>24</v>
      </c>
      <c r="I538" t="s">
        <v>2382</v>
      </c>
      <c r="J538" s="3" t="s">
        <v>40</v>
      </c>
      <c r="K538" t="s">
        <v>23</v>
      </c>
      <c r="L538" s="3" t="s">
        <v>5835</v>
      </c>
      <c r="M538" t="s">
        <v>23</v>
      </c>
      <c r="N538" s="8">
        <v>0.25801600000000002</v>
      </c>
    </row>
    <row r="539" spans="1:14" hidden="1" x14ac:dyDescent="0.55000000000000004">
      <c r="A539" s="3" t="s">
        <v>2333</v>
      </c>
      <c r="B539" s="3" t="s">
        <v>2374</v>
      </c>
      <c r="C539" t="s">
        <v>2374</v>
      </c>
      <c r="D539" s="3" t="s">
        <v>7329</v>
      </c>
      <c r="E539" t="s">
        <v>2383</v>
      </c>
      <c r="F539" s="3" t="s">
        <v>2384</v>
      </c>
      <c r="G539" s="10">
        <v>0</v>
      </c>
      <c r="H539" s="3" t="s">
        <v>19</v>
      </c>
      <c r="I539" t="s">
        <v>2379</v>
      </c>
      <c r="J539" s="3" t="s">
        <v>807</v>
      </c>
      <c r="K539" t="s">
        <v>5920</v>
      </c>
      <c r="L539" s="3" t="s">
        <v>5921</v>
      </c>
      <c r="M539" t="s">
        <v>6043</v>
      </c>
      <c r="N539" s="8">
        <v>2.5364000000000001E-2</v>
      </c>
    </row>
    <row r="540" spans="1:14" hidden="1" x14ac:dyDescent="0.55000000000000004">
      <c r="A540" s="3" t="s">
        <v>2333</v>
      </c>
      <c r="B540" s="3" t="s">
        <v>2374</v>
      </c>
      <c r="C540" t="s">
        <v>2374</v>
      </c>
      <c r="D540" s="3" t="s">
        <v>7329</v>
      </c>
      <c r="E540" t="s">
        <v>2383</v>
      </c>
      <c r="F540" s="3" t="s">
        <v>2384</v>
      </c>
      <c r="G540" s="10">
        <v>0</v>
      </c>
      <c r="H540" s="3" t="s">
        <v>24</v>
      </c>
      <c r="I540" t="s">
        <v>2382</v>
      </c>
      <c r="J540" s="3" t="s">
        <v>40</v>
      </c>
      <c r="K540" t="s">
        <v>23</v>
      </c>
      <c r="L540" s="3" t="s">
        <v>5835</v>
      </c>
      <c r="M540" t="s">
        <v>23</v>
      </c>
      <c r="N540" s="8">
        <v>0.25801600000000002</v>
      </c>
    </row>
    <row r="541" spans="1:14" hidden="1" x14ac:dyDescent="0.55000000000000004">
      <c r="A541" s="3" t="s">
        <v>2333</v>
      </c>
      <c r="B541" s="3" t="s">
        <v>2374</v>
      </c>
      <c r="C541" t="s">
        <v>2374</v>
      </c>
      <c r="D541" s="3" t="s">
        <v>7329</v>
      </c>
      <c r="E541" t="s">
        <v>2385</v>
      </c>
      <c r="F541" s="3" t="s">
        <v>2386</v>
      </c>
      <c r="G541" s="10">
        <v>0</v>
      </c>
      <c r="H541" s="3" t="s">
        <v>19</v>
      </c>
      <c r="I541" t="s">
        <v>2379</v>
      </c>
      <c r="J541" s="3" t="s">
        <v>807</v>
      </c>
      <c r="K541" t="s">
        <v>5920</v>
      </c>
      <c r="L541" s="3" t="s">
        <v>5921</v>
      </c>
      <c r="M541" t="s">
        <v>6043</v>
      </c>
      <c r="N541" s="8">
        <v>2.5364000000000001E-2</v>
      </c>
    </row>
    <row r="542" spans="1:14" hidden="1" x14ac:dyDescent="0.55000000000000004">
      <c r="A542" s="3" t="s">
        <v>2333</v>
      </c>
      <c r="B542" s="3" t="s">
        <v>2374</v>
      </c>
      <c r="C542" t="s">
        <v>2374</v>
      </c>
      <c r="D542" s="3" t="s">
        <v>7329</v>
      </c>
      <c r="E542" t="s">
        <v>2385</v>
      </c>
      <c r="F542" s="3" t="s">
        <v>2386</v>
      </c>
      <c r="G542" s="10">
        <v>0</v>
      </c>
      <c r="H542" s="3" t="s">
        <v>24</v>
      </c>
      <c r="I542" t="s">
        <v>2382</v>
      </c>
      <c r="J542" s="3" t="s">
        <v>40</v>
      </c>
      <c r="K542" t="s">
        <v>23</v>
      </c>
      <c r="L542" s="3" t="s">
        <v>5835</v>
      </c>
      <c r="M542" t="s">
        <v>23</v>
      </c>
      <c r="N542" s="8">
        <v>0.25801600000000002</v>
      </c>
    </row>
    <row r="543" spans="1:14" hidden="1" x14ac:dyDescent="0.55000000000000004">
      <c r="A543" s="3" t="s">
        <v>2333</v>
      </c>
      <c r="B543" s="3" t="s">
        <v>2374</v>
      </c>
      <c r="C543" t="s">
        <v>2374</v>
      </c>
      <c r="D543" s="3" t="s">
        <v>7329</v>
      </c>
      <c r="E543" t="s">
        <v>2387</v>
      </c>
      <c r="F543" s="3" t="s">
        <v>2388</v>
      </c>
      <c r="G543" s="10">
        <v>0</v>
      </c>
      <c r="H543" s="3" t="s">
        <v>19</v>
      </c>
      <c r="I543" t="s">
        <v>2379</v>
      </c>
      <c r="J543" s="3" t="s">
        <v>807</v>
      </c>
      <c r="K543" t="s">
        <v>5920</v>
      </c>
      <c r="L543" s="3" t="s">
        <v>5921</v>
      </c>
      <c r="M543" t="s">
        <v>6043</v>
      </c>
      <c r="N543" s="8">
        <v>2.5364000000000001E-2</v>
      </c>
    </row>
    <row r="544" spans="1:14" hidden="1" x14ac:dyDescent="0.55000000000000004">
      <c r="A544" s="3" t="s">
        <v>2333</v>
      </c>
      <c r="B544" s="3" t="s">
        <v>2374</v>
      </c>
      <c r="C544" t="s">
        <v>2374</v>
      </c>
      <c r="D544" s="3" t="s">
        <v>7329</v>
      </c>
      <c r="E544" t="s">
        <v>2387</v>
      </c>
      <c r="F544" s="3" t="s">
        <v>2388</v>
      </c>
      <c r="G544" s="10">
        <v>0</v>
      </c>
      <c r="H544" s="3" t="s">
        <v>24</v>
      </c>
      <c r="I544" t="s">
        <v>2382</v>
      </c>
      <c r="J544" s="3" t="s">
        <v>40</v>
      </c>
      <c r="K544" t="s">
        <v>23</v>
      </c>
      <c r="L544" s="3" t="s">
        <v>5835</v>
      </c>
      <c r="M544" t="s">
        <v>23</v>
      </c>
      <c r="N544" s="8">
        <v>0.25801600000000002</v>
      </c>
    </row>
    <row r="545" spans="1:14" hidden="1" x14ac:dyDescent="0.55000000000000004">
      <c r="A545" s="3" t="s">
        <v>2333</v>
      </c>
      <c r="B545" s="3" t="s">
        <v>2374</v>
      </c>
      <c r="C545" t="s">
        <v>2374</v>
      </c>
      <c r="D545" s="3" t="s">
        <v>7329</v>
      </c>
      <c r="E545" t="s">
        <v>2389</v>
      </c>
      <c r="F545" s="3" t="s">
        <v>2390</v>
      </c>
      <c r="G545" s="10">
        <v>0</v>
      </c>
      <c r="H545" s="3" t="s">
        <v>19</v>
      </c>
      <c r="I545" t="s">
        <v>2379</v>
      </c>
      <c r="J545" s="3" t="s">
        <v>807</v>
      </c>
      <c r="K545" t="s">
        <v>5920</v>
      </c>
      <c r="L545" s="3" t="s">
        <v>5921</v>
      </c>
      <c r="M545" t="s">
        <v>6043</v>
      </c>
      <c r="N545" s="8">
        <v>2.5364000000000001E-2</v>
      </c>
    </row>
    <row r="546" spans="1:14" hidden="1" x14ac:dyDescent="0.55000000000000004">
      <c r="A546" s="9" t="s">
        <v>2333</v>
      </c>
      <c r="B546" s="3" t="s">
        <v>2374</v>
      </c>
      <c r="C546" t="s">
        <v>2374</v>
      </c>
      <c r="D546" s="3" t="s">
        <v>7329</v>
      </c>
      <c r="E546" t="s">
        <v>2389</v>
      </c>
      <c r="F546" s="3" t="s">
        <v>2390</v>
      </c>
      <c r="G546" s="10">
        <v>0</v>
      </c>
      <c r="H546" s="3" t="s">
        <v>24</v>
      </c>
      <c r="I546" t="s">
        <v>2382</v>
      </c>
      <c r="J546" s="3" t="s">
        <v>40</v>
      </c>
      <c r="K546" t="s">
        <v>23</v>
      </c>
      <c r="L546" s="3" t="s">
        <v>5835</v>
      </c>
      <c r="M546" t="s">
        <v>23</v>
      </c>
      <c r="N546" s="8">
        <v>0.25801600000000002</v>
      </c>
    </row>
    <row r="547" spans="1:14" hidden="1" x14ac:dyDescent="0.55000000000000004">
      <c r="A547" s="3" t="s">
        <v>2391</v>
      </c>
      <c r="B547" s="3" t="s">
        <v>2392</v>
      </c>
      <c r="C547" t="s">
        <v>2392</v>
      </c>
      <c r="D547" s="3" t="s">
        <v>7329</v>
      </c>
      <c r="E547" t="s">
        <v>2393</v>
      </c>
      <c r="F547" s="3" t="s">
        <v>2394</v>
      </c>
      <c r="G547" s="10">
        <v>1</v>
      </c>
      <c r="H547" s="3" t="s">
        <v>19</v>
      </c>
      <c r="I547" t="s">
        <v>2397</v>
      </c>
      <c r="J547" s="3" t="s">
        <v>84</v>
      </c>
      <c r="K547" t="s">
        <v>5842</v>
      </c>
      <c r="L547" s="3" t="s">
        <v>5843</v>
      </c>
      <c r="M547" t="s">
        <v>6044</v>
      </c>
      <c r="N547" s="8">
        <v>4.9969E-2</v>
      </c>
    </row>
    <row r="548" spans="1:14" hidden="1" x14ac:dyDescent="0.55000000000000004">
      <c r="A548" s="3" t="s">
        <v>2391</v>
      </c>
      <c r="B548" s="3" t="s">
        <v>2392</v>
      </c>
      <c r="C548" t="s">
        <v>2392</v>
      </c>
      <c r="D548" s="3" t="s">
        <v>7329</v>
      </c>
      <c r="E548" t="s">
        <v>2393</v>
      </c>
      <c r="F548" s="3" t="s">
        <v>2394</v>
      </c>
      <c r="G548" s="10">
        <v>1</v>
      </c>
      <c r="H548" s="3" t="s">
        <v>24</v>
      </c>
      <c r="I548" t="s">
        <v>2403</v>
      </c>
      <c r="J548" s="3" t="s">
        <v>46</v>
      </c>
      <c r="K548" t="s">
        <v>5836</v>
      </c>
      <c r="L548" s="3" t="s">
        <v>5837</v>
      </c>
      <c r="M548" t="s">
        <v>6045</v>
      </c>
      <c r="N548" s="8">
        <v>0.206867</v>
      </c>
    </row>
    <row r="549" spans="1:14" hidden="1" x14ac:dyDescent="0.55000000000000004">
      <c r="A549" s="3" t="s">
        <v>2391</v>
      </c>
      <c r="B549" s="3" t="s">
        <v>2392</v>
      </c>
      <c r="C549" t="s">
        <v>2392</v>
      </c>
      <c r="D549" s="3" t="s">
        <v>7329</v>
      </c>
      <c r="E549" t="s">
        <v>2393</v>
      </c>
      <c r="F549" s="3" t="s">
        <v>2394</v>
      </c>
      <c r="G549" s="10">
        <v>1</v>
      </c>
      <c r="H549" s="3" t="s">
        <v>24</v>
      </c>
      <c r="I549" t="s">
        <v>2403</v>
      </c>
      <c r="J549" s="3" t="s">
        <v>46</v>
      </c>
      <c r="K549" t="s">
        <v>5836</v>
      </c>
      <c r="L549" s="3" t="s">
        <v>5837</v>
      </c>
      <c r="M549" t="s">
        <v>6046</v>
      </c>
      <c r="N549" s="8">
        <v>0.206867</v>
      </c>
    </row>
    <row r="550" spans="1:14" hidden="1" x14ac:dyDescent="0.55000000000000004">
      <c r="A550" s="3" t="s">
        <v>2391</v>
      </c>
      <c r="B550" s="3" t="s">
        <v>7353</v>
      </c>
      <c r="C550" t="s">
        <v>2392</v>
      </c>
      <c r="D550" s="3" t="s">
        <v>7329</v>
      </c>
      <c r="E550" t="s">
        <v>2407</v>
      </c>
      <c r="F550" s="3" t="s">
        <v>2408</v>
      </c>
      <c r="G550" s="10">
        <v>0</v>
      </c>
      <c r="H550" s="3" t="s">
        <v>19</v>
      </c>
      <c r="I550" t="s">
        <v>2397</v>
      </c>
      <c r="J550" s="3" t="s">
        <v>84</v>
      </c>
      <c r="K550" t="s">
        <v>5842</v>
      </c>
      <c r="L550" s="3" t="s">
        <v>5843</v>
      </c>
      <c r="M550" t="s">
        <v>6044</v>
      </c>
      <c r="N550" s="8">
        <v>4.9969E-2</v>
      </c>
    </row>
    <row r="551" spans="1:14" hidden="1" x14ac:dyDescent="0.55000000000000004">
      <c r="A551" s="3" t="s">
        <v>2391</v>
      </c>
      <c r="B551" s="3" t="s">
        <v>7353</v>
      </c>
      <c r="C551" t="s">
        <v>2392</v>
      </c>
      <c r="D551" s="3" t="s">
        <v>7329</v>
      </c>
      <c r="E551" t="s">
        <v>2407</v>
      </c>
      <c r="F551" s="3" t="s">
        <v>2408</v>
      </c>
      <c r="G551" s="10">
        <v>0</v>
      </c>
      <c r="H551" s="3" t="s">
        <v>24</v>
      </c>
      <c r="I551" t="s">
        <v>2403</v>
      </c>
      <c r="J551" s="3" t="s">
        <v>46</v>
      </c>
      <c r="K551" t="s">
        <v>5836</v>
      </c>
      <c r="L551" s="3" t="s">
        <v>5837</v>
      </c>
      <c r="M551" t="s">
        <v>6045</v>
      </c>
      <c r="N551" s="8">
        <v>0.206867</v>
      </c>
    </row>
    <row r="552" spans="1:14" hidden="1" x14ac:dyDescent="0.55000000000000004">
      <c r="A552" s="3" t="s">
        <v>2391</v>
      </c>
      <c r="B552" s="3" t="s">
        <v>7353</v>
      </c>
      <c r="C552" t="s">
        <v>2392</v>
      </c>
      <c r="D552" s="3" t="s">
        <v>7329</v>
      </c>
      <c r="E552" t="s">
        <v>2407</v>
      </c>
      <c r="F552" s="3" t="s">
        <v>2408</v>
      </c>
      <c r="G552" s="10">
        <v>0</v>
      </c>
      <c r="H552" s="3" t="s">
        <v>24</v>
      </c>
      <c r="I552" t="s">
        <v>2403</v>
      </c>
      <c r="J552" s="3" t="s">
        <v>46</v>
      </c>
      <c r="K552" t="s">
        <v>5836</v>
      </c>
      <c r="L552" s="3" t="s">
        <v>5837</v>
      </c>
      <c r="M552" t="s">
        <v>6046</v>
      </c>
      <c r="N552" s="8">
        <v>0.206867</v>
      </c>
    </row>
    <row r="553" spans="1:14" hidden="1" x14ac:dyDescent="0.55000000000000004">
      <c r="A553" s="3" t="s">
        <v>2391</v>
      </c>
      <c r="B553" s="3" t="s">
        <v>2392</v>
      </c>
      <c r="C553" t="s">
        <v>2392</v>
      </c>
      <c r="D553" s="3" t="s">
        <v>7329</v>
      </c>
      <c r="E553" t="s">
        <v>2409</v>
      </c>
      <c r="F553" s="3" t="s">
        <v>2410</v>
      </c>
      <c r="G553" s="10">
        <v>0</v>
      </c>
      <c r="H553" s="3" t="s">
        <v>19</v>
      </c>
      <c r="I553" t="s">
        <v>2413</v>
      </c>
      <c r="J553" s="3" t="s">
        <v>84</v>
      </c>
      <c r="K553" t="s">
        <v>5842</v>
      </c>
      <c r="L553" s="3" t="s">
        <v>5843</v>
      </c>
      <c r="M553" t="s">
        <v>6047</v>
      </c>
      <c r="N553" s="8">
        <v>4.9969E-2</v>
      </c>
    </row>
    <row r="554" spans="1:14" hidden="1" x14ac:dyDescent="0.55000000000000004">
      <c r="A554" s="3" t="s">
        <v>2391</v>
      </c>
      <c r="B554" s="3" t="s">
        <v>2392</v>
      </c>
      <c r="C554" t="s">
        <v>2392</v>
      </c>
      <c r="D554" s="3" t="s">
        <v>7329</v>
      </c>
      <c r="E554" t="s">
        <v>2409</v>
      </c>
      <c r="F554" s="3" t="s">
        <v>2410</v>
      </c>
      <c r="G554" s="10">
        <v>0</v>
      </c>
      <c r="H554" s="3" t="s">
        <v>24</v>
      </c>
      <c r="I554" t="s">
        <v>2403</v>
      </c>
      <c r="J554" s="3" t="s">
        <v>46</v>
      </c>
      <c r="K554" t="s">
        <v>5836</v>
      </c>
      <c r="L554" s="3" t="s">
        <v>5837</v>
      </c>
      <c r="M554" t="s">
        <v>6045</v>
      </c>
      <c r="N554" s="8">
        <v>0.206867</v>
      </c>
    </row>
    <row r="555" spans="1:14" hidden="1" x14ac:dyDescent="0.55000000000000004">
      <c r="A555" s="3" t="s">
        <v>2391</v>
      </c>
      <c r="B555" s="3" t="s">
        <v>2392</v>
      </c>
      <c r="C555" t="s">
        <v>2392</v>
      </c>
      <c r="D555" s="3" t="s">
        <v>7329</v>
      </c>
      <c r="E555" t="s">
        <v>2409</v>
      </c>
      <c r="F555" s="3" t="s">
        <v>2410</v>
      </c>
      <c r="G555" s="10">
        <v>0</v>
      </c>
      <c r="H555" s="3" t="s">
        <v>24</v>
      </c>
      <c r="I555" t="s">
        <v>2403</v>
      </c>
      <c r="J555" s="3" t="s">
        <v>46</v>
      </c>
      <c r="K555" t="s">
        <v>5836</v>
      </c>
      <c r="L555" s="3" t="s">
        <v>5837</v>
      </c>
      <c r="M555" t="s">
        <v>6046</v>
      </c>
      <c r="N555" s="8">
        <v>0.206867</v>
      </c>
    </row>
    <row r="556" spans="1:14" hidden="1" x14ac:dyDescent="0.55000000000000004">
      <c r="A556" s="3" t="s">
        <v>2391</v>
      </c>
      <c r="B556" s="3" t="s">
        <v>2392</v>
      </c>
      <c r="C556" t="s">
        <v>2392</v>
      </c>
      <c r="D556" s="3" t="s">
        <v>7329</v>
      </c>
      <c r="E556" t="s">
        <v>2414</v>
      </c>
      <c r="F556" s="3" t="s">
        <v>2415</v>
      </c>
      <c r="G556" s="10">
        <v>0</v>
      </c>
      <c r="H556" s="3" t="s">
        <v>19</v>
      </c>
      <c r="I556" t="s">
        <v>2418</v>
      </c>
      <c r="J556" s="3" t="s">
        <v>84</v>
      </c>
      <c r="K556" t="s">
        <v>5842</v>
      </c>
      <c r="L556" s="3" t="s">
        <v>5843</v>
      </c>
      <c r="M556" t="s">
        <v>6048</v>
      </c>
      <c r="N556" s="8">
        <v>4.9969E-2</v>
      </c>
    </row>
    <row r="557" spans="1:14" hidden="1" x14ac:dyDescent="0.55000000000000004">
      <c r="A557" s="3" t="s">
        <v>2391</v>
      </c>
      <c r="B557" s="3" t="s">
        <v>2392</v>
      </c>
      <c r="C557" t="s">
        <v>2392</v>
      </c>
      <c r="D557" s="3" t="s">
        <v>7329</v>
      </c>
      <c r="E557" t="s">
        <v>2414</v>
      </c>
      <c r="F557" s="3" t="s">
        <v>2415</v>
      </c>
      <c r="G557" s="10">
        <v>0</v>
      </c>
      <c r="H557" s="3" t="s">
        <v>24</v>
      </c>
      <c r="I557" t="s">
        <v>2403</v>
      </c>
      <c r="J557" s="3" t="s">
        <v>46</v>
      </c>
      <c r="K557" t="s">
        <v>5836</v>
      </c>
      <c r="L557" s="3" t="s">
        <v>5837</v>
      </c>
      <c r="M557" t="s">
        <v>6045</v>
      </c>
      <c r="N557" s="8">
        <v>0.206867</v>
      </c>
    </row>
    <row r="558" spans="1:14" hidden="1" x14ac:dyDescent="0.55000000000000004">
      <c r="A558" s="3" t="s">
        <v>2391</v>
      </c>
      <c r="B558" s="3" t="s">
        <v>2392</v>
      </c>
      <c r="C558" t="s">
        <v>2392</v>
      </c>
      <c r="D558" s="3" t="s">
        <v>7329</v>
      </c>
      <c r="E558" t="s">
        <v>2414</v>
      </c>
      <c r="F558" s="3" t="s">
        <v>2415</v>
      </c>
      <c r="G558" s="10">
        <v>0</v>
      </c>
      <c r="H558" s="3" t="s">
        <v>24</v>
      </c>
      <c r="I558" t="s">
        <v>2403</v>
      </c>
      <c r="J558" s="3" t="s">
        <v>46</v>
      </c>
      <c r="K558" t="s">
        <v>5836</v>
      </c>
      <c r="L558" s="3" t="s">
        <v>5837</v>
      </c>
      <c r="M558" t="s">
        <v>6046</v>
      </c>
      <c r="N558" s="8">
        <v>0.206867</v>
      </c>
    </row>
    <row r="559" spans="1:14" hidden="1" x14ac:dyDescent="0.55000000000000004">
      <c r="A559" s="3" t="s">
        <v>2391</v>
      </c>
      <c r="B559" s="3" t="s">
        <v>2392</v>
      </c>
      <c r="C559" t="s">
        <v>2392</v>
      </c>
      <c r="D559" s="3" t="s">
        <v>7329</v>
      </c>
      <c r="E559" t="s">
        <v>2419</v>
      </c>
      <c r="F559" s="3" t="s">
        <v>2420</v>
      </c>
      <c r="G559" s="10">
        <v>0</v>
      </c>
      <c r="H559" s="3" t="s">
        <v>19</v>
      </c>
      <c r="I559" t="s">
        <v>2418</v>
      </c>
      <c r="J559" s="3" t="s">
        <v>84</v>
      </c>
      <c r="K559" t="s">
        <v>5842</v>
      </c>
      <c r="L559" s="3" t="s">
        <v>5843</v>
      </c>
      <c r="M559" t="s">
        <v>6048</v>
      </c>
      <c r="N559" s="8">
        <v>4.9969E-2</v>
      </c>
    </row>
    <row r="560" spans="1:14" hidden="1" x14ac:dyDescent="0.55000000000000004">
      <c r="A560" s="3" t="s">
        <v>2391</v>
      </c>
      <c r="B560" s="3" t="s">
        <v>2392</v>
      </c>
      <c r="C560" t="s">
        <v>2392</v>
      </c>
      <c r="D560" s="3" t="s">
        <v>7329</v>
      </c>
      <c r="E560" t="s">
        <v>2419</v>
      </c>
      <c r="F560" s="3" t="s">
        <v>2420</v>
      </c>
      <c r="G560" s="10">
        <v>0</v>
      </c>
      <c r="H560" s="3" t="s">
        <v>24</v>
      </c>
      <c r="I560" t="s">
        <v>2403</v>
      </c>
      <c r="J560" s="3" t="s">
        <v>46</v>
      </c>
      <c r="K560" t="s">
        <v>5836</v>
      </c>
      <c r="L560" s="3" t="s">
        <v>5837</v>
      </c>
      <c r="M560" t="s">
        <v>6045</v>
      </c>
      <c r="N560" s="8">
        <v>0.206867</v>
      </c>
    </row>
    <row r="561" spans="1:14" hidden="1" x14ac:dyDescent="0.55000000000000004">
      <c r="A561" s="3" t="s">
        <v>2391</v>
      </c>
      <c r="B561" s="3" t="s">
        <v>2392</v>
      </c>
      <c r="C561" t="s">
        <v>2392</v>
      </c>
      <c r="D561" s="3" t="s">
        <v>7329</v>
      </c>
      <c r="E561" t="s">
        <v>2419</v>
      </c>
      <c r="F561" s="3" t="s">
        <v>2420</v>
      </c>
      <c r="G561" s="10">
        <v>0</v>
      </c>
      <c r="H561" s="3" t="s">
        <v>24</v>
      </c>
      <c r="I561" t="s">
        <v>2403</v>
      </c>
      <c r="J561" s="3" t="s">
        <v>46</v>
      </c>
      <c r="K561" t="s">
        <v>5836</v>
      </c>
      <c r="L561" s="3" t="s">
        <v>5837</v>
      </c>
      <c r="M561" t="s">
        <v>6046</v>
      </c>
      <c r="N561" s="8">
        <v>0.206867</v>
      </c>
    </row>
    <row r="562" spans="1:14" hidden="1" x14ac:dyDescent="0.55000000000000004">
      <c r="A562" s="3" t="s">
        <v>2391</v>
      </c>
      <c r="B562" s="3" t="s">
        <v>2392</v>
      </c>
      <c r="C562" t="s">
        <v>2392</v>
      </c>
      <c r="D562" s="3" t="s">
        <v>7329</v>
      </c>
      <c r="E562" t="s">
        <v>2421</v>
      </c>
      <c r="F562" s="3" t="s">
        <v>2422</v>
      </c>
      <c r="G562" s="10">
        <v>0</v>
      </c>
      <c r="H562" s="3" t="s">
        <v>19</v>
      </c>
      <c r="I562" t="s">
        <v>2413</v>
      </c>
      <c r="J562" s="3" t="s">
        <v>84</v>
      </c>
      <c r="K562" t="s">
        <v>5842</v>
      </c>
      <c r="L562" s="3" t="s">
        <v>5843</v>
      </c>
      <c r="M562" t="s">
        <v>6047</v>
      </c>
      <c r="N562" s="8">
        <v>4.9969E-2</v>
      </c>
    </row>
    <row r="563" spans="1:14" hidden="1" x14ac:dyDescent="0.55000000000000004">
      <c r="A563" s="3" t="s">
        <v>2391</v>
      </c>
      <c r="B563" s="3" t="s">
        <v>2392</v>
      </c>
      <c r="C563" t="s">
        <v>2392</v>
      </c>
      <c r="D563" s="3" t="s">
        <v>7329</v>
      </c>
      <c r="E563" t="s">
        <v>2421</v>
      </c>
      <c r="F563" s="3" t="s">
        <v>2422</v>
      </c>
      <c r="G563" s="10">
        <v>0</v>
      </c>
      <c r="H563" s="3" t="s">
        <v>24</v>
      </c>
      <c r="I563" t="s">
        <v>2403</v>
      </c>
      <c r="J563" s="3" t="s">
        <v>46</v>
      </c>
      <c r="K563" t="s">
        <v>5836</v>
      </c>
      <c r="L563" s="3" t="s">
        <v>5837</v>
      </c>
      <c r="M563" t="s">
        <v>6045</v>
      </c>
      <c r="N563" s="8">
        <v>0.206867</v>
      </c>
    </row>
    <row r="564" spans="1:14" hidden="1" x14ac:dyDescent="0.55000000000000004">
      <c r="A564" s="3" t="s">
        <v>2391</v>
      </c>
      <c r="B564" s="3" t="s">
        <v>2392</v>
      </c>
      <c r="C564" t="s">
        <v>2392</v>
      </c>
      <c r="D564" s="3" t="s">
        <v>7329</v>
      </c>
      <c r="E564" t="s">
        <v>2421</v>
      </c>
      <c r="F564" s="3" t="s">
        <v>2422</v>
      </c>
      <c r="G564" s="10">
        <v>0</v>
      </c>
      <c r="H564" s="3" t="s">
        <v>24</v>
      </c>
      <c r="I564" t="s">
        <v>2403</v>
      </c>
      <c r="J564" s="3" t="s">
        <v>46</v>
      </c>
      <c r="K564" t="s">
        <v>5836</v>
      </c>
      <c r="L564" s="3" t="s">
        <v>5837</v>
      </c>
      <c r="M564" t="s">
        <v>6046</v>
      </c>
      <c r="N564" s="8">
        <v>0.206867</v>
      </c>
    </row>
    <row r="565" spans="1:14" hidden="1" x14ac:dyDescent="0.55000000000000004">
      <c r="A565" s="3" t="s">
        <v>2391</v>
      </c>
      <c r="B565" s="3" t="s">
        <v>2392</v>
      </c>
      <c r="C565" t="s">
        <v>2392</v>
      </c>
      <c r="D565" s="3" t="s">
        <v>7329</v>
      </c>
      <c r="E565" t="s">
        <v>2423</v>
      </c>
      <c r="F565" s="3" t="s">
        <v>2424</v>
      </c>
      <c r="G565" s="10">
        <v>0</v>
      </c>
      <c r="H565" s="3" t="s">
        <v>19</v>
      </c>
      <c r="I565" t="s">
        <v>2413</v>
      </c>
      <c r="J565" s="3" t="s">
        <v>84</v>
      </c>
      <c r="K565" t="s">
        <v>5842</v>
      </c>
      <c r="L565" s="3" t="s">
        <v>5843</v>
      </c>
      <c r="M565" t="s">
        <v>6047</v>
      </c>
      <c r="N565" s="8">
        <v>4.9969E-2</v>
      </c>
    </row>
    <row r="566" spans="1:14" hidden="1" x14ac:dyDescent="0.55000000000000004">
      <c r="A566" s="3" t="s">
        <v>2391</v>
      </c>
      <c r="B566" s="3" t="s">
        <v>2392</v>
      </c>
      <c r="C566" t="s">
        <v>2392</v>
      </c>
      <c r="D566" s="3" t="s">
        <v>7329</v>
      </c>
      <c r="E566" t="s">
        <v>2423</v>
      </c>
      <c r="F566" s="3" t="s">
        <v>2424</v>
      </c>
      <c r="G566" s="10">
        <v>0</v>
      </c>
      <c r="H566" s="3" t="s">
        <v>24</v>
      </c>
      <c r="I566" t="s">
        <v>2403</v>
      </c>
      <c r="J566" s="3" t="s">
        <v>46</v>
      </c>
      <c r="K566" t="s">
        <v>5836</v>
      </c>
      <c r="L566" s="3" t="s">
        <v>5837</v>
      </c>
      <c r="M566" t="s">
        <v>6045</v>
      </c>
      <c r="N566" s="8">
        <v>0.206867</v>
      </c>
    </row>
    <row r="567" spans="1:14" hidden="1" x14ac:dyDescent="0.55000000000000004">
      <c r="A567" s="3" t="s">
        <v>2391</v>
      </c>
      <c r="B567" s="3" t="s">
        <v>2392</v>
      </c>
      <c r="C567" t="s">
        <v>2392</v>
      </c>
      <c r="D567" s="3" t="s">
        <v>7329</v>
      </c>
      <c r="E567" t="s">
        <v>2423</v>
      </c>
      <c r="F567" s="3" t="s">
        <v>2424</v>
      </c>
      <c r="G567" s="10">
        <v>0</v>
      </c>
      <c r="H567" s="3" t="s">
        <v>24</v>
      </c>
      <c r="I567" t="s">
        <v>2403</v>
      </c>
      <c r="J567" s="3" t="s">
        <v>46</v>
      </c>
      <c r="K567" t="s">
        <v>5836</v>
      </c>
      <c r="L567" s="3" t="s">
        <v>5837</v>
      </c>
      <c r="M567" t="s">
        <v>6046</v>
      </c>
      <c r="N567" s="8">
        <v>0.206867</v>
      </c>
    </row>
    <row r="568" spans="1:14" hidden="1" x14ac:dyDescent="0.55000000000000004">
      <c r="A568" s="3" t="s">
        <v>2391</v>
      </c>
      <c r="B568" s="3" t="s">
        <v>2392</v>
      </c>
      <c r="C568" t="s">
        <v>2392</v>
      </c>
      <c r="D568" s="3" t="s">
        <v>7329</v>
      </c>
      <c r="E568" t="s">
        <v>2425</v>
      </c>
      <c r="F568" s="3" t="s">
        <v>2426</v>
      </c>
      <c r="G568" s="10">
        <v>0</v>
      </c>
      <c r="H568" s="3" t="s">
        <v>19</v>
      </c>
      <c r="I568" t="s">
        <v>2413</v>
      </c>
      <c r="J568" s="3" t="s">
        <v>84</v>
      </c>
      <c r="K568" t="s">
        <v>5842</v>
      </c>
      <c r="L568" s="3" t="s">
        <v>5843</v>
      </c>
      <c r="M568" t="s">
        <v>6047</v>
      </c>
      <c r="N568" s="8">
        <v>4.9969E-2</v>
      </c>
    </row>
    <row r="569" spans="1:14" hidden="1" x14ac:dyDescent="0.55000000000000004">
      <c r="A569" s="3" t="s">
        <v>2391</v>
      </c>
      <c r="B569" s="3" t="s">
        <v>2392</v>
      </c>
      <c r="C569" t="s">
        <v>2392</v>
      </c>
      <c r="D569" s="3" t="s">
        <v>7329</v>
      </c>
      <c r="E569" t="s">
        <v>2425</v>
      </c>
      <c r="F569" s="3" t="s">
        <v>2426</v>
      </c>
      <c r="G569" s="10">
        <v>0</v>
      </c>
      <c r="H569" s="3" t="s">
        <v>24</v>
      </c>
      <c r="I569" t="s">
        <v>2403</v>
      </c>
      <c r="J569" s="3" t="s">
        <v>46</v>
      </c>
      <c r="K569" t="s">
        <v>5836</v>
      </c>
      <c r="L569" s="3" t="s">
        <v>5837</v>
      </c>
      <c r="M569" t="s">
        <v>6045</v>
      </c>
      <c r="N569" s="8">
        <v>0.206867</v>
      </c>
    </row>
    <row r="570" spans="1:14" hidden="1" x14ac:dyDescent="0.55000000000000004">
      <c r="A570" s="3" t="s">
        <v>2391</v>
      </c>
      <c r="B570" s="3" t="s">
        <v>2392</v>
      </c>
      <c r="C570" t="s">
        <v>2392</v>
      </c>
      <c r="D570" s="3" t="s">
        <v>7329</v>
      </c>
      <c r="E570" t="s">
        <v>2425</v>
      </c>
      <c r="F570" s="3" t="s">
        <v>2426</v>
      </c>
      <c r="G570" s="10">
        <v>0</v>
      </c>
      <c r="H570" s="3" t="s">
        <v>24</v>
      </c>
      <c r="I570" t="s">
        <v>2403</v>
      </c>
      <c r="J570" s="3" t="s">
        <v>46</v>
      </c>
      <c r="K570" t="s">
        <v>5836</v>
      </c>
      <c r="L570" s="3" t="s">
        <v>5837</v>
      </c>
      <c r="M570" t="s">
        <v>6046</v>
      </c>
      <c r="N570" s="8">
        <v>0.206867</v>
      </c>
    </row>
    <row r="571" spans="1:14" hidden="1" x14ac:dyDescent="0.55000000000000004">
      <c r="A571" s="3" t="s">
        <v>2391</v>
      </c>
      <c r="B571" s="3" t="s">
        <v>2392</v>
      </c>
      <c r="C571" t="s">
        <v>2392</v>
      </c>
      <c r="D571" s="3" t="s">
        <v>7329</v>
      </c>
      <c r="E571" t="s">
        <v>2427</v>
      </c>
      <c r="F571" s="3" t="s">
        <v>2428</v>
      </c>
      <c r="G571" s="10">
        <v>0</v>
      </c>
      <c r="H571" s="3" t="s">
        <v>19</v>
      </c>
      <c r="I571" t="s">
        <v>2418</v>
      </c>
      <c r="J571" s="3" t="s">
        <v>84</v>
      </c>
      <c r="K571" t="s">
        <v>5842</v>
      </c>
      <c r="L571" s="3" t="s">
        <v>5843</v>
      </c>
      <c r="M571" t="s">
        <v>6048</v>
      </c>
      <c r="N571" s="8">
        <v>4.9969E-2</v>
      </c>
    </row>
    <row r="572" spans="1:14" hidden="1" x14ac:dyDescent="0.55000000000000004">
      <c r="A572" s="3" t="s">
        <v>2391</v>
      </c>
      <c r="B572" s="3" t="s">
        <v>2392</v>
      </c>
      <c r="C572" t="s">
        <v>2392</v>
      </c>
      <c r="D572" s="3" t="s">
        <v>7329</v>
      </c>
      <c r="E572" t="s">
        <v>2427</v>
      </c>
      <c r="F572" s="3" t="s">
        <v>2428</v>
      </c>
      <c r="G572" s="10">
        <v>0</v>
      </c>
      <c r="H572" s="3" t="s">
        <v>24</v>
      </c>
      <c r="I572" t="s">
        <v>2403</v>
      </c>
      <c r="J572" s="3" t="s">
        <v>46</v>
      </c>
      <c r="K572" t="s">
        <v>5836</v>
      </c>
      <c r="L572" s="3" t="s">
        <v>5837</v>
      </c>
      <c r="M572" t="s">
        <v>6045</v>
      </c>
      <c r="N572" s="8">
        <v>0.206867</v>
      </c>
    </row>
    <row r="573" spans="1:14" hidden="1" x14ac:dyDescent="0.55000000000000004">
      <c r="A573" s="3" t="s">
        <v>2391</v>
      </c>
      <c r="B573" s="3" t="s">
        <v>2392</v>
      </c>
      <c r="C573" t="s">
        <v>2392</v>
      </c>
      <c r="D573" s="3" t="s">
        <v>7329</v>
      </c>
      <c r="E573" t="s">
        <v>2427</v>
      </c>
      <c r="F573" s="3" t="s">
        <v>2428</v>
      </c>
      <c r="G573" s="10">
        <v>0</v>
      </c>
      <c r="H573" s="3" t="s">
        <v>24</v>
      </c>
      <c r="I573" t="s">
        <v>2403</v>
      </c>
      <c r="J573" s="3" t="s">
        <v>46</v>
      </c>
      <c r="K573" t="s">
        <v>5836</v>
      </c>
      <c r="L573" s="3" t="s">
        <v>5837</v>
      </c>
      <c r="M573" t="s">
        <v>6046</v>
      </c>
      <c r="N573" s="8">
        <v>0.206867</v>
      </c>
    </row>
    <row r="574" spans="1:14" hidden="1" x14ac:dyDescent="0.55000000000000004">
      <c r="A574" s="3" t="s">
        <v>2391</v>
      </c>
      <c r="B574" s="3" t="s">
        <v>2429</v>
      </c>
      <c r="C574" t="s">
        <v>2429</v>
      </c>
      <c r="D574" s="3" t="s">
        <v>7329</v>
      </c>
      <c r="E574" t="s">
        <v>2430</v>
      </c>
      <c r="F574" s="3" t="s">
        <v>2431</v>
      </c>
      <c r="G574" s="10">
        <v>0</v>
      </c>
      <c r="H574" s="3" t="s">
        <v>24</v>
      </c>
      <c r="I574" t="s">
        <v>2434</v>
      </c>
      <c r="J574" s="3" t="s">
        <v>138</v>
      </c>
      <c r="K574" t="s">
        <v>23</v>
      </c>
      <c r="L574" s="3" t="s">
        <v>5837</v>
      </c>
      <c r="M574" t="s">
        <v>23</v>
      </c>
      <c r="N574" s="8">
        <v>0.25739299999999998</v>
      </c>
    </row>
    <row r="575" spans="1:14" hidden="1" x14ac:dyDescent="0.55000000000000004">
      <c r="A575" s="9" t="s">
        <v>2391</v>
      </c>
      <c r="B575" s="3" t="s">
        <v>2429</v>
      </c>
      <c r="C575" t="s">
        <v>2429</v>
      </c>
      <c r="D575" s="3" t="s">
        <v>7329</v>
      </c>
      <c r="E575" t="s">
        <v>2435</v>
      </c>
      <c r="F575" s="3" t="s">
        <v>2436</v>
      </c>
      <c r="G575" s="10">
        <v>0</v>
      </c>
      <c r="H575" s="3" t="s">
        <v>24</v>
      </c>
      <c r="I575" t="s">
        <v>2434</v>
      </c>
      <c r="J575" s="3" t="s">
        <v>138</v>
      </c>
      <c r="K575" t="s">
        <v>23</v>
      </c>
      <c r="L575" s="3" t="s">
        <v>5837</v>
      </c>
      <c r="M575" t="s">
        <v>23</v>
      </c>
      <c r="N575" s="8">
        <v>0.25739299999999998</v>
      </c>
    </row>
    <row r="576" spans="1:14" hidden="1" x14ac:dyDescent="0.55000000000000004">
      <c r="A576" s="3" t="s">
        <v>2457</v>
      </c>
      <c r="B576" s="3" t="s">
        <v>2458</v>
      </c>
      <c r="C576" t="s">
        <v>2458</v>
      </c>
      <c r="D576" s="3" t="s">
        <v>7312</v>
      </c>
      <c r="E576" t="s">
        <v>2459</v>
      </c>
      <c r="F576" s="3" t="s">
        <v>2460</v>
      </c>
      <c r="G576" s="10">
        <v>1</v>
      </c>
      <c r="H576" s="3" t="s">
        <v>19</v>
      </c>
      <c r="I576" t="s">
        <v>2463</v>
      </c>
      <c r="J576" s="3" t="s">
        <v>1770</v>
      </c>
      <c r="K576" t="s">
        <v>6006</v>
      </c>
      <c r="L576" s="3" t="s">
        <v>5998</v>
      </c>
      <c r="M576" t="s">
        <v>6049</v>
      </c>
      <c r="N576" s="8">
        <v>9.5990000000000006E-2</v>
      </c>
    </row>
    <row r="577" spans="1:14" hidden="1" x14ac:dyDescent="0.55000000000000004">
      <c r="A577" s="3" t="s">
        <v>2457</v>
      </c>
      <c r="B577" s="3" t="s">
        <v>2458</v>
      </c>
      <c r="C577" t="s">
        <v>2458</v>
      </c>
      <c r="D577" s="3" t="s">
        <v>7312</v>
      </c>
      <c r="E577" t="s">
        <v>2459</v>
      </c>
      <c r="F577" s="3" t="s">
        <v>2460</v>
      </c>
      <c r="G577" s="10">
        <v>1</v>
      </c>
      <c r="H577" s="3" t="s">
        <v>19</v>
      </c>
      <c r="I577" t="s">
        <v>2463</v>
      </c>
      <c r="J577" s="3" t="s">
        <v>1770</v>
      </c>
      <c r="K577" t="s">
        <v>6006</v>
      </c>
      <c r="L577" s="3" t="s">
        <v>5998</v>
      </c>
      <c r="M577" t="s">
        <v>6050</v>
      </c>
      <c r="N577" s="8">
        <v>9.5990000000000006E-2</v>
      </c>
    </row>
    <row r="578" spans="1:14" hidden="1" x14ac:dyDescent="0.55000000000000004">
      <c r="A578" s="3" t="s">
        <v>2457</v>
      </c>
      <c r="B578" s="3" t="s">
        <v>2458</v>
      </c>
      <c r="C578" t="s">
        <v>2458</v>
      </c>
      <c r="D578" s="3" t="s">
        <v>7312</v>
      </c>
      <c r="E578" t="s">
        <v>2459</v>
      </c>
      <c r="F578" s="3" t="s">
        <v>2460</v>
      </c>
      <c r="G578" s="10">
        <v>1</v>
      </c>
      <c r="H578" s="3" t="s">
        <v>19</v>
      </c>
      <c r="I578" t="s">
        <v>2463</v>
      </c>
      <c r="J578" s="3" t="s">
        <v>1770</v>
      </c>
      <c r="K578" t="s">
        <v>6006</v>
      </c>
      <c r="L578" s="3" t="s">
        <v>6051</v>
      </c>
      <c r="M578" t="s">
        <v>6049</v>
      </c>
      <c r="N578" s="8">
        <v>9.5990000000000006E-2</v>
      </c>
    </row>
    <row r="579" spans="1:14" hidden="1" x14ac:dyDescent="0.55000000000000004">
      <c r="A579" s="3" t="s">
        <v>2457</v>
      </c>
      <c r="B579" s="3" t="s">
        <v>2458</v>
      </c>
      <c r="C579" t="s">
        <v>2458</v>
      </c>
      <c r="D579" s="3" t="s">
        <v>7312</v>
      </c>
      <c r="E579" t="s">
        <v>2459</v>
      </c>
      <c r="F579" s="3" t="s">
        <v>2460</v>
      </c>
      <c r="G579" s="10">
        <v>1</v>
      </c>
      <c r="H579" s="3" t="s">
        <v>19</v>
      </c>
      <c r="I579" t="s">
        <v>2463</v>
      </c>
      <c r="J579" s="3" t="s">
        <v>1770</v>
      </c>
      <c r="K579" t="s">
        <v>6006</v>
      </c>
      <c r="L579" s="3" t="s">
        <v>6051</v>
      </c>
      <c r="M579" t="s">
        <v>6050</v>
      </c>
      <c r="N579" s="8">
        <v>9.5990000000000006E-2</v>
      </c>
    </row>
    <row r="580" spans="1:14" hidden="1" x14ac:dyDescent="0.55000000000000004">
      <c r="A580" s="3" t="s">
        <v>2457</v>
      </c>
      <c r="B580" s="3" t="s">
        <v>2458</v>
      </c>
      <c r="C580" t="s">
        <v>2458</v>
      </c>
      <c r="D580" s="3" t="s">
        <v>7312</v>
      </c>
      <c r="E580" t="s">
        <v>2459</v>
      </c>
      <c r="F580" s="3" t="s">
        <v>2460</v>
      </c>
      <c r="G580" s="10">
        <v>1</v>
      </c>
      <c r="H580" s="3" t="s">
        <v>24</v>
      </c>
      <c r="I580" t="s">
        <v>2467</v>
      </c>
      <c r="J580" s="3" t="s">
        <v>40</v>
      </c>
      <c r="K580" t="s">
        <v>23</v>
      </c>
      <c r="L580" s="3" t="s">
        <v>5835</v>
      </c>
      <c r="M580" t="s">
        <v>23</v>
      </c>
      <c r="N580" s="8">
        <v>0.181285</v>
      </c>
    </row>
    <row r="581" spans="1:14" hidden="1" x14ac:dyDescent="0.55000000000000004">
      <c r="A581" s="3" t="s">
        <v>2457</v>
      </c>
      <c r="B581" s="3" t="s">
        <v>2468</v>
      </c>
      <c r="C581" t="s">
        <v>2468</v>
      </c>
      <c r="D581" s="3" t="s">
        <v>7312</v>
      </c>
      <c r="E581" t="s">
        <v>2469</v>
      </c>
      <c r="F581" s="3" t="s">
        <v>2470</v>
      </c>
      <c r="G581" s="10">
        <v>0</v>
      </c>
      <c r="H581" s="3" t="s">
        <v>19</v>
      </c>
      <c r="I581" t="s">
        <v>2473</v>
      </c>
      <c r="J581" s="3" t="s">
        <v>2474</v>
      </c>
      <c r="K581" t="s">
        <v>6052</v>
      </c>
      <c r="L581" s="3" t="s">
        <v>5998</v>
      </c>
      <c r="M581" t="s">
        <v>6053</v>
      </c>
      <c r="N581" s="8">
        <v>2.2190000000000001E-2</v>
      </c>
    </row>
    <row r="582" spans="1:14" hidden="1" x14ac:dyDescent="0.55000000000000004">
      <c r="A582" s="3" t="s">
        <v>2457</v>
      </c>
      <c r="B582" s="3" t="s">
        <v>2468</v>
      </c>
      <c r="C582" t="s">
        <v>2468</v>
      </c>
      <c r="D582" s="3" t="s">
        <v>7312</v>
      </c>
      <c r="E582" t="s">
        <v>2469</v>
      </c>
      <c r="F582" s="3" t="s">
        <v>2470</v>
      </c>
      <c r="G582" s="10">
        <v>0</v>
      </c>
      <c r="H582" s="3" t="s">
        <v>19</v>
      </c>
      <c r="I582" t="s">
        <v>2473</v>
      </c>
      <c r="J582" s="3" t="s">
        <v>2474</v>
      </c>
      <c r="K582" t="s">
        <v>6052</v>
      </c>
      <c r="L582" s="3" t="s">
        <v>6051</v>
      </c>
      <c r="M582" t="s">
        <v>6053</v>
      </c>
      <c r="N582" s="8">
        <v>2.2190000000000001E-2</v>
      </c>
    </row>
    <row r="583" spans="1:14" hidden="1" x14ac:dyDescent="0.55000000000000004">
      <c r="A583" s="3" t="s">
        <v>2457</v>
      </c>
      <c r="B583" s="3" t="s">
        <v>2468</v>
      </c>
      <c r="C583" t="s">
        <v>2468</v>
      </c>
      <c r="D583" s="3" t="s">
        <v>7312</v>
      </c>
      <c r="E583" t="s">
        <v>2469</v>
      </c>
      <c r="F583" s="3" t="s">
        <v>2470</v>
      </c>
      <c r="G583" s="10">
        <v>0</v>
      </c>
      <c r="H583" s="3" t="s">
        <v>19</v>
      </c>
      <c r="I583" t="s">
        <v>2475</v>
      </c>
      <c r="J583" s="3" t="s">
        <v>2476</v>
      </c>
      <c r="K583" t="s">
        <v>6054</v>
      </c>
      <c r="L583" s="3" t="s">
        <v>6055</v>
      </c>
      <c r="M583" t="s">
        <v>6056</v>
      </c>
      <c r="N583" s="8">
        <v>1.3069000000000001E-2</v>
      </c>
    </row>
    <row r="584" spans="1:14" hidden="1" x14ac:dyDescent="0.55000000000000004">
      <c r="A584" s="3" t="s">
        <v>2457</v>
      </c>
      <c r="B584" s="3" t="s">
        <v>2468</v>
      </c>
      <c r="C584" t="s">
        <v>2468</v>
      </c>
      <c r="D584" s="3" t="s">
        <v>7312</v>
      </c>
      <c r="E584" t="s">
        <v>2469</v>
      </c>
      <c r="F584" s="3" t="s">
        <v>2470</v>
      </c>
      <c r="G584" s="10">
        <v>0</v>
      </c>
      <c r="H584" s="3" t="s">
        <v>24</v>
      </c>
      <c r="I584" t="s">
        <v>2479</v>
      </c>
      <c r="J584" s="3" t="s">
        <v>40</v>
      </c>
      <c r="K584" t="s">
        <v>23</v>
      </c>
      <c r="L584" s="3" t="s">
        <v>5835</v>
      </c>
      <c r="M584" t="s">
        <v>23</v>
      </c>
      <c r="N584" s="8">
        <v>0.17978</v>
      </c>
    </row>
    <row r="585" spans="1:14" hidden="1" x14ac:dyDescent="0.55000000000000004">
      <c r="A585" s="3" t="s">
        <v>2457</v>
      </c>
      <c r="B585" s="3" t="s">
        <v>2468</v>
      </c>
      <c r="C585" t="s">
        <v>2468</v>
      </c>
      <c r="D585" s="3" t="s">
        <v>7312</v>
      </c>
      <c r="E585" t="s">
        <v>2480</v>
      </c>
      <c r="F585" s="3" t="s">
        <v>2481</v>
      </c>
      <c r="G585" s="10">
        <v>1</v>
      </c>
      <c r="H585" s="3" t="s">
        <v>19</v>
      </c>
      <c r="I585" t="s">
        <v>2473</v>
      </c>
      <c r="J585" s="3" t="s">
        <v>2474</v>
      </c>
      <c r="K585" t="s">
        <v>6052</v>
      </c>
      <c r="L585" s="3" t="s">
        <v>5998</v>
      </c>
      <c r="M585" t="s">
        <v>6053</v>
      </c>
      <c r="N585" s="8">
        <v>2.2190000000000001E-2</v>
      </c>
    </row>
    <row r="586" spans="1:14" hidden="1" x14ac:dyDescent="0.55000000000000004">
      <c r="A586" s="3" t="s">
        <v>2457</v>
      </c>
      <c r="B586" s="3" t="s">
        <v>2468</v>
      </c>
      <c r="C586" t="s">
        <v>2468</v>
      </c>
      <c r="D586" s="3" t="s">
        <v>7312</v>
      </c>
      <c r="E586" t="s">
        <v>2480</v>
      </c>
      <c r="F586" s="3" t="s">
        <v>2481</v>
      </c>
      <c r="G586" s="10">
        <v>1</v>
      </c>
      <c r="H586" s="3" t="s">
        <v>19</v>
      </c>
      <c r="I586" t="s">
        <v>2473</v>
      </c>
      <c r="J586" s="3" t="s">
        <v>2474</v>
      </c>
      <c r="K586" t="s">
        <v>6052</v>
      </c>
      <c r="L586" s="3" t="s">
        <v>6051</v>
      </c>
      <c r="M586" t="s">
        <v>6053</v>
      </c>
      <c r="N586" s="8">
        <v>2.2190000000000001E-2</v>
      </c>
    </row>
    <row r="587" spans="1:14" hidden="1" x14ac:dyDescent="0.55000000000000004">
      <c r="A587" s="3" t="s">
        <v>2457</v>
      </c>
      <c r="B587" s="3" t="s">
        <v>2468</v>
      </c>
      <c r="C587" t="s">
        <v>2468</v>
      </c>
      <c r="D587" s="3" t="s">
        <v>7312</v>
      </c>
      <c r="E587" t="s">
        <v>2480</v>
      </c>
      <c r="F587" s="3" t="s">
        <v>2481</v>
      </c>
      <c r="G587" s="10">
        <v>1</v>
      </c>
      <c r="H587" s="3" t="s">
        <v>19</v>
      </c>
      <c r="I587" t="s">
        <v>2475</v>
      </c>
      <c r="J587" s="3" t="s">
        <v>2476</v>
      </c>
      <c r="K587" t="s">
        <v>6054</v>
      </c>
      <c r="L587" s="3" t="s">
        <v>6055</v>
      </c>
      <c r="M587" t="s">
        <v>6056</v>
      </c>
      <c r="N587" s="8">
        <v>1.3069000000000001E-2</v>
      </c>
    </row>
    <row r="588" spans="1:14" hidden="1" x14ac:dyDescent="0.55000000000000004">
      <c r="A588" s="3" t="s">
        <v>2457</v>
      </c>
      <c r="B588" s="3" t="s">
        <v>2468</v>
      </c>
      <c r="C588" t="s">
        <v>2468</v>
      </c>
      <c r="D588" s="3" t="s">
        <v>7312</v>
      </c>
      <c r="E588" t="s">
        <v>2480</v>
      </c>
      <c r="F588" s="3" t="s">
        <v>2481</v>
      </c>
      <c r="G588" s="10">
        <v>1</v>
      </c>
      <c r="H588" s="3" t="s">
        <v>24</v>
      </c>
      <c r="I588" t="s">
        <v>2479</v>
      </c>
      <c r="J588" s="3" t="s">
        <v>40</v>
      </c>
      <c r="K588" t="s">
        <v>23</v>
      </c>
      <c r="L588" s="3" t="s">
        <v>5835</v>
      </c>
      <c r="M588" t="s">
        <v>23</v>
      </c>
      <c r="N588" s="8">
        <v>0.17978</v>
      </c>
    </row>
    <row r="589" spans="1:14" hidden="1" x14ac:dyDescent="0.55000000000000004">
      <c r="A589" s="3" t="s">
        <v>2457</v>
      </c>
      <c r="B589" s="3" t="s">
        <v>2482</v>
      </c>
      <c r="C589" t="s">
        <v>2482</v>
      </c>
      <c r="D589" s="3" t="s">
        <v>7312</v>
      </c>
      <c r="E589" t="s">
        <v>2483</v>
      </c>
      <c r="F589" s="3" t="s">
        <v>2484</v>
      </c>
      <c r="G589" s="10">
        <v>0</v>
      </c>
      <c r="H589" s="3" t="s">
        <v>19</v>
      </c>
      <c r="I589" t="s">
        <v>2487</v>
      </c>
      <c r="J589" s="3" t="s">
        <v>1770</v>
      </c>
      <c r="K589" t="s">
        <v>6006</v>
      </c>
      <c r="L589" s="3" t="s">
        <v>5998</v>
      </c>
      <c r="M589" t="s">
        <v>6057</v>
      </c>
      <c r="N589" s="8">
        <v>8.1642999999999993E-2</v>
      </c>
    </row>
    <row r="590" spans="1:14" hidden="1" x14ac:dyDescent="0.55000000000000004">
      <c r="A590" s="3" t="s">
        <v>2457</v>
      </c>
      <c r="B590" s="3" t="s">
        <v>2482</v>
      </c>
      <c r="C590" t="s">
        <v>2482</v>
      </c>
      <c r="D590" s="3" t="s">
        <v>7312</v>
      </c>
      <c r="E590" t="s">
        <v>2483</v>
      </c>
      <c r="F590" s="3" t="s">
        <v>2484</v>
      </c>
      <c r="G590" s="10">
        <v>0</v>
      </c>
      <c r="H590" s="3" t="s">
        <v>19</v>
      </c>
      <c r="I590" t="s">
        <v>2487</v>
      </c>
      <c r="J590" s="3" t="s">
        <v>1770</v>
      </c>
      <c r="K590" t="s">
        <v>6006</v>
      </c>
      <c r="L590" s="3" t="s">
        <v>6051</v>
      </c>
      <c r="M590" t="s">
        <v>6057</v>
      </c>
      <c r="N590" s="8">
        <v>8.1642999999999993E-2</v>
      </c>
    </row>
    <row r="591" spans="1:14" hidden="1" x14ac:dyDescent="0.55000000000000004">
      <c r="A591" s="3" t="s">
        <v>2457</v>
      </c>
      <c r="B591" s="3" t="s">
        <v>2482</v>
      </c>
      <c r="C591" t="s">
        <v>2482</v>
      </c>
      <c r="D591" s="3" t="s">
        <v>7312</v>
      </c>
      <c r="E591" t="s">
        <v>2483</v>
      </c>
      <c r="F591" s="3" t="s">
        <v>2484</v>
      </c>
      <c r="G591" s="10">
        <v>0</v>
      </c>
      <c r="H591" s="3" t="s">
        <v>24</v>
      </c>
      <c r="I591" t="s">
        <v>2490</v>
      </c>
      <c r="J591" s="3" t="s">
        <v>40</v>
      </c>
      <c r="K591" t="s">
        <v>23</v>
      </c>
      <c r="L591" s="3" t="s">
        <v>5835</v>
      </c>
      <c r="M591" t="s">
        <v>23</v>
      </c>
      <c r="N591" s="8">
        <v>0.181175</v>
      </c>
    </row>
    <row r="592" spans="1:14" hidden="1" x14ac:dyDescent="0.55000000000000004">
      <c r="A592" s="3" t="s">
        <v>2457</v>
      </c>
      <c r="B592" s="3" t="s">
        <v>2482</v>
      </c>
      <c r="C592" t="s">
        <v>2482</v>
      </c>
      <c r="D592" s="3" t="s">
        <v>7312</v>
      </c>
      <c r="E592" t="s">
        <v>2491</v>
      </c>
      <c r="F592" s="3" t="s">
        <v>2492</v>
      </c>
      <c r="G592" s="10">
        <v>1</v>
      </c>
      <c r="H592" s="3" t="s">
        <v>19</v>
      </c>
      <c r="I592" t="s">
        <v>2487</v>
      </c>
      <c r="J592" s="3" t="s">
        <v>1770</v>
      </c>
      <c r="K592" t="s">
        <v>6006</v>
      </c>
      <c r="L592" s="3" t="s">
        <v>5998</v>
      </c>
      <c r="M592" t="s">
        <v>6057</v>
      </c>
      <c r="N592" s="8">
        <v>8.1642999999999993E-2</v>
      </c>
    </row>
    <row r="593" spans="1:14" hidden="1" x14ac:dyDescent="0.55000000000000004">
      <c r="A593" s="3" t="s">
        <v>2457</v>
      </c>
      <c r="B593" s="3" t="s">
        <v>2482</v>
      </c>
      <c r="C593" t="s">
        <v>2482</v>
      </c>
      <c r="D593" s="3" t="s">
        <v>7312</v>
      </c>
      <c r="E593" t="s">
        <v>2491</v>
      </c>
      <c r="F593" s="3" t="s">
        <v>2492</v>
      </c>
      <c r="G593" s="10">
        <v>1</v>
      </c>
      <c r="H593" s="3" t="s">
        <v>19</v>
      </c>
      <c r="I593" t="s">
        <v>2487</v>
      </c>
      <c r="J593" s="3" t="s">
        <v>1770</v>
      </c>
      <c r="K593" t="s">
        <v>6006</v>
      </c>
      <c r="L593" s="3" t="s">
        <v>6051</v>
      </c>
      <c r="M593" t="s">
        <v>6057</v>
      </c>
      <c r="N593" s="8">
        <v>8.1642999999999993E-2</v>
      </c>
    </row>
    <row r="594" spans="1:14" hidden="1" x14ac:dyDescent="0.55000000000000004">
      <c r="A594" s="3" t="s">
        <v>2457</v>
      </c>
      <c r="B594" s="3" t="s">
        <v>2482</v>
      </c>
      <c r="C594" t="s">
        <v>2482</v>
      </c>
      <c r="D594" s="3" t="s">
        <v>7312</v>
      </c>
      <c r="E594" t="s">
        <v>2491</v>
      </c>
      <c r="F594" s="3" t="s">
        <v>2492</v>
      </c>
      <c r="G594" s="10">
        <v>1</v>
      </c>
      <c r="H594" s="3" t="s">
        <v>24</v>
      </c>
      <c r="I594" t="s">
        <v>2490</v>
      </c>
      <c r="J594" s="3" t="s">
        <v>40</v>
      </c>
      <c r="K594" t="s">
        <v>23</v>
      </c>
      <c r="L594" s="3" t="s">
        <v>5835</v>
      </c>
      <c r="M594" t="s">
        <v>23</v>
      </c>
      <c r="N594" s="8">
        <v>0.181175</v>
      </c>
    </row>
    <row r="595" spans="1:14" hidden="1" x14ac:dyDescent="0.55000000000000004">
      <c r="A595" s="3" t="s">
        <v>2457</v>
      </c>
      <c r="B595" s="3" t="s">
        <v>2493</v>
      </c>
      <c r="C595" t="s">
        <v>2493</v>
      </c>
      <c r="D595" s="3" t="s">
        <v>7312</v>
      </c>
      <c r="E595" t="s">
        <v>2494</v>
      </c>
      <c r="F595" s="3" t="s">
        <v>2495</v>
      </c>
      <c r="G595" s="10">
        <v>1</v>
      </c>
      <c r="H595" s="3" t="s">
        <v>19</v>
      </c>
      <c r="I595" t="s">
        <v>2473</v>
      </c>
      <c r="J595" s="3" t="s">
        <v>2474</v>
      </c>
      <c r="K595" t="s">
        <v>6052</v>
      </c>
      <c r="L595" s="3" t="s">
        <v>5998</v>
      </c>
      <c r="M595" t="s">
        <v>6053</v>
      </c>
      <c r="N595" s="8">
        <v>2.2190000000000001E-2</v>
      </c>
    </row>
    <row r="596" spans="1:14" hidden="1" x14ac:dyDescent="0.55000000000000004">
      <c r="A596" s="3" t="s">
        <v>2457</v>
      </c>
      <c r="B596" s="3" t="s">
        <v>2493</v>
      </c>
      <c r="C596" t="s">
        <v>2493</v>
      </c>
      <c r="D596" s="3" t="s">
        <v>7312</v>
      </c>
      <c r="E596" t="s">
        <v>2494</v>
      </c>
      <c r="F596" s="3" t="s">
        <v>2495</v>
      </c>
      <c r="G596" s="10">
        <v>1</v>
      </c>
      <c r="H596" s="3" t="s">
        <v>19</v>
      </c>
      <c r="I596" t="s">
        <v>2473</v>
      </c>
      <c r="J596" s="3" t="s">
        <v>2474</v>
      </c>
      <c r="K596" t="s">
        <v>6052</v>
      </c>
      <c r="L596" s="3" t="s">
        <v>6051</v>
      </c>
      <c r="M596" t="s">
        <v>6053</v>
      </c>
      <c r="N596" s="8">
        <v>2.2190000000000001E-2</v>
      </c>
    </row>
    <row r="597" spans="1:14" hidden="1" x14ac:dyDescent="0.55000000000000004">
      <c r="A597" s="3" t="s">
        <v>2457</v>
      </c>
      <c r="B597" s="3" t="s">
        <v>2493</v>
      </c>
      <c r="C597" t="s">
        <v>2493</v>
      </c>
      <c r="D597" s="3" t="s">
        <v>7312</v>
      </c>
      <c r="E597" t="s">
        <v>2494</v>
      </c>
      <c r="F597" s="3" t="s">
        <v>2495</v>
      </c>
      <c r="G597" s="10">
        <v>1</v>
      </c>
      <c r="H597" s="3" t="s">
        <v>19</v>
      </c>
      <c r="I597" t="s">
        <v>2498</v>
      </c>
      <c r="J597" s="3" t="s">
        <v>2476</v>
      </c>
      <c r="K597" t="s">
        <v>6054</v>
      </c>
      <c r="L597" s="3" t="s">
        <v>6055</v>
      </c>
      <c r="M597" t="s">
        <v>6058</v>
      </c>
      <c r="N597" s="8">
        <v>1.0378999999999999E-2</v>
      </c>
    </row>
    <row r="598" spans="1:14" hidden="1" x14ac:dyDescent="0.55000000000000004">
      <c r="A598" s="3" t="s">
        <v>2457</v>
      </c>
      <c r="B598" s="3" t="s">
        <v>2493</v>
      </c>
      <c r="C598" t="s">
        <v>2493</v>
      </c>
      <c r="D598" s="3" t="s">
        <v>7312</v>
      </c>
      <c r="E598" t="s">
        <v>2494</v>
      </c>
      <c r="F598" s="3" t="s">
        <v>2495</v>
      </c>
      <c r="G598" s="10">
        <v>1</v>
      </c>
      <c r="H598" s="3" t="s">
        <v>24</v>
      </c>
      <c r="I598" t="s">
        <v>2501</v>
      </c>
      <c r="J598" s="3" t="s">
        <v>40</v>
      </c>
      <c r="K598" t="s">
        <v>23</v>
      </c>
      <c r="L598" s="3" t="s">
        <v>5835</v>
      </c>
      <c r="M598" t="s">
        <v>23</v>
      </c>
      <c r="N598" s="8">
        <v>0.179645</v>
      </c>
    </row>
    <row r="599" spans="1:14" hidden="1" x14ac:dyDescent="0.55000000000000004">
      <c r="A599" s="3" t="s">
        <v>2457</v>
      </c>
      <c r="B599" s="3" t="s">
        <v>2502</v>
      </c>
      <c r="C599" t="s">
        <v>2502</v>
      </c>
      <c r="D599" s="3" t="s">
        <v>7312</v>
      </c>
      <c r="E599" t="s">
        <v>2503</v>
      </c>
      <c r="F599" s="3" t="s">
        <v>2504</v>
      </c>
      <c r="G599" s="10">
        <v>1</v>
      </c>
      <c r="H599" s="3" t="s">
        <v>19</v>
      </c>
      <c r="I599" t="s">
        <v>2507</v>
      </c>
      <c r="J599" s="3" t="s">
        <v>2474</v>
      </c>
      <c r="K599" t="s">
        <v>6052</v>
      </c>
      <c r="L599" s="3" t="s">
        <v>5998</v>
      </c>
      <c r="M599" t="s">
        <v>6059</v>
      </c>
      <c r="N599" s="8">
        <v>4.3476000000000001E-2</v>
      </c>
    </row>
    <row r="600" spans="1:14" hidden="1" x14ac:dyDescent="0.55000000000000004">
      <c r="A600" s="3" t="s">
        <v>2457</v>
      </c>
      <c r="B600" s="3" t="s">
        <v>2502</v>
      </c>
      <c r="C600" t="s">
        <v>2502</v>
      </c>
      <c r="D600" s="3" t="s">
        <v>7312</v>
      </c>
      <c r="E600" t="s">
        <v>2503</v>
      </c>
      <c r="F600" s="3" t="s">
        <v>2504</v>
      </c>
      <c r="G600" s="10">
        <v>1</v>
      </c>
      <c r="H600" s="3" t="s">
        <v>19</v>
      </c>
      <c r="I600" t="s">
        <v>2507</v>
      </c>
      <c r="J600" s="3" t="s">
        <v>2474</v>
      </c>
      <c r="K600" t="s">
        <v>6052</v>
      </c>
      <c r="L600" s="3" t="s">
        <v>6051</v>
      </c>
      <c r="M600" t="s">
        <v>6059</v>
      </c>
      <c r="N600" s="8">
        <v>4.3476000000000001E-2</v>
      </c>
    </row>
    <row r="601" spans="1:14" hidden="1" x14ac:dyDescent="0.55000000000000004">
      <c r="A601" s="3" t="s">
        <v>2457</v>
      </c>
      <c r="B601" s="3" t="s">
        <v>2502</v>
      </c>
      <c r="C601" t="s">
        <v>2502</v>
      </c>
      <c r="D601" s="3" t="s">
        <v>7312</v>
      </c>
      <c r="E601" t="s">
        <v>2511</v>
      </c>
      <c r="F601" s="3" t="s">
        <v>2512</v>
      </c>
      <c r="G601" s="10">
        <v>0</v>
      </c>
      <c r="H601" s="3" t="s">
        <v>19</v>
      </c>
      <c r="I601" t="s">
        <v>2507</v>
      </c>
      <c r="J601" s="3" t="s">
        <v>2474</v>
      </c>
      <c r="K601" t="s">
        <v>6052</v>
      </c>
      <c r="L601" s="3" t="s">
        <v>5998</v>
      </c>
      <c r="M601" t="s">
        <v>6059</v>
      </c>
      <c r="N601" s="8">
        <v>4.3476000000000001E-2</v>
      </c>
    </row>
    <row r="602" spans="1:14" hidden="1" x14ac:dyDescent="0.55000000000000004">
      <c r="A602" s="3" t="s">
        <v>2457</v>
      </c>
      <c r="B602" s="3" t="s">
        <v>2502</v>
      </c>
      <c r="C602" t="s">
        <v>2502</v>
      </c>
      <c r="D602" s="3" t="s">
        <v>7312</v>
      </c>
      <c r="E602" t="s">
        <v>2511</v>
      </c>
      <c r="F602" s="3" t="s">
        <v>2512</v>
      </c>
      <c r="G602" s="10">
        <v>0</v>
      </c>
      <c r="H602" s="3" t="s">
        <v>19</v>
      </c>
      <c r="I602" t="s">
        <v>2507</v>
      </c>
      <c r="J602" s="3" t="s">
        <v>2474</v>
      </c>
      <c r="K602" t="s">
        <v>6052</v>
      </c>
      <c r="L602" s="3" t="s">
        <v>6051</v>
      </c>
      <c r="M602" t="s">
        <v>6059</v>
      </c>
      <c r="N602" s="8">
        <v>4.3476000000000001E-2</v>
      </c>
    </row>
    <row r="603" spans="1:14" hidden="1" x14ac:dyDescent="0.55000000000000004">
      <c r="A603" s="3" t="s">
        <v>2457</v>
      </c>
      <c r="B603" s="3" t="s">
        <v>2513</v>
      </c>
      <c r="C603" t="s">
        <v>2513</v>
      </c>
      <c r="D603" s="3" t="s">
        <v>7312</v>
      </c>
      <c r="E603" t="s">
        <v>2514</v>
      </c>
      <c r="F603" s="3" t="s">
        <v>2515</v>
      </c>
      <c r="G603" s="10">
        <v>1</v>
      </c>
      <c r="H603" s="3" t="s">
        <v>19</v>
      </c>
      <c r="I603" t="s">
        <v>2518</v>
      </c>
      <c r="J603" s="3" t="s">
        <v>2476</v>
      </c>
      <c r="K603" t="s">
        <v>6054</v>
      </c>
      <c r="L603" s="3" t="s">
        <v>5998</v>
      </c>
      <c r="M603" t="s">
        <v>6060</v>
      </c>
      <c r="N603" s="8">
        <v>3.6464000000000003E-2</v>
      </c>
    </row>
    <row r="604" spans="1:14" hidden="1" x14ac:dyDescent="0.55000000000000004">
      <c r="A604" s="3" t="s">
        <v>2457</v>
      </c>
      <c r="B604" s="3" t="s">
        <v>2513</v>
      </c>
      <c r="C604" t="s">
        <v>2513</v>
      </c>
      <c r="D604" s="3" t="s">
        <v>7312</v>
      </c>
      <c r="E604" t="s">
        <v>2514</v>
      </c>
      <c r="F604" s="3" t="s">
        <v>2515</v>
      </c>
      <c r="G604" s="10">
        <v>1</v>
      </c>
      <c r="H604" s="3" t="s">
        <v>19</v>
      </c>
      <c r="I604" t="s">
        <v>2518</v>
      </c>
      <c r="J604" s="3" t="s">
        <v>2476</v>
      </c>
      <c r="K604" t="s">
        <v>6054</v>
      </c>
      <c r="L604" s="3" t="s">
        <v>6051</v>
      </c>
      <c r="M604" t="s">
        <v>6060</v>
      </c>
      <c r="N604" s="8">
        <v>3.6464000000000003E-2</v>
      </c>
    </row>
    <row r="605" spans="1:14" hidden="1" x14ac:dyDescent="0.55000000000000004">
      <c r="A605" s="3" t="s">
        <v>2457</v>
      </c>
      <c r="B605" s="3" t="s">
        <v>2513</v>
      </c>
      <c r="C605" t="s">
        <v>2513</v>
      </c>
      <c r="D605" s="3" t="s">
        <v>7312</v>
      </c>
      <c r="E605" t="s">
        <v>2514</v>
      </c>
      <c r="F605" s="3" t="s">
        <v>2515</v>
      </c>
      <c r="G605" s="10">
        <v>1</v>
      </c>
      <c r="H605" s="3" t="s">
        <v>19</v>
      </c>
      <c r="I605" t="s">
        <v>2519</v>
      </c>
      <c r="J605" s="3" t="s">
        <v>2476</v>
      </c>
      <c r="K605" t="s">
        <v>6054</v>
      </c>
      <c r="L605" s="3" t="s">
        <v>6061</v>
      </c>
      <c r="M605" t="s">
        <v>6062</v>
      </c>
      <c r="N605" s="8">
        <v>6.8329999999999997E-3</v>
      </c>
    </row>
    <row r="606" spans="1:14" hidden="1" x14ac:dyDescent="0.55000000000000004">
      <c r="A606" s="3" t="s">
        <v>2457</v>
      </c>
      <c r="B606" s="3" t="s">
        <v>2513</v>
      </c>
      <c r="C606" t="s">
        <v>2513</v>
      </c>
      <c r="D606" s="3" t="s">
        <v>7312</v>
      </c>
      <c r="E606" t="s">
        <v>2514</v>
      </c>
      <c r="F606" s="3" t="s">
        <v>2515</v>
      </c>
      <c r="G606" s="10">
        <v>1</v>
      </c>
      <c r="H606" s="3" t="s">
        <v>24</v>
      </c>
      <c r="I606" t="s">
        <v>2522</v>
      </c>
      <c r="J606" s="3" t="s">
        <v>40</v>
      </c>
      <c r="K606" t="s">
        <v>23</v>
      </c>
      <c r="L606" s="3" t="s">
        <v>5835</v>
      </c>
      <c r="M606" t="s">
        <v>23</v>
      </c>
      <c r="N606" s="8">
        <v>0.18054400000000001</v>
      </c>
    </row>
    <row r="607" spans="1:14" hidden="1" x14ac:dyDescent="0.55000000000000004">
      <c r="A607" s="3" t="s">
        <v>2457</v>
      </c>
      <c r="B607" s="3" t="s">
        <v>2526</v>
      </c>
      <c r="C607" t="s">
        <v>2526</v>
      </c>
      <c r="D607" s="3" t="s">
        <v>7312</v>
      </c>
      <c r="E607" t="s">
        <v>2527</v>
      </c>
      <c r="F607" s="3" t="s">
        <v>2528</v>
      </c>
      <c r="G607" s="10">
        <v>1</v>
      </c>
      <c r="H607" s="3" t="s">
        <v>19</v>
      </c>
      <c r="I607" t="s">
        <v>2531</v>
      </c>
      <c r="J607" s="3" t="s">
        <v>2476</v>
      </c>
      <c r="K607" t="s">
        <v>6054</v>
      </c>
      <c r="L607" s="3" t="s">
        <v>5998</v>
      </c>
      <c r="M607" t="s">
        <v>6063</v>
      </c>
      <c r="N607" s="8">
        <v>2.2752000000000001E-2</v>
      </c>
    </row>
    <row r="608" spans="1:14" hidden="1" x14ac:dyDescent="0.55000000000000004">
      <c r="A608" s="3" t="s">
        <v>2457</v>
      </c>
      <c r="B608" s="3" t="s">
        <v>2526</v>
      </c>
      <c r="C608" t="s">
        <v>2526</v>
      </c>
      <c r="D608" s="3" t="s">
        <v>7312</v>
      </c>
      <c r="E608" t="s">
        <v>2527</v>
      </c>
      <c r="F608" s="3" t="s">
        <v>2528</v>
      </c>
      <c r="G608" s="10">
        <v>1</v>
      </c>
      <c r="H608" s="3" t="s">
        <v>19</v>
      </c>
      <c r="I608" t="s">
        <v>2531</v>
      </c>
      <c r="J608" s="3" t="s">
        <v>2476</v>
      </c>
      <c r="K608" t="s">
        <v>6054</v>
      </c>
      <c r="L608" s="3" t="s">
        <v>6051</v>
      </c>
      <c r="M608" t="s">
        <v>6063</v>
      </c>
      <c r="N608" s="8">
        <v>2.2752000000000001E-2</v>
      </c>
    </row>
    <row r="609" spans="1:14" hidden="1" x14ac:dyDescent="0.55000000000000004">
      <c r="A609" s="3" t="s">
        <v>2457</v>
      </c>
      <c r="B609" s="3" t="s">
        <v>2535</v>
      </c>
      <c r="C609" t="s">
        <v>2535</v>
      </c>
      <c r="D609" s="3" t="s">
        <v>7312</v>
      </c>
      <c r="E609" t="s">
        <v>2536</v>
      </c>
      <c r="F609" s="3" t="s">
        <v>2537</v>
      </c>
      <c r="G609" s="10">
        <v>0</v>
      </c>
      <c r="H609" s="3" t="s">
        <v>24</v>
      </c>
      <c r="I609" t="s">
        <v>2540</v>
      </c>
      <c r="J609" s="3" t="s">
        <v>40</v>
      </c>
      <c r="K609" t="s">
        <v>23</v>
      </c>
      <c r="L609" s="3" t="s">
        <v>5835</v>
      </c>
      <c r="M609" t="s">
        <v>23</v>
      </c>
      <c r="N609" s="8">
        <v>0.179872</v>
      </c>
    </row>
    <row r="610" spans="1:14" hidden="1" x14ac:dyDescent="0.55000000000000004">
      <c r="A610" s="3" t="s">
        <v>2457</v>
      </c>
      <c r="B610" s="3" t="s">
        <v>2541</v>
      </c>
      <c r="C610" t="s">
        <v>2502</v>
      </c>
      <c r="D610" s="3" t="s">
        <v>7312</v>
      </c>
      <c r="E610" t="s">
        <v>2542</v>
      </c>
      <c r="F610" s="3" t="s">
        <v>2543</v>
      </c>
      <c r="G610" s="10">
        <v>1</v>
      </c>
      <c r="H610" s="3" t="s">
        <v>19</v>
      </c>
      <c r="I610" t="s">
        <v>2546</v>
      </c>
      <c r="J610" s="3" t="s">
        <v>1803</v>
      </c>
      <c r="K610" t="s">
        <v>6008</v>
      </c>
      <c r="L610" s="3" t="s">
        <v>6009</v>
      </c>
      <c r="M610" t="s">
        <v>6064</v>
      </c>
      <c r="N610" s="8">
        <v>4.3916999999999998E-2</v>
      </c>
    </row>
    <row r="611" spans="1:14" hidden="1" x14ac:dyDescent="0.55000000000000004">
      <c r="A611" s="3" t="s">
        <v>2457</v>
      </c>
      <c r="B611" s="3" t="s">
        <v>2541</v>
      </c>
      <c r="C611" t="s">
        <v>2502</v>
      </c>
      <c r="D611" s="3" t="s">
        <v>7312</v>
      </c>
      <c r="E611" t="s">
        <v>2542</v>
      </c>
      <c r="F611" s="3" t="s">
        <v>2543</v>
      </c>
      <c r="G611" s="10">
        <v>1</v>
      </c>
      <c r="H611" s="3" t="s">
        <v>24</v>
      </c>
      <c r="I611" t="s">
        <v>2510</v>
      </c>
      <c r="J611" s="3" t="s">
        <v>138</v>
      </c>
      <c r="K611" t="s">
        <v>23</v>
      </c>
      <c r="L611" s="3" t="s">
        <v>5837</v>
      </c>
      <c r="M611" t="s">
        <v>6065</v>
      </c>
      <c r="N611" s="8">
        <v>0.18227299999999999</v>
      </c>
    </row>
    <row r="612" spans="1:14" hidden="1" x14ac:dyDescent="0.55000000000000004">
      <c r="A612" s="3" t="s">
        <v>2457</v>
      </c>
      <c r="B612" s="3" t="s">
        <v>1796</v>
      </c>
      <c r="C612" t="s">
        <v>1796</v>
      </c>
      <c r="D612" s="3" t="s">
        <v>7312</v>
      </c>
      <c r="E612" t="s">
        <v>2547</v>
      </c>
      <c r="F612" s="3" t="s">
        <v>2548</v>
      </c>
      <c r="G612" s="10">
        <v>0</v>
      </c>
      <c r="H612" s="3" t="s">
        <v>19</v>
      </c>
      <c r="I612" t="s">
        <v>2473</v>
      </c>
      <c r="J612" s="3" t="s">
        <v>2474</v>
      </c>
      <c r="K612" t="s">
        <v>6052</v>
      </c>
      <c r="L612" s="3" t="s">
        <v>5998</v>
      </c>
      <c r="M612" t="s">
        <v>6053</v>
      </c>
      <c r="N612" s="8">
        <v>2.2190000000000001E-2</v>
      </c>
    </row>
    <row r="613" spans="1:14" hidden="1" x14ac:dyDescent="0.55000000000000004">
      <c r="A613" s="3" t="s">
        <v>2457</v>
      </c>
      <c r="B613" s="3" t="s">
        <v>1796</v>
      </c>
      <c r="C613" t="s">
        <v>1796</v>
      </c>
      <c r="D613" s="3" t="s">
        <v>7312</v>
      </c>
      <c r="E613" t="s">
        <v>2547</v>
      </c>
      <c r="F613" s="3" t="s">
        <v>2548</v>
      </c>
      <c r="G613" s="10">
        <v>0</v>
      </c>
      <c r="H613" s="3" t="s">
        <v>19</v>
      </c>
      <c r="I613" t="s">
        <v>2473</v>
      </c>
      <c r="J613" s="3" t="s">
        <v>2474</v>
      </c>
      <c r="K613" t="s">
        <v>6052</v>
      </c>
      <c r="L613" s="3" t="s">
        <v>6051</v>
      </c>
      <c r="M613" t="s">
        <v>6053</v>
      </c>
      <c r="N613" s="8">
        <v>2.2190000000000001E-2</v>
      </c>
    </row>
    <row r="614" spans="1:14" hidden="1" x14ac:dyDescent="0.55000000000000004">
      <c r="A614" s="3" t="s">
        <v>2457</v>
      </c>
      <c r="B614" s="3" t="s">
        <v>1796</v>
      </c>
      <c r="C614" t="s">
        <v>1796</v>
      </c>
      <c r="D614" s="3" t="s">
        <v>7312</v>
      </c>
      <c r="E614" t="s">
        <v>2551</v>
      </c>
      <c r="F614" s="3" t="s">
        <v>2552</v>
      </c>
      <c r="G614" s="10">
        <v>0</v>
      </c>
      <c r="H614" s="3" t="s">
        <v>19</v>
      </c>
      <c r="I614" t="s">
        <v>2473</v>
      </c>
      <c r="J614" s="3" t="s">
        <v>2474</v>
      </c>
      <c r="K614" t="s">
        <v>6052</v>
      </c>
      <c r="L614" s="3" t="s">
        <v>5998</v>
      </c>
      <c r="M614" t="s">
        <v>6053</v>
      </c>
      <c r="N614" s="8">
        <v>2.2190000000000001E-2</v>
      </c>
    </row>
    <row r="615" spans="1:14" hidden="1" x14ac:dyDescent="0.55000000000000004">
      <c r="A615" s="3" t="s">
        <v>2457</v>
      </c>
      <c r="B615" s="3" t="s">
        <v>1796</v>
      </c>
      <c r="C615" t="s">
        <v>1796</v>
      </c>
      <c r="D615" s="3" t="s">
        <v>7312</v>
      </c>
      <c r="E615" t="s">
        <v>2551</v>
      </c>
      <c r="F615" s="3" t="s">
        <v>2552</v>
      </c>
      <c r="G615" s="10">
        <v>0</v>
      </c>
      <c r="H615" s="3" t="s">
        <v>19</v>
      </c>
      <c r="I615" t="s">
        <v>2473</v>
      </c>
      <c r="J615" s="3" t="s">
        <v>2474</v>
      </c>
      <c r="K615" t="s">
        <v>6052</v>
      </c>
      <c r="L615" s="3" t="s">
        <v>6051</v>
      </c>
      <c r="M615" t="s">
        <v>6053</v>
      </c>
      <c r="N615" s="8">
        <v>2.2190000000000001E-2</v>
      </c>
    </row>
    <row r="616" spans="1:14" hidden="1" x14ac:dyDescent="0.55000000000000004">
      <c r="A616" s="3" t="s">
        <v>2457</v>
      </c>
      <c r="B616" s="3" t="s">
        <v>1796</v>
      </c>
      <c r="C616" t="s">
        <v>1796</v>
      </c>
      <c r="D616" s="3" t="s">
        <v>7312</v>
      </c>
      <c r="E616" t="s">
        <v>2553</v>
      </c>
      <c r="F616" s="3" t="s">
        <v>2554</v>
      </c>
      <c r="G616" s="10">
        <v>0</v>
      </c>
      <c r="H616" s="3" t="s">
        <v>19</v>
      </c>
      <c r="I616" t="s">
        <v>2473</v>
      </c>
      <c r="J616" s="3" t="s">
        <v>2474</v>
      </c>
      <c r="K616" t="s">
        <v>6052</v>
      </c>
      <c r="L616" s="3" t="s">
        <v>5998</v>
      </c>
      <c r="M616" t="s">
        <v>6053</v>
      </c>
      <c r="N616" s="8">
        <v>2.2190000000000001E-2</v>
      </c>
    </row>
    <row r="617" spans="1:14" hidden="1" x14ac:dyDescent="0.55000000000000004">
      <c r="A617" s="3" t="s">
        <v>2457</v>
      </c>
      <c r="B617" s="3" t="s">
        <v>1796</v>
      </c>
      <c r="C617" t="s">
        <v>1796</v>
      </c>
      <c r="D617" s="3" t="s">
        <v>7312</v>
      </c>
      <c r="E617" t="s">
        <v>2553</v>
      </c>
      <c r="F617" s="3" t="s">
        <v>2554</v>
      </c>
      <c r="G617" s="10">
        <v>0</v>
      </c>
      <c r="H617" s="3" t="s">
        <v>19</v>
      </c>
      <c r="I617" t="s">
        <v>2473</v>
      </c>
      <c r="J617" s="3" t="s">
        <v>2474</v>
      </c>
      <c r="K617" t="s">
        <v>6052</v>
      </c>
      <c r="L617" s="3" t="s">
        <v>6051</v>
      </c>
      <c r="M617" t="s">
        <v>6053</v>
      </c>
      <c r="N617" s="8">
        <v>2.2190000000000001E-2</v>
      </c>
    </row>
    <row r="618" spans="1:14" hidden="1" x14ac:dyDescent="0.55000000000000004">
      <c r="A618" s="3" t="s">
        <v>2457</v>
      </c>
      <c r="B618" s="3" t="s">
        <v>1796</v>
      </c>
      <c r="C618" t="s">
        <v>1796</v>
      </c>
      <c r="D618" s="3" t="s">
        <v>7312</v>
      </c>
      <c r="E618" t="s">
        <v>2555</v>
      </c>
      <c r="F618" s="3" t="s">
        <v>2556</v>
      </c>
      <c r="G618" s="10">
        <v>0</v>
      </c>
      <c r="H618" s="3" t="s">
        <v>19</v>
      </c>
      <c r="I618" t="s">
        <v>2473</v>
      </c>
      <c r="J618" s="3" t="s">
        <v>2474</v>
      </c>
      <c r="K618" t="s">
        <v>6052</v>
      </c>
      <c r="L618" s="3" t="s">
        <v>5998</v>
      </c>
      <c r="M618" t="s">
        <v>6053</v>
      </c>
      <c r="N618" s="8">
        <v>2.2190000000000001E-2</v>
      </c>
    </row>
    <row r="619" spans="1:14" hidden="1" x14ac:dyDescent="0.55000000000000004">
      <c r="A619" s="3" t="s">
        <v>2457</v>
      </c>
      <c r="B619" s="3" t="s">
        <v>1796</v>
      </c>
      <c r="C619" t="s">
        <v>1796</v>
      </c>
      <c r="D619" s="3" t="s">
        <v>7312</v>
      </c>
      <c r="E619" t="s">
        <v>2555</v>
      </c>
      <c r="F619" s="3" t="s">
        <v>2556</v>
      </c>
      <c r="G619" s="10">
        <v>0</v>
      </c>
      <c r="H619" s="3" t="s">
        <v>19</v>
      </c>
      <c r="I619" t="s">
        <v>2473</v>
      </c>
      <c r="J619" s="3" t="s">
        <v>2474</v>
      </c>
      <c r="K619" t="s">
        <v>6052</v>
      </c>
      <c r="L619" s="3" t="s">
        <v>6051</v>
      </c>
      <c r="M619" t="s">
        <v>6053</v>
      </c>
      <c r="N619" s="8">
        <v>2.2190000000000001E-2</v>
      </c>
    </row>
    <row r="620" spans="1:14" hidden="1" x14ac:dyDescent="0.55000000000000004">
      <c r="A620" s="3" t="s">
        <v>2457</v>
      </c>
      <c r="B620" s="3" t="s">
        <v>1796</v>
      </c>
      <c r="C620" t="s">
        <v>1796</v>
      </c>
      <c r="D620" s="3" t="s">
        <v>7312</v>
      </c>
      <c r="E620" t="s">
        <v>2557</v>
      </c>
      <c r="F620" s="3" t="s">
        <v>2558</v>
      </c>
      <c r="G620" s="10">
        <v>1</v>
      </c>
      <c r="H620" s="3" t="s">
        <v>19</v>
      </c>
      <c r="I620" t="s">
        <v>2473</v>
      </c>
      <c r="J620" s="3" t="s">
        <v>2474</v>
      </c>
      <c r="K620" t="s">
        <v>6052</v>
      </c>
      <c r="L620" s="3" t="s">
        <v>5998</v>
      </c>
      <c r="M620" t="s">
        <v>6053</v>
      </c>
      <c r="N620" s="8">
        <v>2.2190000000000001E-2</v>
      </c>
    </row>
    <row r="621" spans="1:14" hidden="1" x14ac:dyDescent="0.55000000000000004">
      <c r="A621" s="3" t="s">
        <v>2457</v>
      </c>
      <c r="B621" s="3" t="s">
        <v>1796</v>
      </c>
      <c r="C621" t="s">
        <v>1796</v>
      </c>
      <c r="D621" s="3" t="s">
        <v>7312</v>
      </c>
      <c r="E621" t="s">
        <v>2557</v>
      </c>
      <c r="F621" s="3" t="s">
        <v>2558</v>
      </c>
      <c r="G621" s="10">
        <v>1</v>
      </c>
      <c r="H621" s="3" t="s">
        <v>19</v>
      </c>
      <c r="I621" t="s">
        <v>2473</v>
      </c>
      <c r="J621" s="3" t="s">
        <v>2474</v>
      </c>
      <c r="K621" t="s">
        <v>6052</v>
      </c>
      <c r="L621" s="3" t="s">
        <v>6051</v>
      </c>
      <c r="M621" t="s">
        <v>6053</v>
      </c>
      <c r="N621" s="8">
        <v>2.2190000000000001E-2</v>
      </c>
    </row>
    <row r="622" spans="1:14" hidden="1" x14ac:dyDescent="0.55000000000000004">
      <c r="A622" s="3" t="s">
        <v>2457</v>
      </c>
      <c r="B622" s="3" t="s">
        <v>2559</v>
      </c>
      <c r="C622" t="s">
        <v>2575</v>
      </c>
      <c r="D622" s="3" t="s">
        <v>7312</v>
      </c>
      <c r="E622" t="s">
        <v>2560</v>
      </c>
      <c r="F622" s="3" t="s">
        <v>2561</v>
      </c>
      <c r="G622" s="10">
        <v>1</v>
      </c>
      <c r="H622" s="3" t="s">
        <v>24</v>
      </c>
      <c r="I622" t="s">
        <v>2564</v>
      </c>
      <c r="J622" s="3" t="s">
        <v>40</v>
      </c>
      <c r="K622" t="s">
        <v>23</v>
      </c>
      <c r="L622" s="3" t="s">
        <v>5835</v>
      </c>
      <c r="M622" t="s">
        <v>23</v>
      </c>
      <c r="N622" s="8">
        <v>0.18118699999999999</v>
      </c>
    </row>
    <row r="623" spans="1:14" hidden="1" x14ac:dyDescent="0.55000000000000004">
      <c r="A623" s="3" t="s">
        <v>2457</v>
      </c>
      <c r="B623" s="3" t="s">
        <v>2565</v>
      </c>
      <c r="C623" t="s">
        <v>2482</v>
      </c>
      <c r="D623" s="3" t="s">
        <v>7312</v>
      </c>
      <c r="E623" t="s">
        <v>2566</v>
      </c>
      <c r="F623" s="3" t="s">
        <v>2567</v>
      </c>
      <c r="G623" s="10">
        <v>1</v>
      </c>
      <c r="H623" s="3" t="s">
        <v>19</v>
      </c>
      <c r="I623" t="s">
        <v>2570</v>
      </c>
      <c r="J623" s="3" t="s">
        <v>1770</v>
      </c>
      <c r="K623" t="s">
        <v>6006</v>
      </c>
      <c r="L623" s="3" t="s">
        <v>5998</v>
      </c>
      <c r="M623" t="s">
        <v>6066</v>
      </c>
      <c r="N623" s="8">
        <v>9.3324000000000004E-2</v>
      </c>
    </row>
    <row r="624" spans="1:14" hidden="1" x14ac:dyDescent="0.55000000000000004">
      <c r="A624" s="3" t="s">
        <v>2457</v>
      </c>
      <c r="B624" s="3" t="s">
        <v>2565</v>
      </c>
      <c r="C624" t="s">
        <v>2482</v>
      </c>
      <c r="D624" s="3" t="s">
        <v>7312</v>
      </c>
      <c r="E624" t="s">
        <v>2566</v>
      </c>
      <c r="F624" s="3" t="s">
        <v>2567</v>
      </c>
      <c r="G624" s="10">
        <v>1</v>
      </c>
      <c r="H624" s="3" t="s">
        <v>19</v>
      </c>
      <c r="I624" t="s">
        <v>2570</v>
      </c>
      <c r="J624" s="3" t="s">
        <v>1770</v>
      </c>
      <c r="K624" t="s">
        <v>6006</v>
      </c>
      <c r="L624" s="3" t="s">
        <v>6051</v>
      </c>
      <c r="M624" t="s">
        <v>6066</v>
      </c>
      <c r="N624" s="8">
        <v>9.3324000000000004E-2</v>
      </c>
    </row>
    <row r="625" spans="1:14" hidden="1" x14ac:dyDescent="0.55000000000000004">
      <c r="A625" s="3" t="s">
        <v>2457</v>
      </c>
      <c r="B625" s="3" t="s">
        <v>2565</v>
      </c>
      <c r="C625" t="s">
        <v>2482</v>
      </c>
      <c r="D625" s="3" t="s">
        <v>7312</v>
      </c>
      <c r="E625" t="s">
        <v>2566</v>
      </c>
      <c r="F625" s="3" t="s">
        <v>2567</v>
      </c>
      <c r="G625" s="10">
        <v>1</v>
      </c>
      <c r="H625" s="3" t="s">
        <v>24</v>
      </c>
      <c r="I625" t="s">
        <v>2573</v>
      </c>
      <c r="J625" s="3" t="s">
        <v>40</v>
      </c>
      <c r="K625" t="s">
        <v>23</v>
      </c>
      <c r="L625" s="3" t="s">
        <v>5835</v>
      </c>
      <c r="M625" t="s">
        <v>23</v>
      </c>
      <c r="N625" s="8">
        <v>0.18087</v>
      </c>
    </row>
    <row r="626" spans="1:14" hidden="1" x14ac:dyDescent="0.55000000000000004">
      <c r="A626" s="3" t="s">
        <v>2457</v>
      </c>
      <c r="B626" s="3" t="s">
        <v>2574</v>
      </c>
      <c r="C626" t="s">
        <v>2575</v>
      </c>
      <c r="D626" s="3" t="s">
        <v>7312</v>
      </c>
      <c r="E626" t="s">
        <v>2576</v>
      </c>
      <c r="F626" s="3" t="s">
        <v>2577</v>
      </c>
      <c r="G626" s="10">
        <v>1</v>
      </c>
      <c r="H626" s="3" t="s">
        <v>19</v>
      </c>
      <c r="I626" t="s">
        <v>2580</v>
      </c>
      <c r="J626" s="3" t="s">
        <v>1803</v>
      </c>
      <c r="K626" t="s">
        <v>6008</v>
      </c>
      <c r="L626" s="3" t="s">
        <v>6009</v>
      </c>
      <c r="M626" t="s">
        <v>6067</v>
      </c>
      <c r="N626" s="8">
        <v>4.7924000000000001E-2</v>
      </c>
    </row>
    <row r="627" spans="1:14" hidden="1" x14ac:dyDescent="0.55000000000000004">
      <c r="A627" s="3" t="s">
        <v>2457</v>
      </c>
      <c r="B627" s="3" t="s">
        <v>2574</v>
      </c>
      <c r="C627" t="s">
        <v>2575</v>
      </c>
      <c r="D627" s="3" t="s">
        <v>7312</v>
      </c>
      <c r="E627" t="s">
        <v>2576</v>
      </c>
      <c r="F627" s="3" t="s">
        <v>2577</v>
      </c>
      <c r="G627" s="10">
        <v>1</v>
      </c>
      <c r="H627" s="3" t="s">
        <v>24</v>
      </c>
      <c r="I627" t="s">
        <v>2583</v>
      </c>
      <c r="J627" s="3" t="s">
        <v>46</v>
      </c>
      <c r="K627" t="s">
        <v>5836</v>
      </c>
      <c r="L627" s="3" t="s">
        <v>5837</v>
      </c>
      <c r="M627" t="s">
        <v>6068</v>
      </c>
      <c r="N627" s="8">
        <v>0.12640000000000001</v>
      </c>
    </row>
    <row r="628" spans="1:14" hidden="1" x14ac:dyDescent="0.55000000000000004">
      <c r="A628" s="3" t="s">
        <v>2457</v>
      </c>
      <c r="B628" s="3" t="s">
        <v>2575</v>
      </c>
      <c r="C628" t="s">
        <v>2575</v>
      </c>
      <c r="D628" s="3" t="s">
        <v>7312</v>
      </c>
      <c r="E628" t="s">
        <v>2586</v>
      </c>
      <c r="F628" s="3" t="s">
        <v>2587</v>
      </c>
      <c r="G628" s="10">
        <v>0</v>
      </c>
      <c r="H628" s="3" t="s">
        <v>19</v>
      </c>
      <c r="I628" t="s">
        <v>2590</v>
      </c>
      <c r="J628" s="3" t="s">
        <v>1770</v>
      </c>
      <c r="K628" t="s">
        <v>6006</v>
      </c>
      <c r="L628" s="3" t="s">
        <v>5998</v>
      </c>
      <c r="M628" t="s">
        <v>6069</v>
      </c>
      <c r="N628" s="8">
        <v>6.4264000000000002E-2</v>
      </c>
    </row>
    <row r="629" spans="1:14" hidden="1" x14ac:dyDescent="0.55000000000000004">
      <c r="A629" s="3" t="s">
        <v>2457</v>
      </c>
      <c r="B629" s="3" t="s">
        <v>2575</v>
      </c>
      <c r="C629" t="s">
        <v>2575</v>
      </c>
      <c r="D629" s="3" t="s">
        <v>7312</v>
      </c>
      <c r="E629" t="s">
        <v>2586</v>
      </c>
      <c r="F629" s="3" t="s">
        <v>2587</v>
      </c>
      <c r="G629" s="10">
        <v>0</v>
      </c>
      <c r="H629" s="3" t="s">
        <v>19</v>
      </c>
      <c r="I629" t="s">
        <v>2590</v>
      </c>
      <c r="J629" s="3" t="s">
        <v>1770</v>
      </c>
      <c r="K629" t="s">
        <v>6006</v>
      </c>
      <c r="L629" s="3" t="s">
        <v>6051</v>
      </c>
      <c r="M629" t="s">
        <v>6069</v>
      </c>
      <c r="N629" s="8">
        <v>6.4264000000000002E-2</v>
      </c>
    </row>
    <row r="630" spans="1:14" hidden="1" x14ac:dyDescent="0.55000000000000004">
      <c r="A630" s="3" t="s">
        <v>2457</v>
      </c>
      <c r="B630" s="3" t="s">
        <v>2575</v>
      </c>
      <c r="C630" t="s">
        <v>2575</v>
      </c>
      <c r="D630" s="3" t="s">
        <v>7312</v>
      </c>
      <c r="E630" t="s">
        <v>2586</v>
      </c>
      <c r="F630" s="3" t="s">
        <v>2587</v>
      </c>
      <c r="G630" s="10">
        <v>0</v>
      </c>
      <c r="H630" s="3" t="s">
        <v>24</v>
      </c>
      <c r="I630" t="s">
        <v>2583</v>
      </c>
      <c r="J630" s="3" t="s">
        <v>46</v>
      </c>
      <c r="K630" t="s">
        <v>5836</v>
      </c>
      <c r="L630" s="3" t="s">
        <v>5837</v>
      </c>
      <c r="M630" t="s">
        <v>6068</v>
      </c>
      <c r="N630" s="8">
        <v>0.12640000000000001</v>
      </c>
    </row>
    <row r="631" spans="1:14" hidden="1" x14ac:dyDescent="0.55000000000000004">
      <c r="A631" s="3" t="s">
        <v>2457</v>
      </c>
      <c r="B631" s="3" t="s">
        <v>2575</v>
      </c>
      <c r="C631" t="s">
        <v>2575</v>
      </c>
      <c r="D631" s="3" t="s">
        <v>7312</v>
      </c>
      <c r="E631" t="s">
        <v>2594</v>
      </c>
      <c r="F631" s="3" t="s">
        <v>2595</v>
      </c>
      <c r="G631" s="10">
        <v>0</v>
      </c>
      <c r="H631" s="3" t="s">
        <v>19</v>
      </c>
      <c r="I631" t="s">
        <v>2593</v>
      </c>
      <c r="J631" s="3" t="s">
        <v>1803</v>
      </c>
      <c r="K631" t="s">
        <v>6008</v>
      </c>
      <c r="L631" s="3" t="s">
        <v>6009</v>
      </c>
      <c r="M631" t="s">
        <v>6070</v>
      </c>
      <c r="N631" s="8">
        <v>4.7924000000000001E-2</v>
      </c>
    </row>
    <row r="632" spans="1:14" hidden="1" x14ac:dyDescent="0.55000000000000004">
      <c r="A632" s="3" t="s">
        <v>2457</v>
      </c>
      <c r="B632" s="3" t="s">
        <v>2575</v>
      </c>
      <c r="C632" t="s">
        <v>2575</v>
      </c>
      <c r="D632" s="3" t="s">
        <v>7312</v>
      </c>
      <c r="E632" t="s">
        <v>2594</v>
      </c>
      <c r="F632" s="3" t="s">
        <v>2595</v>
      </c>
      <c r="G632" s="10">
        <v>0</v>
      </c>
      <c r="H632" s="3" t="s">
        <v>24</v>
      </c>
      <c r="I632" t="s">
        <v>2583</v>
      </c>
      <c r="J632" s="3" t="s">
        <v>46</v>
      </c>
      <c r="K632" t="s">
        <v>5836</v>
      </c>
      <c r="L632" s="3" t="s">
        <v>5837</v>
      </c>
      <c r="M632" t="s">
        <v>6068</v>
      </c>
      <c r="N632" s="8">
        <v>0.12640000000000001</v>
      </c>
    </row>
    <row r="633" spans="1:14" hidden="1" x14ac:dyDescent="0.55000000000000004">
      <c r="A633" s="3" t="s">
        <v>2457</v>
      </c>
      <c r="B633" s="3" t="s">
        <v>2574</v>
      </c>
      <c r="C633" t="s">
        <v>2575</v>
      </c>
      <c r="D633" s="3" t="s">
        <v>7312</v>
      </c>
      <c r="E633" t="s">
        <v>2596</v>
      </c>
      <c r="F633" s="3" t="s">
        <v>2597</v>
      </c>
      <c r="G633" s="10">
        <v>0</v>
      </c>
      <c r="H633" s="3" t="s">
        <v>24</v>
      </c>
      <c r="I633" t="s">
        <v>2583</v>
      </c>
      <c r="J633" s="3" t="s">
        <v>46</v>
      </c>
      <c r="K633" t="s">
        <v>5836</v>
      </c>
      <c r="L633" s="3" t="s">
        <v>5837</v>
      </c>
      <c r="M633" t="s">
        <v>6068</v>
      </c>
      <c r="N633" s="8">
        <v>0.12640000000000001</v>
      </c>
    </row>
    <row r="634" spans="1:14" hidden="1" x14ac:dyDescent="0.55000000000000004">
      <c r="A634" s="3" t="s">
        <v>2457</v>
      </c>
      <c r="B634" s="3" t="s">
        <v>2598</v>
      </c>
      <c r="C634" t="s">
        <v>7355</v>
      </c>
      <c r="D634" s="3" t="s">
        <v>7312</v>
      </c>
      <c r="E634" t="s">
        <v>2599</v>
      </c>
      <c r="F634" s="3" t="s">
        <v>2600</v>
      </c>
      <c r="G634" s="10">
        <v>0</v>
      </c>
      <c r="H634" s="3" t="s">
        <v>24</v>
      </c>
      <c r="I634" t="s">
        <v>2603</v>
      </c>
      <c r="J634" s="3" t="s">
        <v>40</v>
      </c>
      <c r="K634" t="s">
        <v>23</v>
      </c>
      <c r="L634" s="3" t="s">
        <v>5835</v>
      </c>
      <c r="M634" t="s">
        <v>23</v>
      </c>
      <c r="N634" s="8">
        <v>0.18242</v>
      </c>
    </row>
    <row r="635" spans="1:14" hidden="1" x14ac:dyDescent="0.55000000000000004">
      <c r="A635" s="3" t="s">
        <v>2457</v>
      </c>
      <c r="B635" s="3" t="s">
        <v>2604</v>
      </c>
      <c r="C635" t="s">
        <v>2575</v>
      </c>
      <c r="D635" s="3" t="s">
        <v>7312</v>
      </c>
      <c r="E635" t="s">
        <v>2605</v>
      </c>
      <c r="F635" s="3" t="s">
        <v>2606</v>
      </c>
      <c r="G635" s="10">
        <v>1</v>
      </c>
      <c r="H635" s="3" t="s">
        <v>19</v>
      </c>
      <c r="I635" t="s">
        <v>2609</v>
      </c>
      <c r="J635" s="3" t="s">
        <v>1770</v>
      </c>
      <c r="K635" t="s">
        <v>6006</v>
      </c>
      <c r="L635" s="3" t="s">
        <v>5998</v>
      </c>
      <c r="M635" t="s">
        <v>6071</v>
      </c>
      <c r="N635" s="8">
        <v>6.4890000000000003E-2</v>
      </c>
    </row>
    <row r="636" spans="1:14" hidden="1" x14ac:dyDescent="0.55000000000000004">
      <c r="A636" s="3" t="s">
        <v>2457</v>
      </c>
      <c r="B636" s="3" t="s">
        <v>2604</v>
      </c>
      <c r="C636" t="s">
        <v>2575</v>
      </c>
      <c r="D636" s="3" t="s">
        <v>7312</v>
      </c>
      <c r="E636" t="s">
        <v>2605</v>
      </c>
      <c r="F636" s="3" t="s">
        <v>2606</v>
      </c>
      <c r="G636" s="10">
        <v>1</v>
      </c>
      <c r="H636" s="3" t="s">
        <v>19</v>
      </c>
      <c r="I636" t="s">
        <v>2609</v>
      </c>
      <c r="J636" s="3" t="s">
        <v>1770</v>
      </c>
      <c r="K636" t="s">
        <v>6006</v>
      </c>
      <c r="L636" s="3" t="s">
        <v>6051</v>
      </c>
      <c r="M636" t="s">
        <v>6071</v>
      </c>
      <c r="N636" s="8">
        <v>6.4890000000000003E-2</v>
      </c>
    </row>
    <row r="637" spans="1:14" hidden="1" x14ac:dyDescent="0.55000000000000004">
      <c r="A637" s="3" t="s">
        <v>2457</v>
      </c>
      <c r="B637" s="3" t="s">
        <v>2604</v>
      </c>
      <c r="C637" t="s">
        <v>2575</v>
      </c>
      <c r="D637" s="3" t="s">
        <v>7312</v>
      </c>
      <c r="E637" t="s">
        <v>2605</v>
      </c>
      <c r="F637" s="3" t="s">
        <v>2606</v>
      </c>
      <c r="G637" s="10">
        <v>1</v>
      </c>
      <c r="H637" s="3" t="s">
        <v>24</v>
      </c>
      <c r="I637" t="s">
        <v>2615</v>
      </c>
      <c r="J637" s="3" t="s">
        <v>46</v>
      </c>
      <c r="K637" t="s">
        <v>5836</v>
      </c>
      <c r="L637" s="3" t="s">
        <v>5837</v>
      </c>
      <c r="M637" t="s">
        <v>6068</v>
      </c>
      <c r="N637" s="8">
        <v>0.12640000000000001</v>
      </c>
    </row>
    <row r="638" spans="1:14" hidden="1" x14ac:dyDescent="0.55000000000000004">
      <c r="A638" s="3" t="s">
        <v>2457</v>
      </c>
      <c r="B638" s="3" t="s">
        <v>2604</v>
      </c>
      <c r="C638" t="s">
        <v>2575</v>
      </c>
      <c r="D638" s="3" t="s">
        <v>7312</v>
      </c>
      <c r="E638" t="s">
        <v>2618</v>
      </c>
      <c r="F638" s="3" t="s">
        <v>2619</v>
      </c>
      <c r="G638" s="10">
        <v>0</v>
      </c>
      <c r="H638" s="3" t="s">
        <v>24</v>
      </c>
      <c r="I638" t="s">
        <v>2615</v>
      </c>
      <c r="J638" s="3" t="s">
        <v>46</v>
      </c>
      <c r="K638" t="s">
        <v>5836</v>
      </c>
      <c r="L638" s="3" t="s">
        <v>5837</v>
      </c>
      <c r="M638" t="s">
        <v>6068</v>
      </c>
      <c r="N638" s="8">
        <v>0.12640000000000001</v>
      </c>
    </row>
    <row r="639" spans="1:14" hidden="1" x14ac:dyDescent="0.55000000000000004">
      <c r="A639" s="3" t="s">
        <v>2457</v>
      </c>
      <c r="B639" s="3" t="s">
        <v>2575</v>
      </c>
      <c r="C639" t="s">
        <v>2575</v>
      </c>
      <c r="D639" s="3" t="s">
        <v>7312</v>
      </c>
      <c r="E639" t="s">
        <v>2620</v>
      </c>
      <c r="F639" s="3" t="s">
        <v>2621</v>
      </c>
      <c r="G639" s="10">
        <v>1</v>
      </c>
      <c r="H639" s="3" t="s">
        <v>19</v>
      </c>
      <c r="I639" t="s">
        <v>2612</v>
      </c>
      <c r="J639" s="3" t="s">
        <v>1803</v>
      </c>
      <c r="K639" t="s">
        <v>6008</v>
      </c>
      <c r="L639" s="3" t="s">
        <v>6009</v>
      </c>
      <c r="M639" t="s">
        <v>6072</v>
      </c>
      <c r="N639" s="8">
        <v>4.7912000000000003E-2</v>
      </c>
    </row>
    <row r="640" spans="1:14" hidden="1" x14ac:dyDescent="0.55000000000000004">
      <c r="A640" s="3" t="s">
        <v>2457</v>
      </c>
      <c r="B640" s="3" t="s">
        <v>2575</v>
      </c>
      <c r="C640" t="s">
        <v>2575</v>
      </c>
      <c r="D640" s="3" t="s">
        <v>7312</v>
      </c>
      <c r="E640" t="s">
        <v>2620</v>
      </c>
      <c r="F640" s="3" t="s">
        <v>2621</v>
      </c>
      <c r="G640" s="10">
        <v>1</v>
      </c>
      <c r="H640" s="3" t="s">
        <v>24</v>
      </c>
      <c r="I640" t="s">
        <v>2624</v>
      </c>
      <c r="J640" s="3" t="s">
        <v>46</v>
      </c>
      <c r="K640" t="s">
        <v>5836</v>
      </c>
      <c r="L640" s="3" t="s">
        <v>5837</v>
      </c>
      <c r="M640" t="s">
        <v>6068</v>
      </c>
      <c r="N640" s="8">
        <v>0.12640000000000001</v>
      </c>
    </row>
    <row r="641" spans="1:14" hidden="1" x14ac:dyDescent="0.55000000000000004">
      <c r="A641" s="3" t="s">
        <v>2457</v>
      </c>
      <c r="B641" s="3" t="s">
        <v>2627</v>
      </c>
      <c r="C641" t="s">
        <v>2575</v>
      </c>
      <c r="D641" s="3" t="s">
        <v>7312</v>
      </c>
      <c r="E641" t="s">
        <v>2628</v>
      </c>
      <c r="F641" s="3" t="s">
        <v>2629</v>
      </c>
      <c r="G641" s="10">
        <v>1</v>
      </c>
      <c r="H641" s="3" t="s">
        <v>19</v>
      </c>
      <c r="I641" t="s">
        <v>2633</v>
      </c>
      <c r="J641" s="3" t="s">
        <v>2474</v>
      </c>
      <c r="K641" t="s">
        <v>6052</v>
      </c>
      <c r="L641" s="3" t="s">
        <v>5998</v>
      </c>
      <c r="M641" t="s">
        <v>6073</v>
      </c>
      <c r="N641" s="8">
        <v>6.0706999999999997E-2</v>
      </c>
    </row>
    <row r="642" spans="1:14" hidden="1" x14ac:dyDescent="0.55000000000000004">
      <c r="A642" s="3" t="s">
        <v>2457</v>
      </c>
      <c r="B642" s="3" t="s">
        <v>2627</v>
      </c>
      <c r="C642" t="s">
        <v>2575</v>
      </c>
      <c r="D642" s="3" t="s">
        <v>7312</v>
      </c>
      <c r="E642" t="s">
        <v>2628</v>
      </c>
      <c r="F642" s="3" t="s">
        <v>2629</v>
      </c>
      <c r="G642" s="10">
        <v>1</v>
      </c>
      <c r="H642" s="3" t="s">
        <v>19</v>
      </c>
      <c r="I642" t="s">
        <v>2633</v>
      </c>
      <c r="J642" s="3" t="s">
        <v>2474</v>
      </c>
      <c r="K642" t="s">
        <v>6052</v>
      </c>
      <c r="L642" s="3" t="s">
        <v>5998</v>
      </c>
      <c r="M642" t="s">
        <v>6074</v>
      </c>
      <c r="N642" s="8">
        <v>6.0706999999999997E-2</v>
      </c>
    </row>
    <row r="643" spans="1:14" hidden="1" x14ac:dyDescent="0.55000000000000004">
      <c r="A643" s="3" t="s">
        <v>2457</v>
      </c>
      <c r="B643" s="3" t="s">
        <v>2627</v>
      </c>
      <c r="C643" t="s">
        <v>2575</v>
      </c>
      <c r="D643" s="3" t="s">
        <v>7312</v>
      </c>
      <c r="E643" t="s">
        <v>2628</v>
      </c>
      <c r="F643" s="3" t="s">
        <v>2629</v>
      </c>
      <c r="G643" s="10">
        <v>1</v>
      </c>
      <c r="H643" s="3" t="s">
        <v>19</v>
      </c>
      <c r="I643" t="s">
        <v>2633</v>
      </c>
      <c r="J643" s="3" t="s">
        <v>2474</v>
      </c>
      <c r="K643" t="s">
        <v>6052</v>
      </c>
      <c r="L643" s="3" t="s">
        <v>6051</v>
      </c>
      <c r="M643" t="s">
        <v>6073</v>
      </c>
      <c r="N643" s="8">
        <v>6.0706999999999997E-2</v>
      </c>
    </row>
    <row r="644" spans="1:14" hidden="1" x14ac:dyDescent="0.55000000000000004">
      <c r="A644" s="3" t="s">
        <v>2457</v>
      </c>
      <c r="B644" s="3" t="s">
        <v>2627</v>
      </c>
      <c r="C644" t="s">
        <v>2575</v>
      </c>
      <c r="D644" s="3" t="s">
        <v>7312</v>
      </c>
      <c r="E644" t="s">
        <v>2628</v>
      </c>
      <c r="F644" s="3" t="s">
        <v>2629</v>
      </c>
      <c r="G644" s="10">
        <v>1</v>
      </c>
      <c r="H644" s="3" t="s">
        <v>19</v>
      </c>
      <c r="I644" t="s">
        <v>2633</v>
      </c>
      <c r="J644" s="3" t="s">
        <v>2474</v>
      </c>
      <c r="K644" t="s">
        <v>6052</v>
      </c>
      <c r="L644" s="3" t="s">
        <v>6051</v>
      </c>
      <c r="M644" t="s">
        <v>6074</v>
      </c>
      <c r="N644" s="8">
        <v>6.0706999999999997E-2</v>
      </c>
    </row>
    <row r="645" spans="1:14" hidden="1" x14ac:dyDescent="0.55000000000000004">
      <c r="A645" s="9" t="s">
        <v>2457</v>
      </c>
      <c r="B645" s="3" t="s">
        <v>2627</v>
      </c>
      <c r="C645" t="s">
        <v>2575</v>
      </c>
      <c r="D645" s="3" t="s">
        <v>7312</v>
      </c>
      <c r="E645" t="s">
        <v>2628</v>
      </c>
      <c r="F645" s="3" t="s">
        <v>2629</v>
      </c>
      <c r="G645" s="10">
        <v>1</v>
      </c>
      <c r="H645" s="3" t="s">
        <v>24</v>
      </c>
      <c r="I645" t="s">
        <v>2636</v>
      </c>
      <c r="J645" s="3" t="s">
        <v>40</v>
      </c>
      <c r="K645" t="s">
        <v>23</v>
      </c>
      <c r="L645" s="3" t="s">
        <v>5835</v>
      </c>
      <c r="M645" t="s">
        <v>23</v>
      </c>
      <c r="N645" s="8">
        <v>0.181308</v>
      </c>
    </row>
    <row r="646" spans="1:14" hidden="1" x14ac:dyDescent="0.55000000000000004">
      <c r="A646" s="3" t="s">
        <v>2640</v>
      </c>
      <c r="B646" s="3" t="s">
        <v>2641</v>
      </c>
      <c r="C646" t="s">
        <v>2641</v>
      </c>
      <c r="D646" s="3" t="s">
        <v>7312</v>
      </c>
      <c r="E646" t="s">
        <v>2642</v>
      </c>
      <c r="F646" s="3" t="s">
        <v>2643</v>
      </c>
      <c r="G646" s="10">
        <v>0</v>
      </c>
      <c r="H646" s="3" t="s">
        <v>19</v>
      </c>
      <c r="I646" t="s">
        <v>2658</v>
      </c>
      <c r="J646" s="3" t="s">
        <v>2654</v>
      </c>
      <c r="K646" t="s">
        <v>6075</v>
      </c>
      <c r="L646" s="3" t="s">
        <v>6076</v>
      </c>
      <c r="M646" t="s">
        <v>6077</v>
      </c>
      <c r="N646" s="8">
        <v>5.9923999999999998E-2</v>
      </c>
    </row>
    <row r="647" spans="1:14" hidden="1" x14ac:dyDescent="0.55000000000000004">
      <c r="A647" s="3" t="s">
        <v>2640</v>
      </c>
      <c r="B647" s="3" t="s">
        <v>2641</v>
      </c>
      <c r="C647" t="s">
        <v>2641</v>
      </c>
      <c r="D647" s="3" t="s">
        <v>7312</v>
      </c>
      <c r="E647" t="s">
        <v>2642</v>
      </c>
      <c r="F647" s="3" t="s">
        <v>2643</v>
      </c>
      <c r="G647" s="10">
        <v>0</v>
      </c>
      <c r="H647" s="3" t="s">
        <v>19</v>
      </c>
      <c r="I647" t="s">
        <v>2658</v>
      </c>
      <c r="J647" s="3" t="s">
        <v>2654</v>
      </c>
      <c r="K647" t="s">
        <v>6075</v>
      </c>
      <c r="L647" s="3" t="s">
        <v>6076</v>
      </c>
      <c r="M647" t="s">
        <v>6078</v>
      </c>
      <c r="N647" s="8">
        <v>5.9923999999999998E-2</v>
      </c>
    </row>
    <row r="648" spans="1:14" hidden="1" x14ac:dyDescent="0.55000000000000004">
      <c r="A648" s="3" t="s">
        <v>2640</v>
      </c>
      <c r="B648" s="3" t="s">
        <v>2641</v>
      </c>
      <c r="C648" t="s">
        <v>2641</v>
      </c>
      <c r="D648" s="3" t="s">
        <v>7312</v>
      </c>
      <c r="E648" t="s">
        <v>2642</v>
      </c>
      <c r="F648" s="3" t="s">
        <v>2643</v>
      </c>
      <c r="G648" s="10">
        <v>0</v>
      </c>
      <c r="H648" s="3" t="s">
        <v>19</v>
      </c>
      <c r="I648" t="s">
        <v>2658</v>
      </c>
      <c r="J648" s="3" t="s">
        <v>2654</v>
      </c>
      <c r="K648" t="s">
        <v>6075</v>
      </c>
      <c r="L648" s="3" t="s">
        <v>6079</v>
      </c>
      <c r="M648" t="s">
        <v>6077</v>
      </c>
      <c r="N648" s="8">
        <v>5.9923999999999998E-2</v>
      </c>
    </row>
    <row r="649" spans="1:14" hidden="1" x14ac:dyDescent="0.55000000000000004">
      <c r="A649" s="3" t="s">
        <v>2640</v>
      </c>
      <c r="B649" s="3" t="s">
        <v>2641</v>
      </c>
      <c r="C649" t="s">
        <v>2641</v>
      </c>
      <c r="D649" s="3" t="s">
        <v>7312</v>
      </c>
      <c r="E649" t="s">
        <v>2642</v>
      </c>
      <c r="F649" s="3" t="s">
        <v>2643</v>
      </c>
      <c r="G649" s="10">
        <v>0</v>
      </c>
      <c r="H649" s="3" t="s">
        <v>19</v>
      </c>
      <c r="I649" t="s">
        <v>2658</v>
      </c>
      <c r="J649" s="3" t="s">
        <v>2654</v>
      </c>
      <c r="K649" t="s">
        <v>6075</v>
      </c>
      <c r="L649" s="3" t="s">
        <v>6079</v>
      </c>
      <c r="M649" t="s">
        <v>6078</v>
      </c>
      <c r="N649" s="8">
        <v>5.9923999999999998E-2</v>
      </c>
    </row>
    <row r="650" spans="1:14" hidden="1" x14ac:dyDescent="0.55000000000000004">
      <c r="A650" s="3" t="s">
        <v>2640</v>
      </c>
      <c r="B650" s="3" t="s">
        <v>7358</v>
      </c>
      <c r="C650" t="s">
        <v>2662</v>
      </c>
      <c r="D650" s="3" t="s">
        <v>7312</v>
      </c>
      <c r="E650" t="s">
        <v>2663</v>
      </c>
      <c r="F650" s="3" t="s">
        <v>2664</v>
      </c>
      <c r="G650" s="10">
        <v>1</v>
      </c>
      <c r="H650" s="3" t="s">
        <v>19</v>
      </c>
      <c r="I650" t="s">
        <v>2677</v>
      </c>
      <c r="J650" s="3" t="s">
        <v>2654</v>
      </c>
      <c r="K650" t="s">
        <v>6075</v>
      </c>
      <c r="L650" s="3" t="s">
        <v>6076</v>
      </c>
      <c r="M650" t="s">
        <v>6080</v>
      </c>
      <c r="N650" s="8">
        <v>5.0436000000000002E-2</v>
      </c>
    </row>
    <row r="651" spans="1:14" hidden="1" x14ac:dyDescent="0.55000000000000004">
      <c r="A651" s="3" t="s">
        <v>2640</v>
      </c>
      <c r="B651" s="3" t="s">
        <v>7358</v>
      </c>
      <c r="C651" t="s">
        <v>2662</v>
      </c>
      <c r="D651" s="3" t="s">
        <v>7312</v>
      </c>
      <c r="E651" t="s">
        <v>2663</v>
      </c>
      <c r="F651" s="3" t="s">
        <v>2664</v>
      </c>
      <c r="G651" s="10">
        <v>1</v>
      </c>
      <c r="H651" s="3" t="s">
        <v>19</v>
      </c>
      <c r="I651" t="s">
        <v>2677</v>
      </c>
      <c r="J651" s="3" t="s">
        <v>2654</v>
      </c>
      <c r="K651" t="s">
        <v>6075</v>
      </c>
      <c r="L651" s="3" t="s">
        <v>6076</v>
      </c>
      <c r="M651" t="s">
        <v>6081</v>
      </c>
      <c r="N651" s="8">
        <v>5.0436000000000002E-2</v>
      </c>
    </row>
    <row r="652" spans="1:14" hidden="1" x14ac:dyDescent="0.55000000000000004">
      <c r="A652" s="3" t="s">
        <v>2640</v>
      </c>
      <c r="B652" s="3" t="s">
        <v>7358</v>
      </c>
      <c r="C652" t="s">
        <v>2662</v>
      </c>
      <c r="D652" s="3" t="s">
        <v>7312</v>
      </c>
      <c r="E652" t="s">
        <v>2663</v>
      </c>
      <c r="F652" s="3" t="s">
        <v>2664</v>
      </c>
      <c r="G652" s="10">
        <v>1</v>
      </c>
      <c r="H652" s="3" t="s">
        <v>19</v>
      </c>
      <c r="I652" t="s">
        <v>2677</v>
      </c>
      <c r="J652" s="3" t="s">
        <v>2654</v>
      </c>
      <c r="K652" t="s">
        <v>6075</v>
      </c>
      <c r="L652" s="3" t="s">
        <v>6079</v>
      </c>
      <c r="M652" t="s">
        <v>6080</v>
      </c>
      <c r="N652" s="8">
        <v>5.0436000000000002E-2</v>
      </c>
    </row>
    <row r="653" spans="1:14" hidden="1" x14ac:dyDescent="0.55000000000000004">
      <c r="A653" s="3" t="s">
        <v>2640</v>
      </c>
      <c r="B653" s="3" t="s">
        <v>7358</v>
      </c>
      <c r="C653" t="s">
        <v>2662</v>
      </c>
      <c r="D653" s="3" t="s">
        <v>7312</v>
      </c>
      <c r="E653" t="s">
        <v>2663</v>
      </c>
      <c r="F653" s="3" t="s">
        <v>2664</v>
      </c>
      <c r="G653" s="10">
        <v>1</v>
      </c>
      <c r="H653" s="3" t="s">
        <v>19</v>
      </c>
      <c r="I653" t="s">
        <v>2677</v>
      </c>
      <c r="J653" s="3" t="s">
        <v>2654</v>
      </c>
      <c r="K653" t="s">
        <v>6075</v>
      </c>
      <c r="L653" s="3" t="s">
        <v>6079</v>
      </c>
      <c r="M653" t="s">
        <v>6081</v>
      </c>
      <c r="N653" s="8">
        <v>5.0436000000000002E-2</v>
      </c>
    </row>
    <row r="654" spans="1:14" hidden="1" x14ac:dyDescent="0.55000000000000004">
      <c r="A654" s="3" t="s">
        <v>2640</v>
      </c>
      <c r="B654" s="3" t="s">
        <v>7358</v>
      </c>
      <c r="C654" t="s">
        <v>2662</v>
      </c>
      <c r="D654" s="3" t="s">
        <v>7312</v>
      </c>
      <c r="E654" t="s">
        <v>2663</v>
      </c>
      <c r="F654" s="3" t="s">
        <v>2664</v>
      </c>
      <c r="G654" s="10">
        <v>1</v>
      </c>
      <c r="H654" s="3" t="s">
        <v>24</v>
      </c>
      <c r="I654" t="s">
        <v>2680</v>
      </c>
      <c r="J654" s="3" t="s">
        <v>55</v>
      </c>
      <c r="K654" t="s">
        <v>23</v>
      </c>
      <c r="L654" s="3" t="s">
        <v>5839</v>
      </c>
      <c r="M654" t="s">
        <v>23</v>
      </c>
      <c r="N654" s="8">
        <v>0.18393200000000001</v>
      </c>
    </row>
    <row r="655" spans="1:14" hidden="1" x14ac:dyDescent="0.55000000000000004">
      <c r="A655" s="3" t="s">
        <v>2640</v>
      </c>
      <c r="B655" s="3" t="s">
        <v>2681</v>
      </c>
      <c r="C655" t="s">
        <v>2682</v>
      </c>
      <c r="D655" s="3" t="s">
        <v>7312</v>
      </c>
      <c r="E655" t="s">
        <v>2683</v>
      </c>
      <c r="F655" s="3" t="s">
        <v>2684</v>
      </c>
      <c r="G655" s="10">
        <v>1</v>
      </c>
      <c r="H655" s="3" t="s">
        <v>19</v>
      </c>
      <c r="I655" t="s">
        <v>2699</v>
      </c>
      <c r="J655" s="3" t="s">
        <v>2654</v>
      </c>
      <c r="K655" t="s">
        <v>6075</v>
      </c>
      <c r="L655" s="3" t="s">
        <v>6079</v>
      </c>
      <c r="M655" t="s">
        <v>6082</v>
      </c>
      <c r="N655" s="8">
        <v>4.8279000000000002E-2</v>
      </c>
    </row>
    <row r="656" spans="1:14" hidden="1" x14ac:dyDescent="0.55000000000000004">
      <c r="A656" s="3" t="s">
        <v>2640</v>
      </c>
      <c r="B656" s="3" t="s">
        <v>2703</v>
      </c>
      <c r="C656" t="s">
        <v>2703</v>
      </c>
      <c r="D656" s="3" t="s">
        <v>7312</v>
      </c>
      <c r="E656" t="s">
        <v>2704</v>
      </c>
      <c r="F656" s="3" t="s">
        <v>2705</v>
      </c>
      <c r="G656" s="10">
        <v>1</v>
      </c>
      <c r="H656" s="3" t="s">
        <v>19</v>
      </c>
      <c r="I656" t="s">
        <v>2710</v>
      </c>
      <c r="J656" s="3" t="s">
        <v>2654</v>
      </c>
      <c r="K656" t="s">
        <v>6075</v>
      </c>
      <c r="L656" s="3" t="s">
        <v>6076</v>
      </c>
      <c r="M656" t="s">
        <v>6083</v>
      </c>
      <c r="N656" s="8">
        <v>4.9931000000000003E-2</v>
      </c>
    </row>
    <row r="657" spans="1:14" hidden="1" x14ac:dyDescent="0.55000000000000004">
      <c r="A657" s="3" t="s">
        <v>2640</v>
      </c>
      <c r="B657" s="3" t="s">
        <v>2703</v>
      </c>
      <c r="C657" t="s">
        <v>2703</v>
      </c>
      <c r="D657" s="3" t="s">
        <v>7312</v>
      </c>
      <c r="E657" t="s">
        <v>2704</v>
      </c>
      <c r="F657" s="3" t="s">
        <v>2705</v>
      </c>
      <c r="G657" s="10">
        <v>1</v>
      </c>
      <c r="H657" s="3" t="s">
        <v>19</v>
      </c>
      <c r="I657" t="s">
        <v>2710</v>
      </c>
      <c r="J657" s="3" t="s">
        <v>2654</v>
      </c>
      <c r="K657" t="s">
        <v>6075</v>
      </c>
      <c r="L657" s="3" t="s">
        <v>6076</v>
      </c>
      <c r="M657" t="s">
        <v>6084</v>
      </c>
      <c r="N657" s="8">
        <v>4.9931000000000003E-2</v>
      </c>
    </row>
    <row r="658" spans="1:14" hidden="1" x14ac:dyDescent="0.55000000000000004">
      <c r="A658" s="3" t="s">
        <v>2640</v>
      </c>
      <c r="B658" s="3" t="s">
        <v>2703</v>
      </c>
      <c r="C658" t="s">
        <v>2703</v>
      </c>
      <c r="D658" s="3" t="s">
        <v>7312</v>
      </c>
      <c r="E658" t="s">
        <v>2704</v>
      </c>
      <c r="F658" s="3" t="s">
        <v>2705</v>
      </c>
      <c r="G658" s="10">
        <v>1</v>
      </c>
      <c r="H658" s="3" t="s">
        <v>19</v>
      </c>
      <c r="I658" t="s">
        <v>2710</v>
      </c>
      <c r="J658" s="3" t="s">
        <v>2654</v>
      </c>
      <c r="K658" t="s">
        <v>6075</v>
      </c>
      <c r="L658" s="3" t="s">
        <v>6079</v>
      </c>
      <c r="M658" t="s">
        <v>6083</v>
      </c>
      <c r="N658" s="8">
        <v>4.9931000000000003E-2</v>
      </c>
    </row>
    <row r="659" spans="1:14" hidden="1" x14ac:dyDescent="0.55000000000000004">
      <c r="A659" s="3" t="s">
        <v>2640</v>
      </c>
      <c r="B659" s="3" t="s">
        <v>2703</v>
      </c>
      <c r="C659" t="s">
        <v>2703</v>
      </c>
      <c r="D659" s="3" t="s">
        <v>7312</v>
      </c>
      <c r="E659" t="s">
        <v>2704</v>
      </c>
      <c r="F659" s="3" t="s">
        <v>2705</v>
      </c>
      <c r="G659" s="10">
        <v>1</v>
      </c>
      <c r="H659" s="3" t="s">
        <v>19</v>
      </c>
      <c r="I659" t="s">
        <v>2710</v>
      </c>
      <c r="J659" s="3" t="s">
        <v>2654</v>
      </c>
      <c r="K659" t="s">
        <v>6075</v>
      </c>
      <c r="L659" s="3" t="s">
        <v>6079</v>
      </c>
      <c r="M659" t="s">
        <v>6084</v>
      </c>
      <c r="N659" s="8">
        <v>4.9931000000000003E-2</v>
      </c>
    </row>
    <row r="660" spans="1:14" hidden="1" x14ac:dyDescent="0.55000000000000004">
      <c r="A660" s="3" t="s">
        <v>2640</v>
      </c>
      <c r="B660" s="3" t="s">
        <v>2724</v>
      </c>
      <c r="C660" t="s">
        <v>2724</v>
      </c>
      <c r="D660" s="3" t="s">
        <v>7312</v>
      </c>
      <c r="E660" t="s">
        <v>2725</v>
      </c>
      <c r="F660" s="3" t="s">
        <v>2726</v>
      </c>
      <c r="G660" s="10">
        <v>1</v>
      </c>
      <c r="H660" s="3" t="s">
        <v>19</v>
      </c>
      <c r="I660" t="s">
        <v>2731</v>
      </c>
      <c r="J660" s="3" t="s">
        <v>2654</v>
      </c>
      <c r="K660" t="s">
        <v>6075</v>
      </c>
      <c r="L660" s="3" t="s">
        <v>6076</v>
      </c>
      <c r="M660" t="s">
        <v>6085</v>
      </c>
      <c r="N660" s="8">
        <v>6.1383E-2</v>
      </c>
    </row>
    <row r="661" spans="1:14" hidden="1" x14ac:dyDescent="0.55000000000000004">
      <c r="A661" s="3" t="s">
        <v>2640</v>
      </c>
      <c r="B661" s="3" t="s">
        <v>2724</v>
      </c>
      <c r="C661" t="s">
        <v>2724</v>
      </c>
      <c r="D661" s="3" t="s">
        <v>7312</v>
      </c>
      <c r="E661" t="s">
        <v>2725</v>
      </c>
      <c r="F661" s="3" t="s">
        <v>2726</v>
      </c>
      <c r="G661" s="10">
        <v>1</v>
      </c>
      <c r="H661" s="3" t="s">
        <v>19</v>
      </c>
      <c r="I661" t="s">
        <v>2731</v>
      </c>
      <c r="J661" s="3" t="s">
        <v>2654</v>
      </c>
      <c r="K661" t="s">
        <v>6075</v>
      </c>
      <c r="L661" s="3" t="s">
        <v>6076</v>
      </c>
      <c r="M661" t="s">
        <v>6086</v>
      </c>
      <c r="N661" s="8">
        <v>6.1383E-2</v>
      </c>
    </row>
    <row r="662" spans="1:14" hidden="1" x14ac:dyDescent="0.55000000000000004">
      <c r="A662" s="3" t="s">
        <v>2640</v>
      </c>
      <c r="B662" s="3" t="s">
        <v>2724</v>
      </c>
      <c r="C662" t="s">
        <v>2724</v>
      </c>
      <c r="D662" s="3" t="s">
        <v>7312</v>
      </c>
      <c r="E662" t="s">
        <v>2725</v>
      </c>
      <c r="F662" s="3" t="s">
        <v>2726</v>
      </c>
      <c r="G662" s="10">
        <v>1</v>
      </c>
      <c r="H662" s="3" t="s">
        <v>19</v>
      </c>
      <c r="I662" t="s">
        <v>2731</v>
      </c>
      <c r="J662" s="3" t="s">
        <v>2654</v>
      </c>
      <c r="K662" t="s">
        <v>6075</v>
      </c>
      <c r="L662" s="3" t="s">
        <v>6079</v>
      </c>
      <c r="M662" t="s">
        <v>6085</v>
      </c>
      <c r="N662" s="8">
        <v>6.1383E-2</v>
      </c>
    </row>
    <row r="663" spans="1:14" hidden="1" x14ac:dyDescent="0.55000000000000004">
      <c r="A663" s="3" t="s">
        <v>2640</v>
      </c>
      <c r="B663" s="3" t="s">
        <v>2724</v>
      </c>
      <c r="C663" t="s">
        <v>2724</v>
      </c>
      <c r="D663" s="3" t="s">
        <v>7312</v>
      </c>
      <c r="E663" t="s">
        <v>2725</v>
      </c>
      <c r="F663" s="3" t="s">
        <v>2726</v>
      </c>
      <c r="G663" s="10">
        <v>1</v>
      </c>
      <c r="H663" s="3" t="s">
        <v>19</v>
      </c>
      <c r="I663" t="s">
        <v>2731</v>
      </c>
      <c r="J663" s="3" t="s">
        <v>2654</v>
      </c>
      <c r="K663" t="s">
        <v>6075</v>
      </c>
      <c r="L663" s="3" t="s">
        <v>6079</v>
      </c>
      <c r="M663" t="s">
        <v>6086</v>
      </c>
      <c r="N663" s="8">
        <v>6.1383E-2</v>
      </c>
    </row>
    <row r="664" spans="1:14" hidden="1" x14ac:dyDescent="0.55000000000000004">
      <c r="A664" s="3" t="s">
        <v>2640</v>
      </c>
      <c r="B664" s="3" t="s">
        <v>2745</v>
      </c>
      <c r="C664" t="s">
        <v>7356</v>
      </c>
      <c r="D664" s="3" t="s">
        <v>7312</v>
      </c>
      <c r="E664" t="s">
        <v>2746</v>
      </c>
      <c r="F664" s="3" t="s">
        <v>2747</v>
      </c>
      <c r="G664" s="10">
        <v>1</v>
      </c>
      <c r="H664" s="3" t="s">
        <v>19</v>
      </c>
      <c r="I664" t="s">
        <v>2751</v>
      </c>
      <c r="J664" s="3" t="s">
        <v>2752</v>
      </c>
      <c r="K664" t="s">
        <v>6087</v>
      </c>
      <c r="L664" s="3" t="s">
        <v>6088</v>
      </c>
      <c r="M664" t="s">
        <v>6089</v>
      </c>
      <c r="N664" s="8">
        <v>5.4224000000000001E-2</v>
      </c>
    </row>
    <row r="665" spans="1:14" hidden="1" x14ac:dyDescent="0.55000000000000004">
      <c r="A665" s="3" t="s">
        <v>2640</v>
      </c>
      <c r="B665" s="3" t="s">
        <v>2762</v>
      </c>
      <c r="C665" t="s">
        <v>7357</v>
      </c>
      <c r="D665" s="3" t="s">
        <v>7312</v>
      </c>
      <c r="E665" t="s">
        <v>2763</v>
      </c>
      <c r="F665" s="3" t="s">
        <v>2764</v>
      </c>
      <c r="G665" s="10">
        <v>0</v>
      </c>
      <c r="H665" s="3" t="s">
        <v>19</v>
      </c>
      <c r="I665" t="s">
        <v>2767</v>
      </c>
      <c r="J665" s="3" t="s">
        <v>1282</v>
      </c>
      <c r="K665" t="s">
        <v>5957</v>
      </c>
      <c r="L665" s="3" t="s">
        <v>6090</v>
      </c>
      <c r="M665" t="s">
        <v>6091</v>
      </c>
      <c r="N665" s="8">
        <v>6.5933000000000005E-2</v>
      </c>
    </row>
    <row r="666" spans="1:14" hidden="1" x14ac:dyDescent="0.55000000000000004">
      <c r="A666" s="3" t="s">
        <v>2640</v>
      </c>
      <c r="B666" s="3" t="s">
        <v>2762</v>
      </c>
      <c r="C666" t="s">
        <v>7357</v>
      </c>
      <c r="D666" s="3" t="s">
        <v>7312</v>
      </c>
      <c r="E666" t="s">
        <v>2763</v>
      </c>
      <c r="F666" s="3" t="s">
        <v>2764</v>
      </c>
      <c r="G666" s="10">
        <v>0</v>
      </c>
      <c r="H666" s="3" t="s">
        <v>19</v>
      </c>
      <c r="I666" t="s">
        <v>1281</v>
      </c>
      <c r="J666" s="3" t="s">
        <v>1282</v>
      </c>
      <c r="K666" t="s">
        <v>5957</v>
      </c>
      <c r="L666" s="3" t="s">
        <v>5958</v>
      </c>
      <c r="M666" t="s">
        <v>5959</v>
      </c>
      <c r="N666" s="8">
        <v>2.8874E-2</v>
      </c>
    </row>
    <row r="667" spans="1:14" hidden="1" x14ac:dyDescent="0.55000000000000004">
      <c r="A667" s="3" t="s">
        <v>2640</v>
      </c>
      <c r="B667" s="3" t="s">
        <v>2762</v>
      </c>
      <c r="C667" t="s">
        <v>7357</v>
      </c>
      <c r="D667" s="3" t="s">
        <v>7312</v>
      </c>
      <c r="E667" t="s">
        <v>2774</v>
      </c>
      <c r="F667" s="3" t="s">
        <v>2775</v>
      </c>
      <c r="G667" s="10">
        <v>1</v>
      </c>
      <c r="H667" s="3" t="s">
        <v>19</v>
      </c>
      <c r="I667" t="s">
        <v>2788</v>
      </c>
      <c r="J667" s="3" t="s">
        <v>2654</v>
      </c>
      <c r="K667" t="s">
        <v>6075</v>
      </c>
      <c r="L667" s="3" t="s">
        <v>6076</v>
      </c>
      <c r="M667" t="s">
        <v>6092</v>
      </c>
      <c r="N667" s="8">
        <v>3.1511999999999998E-2</v>
      </c>
    </row>
    <row r="668" spans="1:14" hidden="1" x14ac:dyDescent="0.55000000000000004">
      <c r="A668" s="3" t="s">
        <v>2640</v>
      </c>
      <c r="B668" s="3" t="s">
        <v>2762</v>
      </c>
      <c r="C668" t="s">
        <v>7357</v>
      </c>
      <c r="D668" s="3" t="s">
        <v>7312</v>
      </c>
      <c r="E668" t="s">
        <v>2774</v>
      </c>
      <c r="F668" s="3" t="s">
        <v>2775</v>
      </c>
      <c r="G668" s="10">
        <v>1</v>
      </c>
      <c r="H668" s="3" t="s">
        <v>19</v>
      </c>
      <c r="I668" t="s">
        <v>2788</v>
      </c>
      <c r="J668" s="3" t="s">
        <v>2654</v>
      </c>
      <c r="K668" t="s">
        <v>6075</v>
      </c>
      <c r="L668" s="3" t="s">
        <v>6076</v>
      </c>
      <c r="M668" t="s">
        <v>6093</v>
      </c>
      <c r="N668" s="8">
        <v>3.1511999999999998E-2</v>
      </c>
    </row>
    <row r="669" spans="1:14" hidden="1" x14ac:dyDescent="0.55000000000000004">
      <c r="A669" s="3" t="s">
        <v>2640</v>
      </c>
      <c r="B669" s="3" t="s">
        <v>2762</v>
      </c>
      <c r="C669" t="s">
        <v>7357</v>
      </c>
      <c r="D669" s="3" t="s">
        <v>7312</v>
      </c>
      <c r="E669" t="s">
        <v>2774</v>
      </c>
      <c r="F669" s="3" t="s">
        <v>2775</v>
      </c>
      <c r="G669" s="10">
        <v>1</v>
      </c>
      <c r="H669" s="3" t="s">
        <v>19</v>
      </c>
      <c r="I669" t="s">
        <v>2788</v>
      </c>
      <c r="J669" s="3" t="s">
        <v>2654</v>
      </c>
      <c r="K669" t="s">
        <v>6075</v>
      </c>
      <c r="L669" s="3" t="s">
        <v>6079</v>
      </c>
      <c r="M669" t="s">
        <v>6092</v>
      </c>
      <c r="N669" s="8">
        <v>3.1511999999999998E-2</v>
      </c>
    </row>
    <row r="670" spans="1:14" hidden="1" x14ac:dyDescent="0.55000000000000004">
      <c r="A670" s="3" t="s">
        <v>2640</v>
      </c>
      <c r="B670" s="3" t="s">
        <v>2762</v>
      </c>
      <c r="C670" t="s">
        <v>7357</v>
      </c>
      <c r="D670" s="3" t="s">
        <v>7312</v>
      </c>
      <c r="E670" t="s">
        <v>2774</v>
      </c>
      <c r="F670" s="3" t="s">
        <v>2775</v>
      </c>
      <c r="G670" s="10">
        <v>1</v>
      </c>
      <c r="H670" s="3" t="s">
        <v>19</v>
      </c>
      <c r="I670" t="s">
        <v>2788</v>
      </c>
      <c r="J670" s="3" t="s">
        <v>2654</v>
      </c>
      <c r="K670" t="s">
        <v>6075</v>
      </c>
      <c r="L670" s="3" t="s">
        <v>6079</v>
      </c>
      <c r="M670" t="s">
        <v>6093</v>
      </c>
      <c r="N670" s="8">
        <v>3.1511999999999998E-2</v>
      </c>
    </row>
    <row r="671" spans="1:14" hidden="1" x14ac:dyDescent="0.55000000000000004">
      <c r="A671" s="3" t="s">
        <v>2640</v>
      </c>
      <c r="B671" s="3" t="s">
        <v>2798</v>
      </c>
      <c r="C671" t="s">
        <v>2799</v>
      </c>
      <c r="D671" s="3" t="s">
        <v>7312</v>
      </c>
      <c r="E671" t="s">
        <v>2800</v>
      </c>
      <c r="F671" s="3" t="s">
        <v>2801</v>
      </c>
      <c r="G671" s="10">
        <v>1</v>
      </c>
      <c r="H671" s="3" t="s">
        <v>19</v>
      </c>
      <c r="I671" t="s">
        <v>2804</v>
      </c>
      <c r="J671" s="3" t="s">
        <v>2752</v>
      </c>
      <c r="K671" t="s">
        <v>6087</v>
      </c>
      <c r="L671" s="3" t="s">
        <v>6088</v>
      </c>
      <c r="M671" t="s">
        <v>6094</v>
      </c>
      <c r="N671" s="8">
        <v>8.1331000000000001E-2</v>
      </c>
    </row>
    <row r="672" spans="1:14" hidden="1" x14ac:dyDescent="0.55000000000000004">
      <c r="A672" s="3" t="s">
        <v>2640</v>
      </c>
      <c r="B672" s="3" t="s">
        <v>2808</v>
      </c>
      <c r="C672" t="s">
        <v>2682</v>
      </c>
      <c r="D672" s="3" t="s">
        <v>7312</v>
      </c>
      <c r="E672" t="s">
        <v>2809</v>
      </c>
      <c r="F672" s="3" t="s">
        <v>2810</v>
      </c>
      <c r="G672" s="10">
        <v>0</v>
      </c>
      <c r="H672" s="3" t="s">
        <v>19</v>
      </c>
      <c r="I672" t="s">
        <v>2813</v>
      </c>
      <c r="J672" s="3" t="s">
        <v>1282</v>
      </c>
      <c r="K672" t="s">
        <v>5957</v>
      </c>
      <c r="L672" s="3" t="s">
        <v>6090</v>
      </c>
      <c r="M672" t="s">
        <v>6095</v>
      </c>
      <c r="N672" s="8">
        <v>5.466E-2</v>
      </c>
    </row>
    <row r="673" spans="1:14" hidden="1" x14ac:dyDescent="0.55000000000000004">
      <c r="A673" s="3" t="s">
        <v>2640</v>
      </c>
      <c r="B673" s="3" t="s">
        <v>2808</v>
      </c>
      <c r="C673" t="s">
        <v>2682</v>
      </c>
      <c r="D673" s="3" t="s">
        <v>7312</v>
      </c>
      <c r="E673" t="s">
        <v>2809</v>
      </c>
      <c r="F673" s="3" t="s">
        <v>2810</v>
      </c>
      <c r="G673" s="10">
        <v>0</v>
      </c>
      <c r="H673" s="3" t="s">
        <v>19</v>
      </c>
      <c r="I673" t="s">
        <v>1281</v>
      </c>
      <c r="J673" s="3" t="s">
        <v>1282</v>
      </c>
      <c r="K673" t="s">
        <v>5957</v>
      </c>
      <c r="L673" s="3" t="s">
        <v>5958</v>
      </c>
      <c r="M673" t="s">
        <v>5959</v>
      </c>
      <c r="N673" s="8">
        <v>2.8874E-2</v>
      </c>
    </row>
    <row r="674" spans="1:14" hidden="1" x14ac:dyDescent="0.55000000000000004">
      <c r="A674" s="3" t="s">
        <v>2640</v>
      </c>
      <c r="B674" s="3" t="s">
        <v>2817</v>
      </c>
      <c r="C674" t="s">
        <v>2662</v>
      </c>
      <c r="D674" s="3" t="s">
        <v>7312</v>
      </c>
      <c r="E674" t="s">
        <v>2818</v>
      </c>
      <c r="F674" s="3" t="s">
        <v>2819</v>
      </c>
      <c r="G674" s="10">
        <v>1</v>
      </c>
      <c r="H674" s="3" t="s">
        <v>19</v>
      </c>
      <c r="I674" t="s">
        <v>2822</v>
      </c>
      <c r="J674" s="3" t="s">
        <v>2654</v>
      </c>
      <c r="K674" t="s">
        <v>6075</v>
      </c>
      <c r="L674" s="3" t="s">
        <v>6076</v>
      </c>
      <c r="M674" t="s">
        <v>6096</v>
      </c>
      <c r="N674" s="8">
        <v>5.0436000000000002E-2</v>
      </c>
    </row>
    <row r="675" spans="1:14" hidden="1" x14ac:dyDescent="0.55000000000000004">
      <c r="A675" s="3" t="s">
        <v>2640</v>
      </c>
      <c r="B675" s="3" t="s">
        <v>2817</v>
      </c>
      <c r="C675" t="s">
        <v>2662</v>
      </c>
      <c r="D675" s="3" t="s">
        <v>7312</v>
      </c>
      <c r="E675" t="s">
        <v>2818</v>
      </c>
      <c r="F675" s="3" t="s">
        <v>2819</v>
      </c>
      <c r="G675" s="10">
        <v>1</v>
      </c>
      <c r="H675" s="3" t="s">
        <v>19</v>
      </c>
      <c r="I675" t="s">
        <v>2822</v>
      </c>
      <c r="J675" s="3" t="s">
        <v>2654</v>
      </c>
      <c r="K675" t="s">
        <v>6075</v>
      </c>
      <c r="L675" s="3" t="s">
        <v>6076</v>
      </c>
      <c r="M675" t="s">
        <v>6097</v>
      </c>
      <c r="N675" s="8">
        <v>5.0436000000000002E-2</v>
      </c>
    </row>
    <row r="676" spans="1:14" hidden="1" x14ac:dyDescent="0.55000000000000004">
      <c r="A676" s="3" t="s">
        <v>2640</v>
      </c>
      <c r="B676" s="3" t="s">
        <v>2817</v>
      </c>
      <c r="C676" t="s">
        <v>2662</v>
      </c>
      <c r="D676" s="3" t="s">
        <v>7312</v>
      </c>
      <c r="E676" t="s">
        <v>2818</v>
      </c>
      <c r="F676" s="3" t="s">
        <v>2819</v>
      </c>
      <c r="G676" s="10">
        <v>1</v>
      </c>
      <c r="H676" s="3" t="s">
        <v>19</v>
      </c>
      <c r="I676" t="s">
        <v>2822</v>
      </c>
      <c r="J676" s="3" t="s">
        <v>2654</v>
      </c>
      <c r="K676" t="s">
        <v>6075</v>
      </c>
      <c r="L676" s="3" t="s">
        <v>6079</v>
      </c>
      <c r="M676" t="s">
        <v>6096</v>
      </c>
      <c r="N676" s="8">
        <v>5.0436000000000002E-2</v>
      </c>
    </row>
    <row r="677" spans="1:14" hidden="1" x14ac:dyDescent="0.55000000000000004">
      <c r="A677" s="3" t="s">
        <v>2640</v>
      </c>
      <c r="B677" s="3" t="s">
        <v>2817</v>
      </c>
      <c r="C677" t="s">
        <v>2662</v>
      </c>
      <c r="D677" s="3" t="s">
        <v>7312</v>
      </c>
      <c r="E677" t="s">
        <v>2818</v>
      </c>
      <c r="F677" s="3" t="s">
        <v>2819</v>
      </c>
      <c r="G677" s="10">
        <v>1</v>
      </c>
      <c r="H677" s="3" t="s">
        <v>19</v>
      </c>
      <c r="I677" t="s">
        <v>2822</v>
      </c>
      <c r="J677" s="3" t="s">
        <v>2654</v>
      </c>
      <c r="K677" t="s">
        <v>6075</v>
      </c>
      <c r="L677" s="3" t="s">
        <v>6079</v>
      </c>
      <c r="M677" t="s">
        <v>6097</v>
      </c>
      <c r="N677" s="8">
        <v>5.0436000000000002E-2</v>
      </c>
    </row>
    <row r="678" spans="1:14" hidden="1" x14ac:dyDescent="0.55000000000000004">
      <c r="A678" s="9" t="s">
        <v>2640</v>
      </c>
      <c r="B678" s="3" t="s">
        <v>2817</v>
      </c>
      <c r="C678" t="s">
        <v>2662</v>
      </c>
      <c r="D678" s="3" t="s">
        <v>7312</v>
      </c>
      <c r="E678" t="s">
        <v>2818</v>
      </c>
      <c r="F678" s="3" t="s">
        <v>2819</v>
      </c>
      <c r="G678" s="10">
        <v>1</v>
      </c>
      <c r="H678" s="3" t="s">
        <v>24</v>
      </c>
      <c r="I678" t="s">
        <v>2835</v>
      </c>
      <c r="J678" s="3" t="s">
        <v>55</v>
      </c>
      <c r="K678" t="s">
        <v>23</v>
      </c>
      <c r="L678" s="3" t="s">
        <v>5839</v>
      </c>
      <c r="M678" t="s">
        <v>23</v>
      </c>
      <c r="N678" s="8">
        <v>0.18371699999999999</v>
      </c>
    </row>
    <row r="679" spans="1:14" hidden="1" x14ac:dyDescent="0.55000000000000004">
      <c r="A679" s="3" t="s">
        <v>2836</v>
      </c>
      <c r="B679" s="3" t="s">
        <v>2837</v>
      </c>
      <c r="C679" t="s">
        <v>2837</v>
      </c>
      <c r="D679" s="3" t="s">
        <v>7312</v>
      </c>
      <c r="E679" t="s">
        <v>2838</v>
      </c>
      <c r="F679" s="3" t="s">
        <v>2839</v>
      </c>
      <c r="G679" s="10">
        <v>0</v>
      </c>
      <c r="H679" s="3" t="s">
        <v>24</v>
      </c>
      <c r="I679" t="s">
        <v>2842</v>
      </c>
      <c r="J679" s="3" t="s">
        <v>55</v>
      </c>
      <c r="K679" t="s">
        <v>23</v>
      </c>
      <c r="L679" s="3" t="s">
        <v>5839</v>
      </c>
      <c r="M679" t="s">
        <v>23</v>
      </c>
      <c r="N679" s="8">
        <v>0.18404699999999999</v>
      </c>
    </row>
    <row r="680" spans="1:14" hidden="1" x14ac:dyDescent="0.55000000000000004">
      <c r="A680" s="3" t="s">
        <v>2836</v>
      </c>
      <c r="B680" s="3" t="s">
        <v>7359</v>
      </c>
      <c r="C680" t="s">
        <v>2837</v>
      </c>
      <c r="D680" s="3" t="s">
        <v>7312</v>
      </c>
      <c r="E680" t="s">
        <v>2843</v>
      </c>
      <c r="F680" s="3" t="s">
        <v>2844</v>
      </c>
      <c r="G680" s="10">
        <v>1</v>
      </c>
      <c r="H680" s="3" t="s">
        <v>19</v>
      </c>
      <c r="I680" t="s">
        <v>2847</v>
      </c>
      <c r="J680" s="3" t="s">
        <v>249</v>
      </c>
      <c r="K680" t="s">
        <v>5866</v>
      </c>
      <c r="L680" s="3" t="s">
        <v>5867</v>
      </c>
      <c r="M680" t="s">
        <v>6098</v>
      </c>
      <c r="N680" s="8">
        <v>9.3816999999999998E-2</v>
      </c>
    </row>
    <row r="681" spans="1:14" hidden="1" x14ac:dyDescent="0.55000000000000004">
      <c r="A681" s="3" t="s">
        <v>2836</v>
      </c>
      <c r="B681" s="3" t="s">
        <v>7359</v>
      </c>
      <c r="C681" t="s">
        <v>2837</v>
      </c>
      <c r="D681" s="3" t="s">
        <v>7312</v>
      </c>
      <c r="E681" t="s">
        <v>2843</v>
      </c>
      <c r="F681" s="3" t="s">
        <v>2844</v>
      </c>
      <c r="G681" s="10">
        <v>1</v>
      </c>
      <c r="H681" s="3" t="s">
        <v>24</v>
      </c>
      <c r="I681" t="s">
        <v>2842</v>
      </c>
      <c r="J681" s="3" t="s">
        <v>55</v>
      </c>
      <c r="K681" t="s">
        <v>23</v>
      </c>
      <c r="L681" s="3" t="s">
        <v>5839</v>
      </c>
      <c r="M681" t="s">
        <v>23</v>
      </c>
      <c r="N681" s="8">
        <v>0.18404699999999999</v>
      </c>
    </row>
    <row r="682" spans="1:14" hidden="1" x14ac:dyDescent="0.55000000000000004">
      <c r="A682" s="3" t="s">
        <v>2836</v>
      </c>
      <c r="B682" s="3" t="s">
        <v>2848</v>
      </c>
      <c r="C682" t="s">
        <v>2848</v>
      </c>
      <c r="D682" s="3" t="s">
        <v>7312</v>
      </c>
      <c r="E682" t="s">
        <v>2849</v>
      </c>
      <c r="F682" s="3" t="s">
        <v>2850</v>
      </c>
      <c r="G682" s="10">
        <v>0</v>
      </c>
      <c r="H682" s="3" t="s">
        <v>24</v>
      </c>
      <c r="I682" t="s">
        <v>2853</v>
      </c>
      <c r="J682" s="3" t="s">
        <v>55</v>
      </c>
      <c r="K682" t="s">
        <v>23</v>
      </c>
      <c r="L682" s="3" t="s">
        <v>5839</v>
      </c>
      <c r="M682" t="s">
        <v>23</v>
      </c>
      <c r="N682" s="8">
        <v>0.18071400000000001</v>
      </c>
    </row>
    <row r="683" spans="1:14" x14ac:dyDescent="0.55000000000000004">
      <c r="A683" s="3" t="s">
        <v>2836</v>
      </c>
      <c r="B683" s="3" t="s">
        <v>2855</v>
      </c>
      <c r="C683" t="s">
        <v>2855</v>
      </c>
      <c r="D683" s="3" t="s">
        <v>7312</v>
      </c>
      <c r="E683" t="s">
        <v>2856</v>
      </c>
      <c r="F683" s="3" t="s">
        <v>2857</v>
      </c>
      <c r="G683" s="10">
        <v>1</v>
      </c>
      <c r="H683" s="3" t="s">
        <v>19</v>
      </c>
      <c r="I683" t="s">
        <v>213</v>
      </c>
      <c r="J683" s="3" t="s">
        <v>64</v>
      </c>
      <c r="K683" t="s">
        <v>5858</v>
      </c>
      <c r="L683" s="3" t="s">
        <v>5859</v>
      </c>
      <c r="M683" t="s">
        <v>5860</v>
      </c>
      <c r="N683" s="8">
        <v>6.7199999999999996E-2</v>
      </c>
    </row>
    <row r="684" spans="1:14" x14ac:dyDescent="0.55000000000000004">
      <c r="A684" s="3" t="s">
        <v>2836</v>
      </c>
      <c r="B684" s="3" t="s">
        <v>2855</v>
      </c>
      <c r="C684" t="s">
        <v>2855</v>
      </c>
      <c r="D684" s="3" t="s">
        <v>7312</v>
      </c>
      <c r="E684" t="s">
        <v>2856</v>
      </c>
      <c r="F684" s="3" t="s">
        <v>2857</v>
      </c>
      <c r="G684" s="10">
        <v>1</v>
      </c>
      <c r="H684" s="3" t="s">
        <v>19</v>
      </c>
      <c r="I684" t="s">
        <v>213</v>
      </c>
      <c r="J684" s="3" t="s">
        <v>64</v>
      </c>
      <c r="K684" t="s">
        <v>5858</v>
      </c>
      <c r="L684" s="3" t="s">
        <v>5861</v>
      </c>
      <c r="M684" t="s">
        <v>5860</v>
      </c>
      <c r="N684" s="8">
        <v>6.7199999999999996E-2</v>
      </c>
    </row>
    <row r="685" spans="1:14" x14ac:dyDescent="0.55000000000000004">
      <c r="A685" s="3" t="s">
        <v>2836</v>
      </c>
      <c r="B685" s="3" t="s">
        <v>2855</v>
      </c>
      <c r="C685" t="s">
        <v>2855</v>
      </c>
      <c r="D685" s="3" t="s">
        <v>7312</v>
      </c>
      <c r="E685" t="s">
        <v>2856</v>
      </c>
      <c r="F685" s="3" t="s">
        <v>2857</v>
      </c>
      <c r="G685" s="10">
        <v>1</v>
      </c>
      <c r="H685" s="3" t="s">
        <v>19</v>
      </c>
      <c r="I685" t="s">
        <v>213</v>
      </c>
      <c r="J685" s="3" t="s">
        <v>64</v>
      </c>
      <c r="K685" t="s">
        <v>5858</v>
      </c>
      <c r="L685" s="3" t="s">
        <v>5862</v>
      </c>
      <c r="M685" t="s">
        <v>5860</v>
      </c>
      <c r="N685" s="8">
        <v>6.7199999999999996E-2</v>
      </c>
    </row>
    <row r="686" spans="1:14" x14ac:dyDescent="0.55000000000000004">
      <c r="A686" s="3" t="s">
        <v>2836</v>
      </c>
      <c r="B686" s="3" t="s">
        <v>2855</v>
      </c>
      <c r="C686" t="s">
        <v>2855</v>
      </c>
      <c r="D686" s="3" t="s">
        <v>7312</v>
      </c>
      <c r="E686" t="s">
        <v>2856</v>
      </c>
      <c r="F686" s="3" t="s">
        <v>2857</v>
      </c>
      <c r="G686" s="10">
        <v>1</v>
      </c>
      <c r="H686" s="3" t="s">
        <v>19</v>
      </c>
      <c r="I686" t="s">
        <v>2860</v>
      </c>
      <c r="J686" s="3" t="s">
        <v>212</v>
      </c>
      <c r="K686" t="s">
        <v>5855</v>
      </c>
      <c r="L686" s="3" t="s">
        <v>5856</v>
      </c>
      <c r="M686" t="s">
        <v>6099</v>
      </c>
      <c r="N686" s="8">
        <v>9.7075999999999996E-2</v>
      </c>
    </row>
    <row r="687" spans="1:14" x14ac:dyDescent="0.55000000000000004">
      <c r="A687" s="3" t="s">
        <v>2836</v>
      </c>
      <c r="B687" s="3" t="s">
        <v>2855</v>
      </c>
      <c r="C687" t="s">
        <v>2855</v>
      </c>
      <c r="D687" s="3" t="s">
        <v>7312</v>
      </c>
      <c r="E687" t="s">
        <v>2856</v>
      </c>
      <c r="F687" s="3" t="s">
        <v>2857</v>
      </c>
      <c r="G687" s="10">
        <v>1</v>
      </c>
      <c r="H687" s="3" t="s">
        <v>24</v>
      </c>
      <c r="I687" t="s">
        <v>2863</v>
      </c>
      <c r="J687" s="3" t="s">
        <v>55</v>
      </c>
      <c r="K687" t="s">
        <v>23</v>
      </c>
      <c r="L687" s="3" t="s">
        <v>5839</v>
      </c>
      <c r="M687" t="s">
        <v>23</v>
      </c>
      <c r="N687" s="8">
        <v>0.18220500000000001</v>
      </c>
    </row>
    <row r="688" spans="1:14" hidden="1" x14ac:dyDescent="0.55000000000000004">
      <c r="A688" s="3" t="s">
        <v>2836</v>
      </c>
      <c r="B688" s="3" t="s">
        <v>2864</v>
      </c>
      <c r="C688" t="s">
        <v>2864</v>
      </c>
      <c r="D688" s="3" t="s">
        <v>7312</v>
      </c>
      <c r="E688" t="s">
        <v>2865</v>
      </c>
      <c r="F688" s="3" t="s">
        <v>2866</v>
      </c>
      <c r="G688" s="10">
        <v>1</v>
      </c>
      <c r="H688" s="3" t="s">
        <v>19</v>
      </c>
      <c r="I688" t="s">
        <v>213</v>
      </c>
      <c r="J688" s="3" t="s">
        <v>64</v>
      </c>
      <c r="K688" t="s">
        <v>5858</v>
      </c>
      <c r="L688" s="3" t="s">
        <v>5859</v>
      </c>
      <c r="M688" t="s">
        <v>5860</v>
      </c>
      <c r="N688" s="8">
        <v>6.7199999999999996E-2</v>
      </c>
    </row>
    <row r="689" spans="1:14" hidden="1" x14ac:dyDescent="0.55000000000000004">
      <c r="A689" s="3" t="s">
        <v>2836</v>
      </c>
      <c r="B689" s="3" t="s">
        <v>2864</v>
      </c>
      <c r="C689" t="s">
        <v>2864</v>
      </c>
      <c r="D689" s="3" t="s">
        <v>7312</v>
      </c>
      <c r="E689" t="s">
        <v>2865</v>
      </c>
      <c r="F689" s="3" t="s">
        <v>2866</v>
      </c>
      <c r="G689" s="10">
        <v>1</v>
      </c>
      <c r="H689" s="3" t="s">
        <v>19</v>
      </c>
      <c r="I689" t="s">
        <v>213</v>
      </c>
      <c r="J689" s="3" t="s">
        <v>64</v>
      </c>
      <c r="K689" t="s">
        <v>5858</v>
      </c>
      <c r="L689" s="3" t="s">
        <v>5861</v>
      </c>
      <c r="M689" t="s">
        <v>5860</v>
      </c>
      <c r="N689" s="8">
        <v>6.7199999999999996E-2</v>
      </c>
    </row>
    <row r="690" spans="1:14" hidden="1" x14ac:dyDescent="0.55000000000000004">
      <c r="A690" s="3" t="s">
        <v>2836</v>
      </c>
      <c r="B690" s="3" t="s">
        <v>2864</v>
      </c>
      <c r="C690" t="s">
        <v>2864</v>
      </c>
      <c r="D690" s="3" t="s">
        <v>7312</v>
      </c>
      <c r="E690" t="s">
        <v>2865</v>
      </c>
      <c r="F690" s="3" t="s">
        <v>2866</v>
      </c>
      <c r="G690" s="10">
        <v>1</v>
      </c>
      <c r="H690" s="3" t="s">
        <v>19</v>
      </c>
      <c r="I690" t="s">
        <v>213</v>
      </c>
      <c r="J690" s="3" t="s">
        <v>64</v>
      </c>
      <c r="K690" t="s">
        <v>5858</v>
      </c>
      <c r="L690" s="3" t="s">
        <v>5862</v>
      </c>
      <c r="M690" t="s">
        <v>5860</v>
      </c>
      <c r="N690" s="8">
        <v>6.7199999999999996E-2</v>
      </c>
    </row>
    <row r="691" spans="1:14" hidden="1" x14ac:dyDescent="0.55000000000000004">
      <c r="A691" s="3" t="s">
        <v>2836</v>
      </c>
      <c r="B691" s="3" t="s">
        <v>2864</v>
      </c>
      <c r="C691" t="s">
        <v>2864</v>
      </c>
      <c r="D691" s="3" t="s">
        <v>7312</v>
      </c>
      <c r="E691" t="s">
        <v>2865</v>
      </c>
      <c r="F691" s="3" t="s">
        <v>2866</v>
      </c>
      <c r="G691" s="10">
        <v>1</v>
      </c>
      <c r="H691" s="3" t="s">
        <v>19</v>
      </c>
      <c r="I691" t="s">
        <v>2869</v>
      </c>
      <c r="J691" s="3" t="s">
        <v>212</v>
      </c>
      <c r="K691" t="s">
        <v>5855</v>
      </c>
      <c r="L691" s="3" t="s">
        <v>5856</v>
      </c>
      <c r="M691" t="s">
        <v>6100</v>
      </c>
      <c r="N691" s="8">
        <v>0.12292400000000001</v>
      </c>
    </row>
    <row r="692" spans="1:14" hidden="1" x14ac:dyDescent="0.55000000000000004">
      <c r="A692" s="3" t="s">
        <v>2836</v>
      </c>
      <c r="B692" s="3" t="s">
        <v>2864</v>
      </c>
      <c r="C692" t="s">
        <v>2864</v>
      </c>
      <c r="D692" s="3" t="s">
        <v>7312</v>
      </c>
      <c r="E692" t="s">
        <v>2865</v>
      </c>
      <c r="F692" s="3" t="s">
        <v>2866</v>
      </c>
      <c r="G692" s="10">
        <v>1</v>
      </c>
      <c r="H692" s="3" t="s">
        <v>24</v>
      </c>
      <c r="I692" t="s">
        <v>2872</v>
      </c>
      <c r="J692" s="3" t="s">
        <v>29</v>
      </c>
      <c r="K692" t="s">
        <v>23</v>
      </c>
      <c r="L692" s="3" t="s">
        <v>5840</v>
      </c>
      <c r="M692" t="s">
        <v>6101</v>
      </c>
      <c r="N692" s="8">
        <v>0.18160000000000001</v>
      </c>
    </row>
    <row r="693" spans="1:14" hidden="1" x14ac:dyDescent="0.55000000000000004">
      <c r="A693" s="3" t="s">
        <v>2836</v>
      </c>
      <c r="B693" s="3" t="s">
        <v>2873</v>
      </c>
      <c r="C693" t="s">
        <v>2837</v>
      </c>
      <c r="D693" s="3" t="s">
        <v>7312</v>
      </c>
      <c r="E693" t="s">
        <v>2874</v>
      </c>
      <c r="F693" s="3" t="s">
        <v>2875</v>
      </c>
      <c r="G693" s="10">
        <v>0</v>
      </c>
      <c r="H693" s="3" t="s">
        <v>24</v>
      </c>
      <c r="I693" t="s">
        <v>2878</v>
      </c>
      <c r="J693" s="3" t="s">
        <v>29</v>
      </c>
      <c r="K693" t="s">
        <v>23</v>
      </c>
      <c r="L693" s="3" t="s">
        <v>5840</v>
      </c>
      <c r="M693" t="s">
        <v>23</v>
      </c>
      <c r="N693" s="8">
        <v>0.18459800000000001</v>
      </c>
    </row>
    <row r="694" spans="1:14" hidden="1" x14ac:dyDescent="0.55000000000000004">
      <c r="A694" s="3" t="s">
        <v>2836</v>
      </c>
      <c r="B694" s="3" t="s">
        <v>2879</v>
      </c>
      <c r="C694" t="s">
        <v>2879</v>
      </c>
      <c r="D694" s="3" t="s">
        <v>7312</v>
      </c>
      <c r="E694" t="s">
        <v>2880</v>
      </c>
      <c r="F694" s="3" t="s">
        <v>2881</v>
      </c>
      <c r="G694" s="10">
        <v>1</v>
      </c>
      <c r="H694" s="3" t="s">
        <v>19</v>
      </c>
      <c r="I694" t="s">
        <v>1618</v>
      </c>
      <c r="J694" s="3" t="s">
        <v>1615</v>
      </c>
      <c r="K694" t="s">
        <v>6033</v>
      </c>
      <c r="L694" s="3" t="s">
        <v>6034</v>
      </c>
      <c r="M694" t="s">
        <v>6035</v>
      </c>
      <c r="N694" s="8">
        <v>4.1689999999999998E-2</v>
      </c>
    </row>
    <row r="695" spans="1:14" hidden="1" x14ac:dyDescent="0.55000000000000004">
      <c r="A695" s="3" t="s">
        <v>2836</v>
      </c>
      <c r="B695" s="3" t="s">
        <v>2879</v>
      </c>
      <c r="C695" t="s">
        <v>2879</v>
      </c>
      <c r="D695" s="3" t="s">
        <v>7312</v>
      </c>
      <c r="E695" t="s">
        <v>2880</v>
      </c>
      <c r="F695" s="3" t="s">
        <v>2881</v>
      </c>
      <c r="G695" s="10">
        <v>1</v>
      </c>
      <c r="H695" s="3" t="s">
        <v>19</v>
      </c>
      <c r="I695" t="s">
        <v>1618</v>
      </c>
      <c r="J695" s="3" t="s">
        <v>1615</v>
      </c>
      <c r="K695" t="s">
        <v>6033</v>
      </c>
      <c r="L695" s="3" t="s">
        <v>6036</v>
      </c>
      <c r="M695" t="s">
        <v>6035</v>
      </c>
      <c r="N695" s="8">
        <v>4.1689999999999998E-2</v>
      </c>
    </row>
    <row r="696" spans="1:14" hidden="1" x14ac:dyDescent="0.55000000000000004">
      <c r="A696" s="3" t="s">
        <v>2836</v>
      </c>
      <c r="B696" s="3" t="s">
        <v>2879</v>
      </c>
      <c r="C696" t="s">
        <v>2879</v>
      </c>
      <c r="D696" s="3" t="s">
        <v>7312</v>
      </c>
      <c r="E696" t="s">
        <v>2880</v>
      </c>
      <c r="F696" s="3" t="s">
        <v>2881</v>
      </c>
      <c r="G696" s="10">
        <v>1</v>
      </c>
      <c r="H696" s="3" t="s">
        <v>19</v>
      </c>
      <c r="I696" t="s">
        <v>2884</v>
      </c>
      <c r="J696" s="3" t="s">
        <v>1615</v>
      </c>
      <c r="K696" t="s">
        <v>6033</v>
      </c>
      <c r="L696" s="3" t="s">
        <v>6035</v>
      </c>
      <c r="M696" t="s">
        <v>6102</v>
      </c>
      <c r="N696" s="8">
        <v>4.7264E-2</v>
      </c>
    </row>
    <row r="697" spans="1:14" hidden="1" x14ac:dyDescent="0.55000000000000004">
      <c r="A697" s="3" t="s">
        <v>2836</v>
      </c>
      <c r="B697" s="3" t="s">
        <v>2879</v>
      </c>
      <c r="C697" t="s">
        <v>2879</v>
      </c>
      <c r="D697" s="3" t="s">
        <v>7312</v>
      </c>
      <c r="E697" t="s">
        <v>2880</v>
      </c>
      <c r="F697" s="3" t="s">
        <v>2881</v>
      </c>
      <c r="G697" s="10">
        <v>1</v>
      </c>
      <c r="H697" s="3" t="s">
        <v>24</v>
      </c>
      <c r="I697" t="s">
        <v>2888</v>
      </c>
      <c r="J697" s="3" t="s">
        <v>29</v>
      </c>
      <c r="K697" t="s">
        <v>23</v>
      </c>
      <c r="L697" s="3" t="s">
        <v>5840</v>
      </c>
      <c r="M697" t="s">
        <v>6101</v>
      </c>
      <c r="N697" s="8">
        <v>0.181838</v>
      </c>
    </row>
    <row r="698" spans="1:14" hidden="1" x14ac:dyDescent="0.55000000000000004">
      <c r="A698" s="3" t="s">
        <v>2836</v>
      </c>
      <c r="B698" s="3" t="s">
        <v>2889</v>
      </c>
      <c r="C698" t="s">
        <v>2889</v>
      </c>
      <c r="D698" s="3" t="s">
        <v>7312</v>
      </c>
      <c r="E698" t="s">
        <v>2891</v>
      </c>
      <c r="F698" s="3" t="s">
        <v>2892</v>
      </c>
      <c r="G698" s="10">
        <v>0</v>
      </c>
      <c r="H698" s="3" t="s">
        <v>19</v>
      </c>
      <c r="I698" t="s">
        <v>213</v>
      </c>
      <c r="J698" s="3" t="s">
        <v>64</v>
      </c>
      <c r="K698" t="s">
        <v>5858</v>
      </c>
      <c r="L698" s="3" t="s">
        <v>5859</v>
      </c>
      <c r="M698" t="s">
        <v>5860</v>
      </c>
      <c r="N698" s="8">
        <v>6.7199999999999996E-2</v>
      </c>
    </row>
    <row r="699" spans="1:14" hidden="1" x14ac:dyDescent="0.55000000000000004">
      <c r="A699" s="3" t="s">
        <v>2836</v>
      </c>
      <c r="B699" s="3" t="s">
        <v>2889</v>
      </c>
      <c r="C699" t="s">
        <v>2889</v>
      </c>
      <c r="D699" s="3" t="s">
        <v>7312</v>
      </c>
      <c r="E699" t="s">
        <v>2891</v>
      </c>
      <c r="F699" s="3" t="s">
        <v>2892</v>
      </c>
      <c r="G699" s="10">
        <v>0</v>
      </c>
      <c r="H699" s="3" t="s">
        <v>19</v>
      </c>
      <c r="I699" t="s">
        <v>213</v>
      </c>
      <c r="J699" s="3" t="s">
        <v>64</v>
      </c>
      <c r="K699" t="s">
        <v>5858</v>
      </c>
      <c r="L699" s="3" t="s">
        <v>5861</v>
      </c>
      <c r="M699" t="s">
        <v>5860</v>
      </c>
      <c r="N699" s="8">
        <v>6.7199999999999996E-2</v>
      </c>
    </row>
    <row r="700" spans="1:14" hidden="1" x14ac:dyDescent="0.55000000000000004">
      <c r="A700" s="3" t="s">
        <v>2836</v>
      </c>
      <c r="B700" s="3" t="s">
        <v>2889</v>
      </c>
      <c r="C700" t="s">
        <v>2889</v>
      </c>
      <c r="D700" s="3" t="s">
        <v>7312</v>
      </c>
      <c r="E700" t="s">
        <v>2891</v>
      </c>
      <c r="F700" s="3" t="s">
        <v>2892</v>
      </c>
      <c r="G700" s="10">
        <v>0</v>
      </c>
      <c r="H700" s="3" t="s">
        <v>19</v>
      </c>
      <c r="I700" t="s">
        <v>213</v>
      </c>
      <c r="J700" s="3" t="s">
        <v>64</v>
      </c>
      <c r="K700" t="s">
        <v>5858</v>
      </c>
      <c r="L700" s="3" t="s">
        <v>5862</v>
      </c>
      <c r="M700" t="s">
        <v>5860</v>
      </c>
      <c r="N700" s="8">
        <v>6.7199999999999996E-2</v>
      </c>
    </row>
    <row r="701" spans="1:14" hidden="1" x14ac:dyDescent="0.55000000000000004">
      <c r="A701" s="3" t="s">
        <v>2836</v>
      </c>
      <c r="B701" s="3" t="s">
        <v>2889</v>
      </c>
      <c r="C701" t="s">
        <v>2889</v>
      </c>
      <c r="D701" s="3" t="s">
        <v>7312</v>
      </c>
      <c r="E701" t="s">
        <v>2891</v>
      </c>
      <c r="F701" s="3" t="s">
        <v>2892</v>
      </c>
      <c r="G701" s="10">
        <v>0</v>
      </c>
      <c r="H701" s="3" t="s">
        <v>19</v>
      </c>
      <c r="I701" t="s">
        <v>2895</v>
      </c>
      <c r="J701" s="3" t="s">
        <v>212</v>
      </c>
      <c r="K701" t="s">
        <v>5855</v>
      </c>
      <c r="L701" s="3" t="s">
        <v>5856</v>
      </c>
      <c r="M701" t="s">
        <v>6103</v>
      </c>
      <c r="N701" s="8">
        <v>8.8648000000000005E-2</v>
      </c>
    </row>
    <row r="702" spans="1:14" hidden="1" x14ac:dyDescent="0.55000000000000004">
      <c r="A702" s="3" t="s">
        <v>2836</v>
      </c>
      <c r="B702" s="3" t="s">
        <v>2889</v>
      </c>
      <c r="C702" t="s">
        <v>2889</v>
      </c>
      <c r="D702" s="3" t="s">
        <v>7312</v>
      </c>
      <c r="E702" t="s">
        <v>2891</v>
      </c>
      <c r="F702" s="3" t="s">
        <v>2892</v>
      </c>
      <c r="G702" s="10">
        <v>0</v>
      </c>
      <c r="H702" s="3" t="s">
        <v>24</v>
      </c>
      <c r="I702" t="s">
        <v>2898</v>
      </c>
      <c r="J702" s="3" t="s">
        <v>55</v>
      </c>
      <c r="K702" t="s">
        <v>23</v>
      </c>
      <c r="L702" s="3" t="s">
        <v>5839</v>
      </c>
      <c r="M702" t="s">
        <v>23</v>
      </c>
      <c r="N702" s="8">
        <v>0.18238299999999999</v>
      </c>
    </row>
    <row r="703" spans="1:14" hidden="1" x14ac:dyDescent="0.55000000000000004">
      <c r="A703" s="3" t="s">
        <v>2836</v>
      </c>
      <c r="B703" s="3" t="s">
        <v>2889</v>
      </c>
      <c r="C703" t="s">
        <v>2889</v>
      </c>
      <c r="D703" s="3" t="s">
        <v>7312</v>
      </c>
      <c r="E703" t="s">
        <v>2899</v>
      </c>
      <c r="F703" s="3" t="s">
        <v>2900</v>
      </c>
      <c r="G703" s="10">
        <v>1</v>
      </c>
      <c r="H703" s="3" t="s">
        <v>19</v>
      </c>
      <c r="I703" t="s">
        <v>213</v>
      </c>
      <c r="J703" s="3" t="s">
        <v>64</v>
      </c>
      <c r="K703" t="s">
        <v>5858</v>
      </c>
      <c r="L703" s="3" t="s">
        <v>5859</v>
      </c>
      <c r="M703" t="s">
        <v>5860</v>
      </c>
      <c r="N703" s="8">
        <v>6.7199999999999996E-2</v>
      </c>
    </row>
    <row r="704" spans="1:14" hidden="1" x14ac:dyDescent="0.55000000000000004">
      <c r="A704" s="3" t="s">
        <v>2836</v>
      </c>
      <c r="B704" s="3" t="s">
        <v>2889</v>
      </c>
      <c r="C704" t="s">
        <v>2889</v>
      </c>
      <c r="D704" s="3" t="s">
        <v>7312</v>
      </c>
      <c r="E704" t="s">
        <v>2899</v>
      </c>
      <c r="F704" s="3" t="s">
        <v>2900</v>
      </c>
      <c r="G704" s="10">
        <v>1</v>
      </c>
      <c r="H704" s="3" t="s">
        <v>19</v>
      </c>
      <c r="I704" t="s">
        <v>213</v>
      </c>
      <c r="J704" s="3" t="s">
        <v>64</v>
      </c>
      <c r="K704" t="s">
        <v>5858</v>
      </c>
      <c r="L704" s="3" t="s">
        <v>5861</v>
      </c>
      <c r="M704" t="s">
        <v>5860</v>
      </c>
      <c r="N704" s="8">
        <v>6.7199999999999996E-2</v>
      </c>
    </row>
    <row r="705" spans="1:14" hidden="1" x14ac:dyDescent="0.55000000000000004">
      <c r="A705" s="3" t="s">
        <v>2836</v>
      </c>
      <c r="B705" s="3" t="s">
        <v>2889</v>
      </c>
      <c r="C705" t="s">
        <v>2889</v>
      </c>
      <c r="D705" s="3" t="s">
        <v>7312</v>
      </c>
      <c r="E705" t="s">
        <v>2899</v>
      </c>
      <c r="F705" s="3" t="s">
        <v>2900</v>
      </c>
      <c r="G705" s="10">
        <v>1</v>
      </c>
      <c r="H705" s="3" t="s">
        <v>19</v>
      </c>
      <c r="I705" t="s">
        <v>213</v>
      </c>
      <c r="J705" s="3" t="s">
        <v>64</v>
      </c>
      <c r="K705" t="s">
        <v>5858</v>
      </c>
      <c r="L705" s="3" t="s">
        <v>5862</v>
      </c>
      <c r="M705" t="s">
        <v>5860</v>
      </c>
      <c r="N705" s="8">
        <v>6.7199999999999996E-2</v>
      </c>
    </row>
    <row r="706" spans="1:14" hidden="1" x14ac:dyDescent="0.55000000000000004">
      <c r="A706" s="3" t="s">
        <v>2836</v>
      </c>
      <c r="B706" s="3" t="s">
        <v>2889</v>
      </c>
      <c r="C706" t="s">
        <v>2889</v>
      </c>
      <c r="D706" s="3" t="s">
        <v>7312</v>
      </c>
      <c r="E706" t="s">
        <v>2899</v>
      </c>
      <c r="F706" s="3" t="s">
        <v>2900</v>
      </c>
      <c r="G706" s="10">
        <v>1</v>
      </c>
      <c r="H706" s="3" t="s">
        <v>19</v>
      </c>
      <c r="I706" t="s">
        <v>2895</v>
      </c>
      <c r="J706" s="3" t="s">
        <v>212</v>
      </c>
      <c r="K706" t="s">
        <v>5855</v>
      </c>
      <c r="L706" s="3" t="s">
        <v>5856</v>
      </c>
      <c r="M706" t="s">
        <v>6103</v>
      </c>
      <c r="N706" s="8">
        <v>8.8648000000000005E-2</v>
      </c>
    </row>
    <row r="707" spans="1:14" hidden="1" x14ac:dyDescent="0.55000000000000004">
      <c r="A707" s="3" t="s">
        <v>2836</v>
      </c>
      <c r="B707" s="3" t="s">
        <v>2889</v>
      </c>
      <c r="C707" t="s">
        <v>2889</v>
      </c>
      <c r="D707" s="3" t="s">
        <v>7312</v>
      </c>
      <c r="E707" t="s">
        <v>2899</v>
      </c>
      <c r="F707" s="3" t="s">
        <v>2900</v>
      </c>
      <c r="G707" s="10">
        <v>1</v>
      </c>
      <c r="H707" s="3" t="s">
        <v>24</v>
      </c>
      <c r="I707" t="s">
        <v>2898</v>
      </c>
      <c r="J707" s="3" t="s">
        <v>55</v>
      </c>
      <c r="K707" t="s">
        <v>23</v>
      </c>
      <c r="L707" s="3" t="s">
        <v>5839</v>
      </c>
      <c r="M707" t="s">
        <v>23</v>
      </c>
      <c r="N707" s="8">
        <v>0.18238299999999999</v>
      </c>
    </row>
    <row r="708" spans="1:14" hidden="1" x14ac:dyDescent="0.55000000000000004">
      <c r="A708" s="3" t="s">
        <v>2836</v>
      </c>
      <c r="B708" s="3" t="s">
        <v>2901</v>
      </c>
      <c r="C708" t="s">
        <v>2901</v>
      </c>
      <c r="D708" s="3" t="s">
        <v>7312</v>
      </c>
      <c r="E708" t="s">
        <v>2902</v>
      </c>
      <c r="F708" s="3" t="s">
        <v>2903</v>
      </c>
      <c r="G708" s="10">
        <v>1</v>
      </c>
      <c r="H708" s="3" t="s">
        <v>19</v>
      </c>
      <c r="I708" t="s">
        <v>213</v>
      </c>
      <c r="J708" s="3" t="s">
        <v>64</v>
      </c>
      <c r="K708" t="s">
        <v>5858</v>
      </c>
      <c r="L708" s="3" t="s">
        <v>5859</v>
      </c>
      <c r="M708" t="s">
        <v>5860</v>
      </c>
      <c r="N708" s="8">
        <v>6.7199999999999996E-2</v>
      </c>
    </row>
    <row r="709" spans="1:14" hidden="1" x14ac:dyDescent="0.55000000000000004">
      <c r="A709" s="3" t="s">
        <v>2836</v>
      </c>
      <c r="B709" s="3" t="s">
        <v>2901</v>
      </c>
      <c r="C709" t="s">
        <v>2901</v>
      </c>
      <c r="D709" s="3" t="s">
        <v>7312</v>
      </c>
      <c r="E709" t="s">
        <v>2902</v>
      </c>
      <c r="F709" s="3" t="s">
        <v>2903</v>
      </c>
      <c r="G709" s="10">
        <v>1</v>
      </c>
      <c r="H709" s="3" t="s">
        <v>19</v>
      </c>
      <c r="I709" t="s">
        <v>213</v>
      </c>
      <c r="J709" s="3" t="s">
        <v>64</v>
      </c>
      <c r="K709" t="s">
        <v>5858</v>
      </c>
      <c r="L709" s="3" t="s">
        <v>5861</v>
      </c>
      <c r="M709" t="s">
        <v>5860</v>
      </c>
      <c r="N709" s="8">
        <v>6.7199999999999996E-2</v>
      </c>
    </row>
    <row r="710" spans="1:14" hidden="1" x14ac:dyDescent="0.55000000000000004">
      <c r="A710" s="3" t="s">
        <v>2836</v>
      </c>
      <c r="B710" s="3" t="s">
        <v>2901</v>
      </c>
      <c r="C710" t="s">
        <v>2901</v>
      </c>
      <c r="D710" s="3" t="s">
        <v>7312</v>
      </c>
      <c r="E710" t="s">
        <v>2902</v>
      </c>
      <c r="F710" s="3" t="s">
        <v>2903</v>
      </c>
      <c r="G710" s="10">
        <v>1</v>
      </c>
      <c r="H710" s="3" t="s">
        <v>19</v>
      </c>
      <c r="I710" t="s">
        <v>213</v>
      </c>
      <c r="J710" s="3" t="s">
        <v>64</v>
      </c>
      <c r="K710" t="s">
        <v>5858</v>
      </c>
      <c r="L710" s="3" t="s">
        <v>5862</v>
      </c>
      <c r="M710" t="s">
        <v>5860</v>
      </c>
      <c r="N710" s="8">
        <v>6.7199999999999996E-2</v>
      </c>
    </row>
    <row r="711" spans="1:14" hidden="1" x14ac:dyDescent="0.55000000000000004">
      <c r="A711" s="3" t="s">
        <v>2836</v>
      </c>
      <c r="B711" s="3" t="s">
        <v>2901</v>
      </c>
      <c r="C711" t="s">
        <v>2901</v>
      </c>
      <c r="D711" s="3" t="s">
        <v>7312</v>
      </c>
      <c r="E711" t="s">
        <v>2902</v>
      </c>
      <c r="F711" s="3" t="s">
        <v>2903</v>
      </c>
      <c r="G711" s="10">
        <v>1</v>
      </c>
      <c r="H711" s="3" t="s">
        <v>19</v>
      </c>
      <c r="I711" t="s">
        <v>2906</v>
      </c>
      <c r="J711" s="3" t="s">
        <v>212</v>
      </c>
      <c r="K711" t="s">
        <v>5855</v>
      </c>
      <c r="L711" s="3" t="s">
        <v>5856</v>
      </c>
      <c r="M711" t="s">
        <v>6104</v>
      </c>
      <c r="N711" s="8">
        <v>0.12292400000000001</v>
      </c>
    </row>
    <row r="712" spans="1:14" hidden="1" x14ac:dyDescent="0.55000000000000004">
      <c r="A712" s="3" t="s">
        <v>2836</v>
      </c>
      <c r="B712" s="3" t="s">
        <v>2901</v>
      </c>
      <c r="C712" t="s">
        <v>2901</v>
      </c>
      <c r="D712" s="3" t="s">
        <v>7312</v>
      </c>
      <c r="E712" t="s">
        <v>2902</v>
      </c>
      <c r="F712" s="3" t="s">
        <v>2903</v>
      </c>
      <c r="G712" s="10">
        <v>1</v>
      </c>
      <c r="H712" s="3" t="s">
        <v>24</v>
      </c>
      <c r="I712" t="s">
        <v>2909</v>
      </c>
      <c r="J712" s="3" t="s">
        <v>55</v>
      </c>
      <c r="K712" t="s">
        <v>23</v>
      </c>
      <c r="L712" s="3" t="s">
        <v>5839</v>
      </c>
      <c r="M712" t="s">
        <v>23</v>
      </c>
      <c r="N712" s="8">
        <v>0.181612</v>
      </c>
    </row>
    <row r="713" spans="1:14" hidden="1" x14ac:dyDescent="0.55000000000000004">
      <c r="A713" s="3" t="s">
        <v>2836</v>
      </c>
      <c r="B713" s="3" t="s">
        <v>7360</v>
      </c>
      <c r="C713" t="s">
        <v>2921</v>
      </c>
      <c r="D713" s="3" t="s">
        <v>7312</v>
      </c>
      <c r="E713" t="s">
        <v>2913</v>
      </c>
      <c r="F713" s="3" t="s">
        <v>2914</v>
      </c>
      <c r="G713" s="10">
        <v>0</v>
      </c>
      <c r="H713" s="3" t="s">
        <v>19</v>
      </c>
      <c r="I713" t="s">
        <v>23</v>
      </c>
      <c r="J713" s="3" t="s">
        <v>23</v>
      </c>
      <c r="K713" t="s">
        <v>23</v>
      </c>
      <c r="L713" s="3" t="s">
        <v>23</v>
      </c>
      <c r="M713" t="s">
        <v>23</v>
      </c>
      <c r="N713" s="8" t="s">
        <v>23</v>
      </c>
    </row>
    <row r="714" spans="1:14" hidden="1" x14ac:dyDescent="0.55000000000000004">
      <c r="A714" s="3" t="s">
        <v>2836</v>
      </c>
      <c r="B714" s="3" t="s">
        <v>7360</v>
      </c>
      <c r="C714" t="s">
        <v>2921</v>
      </c>
      <c r="D714" s="3" t="s">
        <v>7312</v>
      </c>
      <c r="E714" t="s">
        <v>2913</v>
      </c>
      <c r="F714" s="3" t="s">
        <v>2914</v>
      </c>
      <c r="G714" s="10">
        <v>0</v>
      </c>
      <c r="H714" s="3" t="s">
        <v>24</v>
      </c>
      <c r="I714" t="s">
        <v>2919</v>
      </c>
      <c r="J714" s="3" t="s">
        <v>55</v>
      </c>
      <c r="K714" t="s">
        <v>23</v>
      </c>
      <c r="L714" s="3" t="s">
        <v>5839</v>
      </c>
      <c r="M714" t="s">
        <v>23</v>
      </c>
      <c r="N714" s="8">
        <v>0.18270400000000001</v>
      </c>
    </row>
    <row r="715" spans="1:14" hidden="1" x14ac:dyDescent="0.55000000000000004">
      <c r="A715" s="3" t="s">
        <v>2836</v>
      </c>
      <c r="B715" s="3" t="s">
        <v>2921</v>
      </c>
      <c r="C715" t="s">
        <v>2921</v>
      </c>
      <c r="D715" s="3" t="s">
        <v>7312</v>
      </c>
      <c r="E715" t="s">
        <v>2922</v>
      </c>
      <c r="F715" s="3" t="s">
        <v>2923</v>
      </c>
      <c r="G715" s="10">
        <v>0</v>
      </c>
      <c r="H715" s="3" t="s">
        <v>19</v>
      </c>
      <c r="I715" t="s">
        <v>2926</v>
      </c>
      <c r="J715" s="3" t="s">
        <v>1610</v>
      </c>
      <c r="K715" t="s">
        <v>5985</v>
      </c>
      <c r="L715" s="3" t="s">
        <v>5986</v>
      </c>
      <c r="M715" t="s">
        <v>6105</v>
      </c>
      <c r="N715" s="8">
        <v>5.3880999999999998E-2</v>
      </c>
    </row>
    <row r="716" spans="1:14" hidden="1" x14ac:dyDescent="0.55000000000000004">
      <c r="A716" s="3" t="s">
        <v>2836</v>
      </c>
      <c r="B716" s="3" t="s">
        <v>2921</v>
      </c>
      <c r="C716" t="s">
        <v>2921</v>
      </c>
      <c r="D716" s="3" t="s">
        <v>7312</v>
      </c>
      <c r="E716" t="s">
        <v>2922</v>
      </c>
      <c r="F716" s="3" t="s">
        <v>2923</v>
      </c>
      <c r="G716" s="10">
        <v>0</v>
      </c>
      <c r="H716" s="3" t="s">
        <v>24</v>
      </c>
      <c r="I716" t="s">
        <v>2929</v>
      </c>
      <c r="J716" s="3" t="s">
        <v>76</v>
      </c>
      <c r="K716" t="s">
        <v>5841</v>
      </c>
      <c r="L716" s="3" t="s">
        <v>5840</v>
      </c>
      <c r="M716" t="s">
        <v>5988</v>
      </c>
      <c r="N716" s="8">
        <v>0.188167</v>
      </c>
    </row>
    <row r="717" spans="1:14" hidden="1" x14ac:dyDescent="0.55000000000000004">
      <c r="A717" s="3" t="s">
        <v>2836</v>
      </c>
      <c r="B717" s="3" t="s">
        <v>2921</v>
      </c>
      <c r="C717" t="s">
        <v>2921</v>
      </c>
      <c r="D717" s="3" t="s">
        <v>7312</v>
      </c>
      <c r="E717" t="s">
        <v>2932</v>
      </c>
      <c r="F717" s="3" t="s">
        <v>2933</v>
      </c>
      <c r="G717" s="10">
        <v>1</v>
      </c>
      <c r="H717" s="3" t="s">
        <v>19</v>
      </c>
      <c r="I717" t="s">
        <v>2936</v>
      </c>
      <c r="J717" s="3" t="s">
        <v>1543</v>
      </c>
      <c r="K717" t="s">
        <v>5979</v>
      </c>
      <c r="L717" s="3" t="s">
        <v>5980</v>
      </c>
      <c r="M717" t="s">
        <v>6106</v>
      </c>
      <c r="N717" s="8">
        <v>1.4182999999999999E-2</v>
      </c>
    </row>
    <row r="718" spans="1:14" hidden="1" x14ac:dyDescent="0.55000000000000004">
      <c r="A718" s="3" t="s">
        <v>2836</v>
      </c>
      <c r="B718" s="3" t="s">
        <v>2921</v>
      </c>
      <c r="C718" t="s">
        <v>2921</v>
      </c>
      <c r="D718" s="3" t="s">
        <v>7312</v>
      </c>
      <c r="E718" t="s">
        <v>2932</v>
      </c>
      <c r="F718" s="3" t="s">
        <v>2933</v>
      </c>
      <c r="G718" s="10">
        <v>1</v>
      </c>
      <c r="H718" s="3" t="s">
        <v>24</v>
      </c>
      <c r="I718" t="s">
        <v>2929</v>
      </c>
      <c r="J718" s="3" t="s">
        <v>76</v>
      </c>
      <c r="K718" t="s">
        <v>5841</v>
      </c>
      <c r="L718" s="3" t="s">
        <v>5840</v>
      </c>
      <c r="M718" t="s">
        <v>5988</v>
      </c>
      <c r="N718" s="8">
        <v>0.188167</v>
      </c>
    </row>
    <row r="719" spans="1:14" hidden="1" x14ac:dyDescent="0.55000000000000004">
      <c r="A719" s="3" t="s">
        <v>2836</v>
      </c>
      <c r="B719" s="3" t="s">
        <v>2921</v>
      </c>
      <c r="C719" t="s">
        <v>2921</v>
      </c>
      <c r="D719" s="3" t="s">
        <v>7312</v>
      </c>
      <c r="E719" t="s">
        <v>2937</v>
      </c>
      <c r="F719" s="3" t="s">
        <v>2938</v>
      </c>
      <c r="G719" s="10">
        <v>0</v>
      </c>
      <c r="H719" s="3" t="s">
        <v>19</v>
      </c>
      <c r="I719" t="s">
        <v>2926</v>
      </c>
      <c r="J719" s="3" t="s">
        <v>1610</v>
      </c>
      <c r="K719" t="s">
        <v>5985</v>
      </c>
      <c r="L719" s="3" t="s">
        <v>5986</v>
      </c>
      <c r="M719" t="s">
        <v>6105</v>
      </c>
      <c r="N719" s="8">
        <v>5.3880999999999998E-2</v>
      </c>
    </row>
    <row r="720" spans="1:14" hidden="1" x14ac:dyDescent="0.55000000000000004">
      <c r="A720" s="3" t="s">
        <v>2836</v>
      </c>
      <c r="B720" s="3" t="s">
        <v>2921</v>
      </c>
      <c r="C720" t="s">
        <v>2921</v>
      </c>
      <c r="D720" s="3" t="s">
        <v>7312</v>
      </c>
      <c r="E720" t="s">
        <v>2937</v>
      </c>
      <c r="F720" s="3" t="s">
        <v>2938</v>
      </c>
      <c r="G720" s="10">
        <v>0</v>
      </c>
      <c r="H720" s="3" t="s">
        <v>24</v>
      </c>
      <c r="I720" t="s">
        <v>2929</v>
      </c>
      <c r="J720" s="3" t="s">
        <v>76</v>
      </c>
      <c r="K720" t="s">
        <v>5841</v>
      </c>
      <c r="L720" s="3" t="s">
        <v>5840</v>
      </c>
      <c r="M720" t="s">
        <v>5988</v>
      </c>
      <c r="N720" s="8">
        <v>0.188167</v>
      </c>
    </row>
    <row r="721" spans="1:14" hidden="1" x14ac:dyDescent="0.55000000000000004">
      <c r="A721" s="3" t="s">
        <v>2836</v>
      </c>
      <c r="B721" s="3" t="s">
        <v>2890</v>
      </c>
      <c r="C721" t="s">
        <v>2890</v>
      </c>
      <c r="D721" s="3" t="s">
        <v>7312</v>
      </c>
      <c r="E721" t="s">
        <v>2939</v>
      </c>
      <c r="F721" s="3" t="s">
        <v>2940</v>
      </c>
      <c r="G721" s="10">
        <v>1</v>
      </c>
      <c r="H721" s="3" t="s">
        <v>19</v>
      </c>
      <c r="I721" t="s">
        <v>213</v>
      </c>
      <c r="J721" s="3" t="s">
        <v>64</v>
      </c>
      <c r="K721" t="s">
        <v>5858</v>
      </c>
      <c r="L721" s="3" t="s">
        <v>5859</v>
      </c>
      <c r="M721" t="s">
        <v>5860</v>
      </c>
      <c r="N721" s="8">
        <v>6.7199999999999996E-2</v>
      </c>
    </row>
    <row r="722" spans="1:14" hidden="1" x14ac:dyDescent="0.55000000000000004">
      <c r="A722" s="3" t="s">
        <v>2836</v>
      </c>
      <c r="B722" s="3" t="s">
        <v>2890</v>
      </c>
      <c r="C722" t="s">
        <v>2890</v>
      </c>
      <c r="D722" s="3" t="s">
        <v>7312</v>
      </c>
      <c r="E722" t="s">
        <v>2939</v>
      </c>
      <c r="F722" s="3" t="s">
        <v>2940</v>
      </c>
      <c r="G722" s="10">
        <v>1</v>
      </c>
      <c r="H722" s="3" t="s">
        <v>19</v>
      </c>
      <c r="I722" t="s">
        <v>213</v>
      </c>
      <c r="J722" s="3" t="s">
        <v>64</v>
      </c>
      <c r="K722" t="s">
        <v>5858</v>
      </c>
      <c r="L722" s="3" t="s">
        <v>5861</v>
      </c>
      <c r="M722" t="s">
        <v>5860</v>
      </c>
      <c r="N722" s="8">
        <v>6.7199999999999996E-2</v>
      </c>
    </row>
    <row r="723" spans="1:14" hidden="1" x14ac:dyDescent="0.55000000000000004">
      <c r="A723" s="3" t="s">
        <v>2836</v>
      </c>
      <c r="B723" s="3" t="s">
        <v>2890</v>
      </c>
      <c r="C723" t="s">
        <v>2890</v>
      </c>
      <c r="D723" s="3" t="s">
        <v>7312</v>
      </c>
      <c r="E723" t="s">
        <v>2939</v>
      </c>
      <c r="F723" s="3" t="s">
        <v>2940</v>
      </c>
      <c r="G723" s="10">
        <v>1</v>
      </c>
      <c r="H723" s="3" t="s">
        <v>19</v>
      </c>
      <c r="I723" t="s">
        <v>213</v>
      </c>
      <c r="J723" s="3" t="s">
        <v>64</v>
      </c>
      <c r="K723" t="s">
        <v>5858</v>
      </c>
      <c r="L723" s="3" t="s">
        <v>5862</v>
      </c>
      <c r="M723" t="s">
        <v>5860</v>
      </c>
      <c r="N723" s="8">
        <v>6.7199999999999996E-2</v>
      </c>
    </row>
    <row r="724" spans="1:14" hidden="1" x14ac:dyDescent="0.55000000000000004">
      <c r="A724" s="3" t="s">
        <v>2836</v>
      </c>
      <c r="B724" s="3" t="s">
        <v>2890</v>
      </c>
      <c r="C724" t="s">
        <v>2890</v>
      </c>
      <c r="D724" s="3" t="s">
        <v>7312</v>
      </c>
      <c r="E724" t="s">
        <v>2939</v>
      </c>
      <c r="F724" s="3" t="s">
        <v>2940</v>
      </c>
      <c r="G724" s="10">
        <v>1</v>
      </c>
      <c r="H724" s="3" t="s">
        <v>19</v>
      </c>
      <c r="I724" t="s">
        <v>2943</v>
      </c>
      <c r="J724" s="3" t="s">
        <v>212</v>
      </c>
      <c r="K724" t="s">
        <v>5855</v>
      </c>
      <c r="L724" s="3" t="s">
        <v>5856</v>
      </c>
      <c r="M724" t="s">
        <v>6107</v>
      </c>
      <c r="N724" s="8">
        <v>9.7449999999999995E-2</v>
      </c>
    </row>
    <row r="725" spans="1:14" hidden="1" x14ac:dyDescent="0.55000000000000004">
      <c r="A725" s="3" t="s">
        <v>2836</v>
      </c>
      <c r="B725" s="3" t="s">
        <v>2890</v>
      </c>
      <c r="C725" t="s">
        <v>2890</v>
      </c>
      <c r="D725" s="3" t="s">
        <v>7312</v>
      </c>
      <c r="E725" t="s">
        <v>2939</v>
      </c>
      <c r="F725" s="3" t="s">
        <v>2940</v>
      </c>
      <c r="G725" s="10">
        <v>1</v>
      </c>
      <c r="H725" s="3" t="s">
        <v>24</v>
      </c>
      <c r="I725" t="s">
        <v>2946</v>
      </c>
      <c r="J725" s="3" t="s">
        <v>55</v>
      </c>
      <c r="K725" t="s">
        <v>23</v>
      </c>
      <c r="L725" s="3" t="s">
        <v>5839</v>
      </c>
      <c r="M725" t="s">
        <v>23</v>
      </c>
      <c r="N725" s="8">
        <v>0.18243500000000001</v>
      </c>
    </row>
    <row r="726" spans="1:14" hidden="1" x14ac:dyDescent="0.55000000000000004">
      <c r="A726" s="3" t="s">
        <v>2836</v>
      </c>
      <c r="B726" s="3" t="s">
        <v>2947</v>
      </c>
      <c r="C726" t="s">
        <v>1999</v>
      </c>
      <c r="D726" s="3" t="s">
        <v>7312</v>
      </c>
      <c r="E726" t="s">
        <v>2948</v>
      </c>
      <c r="F726" s="3" t="s">
        <v>2949</v>
      </c>
      <c r="G726" s="10">
        <v>0</v>
      </c>
      <c r="H726" s="3" t="s">
        <v>19</v>
      </c>
      <c r="I726" t="s">
        <v>1280</v>
      </c>
      <c r="J726" s="3" t="s">
        <v>1279</v>
      </c>
      <c r="K726" t="s">
        <v>5953</v>
      </c>
      <c r="L726" s="3" t="s">
        <v>5956</v>
      </c>
      <c r="M726" t="s">
        <v>5954</v>
      </c>
      <c r="N726" s="8">
        <v>5.5162000000000003E-2</v>
      </c>
    </row>
    <row r="727" spans="1:14" hidden="1" x14ac:dyDescent="0.55000000000000004">
      <c r="A727" s="3" t="s">
        <v>2836</v>
      </c>
      <c r="B727" s="3" t="s">
        <v>2947</v>
      </c>
      <c r="C727" t="s">
        <v>1999</v>
      </c>
      <c r="D727" s="3" t="s">
        <v>7312</v>
      </c>
      <c r="E727" t="s">
        <v>2948</v>
      </c>
      <c r="F727" s="3" t="s">
        <v>2949</v>
      </c>
      <c r="G727" s="10">
        <v>0</v>
      </c>
      <c r="H727" s="3" t="s">
        <v>19</v>
      </c>
      <c r="I727" t="s">
        <v>1281</v>
      </c>
      <c r="J727" s="3" t="s">
        <v>1282</v>
      </c>
      <c r="K727" t="s">
        <v>5957</v>
      </c>
      <c r="L727" s="3" t="s">
        <v>5958</v>
      </c>
      <c r="M727" t="s">
        <v>5959</v>
      </c>
      <c r="N727" s="8">
        <v>2.8874E-2</v>
      </c>
    </row>
    <row r="728" spans="1:14" hidden="1" x14ac:dyDescent="0.55000000000000004">
      <c r="A728" s="9" t="s">
        <v>2836</v>
      </c>
      <c r="B728" s="3" t="s">
        <v>2947</v>
      </c>
      <c r="C728" t="s">
        <v>1999</v>
      </c>
      <c r="D728" s="3" t="s">
        <v>7312</v>
      </c>
      <c r="E728" t="s">
        <v>2948</v>
      </c>
      <c r="F728" s="3" t="s">
        <v>2949</v>
      </c>
      <c r="G728" s="10">
        <v>0</v>
      </c>
      <c r="H728" s="3" t="s">
        <v>24</v>
      </c>
      <c r="I728" t="s">
        <v>2959</v>
      </c>
      <c r="J728" s="3" t="s">
        <v>55</v>
      </c>
      <c r="K728" t="s">
        <v>23</v>
      </c>
      <c r="L728" s="3" t="s">
        <v>5839</v>
      </c>
      <c r="M728" t="s">
        <v>23</v>
      </c>
      <c r="N728" s="8">
        <v>0.18052000000000001</v>
      </c>
    </row>
    <row r="729" spans="1:14" hidden="1" x14ac:dyDescent="0.55000000000000004">
      <c r="A729" s="3" t="s">
        <v>2963</v>
      </c>
      <c r="B729" s="3" t="s">
        <v>2964</v>
      </c>
      <c r="C729" t="s">
        <v>2964</v>
      </c>
      <c r="D729" s="3" t="s">
        <v>7314</v>
      </c>
      <c r="E729" t="s">
        <v>2965</v>
      </c>
      <c r="F729" s="3" t="s">
        <v>2966</v>
      </c>
      <c r="G729" s="10">
        <v>0</v>
      </c>
      <c r="H729" s="3" t="s">
        <v>24</v>
      </c>
      <c r="I729" t="s">
        <v>2969</v>
      </c>
      <c r="J729" s="3" t="s">
        <v>55</v>
      </c>
      <c r="K729" t="s">
        <v>23</v>
      </c>
      <c r="L729" s="3" t="s">
        <v>5835</v>
      </c>
      <c r="M729" t="s">
        <v>23</v>
      </c>
      <c r="N729" s="8">
        <v>0.21784600000000001</v>
      </c>
    </row>
    <row r="730" spans="1:14" hidden="1" x14ac:dyDescent="0.55000000000000004">
      <c r="A730" s="3" t="s">
        <v>2963</v>
      </c>
      <c r="B730" s="3" t="s">
        <v>2970</v>
      </c>
      <c r="C730" t="s">
        <v>2970</v>
      </c>
      <c r="D730" s="3" t="s">
        <v>7314</v>
      </c>
      <c r="E730" t="s">
        <v>2971</v>
      </c>
      <c r="F730" s="3" t="s">
        <v>2972</v>
      </c>
      <c r="G730" s="10">
        <v>0</v>
      </c>
      <c r="H730" s="3" t="s">
        <v>19</v>
      </c>
      <c r="I730" t="s">
        <v>2975</v>
      </c>
      <c r="J730" s="3" t="s">
        <v>84</v>
      </c>
      <c r="K730" t="s">
        <v>5842</v>
      </c>
      <c r="L730" s="3" t="s">
        <v>5843</v>
      </c>
      <c r="M730" t="s">
        <v>6108</v>
      </c>
      <c r="N730" s="8">
        <v>2.9499999999999998E-2</v>
      </c>
    </row>
    <row r="731" spans="1:14" hidden="1" x14ac:dyDescent="0.55000000000000004">
      <c r="A731" s="3" t="s">
        <v>2963</v>
      </c>
      <c r="B731" s="3" t="s">
        <v>2970</v>
      </c>
      <c r="C731" t="s">
        <v>2970</v>
      </c>
      <c r="D731" s="3" t="s">
        <v>7314</v>
      </c>
      <c r="E731" t="s">
        <v>2971</v>
      </c>
      <c r="F731" s="3" t="s">
        <v>2972</v>
      </c>
      <c r="G731" s="10">
        <v>0</v>
      </c>
      <c r="H731" s="3" t="s">
        <v>24</v>
      </c>
      <c r="I731" t="s">
        <v>2981</v>
      </c>
      <c r="J731" s="3" t="s">
        <v>46</v>
      </c>
      <c r="K731" t="s">
        <v>5836</v>
      </c>
      <c r="L731" s="3" t="s">
        <v>5837</v>
      </c>
      <c r="M731" t="s">
        <v>6109</v>
      </c>
      <c r="N731" s="8">
        <v>0.189667</v>
      </c>
    </row>
    <row r="732" spans="1:14" hidden="1" x14ac:dyDescent="0.55000000000000004">
      <c r="A732" s="3" t="s">
        <v>2963</v>
      </c>
      <c r="B732" s="3" t="s">
        <v>2970</v>
      </c>
      <c r="C732" t="s">
        <v>2970</v>
      </c>
      <c r="D732" s="3" t="s">
        <v>7314</v>
      </c>
      <c r="E732" t="s">
        <v>2984</v>
      </c>
      <c r="F732" s="3" t="s">
        <v>2985</v>
      </c>
      <c r="G732" s="10">
        <v>1</v>
      </c>
      <c r="H732" s="3" t="s">
        <v>19</v>
      </c>
      <c r="I732" t="s">
        <v>2975</v>
      </c>
      <c r="J732" s="3" t="s">
        <v>84</v>
      </c>
      <c r="K732" t="s">
        <v>5842</v>
      </c>
      <c r="L732" s="3" t="s">
        <v>5843</v>
      </c>
      <c r="M732" t="s">
        <v>6108</v>
      </c>
      <c r="N732" s="8">
        <v>2.9499999999999998E-2</v>
      </c>
    </row>
    <row r="733" spans="1:14" hidden="1" x14ac:dyDescent="0.55000000000000004">
      <c r="A733" s="3" t="s">
        <v>2963</v>
      </c>
      <c r="B733" s="3" t="s">
        <v>2970</v>
      </c>
      <c r="C733" t="s">
        <v>2970</v>
      </c>
      <c r="D733" s="3" t="s">
        <v>7314</v>
      </c>
      <c r="E733" t="s">
        <v>2984</v>
      </c>
      <c r="F733" s="3" t="s">
        <v>2985</v>
      </c>
      <c r="G733" s="10">
        <v>1</v>
      </c>
      <c r="H733" s="3" t="s">
        <v>24</v>
      </c>
      <c r="I733" t="s">
        <v>2981</v>
      </c>
      <c r="J733" s="3" t="s">
        <v>46</v>
      </c>
      <c r="K733" t="s">
        <v>5836</v>
      </c>
      <c r="L733" s="3" t="s">
        <v>5837</v>
      </c>
      <c r="M733" t="s">
        <v>6109</v>
      </c>
      <c r="N733" s="8">
        <v>0.189667</v>
      </c>
    </row>
    <row r="734" spans="1:14" hidden="1" x14ac:dyDescent="0.55000000000000004">
      <c r="A734" s="3" t="s">
        <v>2963</v>
      </c>
      <c r="B734" s="3" t="s">
        <v>2970</v>
      </c>
      <c r="C734" t="s">
        <v>2970</v>
      </c>
      <c r="D734" s="3" t="s">
        <v>7314</v>
      </c>
      <c r="E734" t="s">
        <v>2986</v>
      </c>
      <c r="F734" s="3" t="s">
        <v>2987</v>
      </c>
      <c r="G734" s="10">
        <v>0</v>
      </c>
      <c r="H734" s="3" t="s">
        <v>19</v>
      </c>
      <c r="I734" t="s">
        <v>2975</v>
      </c>
      <c r="J734" s="3" t="s">
        <v>84</v>
      </c>
      <c r="K734" t="s">
        <v>5842</v>
      </c>
      <c r="L734" s="3" t="s">
        <v>5843</v>
      </c>
      <c r="M734" t="s">
        <v>6108</v>
      </c>
      <c r="N734" s="8">
        <v>2.9499999999999998E-2</v>
      </c>
    </row>
    <row r="735" spans="1:14" hidden="1" x14ac:dyDescent="0.55000000000000004">
      <c r="A735" s="3" t="s">
        <v>2963</v>
      </c>
      <c r="B735" s="3" t="s">
        <v>2970</v>
      </c>
      <c r="C735" t="s">
        <v>2970</v>
      </c>
      <c r="D735" s="3" t="s">
        <v>7314</v>
      </c>
      <c r="E735" t="s">
        <v>2986</v>
      </c>
      <c r="F735" s="3" t="s">
        <v>2987</v>
      </c>
      <c r="G735" s="10">
        <v>0</v>
      </c>
      <c r="H735" s="3" t="s">
        <v>24</v>
      </c>
      <c r="I735" t="s">
        <v>2981</v>
      </c>
      <c r="J735" s="3" t="s">
        <v>46</v>
      </c>
      <c r="K735" t="s">
        <v>5836</v>
      </c>
      <c r="L735" s="3" t="s">
        <v>5837</v>
      </c>
      <c r="M735" t="s">
        <v>6109</v>
      </c>
      <c r="N735" s="8">
        <v>0.189667</v>
      </c>
    </row>
    <row r="736" spans="1:14" hidden="1" x14ac:dyDescent="0.55000000000000004">
      <c r="A736" s="3" t="s">
        <v>2963</v>
      </c>
      <c r="B736" s="3" t="s">
        <v>2970</v>
      </c>
      <c r="C736" t="s">
        <v>2970</v>
      </c>
      <c r="D736" s="3" t="s">
        <v>7314</v>
      </c>
      <c r="E736" t="s">
        <v>2988</v>
      </c>
      <c r="F736" s="3" t="s">
        <v>2989</v>
      </c>
      <c r="G736" s="10">
        <v>0</v>
      </c>
      <c r="H736" s="3" t="s">
        <v>19</v>
      </c>
      <c r="I736" t="s">
        <v>2975</v>
      </c>
      <c r="J736" s="3" t="s">
        <v>84</v>
      </c>
      <c r="K736" t="s">
        <v>5842</v>
      </c>
      <c r="L736" s="3" t="s">
        <v>5843</v>
      </c>
      <c r="M736" t="s">
        <v>6108</v>
      </c>
      <c r="N736" s="8">
        <v>2.9499999999999998E-2</v>
      </c>
    </row>
    <row r="737" spans="1:14" hidden="1" x14ac:dyDescent="0.55000000000000004">
      <c r="A737" s="3" t="s">
        <v>2963</v>
      </c>
      <c r="B737" s="3" t="s">
        <v>2970</v>
      </c>
      <c r="C737" t="s">
        <v>2970</v>
      </c>
      <c r="D737" s="3" t="s">
        <v>7314</v>
      </c>
      <c r="E737" t="s">
        <v>2988</v>
      </c>
      <c r="F737" s="3" t="s">
        <v>2989</v>
      </c>
      <c r="G737" s="10">
        <v>0</v>
      </c>
      <c r="H737" s="3" t="s">
        <v>24</v>
      </c>
      <c r="I737" t="s">
        <v>2981</v>
      </c>
      <c r="J737" s="3" t="s">
        <v>46</v>
      </c>
      <c r="K737" t="s">
        <v>5836</v>
      </c>
      <c r="L737" s="3" t="s">
        <v>5837</v>
      </c>
      <c r="M737" t="s">
        <v>6109</v>
      </c>
      <c r="N737" s="8">
        <v>0.189667</v>
      </c>
    </row>
    <row r="738" spans="1:14" hidden="1" x14ac:dyDescent="0.55000000000000004">
      <c r="A738" s="3" t="s">
        <v>2963</v>
      </c>
      <c r="B738" s="3" t="s">
        <v>2990</v>
      </c>
      <c r="C738" t="s">
        <v>2990</v>
      </c>
      <c r="D738" s="3" t="s">
        <v>7314</v>
      </c>
      <c r="E738" t="s">
        <v>2991</v>
      </c>
      <c r="F738" s="3" t="s">
        <v>2992</v>
      </c>
      <c r="G738" s="10">
        <v>0</v>
      </c>
      <c r="H738" s="3" t="s">
        <v>24</v>
      </c>
      <c r="I738" t="s">
        <v>2995</v>
      </c>
      <c r="J738" s="3" t="s">
        <v>29</v>
      </c>
      <c r="K738" t="s">
        <v>23</v>
      </c>
      <c r="L738" s="3" t="s">
        <v>5840</v>
      </c>
      <c r="M738" t="s">
        <v>23</v>
      </c>
      <c r="N738" s="8">
        <v>0.218392</v>
      </c>
    </row>
    <row r="739" spans="1:14" hidden="1" x14ac:dyDescent="0.55000000000000004">
      <c r="A739" s="3" t="s">
        <v>2963</v>
      </c>
      <c r="B739" s="3" t="s">
        <v>2990</v>
      </c>
      <c r="C739" t="s">
        <v>2990</v>
      </c>
      <c r="D739" s="3" t="s">
        <v>7314</v>
      </c>
      <c r="E739" t="s">
        <v>2996</v>
      </c>
      <c r="F739" s="3" t="s">
        <v>2997</v>
      </c>
      <c r="G739" s="10">
        <v>0</v>
      </c>
      <c r="H739" s="3" t="s">
        <v>24</v>
      </c>
      <c r="I739" t="s">
        <v>2995</v>
      </c>
      <c r="J739" s="3" t="s">
        <v>29</v>
      </c>
      <c r="K739" t="s">
        <v>23</v>
      </c>
      <c r="L739" s="3" t="s">
        <v>5840</v>
      </c>
      <c r="M739" t="s">
        <v>23</v>
      </c>
      <c r="N739" s="8">
        <v>0.218392</v>
      </c>
    </row>
    <row r="740" spans="1:14" hidden="1" x14ac:dyDescent="0.55000000000000004">
      <c r="A740" s="3" t="s">
        <v>2963</v>
      </c>
      <c r="B740" s="3" t="s">
        <v>2990</v>
      </c>
      <c r="C740" t="s">
        <v>2990</v>
      </c>
      <c r="D740" s="3" t="s">
        <v>7314</v>
      </c>
      <c r="E740" t="s">
        <v>2998</v>
      </c>
      <c r="F740" s="3" t="s">
        <v>2999</v>
      </c>
      <c r="G740" s="10">
        <v>0</v>
      </c>
      <c r="H740" s="3" t="s">
        <v>24</v>
      </c>
      <c r="I740" t="s">
        <v>2995</v>
      </c>
      <c r="J740" s="3" t="s">
        <v>29</v>
      </c>
      <c r="K740" t="s">
        <v>23</v>
      </c>
      <c r="L740" s="3" t="s">
        <v>5840</v>
      </c>
      <c r="M740" t="s">
        <v>23</v>
      </c>
      <c r="N740" s="8">
        <v>0.218392</v>
      </c>
    </row>
    <row r="741" spans="1:14" hidden="1" x14ac:dyDescent="0.55000000000000004">
      <c r="A741" s="3" t="s">
        <v>2963</v>
      </c>
      <c r="B741" s="3" t="s">
        <v>2990</v>
      </c>
      <c r="C741" t="s">
        <v>2990</v>
      </c>
      <c r="D741" s="3" t="s">
        <v>7314</v>
      </c>
      <c r="E741" t="s">
        <v>3000</v>
      </c>
      <c r="F741" s="3" t="s">
        <v>3001</v>
      </c>
      <c r="G741" s="10">
        <v>0</v>
      </c>
      <c r="H741" s="3" t="s">
        <v>24</v>
      </c>
      <c r="I741" t="s">
        <v>2995</v>
      </c>
      <c r="J741" s="3" t="s">
        <v>29</v>
      </c>
      <c r="K741" t="s">
        <v>23</v>
      </c>
      <c r="L741" s="3" t="s">
        <v>5840</v>
      </c>
      <c r="M741" t="s">
        <v>23</v>
      </c>
      <c r="N741" s="8">
        <v>0.218392</v>
      </c>
    </row>
    <row r="742" spans="1:14" hidden="1" x14ac:dyDescent="0.55000000000000004">
      <c r="A742" s="3" t="s">
        <v>2963</v>
      </c>
      <c r="B742" s="3" t="s">
        <v>3002</v>
      </c>
      <c r="C742" t="s">
        <v>3002</v>
      </c>
      <c r="D742" s="3" t="s">
        <v>7314</v>
      </c>
      <c r="E742" t="s">
        <v>3003</v>
      </c>
      <c r="F742" s="3" t="s">
        <v>3004</v>
      </c>
      <c r="G742" s="10">
        <v>0</v>
      </c>
      <c r="H742" s="3" t="s">
        <v>19</v>
      </c>
      <c r="I742" t="s">
        <v>3007</v>
      </c>
      <c r="J742" s="3" t="s">
        <v>84</v>
      </c>
      <c r="K742" t="s">
        <v>5842</v>
      </c>
      <c r="L742" s="3" t="s">
        <v>5843</v>
      </c>
      <c r="M742" t="s">
        <v>6110</v>
      </c>
      <c r="N742" s="8">
        <v>2.9499999999999998E-2</v>
      </c>
    </row>
    <row r="743" spans="1:14" hidden="1" x14ac:dyDescent="0.55000000000000004">
      <c r="A743" s="3" t="s">
        <v>2963</v>
      </c>
      <c r="B743" s="3" t="s">
        <v>3002</v>
      </c>
      <c r="C743" t="s">
        <v>3002</v>
      </c>
      <c r="D743" s="3" t="s">
        <v>7314</v>
      </c>
      <c r="E743" t="s">
        <v>3003</v>
      </c>
      <c r="F743" s="3" t="s">
        <v>3004</v>
      </c>
      <c r="G743" s="10">
        <v>0</v>
      </c>
      <c r="H743" s="3" t="s">
        <v>24</v>
      </c>
      <c r="I743" t="s">
        <v>3010</v>
      </c>
      <c r="J743" s="3" t="s">
        <v>138</v>
      </c>
      <c r="K743" t="s">
        <v>23</v>
      </c>
      <c r="L743" s="3" t="s">
        <v>5837</v>
      </c>
      <c r="M743" t="s">
        <v>23</v>
      </c>
      <c r="N743" s="8">
        <v>0.21730099999999999</v>
      </c>
    </row>
    <row r="744" spans="1:14" hidden="1" x14ac:dyDescent="0.55000000000000004">
      <c r="A744" s="3" t="s">
        <v>2963</v>
      </c>
      <c r="B744" s="3" t="s">
        <v>3002</v>
      </c>
      <c r="C744" t="s">
        <v>3002</v>
      </c>
      <c r="D744" s="3" t="s">
        <v>7314</v>
      </c>
      <c r="E744" t="s">
        <v>3011</v>
      </c>
      <c r="F744" s="3" t="s">
        <v>3012</v>
      </c>
      <c r="G744" s="10">
        <v>0</v>
      </c>
      <c r="H744" s="3" t="s">
        <v>19</v>
      </c>
      <c r="I744" t="s">
        <v>3007</v>
      </c>
      <c r="J744" s="3" t="s">
        <v>84</v>
      </c>
      <c r="K744" t="s">
        <v>5842</v>
      </c>
      <c r="L744" s="3" t="s">
        <v>5843</v>
      </c>
      <c r="M744" t="s">
        <v>6110</v>
      </c>
      <c r="N744" s="8">
        <v>2.9499999999999998E-2</v>
      </c>
    </row>
    <row r="745" spans="1:14" hidden="1" x14ac:dyDescent="0.55000000000000004">
      <c r="A745" s="3" t="s">
        <v>2963</v>
      </c>
      <c r="B745" s="3" t="s">
        <v>3002</v>
      </c>
      <c r="C745" t="s">
        <v>3002</v>
      </c>
      <c r="D745" s="3" t="s">
        <v>7314</v>
      </c>
      <c r="E745" t="s">
        <v>3011</v>
      </c>
      <c r="F745" s="3" t="s">
        <v>3012</v>
      </c>
      <c r="G745" s="10">
        <v>0</v>
      </c>
      <c r="H745" s="3" t="s">
        <v>24</v>
      </c>
      <c r="I745" t="s">
        <v>3010</v>
      </c>
      <c r="J745" s="3" t="s">
        <v>138</v>
      </c>
      <c r="K745" t="s">
        <v>23</v>
      </c>
      <c r="L745" s="3" t="s">
        <v>5837</v>
      </c>
      <c r="M745" t="s">
        <v>23</v>
      </c>
      <c r="N745" s="8">
        <v>0.21730099999999999</v>
      </c>
    </row>
    <row r="746" spans="1:14" hidden="1" x14ac:dyDescent="0.55000000000000004">
      <c r="A746" s="3" t="s">
        <v>2963</v>
      </c>
      <c r="B746" s="3" t="s">
        <v>3002</v>
      </c>
      <c r="C746" t="s">
        <v>3002</v>
      </c>
      <c r="D746" s="3" t="s">
        <v>7314</v>
      </c>
      <c r="E746" t="s">
        <v>3016</v>
      </c>
      <c r="F746" s="3" t="s">
        <v>3017</v>
      </c>
      <c r="G746" s="10">
        <v>0</v>
      </c>
      <c r="H746" s="3" t="s">
        <v>19</v>
      </c>
      <c r="I746" t="s">
        <v>3007</v>
      </c>
      <c r="J746" s="3" t="s">
        <v>84</v>
      </c>
      <c r="K746" t="s">
        <v>5842</v>
      </c>
      <c r="L746" s="3" t="s">
        <v>5843</v>
      </c>
      <c r="M746" t="s">
        <v>6110</v>
      </c>
      <c r="N746" s="8">
        <v>2.9499999999999998E-2</v>
      </c>
    </row>
    <row r="747" spans="1:14" hidden="1" x14ac:dyDescent="0.55000000000000004">
      <c r="A747" s="3" t="s">
        <v>2963</v>
      </c>
      <c r="B747" s="3" t="s">
        <v>3002</v>
      </c>
      <c r="C747" t="s">
        <v>3002</v>
      </c>
      <c r="D747" s="3" t="s">
        <v>7314</v>
      </c>
      <c r="E747" t="s">
        <v>3016</v>
      </c>
      <c r="F747" s="3" t="s">
        <v>3017</v>
      </c>
      <c r="G747" s="10">
        <v>0</v>
      </c>
      <c r="H747" s="3" t="s">
        <v>24</v>
      </c>
      <c r="I747" t="s">
        <v>3010</v>
      </c>
      <c r="J747" s="3" t="s">
        <v>138</v>
      </c>
      <c r="K747" t="s">
        <v>23</v>
      </c>
      <c r="L747" s="3" t="s">
        <v>5837</v>
      </c>
      <c r="M747" t="s">
        <v>23</v>
      </c>
      <c r="N747" s="8">
        <v>0.21730099999999999</v>
      </c>
    </row>
    <row r="748" spans="1:14" hidden="1" x14ac:dyDescent="0.55000000000000004">
      <c r="A748" s="3" t="s">
        <v>2963</v>
      </c>
      <c r="B748" s="3" t="s">
        <v>3002</v>
      </c>
      <c r="C748" t="s">
        <v>3002</v>
      </c>
      <c r="D748" s="3" t="s">
        <v>7314</v>
      </c>
      <c r="E748" t="s">
        <v>3018</v>
      </c>
      <c r="F748" s="3" t="s">
        <v>3019</v>
      </c>
      <c r="G748" s="10">
        <v>1</v>
      </c>
      <c r="H748" s="3" t="s">
        <v>19</v>
      </c>
      <c r="I748" t="s">
        <v>3007</v>
      </c>
      <c r="J748" s="3" t="s">
        <v>84</v>
      </c>
      <c r="K748" t="s">
        <v>5842</v>
      </c>
      <c r="L748" s="3" t="s">
        <v>5843</v>
      </c>
      <c r="M748" t="s">
        <v>6110</v>
      </c>
      <c r="N748" s="8">
        <v>2.9499999999999998E-2</v>
      </c>
    </row>
    <row r="749" spans="1:14" hidden="1" x14ac:dyDescent="0.55000000000000004">
      <c r="A749" s="3" t="s">
        <v>2963</v>
      </c>
      <c r="B749" s="3" t="s">
        <v>3002</v>
      </c>
      <c r="C749" t="s">
        <v>3002</v>
      </c>
      <c r="D749" s="3" t="s">
        <v>7314</v>
      </c>
      <c r="E749" t="s">
        <v>3018</v>
      </c>
      <c r="F749" s="3" t="s">
        <v>3019</v>
      </c>
      <c r="G749" s="10">
        <v>1</v>
      </c>
      <c r="H749" s="3" t="s">
        <v>24</v>
      </c>
      <c r="I749" t="s">
        <v>3010</v>
      </c>
      <c r="J749" s="3" t="s">
        <v>138</v>
      </c>
      <c r="K749" t="s">
        <v>23</v>
      </c>
      <c r="L749" s="3" t="s">
        <v>5837</v>
      </c>
      <c r="M749" t="s">
        <v>23</v>
      </c>
      <c r="N749" s="8">
        <v>0.21730099999999999</v>
      </c>
    </row>
    <row r="750" spans="1:14" hidden="1" x14ac:dyDescent="0.55000000000000004">
      <c r="A750" s="3" t="s">
        <v>2963</v>
      </c>
      <c r="B750" s="3" t="s">
        <v>3020</v>
      </c>
      <c r="C750" t="s">
        <v>3020</v>
      </c>
      <c r="D750" s="3" t="s">
        <v>7314</v>
      </c>
      <c r="E750" t="s">
        <v>3022</v>
      </c>
      <c r="F750" s="3" t="s">
        <v>3023</v>
      </c>
      <c r="G750" s="10">
        <v>0</v>
      </c>
      <c r="H750" s="3" t="s">
        <v>24</v>
      </c>
      <c r="I750" t="s">
        <v>3026</v>
      </c>
      <c r="J750" s="3" t="s">
        <v>29</v>
      </c>
      <c r="K750" t="s">
        <v>23</v>
      </c>
      <c r="L750" s="3" t="s">
        <v>5840</v>
      </c>
      <c r="M750" t="s">
        <v>23</v>
      </c>
      <c r="N750" s="8">
        <v>0.25709100000000001</v>
      </c>
    </row>
    <row r="751" spans="1:14" hidden="1" x14ac:dyDescent="0.55000000000000004">
      <c r="A751" s="3" t="s">
        <v>2963</v>
      </c>
      <c r="B751" s="3" t="s">
        <v>3027</v>
      </c>
      <c r="C751" t="s">
        <v>3027</v>
      </c>
      <c r="D751" s="3" t="s">
        <v>7314</v>
      </c>
      <c r="E751" t="s">
        <v>3028</v>
      </c>
      <c r="F751" s="3" t="s">
        <v>3029</v>
      </c>
      <c r="G751" s="10">
        <v>0</v>
      </c>
      <c r="H751" s="3" t="s">
        <v>24</v>
      </c>
      <c r="I751" t="s">
        <v>3032</v>
      </c>
      <c r="J751" s="3" t="s">
        <v>40</v>
      </c>
      <c r="K751" t="s">
        <v>23</v>
      </c>
      <c r="L751" s="3" t="s">
        <v>5835</v>
      </c>
      <c r="M751" t="s">
        <v>23</v>
      </c>
      <c r="N751" s="8">
        <v>0.25840299999999999</v>
      </c>
    </row>
    <row r="752" spans="1:14" hidden="1" x14ac:dyDescent="0.55000000000000004">
      <c r="A752" s="9" t="s">
        <v>2963</v>
      </c>
      <c r="B752" s="3" t="s">
        <v>3021</v>
      </c>
      <c r="C752" t="s">
        <v>3021</v>
      </c>
      <c r="D752" s="3" t="s">
        <v>7314</v>
      </c>
      <c r="E752" t="s">
        <v>3033</v>
      </c>
      <c r="F752" s="3" t="s">
        <v>3034</v>
      </c>
      <c r="G752" s="10">
        <v>0</v>
      </c>
      <c r="H752" s="3" t="s">
        <v>24</v>
      </c>
      <c r="I752" t="s">
        <v>3037</v>
      </c>
      <c r="J752" s="3" t="s">
        <v>138</v>
      </c>
      <c r="K752" t="s">
        <v>23</v>
      </c>
      <c r="L752" s="3" t="s">
        <v>5837</v>
      </c>
      <c r="M752" t="s">
        <v>23</v>
      </c>
      <c r="N752" s="8">
        <v>0.21743399999999999</v>
      </c>
    </row>
    <row r="753" spans="1:14" hidden="1" x14ac:dyDescent="0.55000000000000004">
      <c r="A753" s="3" t="s">
        <v>3038</v>
      </c>
      <c r="B753" s="3" t="s">
        <v>3039</v>
      </c>
      <c r="C753" t="s">
        <v>3039</v>
      </c>
      <c r="D753" s="3" t="s">
        <v>7326</v>
      </c>
      <c r="E753" t="s">
        <v>3040</v>
      </c>
      <c r="F753" s="3" t="s">
        <v>3041</v>
      </c>
      <c r="G753" s="10">
        <v>0</v>
      </c>
      <c r="H753" s="3" t="s">
        <v>24</v>
      </c>
      <c r="I753" t="s">
        <v>3044</v>
      </c>
      <c r="J753" s="3" t="s">
        <v>55</v>
      </c>
      <c r="K753" t="s">
        <v>23</v>
      </c>
      <c r="L753" s="3" t="s">
        <v>5839</v>
      </c>
      <c r="M753" t="s">
        <v>23</v>
      </c>
      <c r="N753" s="8">
        <v>0.21978600000000001</v>
      </c>
    </row>
    <row r="754" spans="1:14" hidden="1" x14ac:dyDescent="0.55000000000000004">
      <c r="A754" s="3" t="s">
        <v>3038</v>
      </c>
      <c r="B754" s="3" t="s">
        <v>7361</v>
      </c>
      <c r="C754" t="s">
        <v>3039</v>
      </c>
      <c r="D754" s="3" t="s">
        <v>7326</v>
      </c>
      <c r="E754" t="s">
        <v>3045</v>
      </c>
      <c r="F754" s="3" t="s">
        <v>3046</v>
      </c>
      <c r="G754" s="10">
        <v>0</v>
      </c>
      <c r="H754" s="3" t="s">
        <v>24</v>
      </c>
      <c r="I754" t="s">
        <v>3044</v>
      </c>
      <c r="J754" s="3" t="s">
        <v>55</v>
      </c>
      <c r="K754" t="s">
        <v>23</v>
      </c>
      <c r="L754" s="3" t="s">
        <v>5839</v>
      </c>
      <c r="M754" t="s">
        <v>23</v>
      </c>
      <c r="N754" s="8">
        <v>0.21978600000000001</v>
      </c>
    </row>
    <row r="755" spans="1:14" hidden="1" x14ac:dyDescent="0.55000000000000004">
      <c r="A755" s="3" t="s">
        <v>3038</v>
      </c>
      <c r="B755" s="3" t="s">
        <v>3039</v>
      </c>
      <c r="C755" t="s">
        <v>3039</v>
      </c>
      <c r="D755" s="3" t="s">
        <v>7326</v>
      </c>
      <c r="E755" t="s">
        <v>3047</v>
      </c>
      <c r="F755" s="3" t="s">
        <v>3048</v>
      </c>
      <c r="G755" s="10">
        <v>0</v>
      </c>
      <c r="H755" s="3" t="s">
        <v>24</v>
      </c>
      <c r="I755" t="s">
        <v>3044</v>
      </c>
      <c r="J755" s="3" t="s">
        <v>55</v>
      </c>
      <c r="K755" t="s">
        <v>23</v>
      </c>
      <c r="L755" s="3" t="s">
        <v>5839</v>
      </c>
      <c r="M755" t="s">
        <v>23</v>
      </c>
      <c r="N755" s="8">
        <v>0.21978600000000001</v>
      </c>
    </row>
    <row r="756" spans="1:14" hidden="1" x14ac:dyDescent="0.55000000000000004">
      <c r="A756" s="3" t="s">
        <v>3038</v>
      </c>
      <c r="B756" s="3" t="s">
        <v>3049</v>
      </c>
      <c r="C756" t="s">
        <v>3049</v>
      </c>
      <c r="D756" s="3" t="s">
        <v>7326</v>
      </c>
      <c r="E756" t="s">
        <v>3050</v>
      </c>
      <c r="F756" s="3" t="s">
        <v>3051</v>
      </c>
      <c r="G756" s="10">
        <v>0</v>
      </c>
      <c r="H756" s="3" t="s">
        <v>24</v>
      </c>
      <c r="I756" t="s">
        <v>3054</v>
      </c>
      <c r="J756" s="3" t="s">
        <v>55</v>
      </c>
      <c r="K756" t="s">
        <v>23</v>
      </c>
      <c r="L756" s="3" t="s">
        <v>5839</v>
      </c>
      <c r="M756" t="s">
        <v>23</v>
      </c>
      <c r="N756" s="8">
        <v>0.25873099999999999</v>
      </c>
    </row>
    <row r="757" spans="1:14" hidden="1" x14ac:dyDescent="0.55000000000000004">
      <c r="A757" s="3" t="s">
        <v>3038</v>
      </c>
      <c r="B757" s="3" t="s">
        <v>3049</v>
      </c>
      <c r="C757" t="s">
        <v>3049</v>
      </c>
      <c r="D757" s="3" t="s">
        <v>7326</v>
      </c>
      <c r="E757" t="s">
        <v>3055</v>
      </c>
      <c r="F757" s="3" t="s">
        <v>3056</v>
      </c>
      <c r="G757" s="10">
        <v>0</v>
      </c>
      <c r="H757" s="3" t="s">
        <v>24</v>
      </c>
      <c r="I757" t="s">
        <v>3054</v>
      </c>
      <c r="J757" s="3" t="s">
        <v>55</v>
      </c>
      <c r="K757" t="s">
        <v>23</v>
      </c>
      <c r="L757" s="3" t="s">
        <v>5839</v>
      </c>
      <c r="M757" t="s">
        <v>23</v>
      </c>
      <c r="N757" s="8">
        <v>0.25873099999999999</v>
      </c>
    </row>
    <row r="758" spans="1:14" hidden="1" x14ac:dyDescent="0.55000000000000004">
      <c r="A758" s="3" t="s">
        <v>3038</v>
      </c>
      <c r="B758" s="3" t="s">
        <v>3057</v>
      </c>
      <c r="C758" t="s">
        <v>3057</v>
      </c>
      <c r="D758" s="3" t="s">
        <v>7326</v>
      </c>
      <c r="E758" t="s">
        <v>3058</v>
      </c>
      <c r="F758" s="3" t="s">
        <v>3059</v>
      </c>
      <c r="G758" s="10">
        <v>0</v>
      </c>
      <c r="H758" s="3" t="s">
        <v>24</v>
      </c>
      <c r="I758" t="s">
        <v>3062</v>
      </c>
      <c r="J758" s="3" t="s">
        <v>55</v>
      </c>
      <c r="K758" t="s">
        <v>23</v>
      </c>
      <c r="L758" s="3" t="s">
        <v>5839</v>
      </c>
      <c r="M758" t="s">
        <v>23</v>
      </c>
      <c r="N758" s="8">
        <v>0.218334</v>
      </c>
    </row>
    <row r="759" spans="1:14" hidden="1" x14ac:dyDescent="0.55000000000000004">
      <c r="A759" s="3" t="s">
        <v>3038</v>
      </c>
      <c r="B759" s="3" t="s">
        <v>3063</v>
      </c>
      <c r="C759" t="s">
        <v>3063</v>
      </c>
      <c r="D759" s="3" t="s">
        <v>7326</v>
      </c>
      <c r="E759" t="s">
        <v>3064</v>
      </c>
      <c r="F759" s="3" t="s">
        <v>3065</v>
      </c>
      <c r="G759" s="10">
        <v>0</v>
      </c>
      <c r="H759" s="3" t="s">
        <v>24</v>
      </c>
      <c r="I759" t="s">
        <v>3068</v>
      </c>
      <c r="J759" s="3" t="s">
        <v>55</v>
      </c>
      <c r="K759" t="s">
        <v>23</v>
      </c>
      <c r="L759" s="3" t="s">
        <v>5839</v>
      </c>
      <c r="M759" t="s">
        <v>23</v>
      </c>
      <c r="N759" s="8">
        <v>0.25956699999999999</v>
      </c>
    </row>
    <row r="760" spans="1:14" hidden="1" x14ac:dyDescent="0.55000000000000004">
      <c r="A760" s="3" t="s">
        <v>3038</v>
      </c>
      <c r="B760" s="3" t="s">
        <v>3063</v>
      </c>
      <c r="C760" t="s">
        <v>3063</v>
      </c>
      <c r="D760" s="3" t="s">
        <v>7326</v>
      </c>
      <c r="E760" t="s">
        <v>3069</v>
      </c>
      <c r="F760" s="3" t="s">
        <v>3070</v>
      </c>
      <c r="G760" s="10">
        <v>0</v>
      </c>
      <c r="H760" s="3" t="s">
        <v>24</v>
      </c>
      <c r="I760" t="s">
        <v>3068</v>
      </c>
      <c r="J760" s="3" t="s">
        <v>55</v>
      </c>
      <c r="K760" t="s">
        <v>23</v>
      </c>
      <c r="L760" s="3" t="s">
        <v>5839</v>
      </c>
      <c r="M760" t="s">
        <v>23</v>
      </c>
      <c r="N760" s="8">
        <v>0.25956699999999999</v>
      </c>
    </row>
    <row r="761" spans="1:14" hidden="1" x14ac:dyDescent="0.55000000000000004">
      <c r="A761" s="3" t="s">
        <v>3038</v>
      </c>
      <c r="B761" s="3" t="s">
        <v>3071</v>
      </c>
      <c r="C761" t="s">
        <v>3071</v>
      </c>
      <c r="D761" s="3" t="s">
        <v>7326</v>
      </c>
      <c r="E761" t="s">
        <v>3072</v>
      </c>
      <c r="F761" s="3" t="s">
        <v>3073</v>
      </c>
      <c r="G761" s="10">
        <v>0</v>
      </c>
      <c r="H761" s="3" t="s">
        <v>24</v>
      </c>
      <c r="I761" t="s">
        <v>3076</v>
      </c>
      <c r="J761" s="3" t="s">
        <v>55</v>
      </c>
      <c r="K761" t="s">
        <v>23</v>
      </c>
      <c r="L761" s="3" t="s">
        <v>5839</v>
      </c>
      <c r="M761" t="s">
        <v>23</v>
      </c>
      <c r="N761" s="8">
        <v>0.25969300000000001</v>
      </c>
    </row>
    <row r="762" spans="1:14" hidden="1" x14ac:dyDescent="0.55000000000000004">
      <c r="A762" s="3" t="s">
        <v>3038</v>
      </c>
      <c r="B762" s="3" t="s">
        <v>3071</v>
      </c>
      <c r="C762" t="s">
        <v>3071</v>
      </c>
      <c r="D762" s="3" t="s">
        <v>7326</v>
      </c>
      <c r="E762" t="s">
        <v>3077</v>
      </c>
      <c r="F762" s="3" t="s">
        <v>3078</v>
      </c>
      <c r="G762" s="10">
        <v>0</v>
      </c>
      <c r="H762" s="3" t="s">
        <v>24</v>
      </c>
      <c r="I762" t="s">
        <v>3076</v>
      </c>
      <c r="J762" s="3" t="s">
        <v>55</v>
      </c>
      <c r="K762" t="s">
        <v>23</v>
      </c>
      <c r="L762" s="3" t="s">
        <v>5839</v>
      </c>
      <c r="M762" t="s">
        <v>23</v>
      </c>
      <c r="N762" s="8">
        <v>0.25969300000000001</v>
      </c>
    </row>
    <row r="763" spans="1:14" hidden="1" x14ac:dyDescent="0.55000000000000004">
      <c r="A763" s="9" t="s">
        <v>3038</v>
      </c>
      <c r="B763" s="3" t="s">
        <v>3079</v>
      </c>
      <c r="C763" t="s">
        <v>3079</v>
      </c>
      <c r="D763" s="3" t="s">
        <v>7326</v>
      </c>
      <c r="E763" t="s">
        <v>3080</v>
      </c>
      <c r="F763" s="3" t="s">
        <v>3081</v>
      </c>
      <c r="G763" s="10">
        <v>0</v>
      </c>
      <c r="H763" s="3" t="s">
        <v>24</v>
      </c>
      <c r="I763" t="s">
        <v>3084</v>
      </c>
      <c r="J763" s="3" t="s">
        <v>55</v>
      </c>
      <c r="K763" t="s">
        <v>23</v>
      </c>
      <c r="L763" s="3" t="s">
        <v>5839</v>
      </c>
      <c r="M763" t="s">
        <v>23</v>
      </c>
      <c r="N763" s="8">
        <v>0.261129</v>
      </c>
    </row>
    <row r="764" spans="1:14" hidden="1" x14ac:dyDescent="0.55000000000000004">
      <c r="A764" s="3" t="s">
        <v>3085</v>
      </c>
      <c r="B764" s="3" t="s">
        <v>3086</v>
      </c>
      <c r="C764" t="s">
        <v>7363</v>
      </c>
      <c r="D764" s="3" t="s">
        <v>7329</v>
      </c>
      <c r="E764" t="s">
        <v>3087</v>
      </c>
      <c r="F764" s="3" t="s">
        <v>3088</v>
      </c>
      <c r="G764" s="10">
        <v>1</v>
      </c>
      <c r="H764" s="3" t="s">
        <v>19</v>
      </c>
      <c r="I764" t="s">
        <v>3091</v>
      </c>
      <c r="J764" s="3" t="s">
        <v>84</v>
      </c>
      <c r="K764" t="s">
        <v>5842</v>
      </c>
      <c r="L764" s="3" t="s">
        <v>5843</v>
      </c>
      <c r="M764" t="s">
        <v>6111</v>
      </c>
      <c r="N764" s="8">
        <v>4.6736E-2</v>
      </c>
    </row>
    <row r="765" spans="1:14" hidden="1" x14ac:dyDescent="0.55000000000000004">
      <c r="A765" s="3" t="s">
        <v>3085</v>
      </c>
      <c r="B765" s="3" t="s">
        <v>3086</v>
      </c>
      <c r="C765" t="s">
        <v>7363</v>
      </c>
      <c r="D765" s="3" t="s">
        <v>7329</v>
      </c>
      <c r="E765" t="s">
        <v>3087</v>
      </c>
      <c r="F765" s="3" t="s">
        <v>3088</v>
      </c>
      <c r="G765" s="10">
        <v>1</v>
      </c>
      <c r="H765" s="3" t="s">
        <v>24</v>
      </c>
      <c r="I765" t="s">
        <v>3094</v>
      </c>
      <c r="J765" s="3" t="s">
        <v>40</v>
      </c>
      <c r="K765" t="s">
        <v>23</v>
      </c>
      <c r="L765" s="3" t="s">
        <v>5835</v>
      </c>
      <c r="M765" t="s">
        <v>23</v>
      </c>
      <c r="N765" s="8">
        <v>0.21885499999999999</v>
      </c>
    </row>
    <row r="766" spans="1:14" hidden="1" x14ac:dyDescent="0.55000000000000004">
      <c r="A766" s="3" t="s">
        <v>3085</v>
      </c>
      <c r="B766" s="3" t="s">
        <v>3095</v>
      </c>
      <c r="C766" t="s">
        <v>3095</v>
      </c>
      <c r="D766" s="3" t="s">
        <v>7329</v>
      </c>
      <c r="E766" t="s">
        <v>3096</v>
      </c>
      <c r="F766" s="3" t="s">
        <v>3097</v>
      </c>
      <c r="G766" s="10">
        <v>0</v>
      </c>
      <c r="H766" s="3" t="s">
        <v>19</v>
      </c>
      <c r="I766" t="s">
        <v>3100</v>
      </c>
      <c r="J766" s="3" t="s">
        <v>84</v>
      </c>
      <c r="K766" t="s">
        <v>5842</v>
      </c>
      <c r="L766" s="3" t="s">
        <v>5843</v>
      </c>
      <c r="M766" t="s">
        <v>6112</v>
      </c>
      <c r="N766" s="8">
        <v>4.2233E-2</v>
      </c>
    </row>
    <row r="767" spans="1:14" hidden="1" x14ac:dyDescent="0.55000000000000004">
      <c r="A767" s="3" t="s">
        <v>3085</v>
      </c>
      <c r="B767" s="3" t="s">
        <v>3095</v>
      </c>
      <c r="C767" t="s">
        <v>3095</v>
      </c>
      <c r="D767" s="3" t="s">
        <v>7329</v>
      </c>
      <c r="E767" t="s">
        <v>3096</v>
      </c>
      <c r="F767" s="3" t="s">
        <v>3097</v>
      </c>
      <c r="G767" s="10">
        <v>0</v>
      </c>
      <c r="H767" s="3" t="s">
        <v>24</v>
      </c>
      <c r="I767" t="s">
        <v>3106</v>
      </c>
      <c r="J767" s="3" t="s">
        <v>40</v>
      </c>
      <c r="K767" t="s">
        <v>23</v>
      </c>
      <c r="L767" s="3" t="s">
        <v>5835</v>
      </c>
      <c r="M767" t="s">
        <v>23</v>
      </c>
      <c r="N767" s="8">
        <v>0.21823200000000001</v>
      </c>
    </row>
    <row r="768" spans="1:14" hidden="1" x14ac:dyDescent="0.55000000000000004">
      <c r="A768" s="3" t="s">
        <v>3085</v>
      </c>
      <c r="B768" s="3" t="s">
        <v>3095</v>
      </c>
      <c r="C768" t="s">
        <v>3095</v>
      </c>
      <c r="D768" s="3" t="s">
        <v>7329</v>
      </c>
      <c r="E768" t="s">
        <v>3110</v>
      </c>
      <c r="F768" s="3" t="s">
        <v>3111</v>
      </c>
      <c r="G768" s="10">
        <v>0</v>
      </c>
      <c r="H768" s="3" t="s">
        <v>19</v>
      </c>
      <c r="I768" t="s">
        <v>3100</v>
      </c>
      <c r="J768" s="3" t="s">
        <v>84</v>
      </c>
      <c r="K768" t="s">
        <v>5842</v>
      </c>
      <c r="L768" s="3" t="s">
        <v>5843</v>
      </c>
      <c r="M768" t="s">
        <v>6112</v>
      </c>
      <c r="N768" s="8">
        <v>4.2233E-2</v>
      </c>
    </row>
    <row r="769" spans="1:14" hidden="1" x14ac:dyDescent="0.55000000000000004">
      <c r="A769" s="3" t="s">
        <v>3085</v>
      </c>
      <c r="B769" s="3" t="s">
        <v>3095</v>
      </c>
      <c r="C769" t="s">
        <v>3095</v>
      </c>
      <c r="D769" s="3" t="s">
        <v>7329</v>
      </c>
      <c r="E769" t="s">
        <v>3110</v>
      </c>
      <c r="F769" s="3" t="s">
        <v>3111</v>
      </c>
      <c r="G769" s="10">
        <v>0</v>
      </c>
      <c r="H769" s="3" t="s">
        <v>24</v>
      </c>
      <c r="I769" t="s">
        <v>3106</v>
      </c>
      <c r="J769" s="3" t="s">
        <v>40</v>
      </c>
      <c r="K769" t="s">
        <v>23</v>
      </c>
      <c r="L769" s="3" t="s">
        <v>5835</v>
      </c>
      <c r="M769" t="s">
        <v>23</v>
      </c>
      <c r="N769" s="8">
        <v>0.21823200000000001</v>
      </c>
    </row>
    <row r="770" spans="1:14" hidden="1" x14ac:dyDescent="0.55000000000000004">
      <c r="A770" s="3" t="s">
        <v>3085</v>
      </c>
      <c r="B770" s="3" t="s">
        <v>3095</v>
      </c>
      <c r="C770" t="s">
        <v>3095</v>
      </c>
      <c r="D770" s="3" t="s">
        <v>7329</v>
      </c>
      <c r="E770" t="s">
        <v>3112</v>
      </c>
      <c r="F770" s="3" t="s">
        <v>3113</v>
      </c>
      <c r="G770" s="10">
        <v>0</v>
      </c>
      <c r="H770" s="3" t="s">
        <v>24</v>
      </c>
      <c r="I770" t="s">
        <v>3106</v>
      </c>
      <c r="J770" s="3" t="s">
        <v>40</v>
      </c>
      <c r="K770" t="s">
        <v>23</v>
      </c>
      <c r="L770" s="3" t="s">
        <v>5835</v>
      </c>
      <c r="M770" t="s">
        <v>23</v>
      </c>
      <c r="N770" s="8">
        <v>0.21823200000000001</v>
      </c>
    </row>
    <row r="771" spans="1:14" hidden="1" x14ac:dyDescent="0.55000000000000004">
      <c r="A771" s="3" t="s">
        <v>3085</v>
      </c>
      <c r="B771" s="3" t="s">
        <v>3095</v>
      </c>
      <c r="C771" t="s">
        <v>3095</v>
      </c>
      <c r="D771" s="3" t="s">
        <v>7329</v>
      </c>
      <c r="E771" t="s">
        <v>3114</v>
      </c>
      <c r="F771" s="3" t="s">
        <v>3115</v>
      </c>
      <c r="G771" s="10">
        <v>0</v>
      </c>
      <c r="H771" s="3" t="s">
        <v>19</v>
      </c>
      <c r="I771" t="s">
        <v>3100</v>
      </c>
      <c r="J771" s="3" t="s">
        <v>84</v>
      </c>
      <c r="K771" t="s">
        <v>5842</v>
      </c>
      <c r="L771" s="3" t="s">
        <v>5843</v>
      </c>
      <c r="M771" t="s">
        <v>6112</v>
      </c>
      <c r="N771" s="8">
        <v>4.2233E-2</v>
      </c>
    </row>
    <row r="772" spans="1:14" hidden="1" x14ac:dyDescent="0.55000000000000004">
      <c r="A772" s="3" t="s">
        <v>3085</v>
      </c>
      <c r="B772" s="3" t="s">
        <v>3095</v>
      </c>
      <c r="C772" t="s">
        <v>3095</v>
      </c>
      <c r="D772" s="3" t="s">
        <v>7329</v>
      </c>
      <c r="E772" t="s">
        <v>3114</v>
      </c>
      <c r="F772" s="3" t="s">
        <v>3115</v>
      </c>
      <c r="G772" s="10">
        <v>0</v>
      </c>
      <c r="H772" s="3" t="s">
        <v>24</v>
      </c>
      <c r="I772" t="s">
        <v>3106</v>
      </c>
      <c r="J772" s="3" t="s">
        <v>40</v>
      </c>
      <c r="K772" t="s">
        <v>23</v>
      </c>
      <c r="L772" s="3" t="s">
        <v>5835</v>
      </c>
      <c r="M772" t="s">
        <v>23</v>
      </c>
      <c r="N772" s="8">
        <v>0.21823200000000001</v>
      </c>
    </row>
    <row r="773" spans="1:14" hidden="1" x14ac:dyDescent="0.55000000000000004">
      <c r="A773" s="3" t="s">
        <v>3085</v>
      </c>
      <c r="B773" s="3" t="s">
        <v>3095</v>
      </c>
      <c r="C773" t="s">
        <v>3095</v>
      </c>
      <c r="D773" s="3" t="s">
        <v>7329</v>
      </c>
      <c r="E773" t="s">
        <v>3116</v>
      </c>
      <c r="F773" s="3" t="s">
        <v>3117</v>
      </c>
      <c r="G773" s="10">
        <v>0</v>
      </c>
      <c r="H773" s="3" t="s">
        <v>19</v>
      </c>
      <c r="I773" t="s">
        <v>3100</v>
      </c>
      <c r="J773" s="3" t="s">
        <v>84</v>
      </c>
      <c r="K773" t="s">
        <v>5842</v>
      </c>
      <c r="L773" s="3" t="s">
        <v>5843</v>
      </c>
      <c r="M773" t="s">
        <v>6112</v>
      </c>
      <c r="N773" s="8">
        <v>4.2233E-2</v>
      </c>
    </row>
    <row r="774" spans="1:14" hidden="1" x14ac:dyDescent="0.55000000000000004">
      <c r="A774" s="3" t="s">
        <v>3085</v>
      </c>
      <c r="B774" s="3" t="s">
        <v>3095</v>
      </c>
      <c r="C774" t="s">
        <v>3095</v>
      </c>
      <c r="D774" s="3" t="s">
        <v>7329</v>
      </c>
      <c r="E774" t="s">
        <v>3116</v>
      </c>
      <c r="F774" s="3" t="s">
        <v>3117</v>
      </c>
      <c r="G774" s="10">
        <v>0</v>
      </c>
      <c r="H774" s="3" t="s">
        <v>24</v>
      </c>
      <c r="I774" t="s">
        <v>3106</v>
      </c>
      <c r="J774" s="3" t="s">
        <v>40</v>
      </c>
      <c r="K774" t="s">
        <v>23</v>
      </c>
      <c r="L774" s="3" t="s">
        <v>5835</v>
      </c>
      <c r="M774" t="s">
        <v>23</v>
      </c>
      <c r="N774" s="8">
        <v>0.21823200000000001</v>
      </c>
    </row>
    <row r="775" spans="1:14" hidden="1" x14ac:dyDescent="0.55000000000000004">
      <c r="A775" s="3" t="s">
        <v>3085</v>
      </c>
      <c r="B775" s="3" t="s">
        <v>3095</v>
      </c>
      <c r="C775" t="s">
        <v>3095</v>
      </c>
      <c r="D775" s="3" t="s">
        <v>7329</v>
      </c>
      <c r="E775" t="s">
        <v>3118</v>
      </c>
      <c r="F775" s="3" t="s">
        <v>3119</v>
      </c>
      <c r="G775" s="10">
        <v>1</v>
      </c>
      <c r="H775" s="3" t="s">
        <v>19</v>
      </c>
      <c r="I775" t="s">
        <v>3100</v>
      </c>
      <c r="J775" s="3" t="s">
        <v>84</v>
      </c>
      <c r="K775" t="s">
        <v>5842</v>
      </c>
      <c r="L775" s="3" t="s">
        <v>5843</v>
      </c>
      <c r="M775" t="s">
        <v>6112</v>
      </c>
      <c r="N775" s="8">
        <v>4.2233E-2</v>
      </c>
    </row>
    <row r="776" spans="1:14" hidden="1" x14ac:dyDescent="0.55000000000000004">
      <c r="A776" s="3" t="s">
        <v>3085</v>
      </c>
      <c r="B776" s="3" t="s">
        <v>3095</v>
      </c>
      <c r="C776" t="s">
        <v>3095</v>
      </c>
      <c r="D776" s="3" t="s">
        <v>7329</v>
      </c>
      <c r="E776" t="s">
        <v>3118</v>
      </c>
      <c r="F776" s="3" t="s">
        <v>3119</v>
      </c>
      <c r="G776" s="10">
        <v>1</v>
      </c>
      <c r="H776" s="3" t="s">
        <v>24</v>
      </c>
      <c r="I776" t="s">
        <v>3106</v>
      </c>
      <c r="J776" s="3" t="s">
        <v>40</v>
      </c>
      <c r="K776" t="s">
        <v>23</v>
      </c>
      <c r="L776" s="3" t="s">
        <v>5835</v>
      </c>
      <c r="M776" t="s">
        <v>23</v>
      </c>
      <c r="N776" s="8">
        <v>0.21823200000000001</v>
      </c>
    </row>
    <row r="777" spans="1:14" hidden="1" x14ac:dyDescent="0.55000000000000004">
      <c r="A777" s="3" t="s">
        <v>3085</v>
      </c>
      <c r="B777" s="3" t="s">
        <v>3095</v>
      </c>
      <c r="C777" t="s">
        <v>3095</v>
      </c>
      <c r="D777" s="3" t="s">
        <v>7329</v>
      </c>
      <c r="E777" t="s">
        <v>3120</v>
      </c>
      <c r="F777" s="3" t="s">
        <v>3121</v>
      </c>
      <c r="G777" s="10">
        <v>0</v>
      </c>
      <c r="H777" s="3" t="s">
        <v>19</v>
      </c>
      <c r="I777" t="s">
        <v>3100</v>
      </c>
      <c r="J777" s="3" t="s">
        <v>84</v>
      </c>
      <c r="K777" t="s">
        <v>5842</v>
      </c>
      <c r="L777" s="3" t="s">
        <v>5843</v>
      </c>
      <c r="M777" t="s">
        <v>6112</v>
      </c>
      <c r="N777" s="8">
        <v>4.2233E-2</v>
      </c>
    </row>
    <row r="778" spans="1:14" hidden="1" x14ac:dyDescent="0.55000000000000004">
      <c r="A778" s="3" t="s">
        <v>3085</v>
      </c>
      <c r="B778" s="3" t="s">
        <v>3095</v>
      </c>
      <c r="C778" t="s">
        <v>3095</v>
      </c>
      <c r="D778" s="3" t="s">
        <v>7329</v>
      </c>
      <c r="E778" t="s">
        <v>3120</v>
      </c>
      <c r="F778" s="3" t="s">
        <v>3121</v>
      </c>
      <c r="G778" s="10">
        <v>0</v>
      </c>
      <c r="H778" s="3" t="s">
        <v>24</v>
      </c>
      <c r="I778" t="s">
        <v>3106</v>
      </c>
      <c r="J778" s="3" t="s">
        <v>40</v>
      </c>
      <c r="K778" t="s">
        <v>23</v>
      </c>
      <c r="L778" s="3" t="s">
        <v>5835</v>
      </c>
      <c r="M778" t="s">
        <v>23</v>
      </c>
      <c r="N778" s="8">
        <v>0.21823200000000001</v>
      </c>
    </row>
    <row r="779" spans="1:14" hidden="1" x14ac:dyDescent="0.55000000000000004">
      <c r="A779" s="3" t="s">
        <v>3085</v>
      </c>
      <c r="B779" s="3" t="s">
        <v>7362</v>
      </c>
      <c r="C779" t="s">
        <v>3095</v>
      </c>
      <c r="D779" s="3" t="s">
        <v>7329</v>
      </c>
      <c r="E779" t="s">
        <v>3122</v>
      </c>
      <c r="F779" s="3" t="s">
        <v>3123</v>
      </c>
      <c r="G779" s="10">
        <v>0</v>
      </c>
      <c r="H779" s="3" t="s">
        <v>19</v>
      </c>
      <c r="I779" t="s">
        <v>3100</v>
      </c>
      <c r="J779" s="3" t="s">
        <v>84</v>
      </c>
      <c r="K779" t="s">
        <v>5842</v>
      </c>
      <c r="L779" s="3" t="s">
        <v>5843</v>
      </c>
      <c r="M779" t="s">
        <v>6112</v>
      </c>
      <c r="N779" s="8">
        <v>4.2233E-2</v>
      </c>
    </row>
    <row r="780" spans="1:14" hidden="1" x14ac:dyDescent="0.55000000000000004">
      <c r="A780" s="3" t="s">
        <v>3085</v>
      </c>
      <c r="B780" s="3" t="s">
        <v>7362</v>
      </c>
      <c r="C780" t="s">
        <v>3095</v>
      </c>
      <c r="D780" s="3" t="s">
        <v>7329</v>
      </c>
      <c r="E780" t="s">
        <v>3122</v>
      </c>
      <c r="F780" s="3" t="s">
        <v>3123</v>
      </c>
      <c r="G780" s="10">
        <v>0</v>
      </c>
      <c r="H780" s="3" t="s">
        <v>24</v>
      </c>
      <c r="I780" t="s">
        <v>3106</v>
      </c>
      <c r="J780" s="3" t="s">
        <v>40</v>
      </c>
      <c r="K780" t="s">
        <v>23</v>
      </c>
      <c r="L780" s="3" t="s">
        <v>5835</v>
      </c>
      <c r="M780" t="s">
        <v>23</v>
      </c>
      <c r="N780" s="8">
        <v>0.21823200000000001</v>
      </c>
    </row>
    <row r="781" spans="1:14" hidden="1" x14ac:dyDescent="0.55000000000000004">
      <c r="A781" s="3" t="s">
        <v>3085</v>
      </c>
      <c r="B781" s="3" t="s">
        <v>7362</v>
      </c>
      <c r="C781" t="s">
        <v>3095</v>
      </c>
      <c r="D781" s="3" t="s">
        <v>7329</v>
      </c>
      <c r="E781" t="s">
        <v>3124</v>
      </c>
      <c r="F781" s="3" t="s">
        <v>3125</v>
      </c>
      <c r="G781" s="10">
        <v>0</v>
      </c>
      <c r="H781" s="3" t="s">
        <v>19</v>
      </c>
      <c r="I781" t="s">
        <v>3100</v>
      </c>
      <c r="J781" s="3" t="s">
        <v>84</v>
      </c>
      <c r="K781" t="s">
        <v>5842</v>
      </c>
      <c r="L781" s="3" t="s">
        <v>5843</v>
      </c>
      <c r="M781" t="s">
        <v>6112</v>
      </c>
      <c r="N781" s="8">
        <v>4.2233E-2</v>
      </c>
    </row>
    <row r="782" spans="1:14" hidden="1" x14ac:dyDescent="0.55000000000000004">
      <c r="A782" s="3" t="s">
        <v>3085</v>
      </c>
      <c r="B782" s="3" t="s">
        <v>7362</v>
      </c>
      <c r="C782" t="s">
        <v>3095</v>
      </c>
      <c r="D782" s="3" t="s">
        <v>7329</v>
      </c>
      <c r="E782" t="s">
        <v>3124</v>
      </c>
      <c r="F782" s="3" t="s">
        <v>3125</v>
      </c>
      <c r="G782" s="10">
        <v>0</v>
      </c>
      <c r="H782" s="3" t="s">
        <v>24</v>
      </c>
      <c r="I782" t="s">
        <v>3106</v>
      </c>
      <c r="J782" s="3" t="s">
        <v>40</v>
      </c>
      <c r="K782" t="s">
        <v>23</v>
      </c>
      <c r="L782" s="3" t="s">
        <v>5835</v>
      </c>
      <c r="M782" t="s">
        <v>23</v>
      </c>
      <c r="N782" s="8">
        <v>0.21823200000000001</v>
      </c>
    </row>
    <row r="783" spans="1:14" hidden="1" x14ac:dyDescent="0.55000000000000004">
      <c r="A783" s="3" t="s">
        <v>3085</v>
      </c>
      <c r="B783" s="3" t="s">
        <v>3095</v>
      </c>
      <c r="C783" t="s">
        <v>3095</v>
      </c>
      <c r="D783" s="3" t="s">
        <v>7329</v>
      </c>
      <c r="E783" t="s">
        <v>3126</v>
      </c>
      <c r="F783" s="3" t="s">
        <v>3127</v>
      </c>
      <c r="G783" s="10">
        <v>0</v>
      </c>
      <c r="H783" s="3" t="s">
        <v>19</v>
      </c>
      <c r="I783" t="s">
        <v>3100</v>
      </c>
      <c r="J783" s="3" t="s">
        <v>84</v>
      </c>
      <c r="K783" t="s">
        <v>5842</v>
      </c>
      <c r="L783" s="3" t="s">
        <v>5843</v>
      </c>
      <c r="M783" t="s">
        <v>6112</v>
      </c>
      <c r="N783" s="8">
        <v>4.2233E-2</v>
      </c>
    </row>
    <row r="784" spans="1:14" hidden="1" x14ac:dyDescent="0.55000000000000004">
      <c r="A784" s="3" t="s">
        <v>3085</v>
      </c>
      <c r="B784" s="3" t="s">
        <v>3095</v>
      </c>
      <c r="C784" t="s">
        <v>3095</v>
      </c>
      <c r="D784" s="3" t="s">
        <v>7329</v>
      </c>
      <c r="E784" t="s">
        <v>3126</v>
      </c>
      <c r="F784" s="3" t="s">
        <v>3127</v>
      </c>
      <c r="G784" s="10">
        <v>0</v>
      </c>
      <c r="H784" s="3" t="s">
        <v>24</v>
      </c>
      <c r="I784" t="s">
        <v>3106</v>
      </c>
      <c r="J784" s="3" t="s">
        <v>40</v>
      </c>
      <c r="K784" t="s">
        <v>23</v>
      </c>
      <c r="L784" s="3" t="s">
        <v>5835</v>
      </c>
      <c r="M784" t="s">
        <v>23</v>
      </c>
      <c r="N784" s="8">
        <v>0.21823200000000001</v>
      </c>
    </row>
    <row r="785" spans="1:14" hidden="1" x14ac:dyDescent="0.55000000000000004">
      <c r="A785" s="3" t="s">
        <v>3085</v>
      </c>
      <c r="B785" s="3" t="s">
        <v>3095</v>
      </c>
      <c r="C785" t="s">
        <v>3095</v>
      </c>
      <c r="D785" s="3" t="s">
        <v>7329</v>
      </c>
      <c r="E785" t="s">
        <v>3128</v>
      </c>
      <c r="F785" s="3" t="s">
        <v>3129</v>
      </c>
      <c r="G785" s="10">
        <v>0</v>
      </c>
      <c r="H785" s="3" t="s">
        <v>19</v>
      </c>
      <c r="I785" t="s">
        <v>3100</v>
      </c>
      <c r="J785" s="3" t="s">
        <v>84</v>
      </c>
      <c r="K785" t="s">
        <v>5842</v>
      </c>
      <c r="L785" s="3" t="s">
        <v>5843</v>
      </c>
      <c r="M785" t="s">
        <v>6112</v>
      </c>
      <c r="N785" s="8">
        <v>4.2233E-2</v>
      </c>
    </row>
    <row r="786" spans="1:14" hidden="1" x14ac:dyDescent="0.55000000000000004">
      <c r="A786" s="3" t="s">
        <v>3085</v>
      </c>
      <c r="B786" s="3" t="s">
        <v>3095</v>
      </c>
      <c r="C786" t="s">
        <v>3095</v>
      </c>
      <c r="D786" s="3" t="s">
        <v>7329</v>
      </c>
      <c r="E786" t="s">
        <v>3128</v>
      </c>
      <c r="F786" s="3" t="s">
        <v>3129</v>
      </c>
      <c r="G786" s="10">
        <v>0</v>
      </c>
      <c r="H786" s="3" t="s">
        <v>24</v>
      </c>
      <c r="I786" t="s">
        <v>3106</v>
      </c>
      <c r="J786" s="3" t="s">
        <v>40</v>
      </c>
      <c r="K786" t="s">
        <v>23</v>
      </c>
      <c r="L786" s="3" t="s">
        <v>5835</v>
      </c>
      <c r="M786" t="s">
        <v>23</v>
      </c>
      <c r="N786" s="8">
        <v>0.21823200000000001</v>
      </c>
    </row>
    <row r="787" spans="1:14" hidden="1" x14ac:dyDescent="0.55000000000000004">
      <c r="A787" s="3" t="s">
        <v>3085</v>
      </c>
      <c r="B787" s="3" t="s">
        <v>3130</v>
      </c>
      <c r="C787" t="s">
        <v>3130</v>
      </c>
      <c r="D787" s="3" t="s">
        <v>7329</v>
      </c>
      <c r="E787" t="s">
        <v>3131</v>
      </c>
      <c r="F787" s="3" t="s">
        <v>3132</v>
      </c>
      <c r="G787" s="10">
        <v>1</v>
      </c>
      <c r="H787" s="3" t="s">
        <v>19</v>
      </c>
      <c r="I787" t="s">
        <v>3135</v>
      </c>
      <c r="J787" s="3" t="s">
        <v>84</v>
      </c>
      <c r="K787" t="s">
        <v>5842</v>
      </c>
      <c r="L787" s="3" t="s">
        <v>5843</v>
      </c>
      <c r="M787" t="s">
        <v>6113</v>
      </c>
      <c r="N787" s="8">
        <v>4.7424000000000001E-2</v>
      </c>
    </row>
    <row r="788" spans="1:14" hidden="1" x14ac:dyDescent="0.55000000000000004">
      <c r="A788" s="3" t="s">
        <v>3085</v>
      </c>
      <c r="B788" s="3" t="s">
        <v>3130</v>
      </c>
      <c r="C788" t="s">
        <v>3130</v>
      </c>
      <c r="D788" s="3" t="s">
        <v>7329</v>
      </c>
      <c r="E788" t="s">
        <v>3131</v>
      </c>
      <c r="F788" s="3" t="s">
        <v>3132</v>
      </c>
      <c r="G788" s="10">
        <v>1</v>
      </c>
      <c r="H788" s="3" t="s">
        <v>24</v>
      </c>
      <c r="I788" t="s">
        <v>3140</v>
      </c>
      <c r="J788" s="3" t="s">
        <v>46</v>
      </c>
      <c r="K788" t="s">
        <v>5836</v>
      </c>
      <c r="L788" s="3" t="s">
        <v>5837</v>
      </c>
      <c r="M788" t="s">
        <v>6114</v>
      </c>
      <c r="N788" s="8">
        <v>0.23263300000000001</v>
      </c>
    </row>
    <row r="789" spans="1:14" hidden="1" x14ac:dyDescent="0.55000000000000004">
      <c r="A789" s="3" t="s">
        <v>3085</v>
      </c>
      <c r="B789" s="3" t="s">
        <v>3141</v>
      </c>
      <c r="C789" t="s">
        <v>3141</v>
      </c>
      <c r="D789" s="3" t="s">
        <v>7329</v>
      </c>
      <c r="E789" t="s">
        <v>3142</v>
      </c>
      <c r="F789" s="3" t="s">
        <v>3143</v>
      </c>
      <c r="G789" s="10">
        <v>1</v>
      </c>
      <c r="H789" s="3" t="s">
        <v>19</v>
      </c>
      <c r="I789" t="s">
        <v>3146</v>
      </c>
      <c r="J789" s="3" t="s">
        <v>84</v>
      </c>
      <c r="K789" t="s">
        <v>5842</v>
      </c>
      <c r="L789" s="3" t="s">
        <v>5843</v>
      </c>
      <c r="M789" t="s">
        <v>6115</v>
      </c>
      <c r="N789" s="8">
        <v>4.4193000000000003E-2</v>
      </c>
    </row>
    <row r="790" spans="1:14" hidden="1" x14ac:dyDescent="0.55000000000000004">
      <c r="A790" s="3" t="s">
        <v>3085</v>
      </c>
      <c r="B790" s="3" t="s">
        <v>3141</v>
      </c>
      <c r="C790" t="s">
        <v>3141</v>
      </c>
      <c r="D790" s="3" t="s">
        <v>7329</v>
      </c>
      <c r="E790" t="s">
        <v>3142</v>
      </c>
      <c r="F790" s="3" t="s">
        <v>3143</v>
      </c>
      <c r="G790" s="10">
        <v>1</v>
      </c>
      <c r="H790" s="3" t="s">
        <v>24</v>
      </c>
      <c r="I790" t="s">
        <v>3149</v>
      </c>
      <c r="J790" s="3" t="s">
        <v>46</v>
      </c>
      <c r="K790" t="s">
        <v>5836</v>
      </c>
      <c r="L790" s="3" t="s">
        <v>5837</v>
      </c>
      <c r="M790" t="s">
        <v>6116</v>
      </c>
      <c r="N790" s="8">
        <v>0.218333</v>
      </c>
    </row>
    <row r="791" spans="1:14" hidden="1" x14ac:dyDescent="0.55000000000000004">
      <c r="A791" s="3" t="s">
        <v>3085</v>
      </c>
      <c r="B791" s="3" t="s">
        <v>3141</v>
      </c>
      <c r="C791" t="s">
        <v>3141</v>
      </c>
      <c r="D791" s="3" t="s">
        <v>7329</v>
      </c>
      <c r="E791" t="s">
        <v>3152</v>
      </c>
      <c r="F791" s="3" t="s">
        <v>3153</v>
      </c>
      <c r="G791" s="10">
        <v>0</v>
      </c>
      <c r="H791" s="3" t="s">
        <v>19</v>
      </c>
      <c r="I791" t="s">
        <v>3146</v>
      </c>
      <c r="J791" s="3" t="s">
        <v>84</v>
      </c>
      <c r="K791" t="s">
        <v>5842</v>
      </c>
      <c r="L791" s="3" t="s">
        <v>5843</v>
      </c>
      <c r="M791" t="s">
        <v>6115</v>
      </c>
      <c r="N791" s="8">
        <v>4.4193000000000003E-2</v>
      </c>
    </row>
    <row r="792" spans="1:14" hidden="1" x14ac:dyDescent="0.55000000000000004">
      <c r="A792" s="3" t="s">
        <v>3085</v>
      </c>
      <c r="B792" s="3" t="s">
        <v>3141</v>
      </c>
      <c r="C792" t="s">
        <v>3141</v>
      </c>
      <c r="D792" s="3" t="s">
        <v>7329</v>
      </c>
      <c r="E792" t="s">
        <v>3152</v>
      </c>
      <c r="F792" s="3" t="s">
        <v>3153</v>
      </c>
      <c r="G792" s="10">
        <v>0</v>
      </c>
      <c r="H792" s="3" t="s">
        <v>24</v>
      </c>
      <c r="I792" t="s">
        <v>3149</v>
      </c>
      <c r="J792" s="3" t="s">
        <v>46</v>
      </c>
      <c r="K792" t="s">
        <v>5836</v>
      </c>
      <c r="L792" s="3" t="s">
        <v>5837</v>
      </c>
      <c r="M792" t="s">
        <v>6116</v>
      </c>
      <c r="N792" s="8">
        <v>0.218333</v>
      </c>
    </row>
    <row r="793" spans="1:14" hidden="1" x14ac:dyDescent="0.55000000000000004">
      <c r="A793" s="3" t="s">
        <v>3085</v>
      </c>
      <c r="B793" s="3" t="s">
        <v>3141</v>
      </c>
      <c r="C793" t="s">
        <v>3141</v>
      </c>
      <c r="D793" s="3" t="s">
        <v>7329</v>
      </c>
      <c r="E793" t="s">
        <v>3157</v>
      </c>
      <c r="F793" s="3" t="s">
        <v>3158</v>
      </c>
      <c r="G793" s="10">
        <v>0</v>
      </c>
      <c r="H793" s="3" t="s">
        <v>19</v>
      </c>
      <c r="I793" t="s">
        <v>3146</v>
      </c>
      <c r="J793" s="3" t="s">
        <v>84</v>
      </c>
      <c r="K793" t="s">
        <v>5842</v>
      </c>
      <c r="L793" s="3" t="s">
        <v>5843</v>
      </c>
      <c r="M793" t="s">
        <v>6115</v>
      </c>
      <c r="N793" s="8">
        <v>4.4193000000000003E-2</v>
      </c>
    </row>
    <row r="794" spans="1:14" hidden="1" x14ac:dyDescent="0.55000000000000004">
      <c r="A794" s="3" t="s">
        <v>3085</v>
      </c>
      <c r="B794" s="3" t="s">
        <v>3141</v>
      </c>
      <c r="C794" t="s">
        <v>3141</v>
      </c>
      <c r="D794" s="3" t="s">
        <v>7329</v>
      </c>
      <c r="E794" t="s">
        <v>3157</v>
      </c>
      <c r="F794" s="3" t="s">
        <v>3158</v>
      </c>
      <c r="G794" s="10">
        <v>0</v>
      </c>
      <c r="H794" s="3" t="s">
        <v>24</v>
      </c>
      <c r="I794" t="s">
        <v>3149</v>
      </c>
      <c r="J794" s="3" t="s">
        <v>46</v>
      </c>
      <c r="K794" t="s">
        <v>5836</v>
      </c>
      <c r="L794" s="3" t="s">
        <v>5837</v>
      </c>
      <c r="M794" t="s">
        <v>6116</v>
      </c>
      <c r="N794" s="8">
        <v>0.218333</v>
      </c>
    </row>
    <row r="795" spans="1:14" hidden="1" x14ac:dyDescent="0.55000000000000004">
      <c r="A795" s="3" t="s">
        <v>3085</v>
      </c>
      <c r="B795" s="3" t="s">
        <v>3141</v>
      </c>
      <c r="C795" t="s">
        <v>3141</v>
      </c>
      <c r="D795" s="3" t="s">
        <v>7329</v>
      </c>
      <c r="E795" t="s">
        <v>3159</v>
      </c>
      <c r="F795" s="3" t="s">
        <v>3160</v>
      </c>
      <c r="G795" s="10">
        <v>0</v>
      </c>
      <c r="H795" s="3" t="s">
        <v>19</v>
      </c>
      <c r="I795" t="s">
        <v>3146</v>
      </c>
      <c r="J795" s="3" t="s">
        <v>84</v>
      </c>
      <c r="K795" t="s">
        <v>5842</v>
      </c>
      <c r="L795" s="3" t="s">
        <v>5843</v>
      </c>
      <c r="M795" t="s">
        <v>6115</v>
      </c>
      <c r="N795" s="8">
        <v>4.4193000000000003E-2</v>
      </c>
    </row>
    <row r="796" spans="1:14" hidden="1" x14ac:dyDescent="0.55000000000000004">
      <c r="A796" s="3" t="s">
        <v>3085</v>
      </c>
      <c r="B796" s="3" t="s">
        <v>3141</v>
      </c>
      <c r="C796" t="s">
        <v>3141</v>
      </c>
      <c r="D796" s="3" t="s">
        <v>7329</v>
      </c>
      <c r="E796" t="s">
        <v>3159</v>
      </c>
      <c r="F796" s="3" t="s">
        <v>3160</v>
      </c>
      <c r="G796" s="10">
        <v>0</v>
      </c>
      <c r="H796" s="3" t="s">
        <v>24</v>
      </c>
      <c r="I796" t="s">
        <v>3149</v>
      </c>
      <c r="J796" s="3" t="s">
        <v>46</v>
      </c>
      <c r="K796" t="s">
        <v>5836</v>
      </c>
      <c r="L796" s="3" t="s">
        <v>5837</v>
      </c>
      <c r="M796" t="s">
        <v>6116</v>
      </c>
      <c r="N796" s="8">
        <v>0.218333</v>
      </c>
    </row>
    <row r="797" spans="1:14" hidden="1" x14ac:dyDescent="0.55000000000000004">
      <c r="A797" s="3" t="s">
        <v>3085</v>
      </c>
      <c r="B797" s="3" t="s">
        <v>3141</v>
      </c>
      <c r="C797" t="s">
        <v>3141</v>
      </c>
      <c r="D797" s="3" t="s">
        <v>7329</v>
      </c>
      <c r="E797" t="s">
        <v>3161</v>
      </c>
      <c r="F797" s="3" t="s">
        <v>3162</v>
      </c>
      <c r="G797" s="10">
        <v>0</v>
      </c>
      <c r="H797" s="3" t="s">
        <v>19</v>
      </c>
      <c r="I797" t="s">
        <v>3146</v>
      </c>
      <c r="J797" s="3" t="s">
        <v>84</v>
      </c>
      <c r="K797" t="s">
        <v>5842</v>
      </c>
      <c r="L797" s="3" t="s">
        <v>5843</v>
      </c>
      <c r="M797" t="s">
        <v>6115</v>
      </c>
      <c r="N797" s="8">
        <v>4.4193000000000003E-2</v>
      </c>
    </row>
    <row r="798" spans="1:14" hidden="1" x14ac:dyDescent="0.55000000000000004">
      <c r="A798" s="3" t="s">
        <v>3085</v>
      </c>
      <c r="B798" s="3" t="s">
        <v>3141</v>
      </c>
      <c r="C798" t="s">
        <v>3141</v>
      </c>
      <c r="D798" s="3" t="s">
        <v>7329</v>
      </c>
      <c r="E798" t="s">
        <v>3161</v>
      </c>
      <c r="F798" s="3" t="s">
        <v>3162</v>
      </c>
      <c r="G798" s="10">
        <v>0</v>
      </c>
      <c r="H798" s="3" t="s">
        <v>24</v>
      </c>
      <c r="I798" t="s">
        <v>3149</v>
      </c>
      <c r="J798" s="3" t="s">
        <v>46</v>
      </c>
      <c r="K798" t="s">
        <v>5836</v>
      </c>
      <c r="L798" s="3" t="s">
        <v>5837</v>
      </c>
      <c r="M798" t="s">
        <v>6116</v>
      </c>
      <c r="N798" s="8">
        <v>0.218333</v>
      </c>
    </row>
    <row r="799" spans="1:14" hidden="1" x14ac:dyDescent="0.55000000000000004">
      <c r="A799" s="3" t="s">
        <v>3085</v>
      </c>
      <c r="B799" s="3" t="s">
        <v>3141</v>
      </c>
      <c r="C799" t="s">
        <v>3141</v>
      </c>
      <c r="D799" s="3" t="s">
        <v>7329</v>
      </c>
      <c r="E799" t="s">
        <v>3163</v>
      </c>
      <c r="F799" s="3" t="s">
        <v>3164</v>
      </c>
      <c r="G799" s="10">
        <v>0</v>
      </c>
      <c r="H799" s="3" t="s">
        <v>19</v>
      </c>
      <c r="I799" t="s">
        <v>3146</v>
      </c>
      <c r="J799" s="3" t="s">
        <v>84</v>
      </c>
      <c r="K799" t="s">
        <v>5842</v>
      </c>
      <c r="L799" s="3" t="s">
        <v>5843</v>
      </c>
      <c r="M799" t="s">
        <v>6115</v>
      </c>
      <c r="N799" s="8">
        <v>4.4193000000000003E-2</v>
      </c>
    </row>
    <row r="800" spans="1:14" hidden="1" x14ac:dyDescent="0.55000000000000004">
      <c r="A800" s="3" t="s">
        <v>3085</v>
      </c>
      <c r="B800" s="3" t="s">
        <v>3141</v>
      </c>
      <c r="C800" t="s">
        <v>3141</v>
      </c>
      <c r="D800" s="3" t="s">
        <v>7329</v>
      </c>
      <c r="E800" t="s">
        <v>3163</v>
      </c>
      <c r="F800" s="3" t="s">
        <v>3164</v>
      </c>
      <c r="G800" s="10">
        <v>0</v>
      </c>
      <c r="H800" s="3" t="s">
        <v>24</v>
      </c>
      <c r="I800" t="s">
        <v>3149</v>
      </c>
      <c r="J800" s="3" t="s">
        <v>46</v>
      </c>
      <c r="K800" t="s">
        <v>5836</v>
      </c>
      <c r="L800" s="3" t="s">
        <v>5837</v>
      </c>
      <c r="M800" t="s">
        <v>6116</v>
      </c>
      <c r="N800" s="8">
        <v>0.218333</v>
      </c>
    </row>
    <row r="801" spans="1:14" hidden="1" x14ac:dyDescent="0.55000000000000004">
      <c r="A801" s="3" t="s">
        <v>3085</v>
      </c>
      <c r="B801" s="3" t="s">
        <v>3141</v>
      </c>
      <c r="C801" t="s">
        <v>3141</v>
      </c>
      <c r="D801" s="3" t="s">
        <v>7329</v>
      </c>
      <c r="E801" t="s">
        <v>3165</v>
      </c>
      <c r="F801" s="3" t="s">
        <v>3166</v>
      </c>
      <c r="G801" s="10">
        <v>0</v>
      </c>
      <c r="H801" s="3" t="s">
        <v>19</v>
      </c>
      <c r="I801" t="s">
        <v>3146</v>
      </c>
      <c r="J801" s="3" t="s">
        <v>84</v>
      </c>
      <c r="K801" t="s">
        <v>5842</v>
      </c>
      <c r="L801" s="3" t="s">
        <v>5843</v>
      </c>
      <c r="M801" t="s">
        <v>6115</v>
      </c>
      <c r="N801" s="8">
        <v>4.4193000000000003E-2</v>
      </c>
    </row>
    <row r="802" spans="1:14" hidden="1" x14ac:dyDescent="0.55000000000000004">
      <c r="A802" s="3" t="s">
        <v>3085</v>
      </c>
      <c r="B802" s="3" t="s">
        <v>3141</v>
      </c>
      <c r="C802" t="s">
        <v>3141</v>
      </c>
      <c r="D802" s="3" t="s">
        <v>7329</v>
      </c>
      <c r="E802" t="s">
        <v>3165</v>
      </c>
      <c r="F802" s="3" t="s">
        <v>3166</v>
      </c>
      <c r="G802" s="10">
        <v>0</v>
      </c>
      <c r="H802" s="3" t="s">
        <v>24</v>
      </c>
      <c r="I802" t="s">
        <v>3149</v>
      </c>
      <c r="J802" s="3" t="s">
        <v>46</v>
      </c>
      <c r="K802" t="s">
        <v>5836</v>
      </c>
      <c r="L802" s="3" t="s">
        <v>5837</v>
      </c>
      <c r="M802" t="s">
        <v>6116</v>
      </c>
      <c r="N802" s="8">
        <v>0.218333</v>
      </c>
    </row>
    <row r="803" spans="1:14" hidden="1" x14ac:dyDescent="0.55000000000000004">
      <c r="A803" s="3" t="s">
        <v>3085</v>
      </c>
      <c r="B803" s="3" t="s">
        <v>3167</v>
      </c>
      <c r="C803" t="s">
        <v>3167</v>
      </c>
      <c r="D803" s="3" t="s">
        <v>7329</v>
      </c>
      <c r="E803" t="s">
        <v>3168</v>
      </c>
      <c r="F803" s="3" t="s">
        <v>3169</v>
      </c>
      <c r="G803" s="10">
        <v>0</v>
      </c>
      <c r="H803" s="3" t="s">
        <v>19</v>
      </c>
      <c r="I803" t="s">
        <v>3172</v>
      </c>
      <c r="J803" s="3" t="s">
        <v>84</v>
      </c>
      <c r="K803" t="s">
        <v>5842</v>
      </c>
      <c r="L803" s="3" t="s">
        <v>5843</v>
      </c>
      <c r="M803" t="s">
        <v>6117</v>
      </c>
      <c r="N803" s="8">
        <v>4.7424000000000001E-2</v>
      </c>
    </row>
    <row r="804" spans="1:14" hidden="1" x14ac:dyDescent="0.55000000000000004">
      <c r="A804" s="3" t="s">
        <v>3085</v>
      </c>
      <c r="B804" s="3" t="s">
        <v>3167</v>
      </c>
      <c r="C804" t="s">
        <v>3167</v>
      </c>
      <c r="D804" s="3" t="s">
        <v>7329</v>
      </c>
      <c r="E804" t="s">
        <v>3168</v>
      </c>
      <c r="F804" s="3" t="s">
        <v>3169</v>
      </c>
      <c r="G804" s="10">
        <v>0</v>
      </c>
      <c r="H804" s="3" t="s">
        <v>24</v>
      </c>
      <c r="I804" t="s">
        <v>3177</v>
      </c>
      <c r="J804" s="3" t="s">
        <v>46</v>
      </c>
      <c r="K804" t="s">
        <v>5836</v>
      </c>
      <c r="L804" s="3" t="s">
        <v>5837</v>
      </c>
      <c r="M804" t="s">
        <v>6114</v>
      </c>
      <c r="N804" s="8">
        <v>0.23263300000000001</v>
      </c>
    </row>
    <row r="805" spans="1:14" hidden="1" x14ac:dyDescent="0.55000000000000004">
      <c r="A805" s="3" t="s">
        <v>3085</v>
      </c>
      <c r="B805" s="3" t="s">
        <v>3167</v>
      </c>
      <c r="C805" t="s">
        <v>3167</v>
      </c>
      <c r="D805" s="3" t="s">
        <v>7329</v>
      </c>
      <c r="E805" t="s">
        <v>3178</v>
      </c>
      <c r="F805" s="3" t="s">
        <v>3179</v>
      </c>
      <c r="G805" s="10">
        <v>0</v>
      </c>
      <c r="H805" s="3" t="s">
        <v>19</v>
      </c>
      <c r="I805" t="s">
        <v>3172</v>
      </c>
      <c r="J805" s="3" t="s">
        <v>84</v>
      </c>
      <c r="K805" t="s">
        <v>5842</v>
      </c>
      <c r="L805" s="3" t="s">
        <v>5843</v>
      </c>
      <c r="M805" t="s">
        <v>6117</v>
      </c>
      <c r="N805" s="8">
        <v>4.7424000000000001E-2</v>
      </c>
    </row>
    <row r="806" spans="1:14" hidden="1" x14ac:dyDescent="0.55000000000000004">
      <c r="A806" s="3" t="s">
        <v>3085</v>
      </c>
      <c r="B806" s="3" t="s">
        <v>3167</v>
      </c>
      <c r="C806" t="s">
        <v>3167</v>
      </c>
      <c r="D806" s="3" t="s">
        <v>7329</v>
      </c>
      <c r="E806" t="s">
        <v>3178</v>
      </c>
      <c r="F806" s="3" t="s">
        <v>3179</v>
      </c>
      <c r="G806" s="10">
        <v>0</v>
      </c>
      <c r="H806" s="3" t="s">
        <v>24</v>
      </c>
      <c r="I806" t="s">
        <v>3177</v>
      </c>
      <c r="J806" s="3" t="s">
        <v>46</v>
      </c>
      <c r="K806" t="s">
        <v>5836</v>
      </c>
      <c r="L806" s="3" t="s">
        <v>5837</v>
      </c>
      <c r="M806" t="s">
        <v>6114</v>
      </c>
      <c r="N806" s="8">
        <v>0.23263300000000001</v>
      </c>
    </row>
    <row r="807" spans="1:14" hidden="1" x14ac:dyDescent="0.55000000000000004">
      <c r="A807" s="3" t="s">
        <v>3085</v>
      </c>
      <c r="B807" s="3" t="s">
        <v>3167</v>
      </c>
      <c r="C807" t="s">
        <v>3167</v>
      </c>
      <c r="D807" s="3" t="s">
        <v>7329</v>
      </c>
      <c r="E807" t="s">
        <v>3180</v>
      </c>
      <c r="F807" s="3" t="s">
        <v>3181</v>
      </c>
      <c r="G807" s="10">
        <v>0</v>
      </c>
      <c r="H807" s="3" t="s">
        <v>19</v>
      </c>
      <c r="I807" t="s">
        <v>3172</v>
      </c>
      <c r="J807" s="3" t="s">
        <v>84</v>
      </c>
      <c r="K807" t="s">
        <v>5842</v>
      </c>
      <c r="L807" s="3" t="s">
        <v>5843</v>
      </c>
      <c r="M807" t="s">
        <v>6117</v>
      </c>
      <c r="N807" s="8">
        <v>4.7424000000000001E-2</v>
      </c>
    </row>
    <row r="808" spans="1:14" hidden="1" x14ac:dyDescent="0.55000000000000004">
      <c r="A808" s="3" t="s">
        <v>3085</v>
      </c>
      <c r="B808" s="3" t="s">
        <v>3167</v>
      </c>
      <c r="C808" t="s">
        <v>3167</v>
      </c>
      <c r="D808" s="3" t="s">
        <v>7329</v>
      </c>
      <c r="E808" t="s">
        <v>3180</v>
      </c>
      <c r="F808" s="3" t="s">
        <v>3181</v>
      </c>
      <c r="G808" s="10">
        <v>0</v>
      </c>
      <c r="H808" s="3" t="s">
        <v>24</v>
      </c>
      <c r="I808" t="s">
        <v>3177</v>
      </c>
      <c r="J808" s="3" t="s">
        <v>46</v>
      </c>
      <c r="K808" t="s">
        <v>5836</v>
      </c>
      <c r="L808" s="3" t="s">
        <v>5837</v>
      </c>
      <c r="M808" t="s">
        <v>6114</v>
      </c>
      <c r="N808" s="8">
        <v>0.23263300000000001</v>
      </c>
    </row>
    <row r="809" spans="1:14" hidden="1" x14ac:dyDescent="0.55000000000000004">
      <c r="A809" s="3" t="s">
        <v>3085</v>
      </c>
      <c r="B809" s="3" t="s">
        <v>3167</v>
      </c>
      <c r="C809" t="s">
        <v>3167</v>
      </c>
      <c r="D809" s="3" t="s">
        <v>7329</v>
      </c>
      <c r="E809" t="s">
        <v>3182</v>
      </c>
      <c r="F809" s="3" t="s">
        <v>3183</v>
      </c>
      <c r="G809" s="10">
        <v>0</v>
      </c>
      <c r="H809" s="3" t="s">
        <v>19</v>
      </c>
      <c r="I809" t="s">
        <v>3172</v>
      </c>
      <c r="J809" s="3" t="s">
        <v>84</v>
      </c>
      <c r="K809" t="s">
        <v>5842</v>
      </c>
      <c r="L809" s="3" t="s">
        <v>5843</v>
      </c>
      <c r="M809" t="s">
        <v>6117</v>
      </c>
      <c r="N809" s="8">
        <v>4.7424000000000001E-2</v>
      </c>
    </row>
    <row r="810" spans="1:14" hidden="1" x14ac:dyDescent="0.55000000000000004">
      <c r="A810" s="3" t="s">
        <v>3085</v>
      </c>
      <c r="B810" s="3" t="s">
        <v>3167</v>
      </c>
      <c r="C810" t="s">
        <v>3167</v>
      </c>
      <c r="D810" s="3" t="s">
        <v>7329</v>
      </c>
      <c r="E810" t="s">
        <v>3182</v>
      </c>
      <c r="F810" s="3" t="s">
        <v>3183</v>
      </c>
      <c r="G810" s="10">
        <v>0</v>
      </c>
      <c r="H810" s="3" t="s">
        <v>24</v>
      </c>
      <c r="I810" t="s">
        <v>3177</v>
      </c>
      <c r="J810" s="3" t="s">
        <v>46</v>
      </c>
      <c r="K810" t="s">
        <v>5836</v>
      </c>
      <c r="L810" s="3" t="s">
        <v>5837</v>
      </c>
      <c r="M810" t="s">
        <v>6114</v>
      </c>
      <c r="N810" s="8">
        <v>0.23263300000000001</v>
      </c>
    </row>
    <row r="811" spans="1:14" hidden="1" x14ac:dyDescent="0.55000000000000004">
      <c r="A811" s="3" t="s">
        <v>3085</v>
      </c>
      <c r="B811" s="3" t="s">
        <v>3167</v>
      </c>
      <c r="C811" t="s">
        <v>3167</v>
      </c>
      <c r="D811" s="3" t="s">
        <v>7329</v>
      </c>
      <c r="E811" t="s">
        <v>3184</v>
      </c>
      <c r="F811" s="3" t="s">
        <v>3185</v>
      </c>
      <c r="G811" s="10">
        <v>0</v>
      </c>
      <c r="H811" s="3" t="s">
        <v>19</v>
      </c>
      <c r="I811" t="s">
        <v>3172</v>
      </c>
      <c r="J811" s="3" t="s">
        <v>84</v>
      </c>
      <c r="K811" t="s">
        <v>5842</v>
      </c>
      <c r="L811" s="3" t="s">
        <v>5843</v>
      </c>
      <c r="M811" t="s">
        <v>6117</v>
      </c>
      <c r="N811" s="8">
        <v>4.7424000000000001E-2</v>
      </c>
    </row>
    <row r="812" spans="1:14" hidden="1" x14ac:dyDescent="0.55000000000000004">
      <c r="A812" s="3" t="s">
        <v>3085</v>
      </c>
      <c r="B812" s="3" t="s">
        <v>3167</v>
      </c>
      <c r="C812" t="s">
        <v>3167</v>
      </c>
      <c r="D812" s="3" t="s">
        <v>7329</v>
      </c>
      <c r="E812" t="s">
        <v>3184</v>
      </c>
      <c r="F812" s="3" t="s">
        <v>3185</v>
      </c>
      <c r="G812" s="10">
        <v>0</v>
      </c>
      <c r="H812" s="3" t="s">
        <v>24</v>
      </c>
      <c r="I812" t="s">
        <v>3177</v>
      </c>
      <c r="J812" s="3" t="s">
        <v>46</v>
      </c>
      <c r="K812" t="s">
        <v>5836</v>
      </c>
      <c r="L812" s="3" t="s">
        <v>5837</v>
      </c>
      <c r="M812" t="s">
        <v>6114</v>
      </c>
      <c r="N812" s="8">
        <v>0.23263300000000001</v>
      </c>
    </row>
    <row r="813" spans="1:14" hidden="1" x14ac:dyDescent="0.55000000000000004">
      <c r="A813" s="3" t="s">
        <v>3085</v>
      </c>
      <c r="B813" s="3" t="s">
        <v>3167</v>
      </c>
      <c r="C813" t="s">
        <v>3167</v>
      </c>
      <c r="D813" s="3" t="s">
        <v>7329</v>
      </c>
      <c r="E813" t="s">
        <v>3186</v>
      </c>
      <c r="F813" s="3" t="s">
        <v>3187</v>
      </c>
      <c r="G813" s="10">
        <v>0</v>
      </c>
      <c r="H813" s="3" t="s">
        <v>19</v>
      </c>
      <c r="I813" t="s">
        <v>3172</v>
      </c>
      <c r="J813" s="3" t="s">
        <v>84</v>
      </c>
      <c r="K813" t="s">
        <v>5842</v>
      </c>
      <c r="L813" s="3" t="s">
        <v>5843</v>
      </c>
      <c r="M813" t="s">
        <v>6117</v>
      </c>
      <c r="N813" s="8">
        <v>4.7424000000000001E-2</v>
      </c>
    </row>
    <row r="814" spans="1:14" hidden="1" x14ac:dyDescent="0.55000000000000004">
      <c r="A814" s="3" t="s">
        <v>3085</v>
      </c>
      <c r="B814" s="3" t="s">
        <v>3167</v>
      </c>
      <c r="C814" t="s">
        <v>3167</v>
      </c>
      <c r="D814" s="3" t="s">
        <v>7329</v>
      </c>
      <c r="E814" t="s">
        <v>3186</v>
      </c>
      <c r="F814" s="3" t="s">
        <v>3187</v>
      </c>
      <c r="G814" s="10">
        <v>0</v>
      </c>
      <c r="H814" s="3" t="s">
        <v>24</v>
      </c>
      <c r="I814" t="s">
        <v>3177</v>
      </c>
      <c r="J814" s="3" t="s">
        <v>46</v>
      </c>
      <c r="K814" t="s">
        <v>5836</v>
      </c>
      <c r="L814" s="3" t="s">
        <v>5837</v>
      </c>
      <c r="M814" t="s">
        <v>6114</v>
      </c>
      <c r="N814" s="8">
        <v>0.23263300000000001</v>
      </c>
    </row>
    <row r="815" spans="1:14" hidden="1" x14ac:dyDescent="0.55000000000000004">
      <c r="A815" s="3" t="s">
        <v>3085</v>
      </c>
      <c r="B815" s="3" t="s">
        <v>3167</v>
      </c>
      <c r="C815" t="s">
        <v>3167</v>
      </c>
      <c r="D815" s="3" t="s">
        <v>7329</v>
      </c>
      <c r="E815" t="s">
        <v>3188</v>
      </c>
      <c r="F815" s="3" t="s">
        <v>3189</v>
      </c>
      <c r="G815" s="10">
        <v>0</v>
      </c>
      <c r="H815" s="3" t="s">
        <v>19</v>
      </c>
      <c r="I815" t="s">
        <v>3172</v>
      </c>
      <c r="J815" s="3" t="s">
        <v>84</v>
      </c>
      <c r="K815" t="s">
        <v>5842</v>
      </c>
      <c r="L815" s="3" t="s">
        <v>5843</v>
      </c>
      <c r="M815" t="s">
        <v>6117</v>
      </c>
      <c r="N815" s="8">
        <v>4.7424000000000001E-2</v>
      </c>
    </row>
    <row r="816" spans="1:14" hidden="1" x14ac:dyDescent="0.55000000000000004">
      <c r="A816" s="3" t="s">
        <v>3085</v>
      </c>
      <c r="B816" s="3" t="s">
        <v>3167</v>
      </c>
      <c r="C816" t="s">
        <v>3167</v>
      </c>
      <c r="D816" s="3" t="s">
        <v>7329</v>
      </c>
      <c r="E816" t="s">
        <v>3188</v>
      </c>
      <c r="F816" s="3" t="s">
        <v>3189</v>
      </c>
      <c r="G816" s="10">
        <v>0</v>
      </c>
      <c r="H816" s="3" t="s">
        <v>24</v>
      </c>
      <c r="I816" t="s">
        <v>3177</v>
      </c>
      <c r="J816" s="3" t="s">
        <v>46</v>
      </c>
      <c r="K816" t="s">
        <v>5836</v>
      </c>
      <c r="L816" s="3" t="s">
        <v>5837</v>
      </c>
      <c r="M816" t="s">
        <v>6114</v>
      </c>
      <c r="N816" s="8">
        <v>0.23263300000000001</v>
      </c>
    </row>
    <row r="817" spans="1:14" hidden="1" x14ac:dyDescent="0.55000000000000004">
      <c r="A817" s="3" t="s">
        <v>3085</v>
      </c>
      <c r="B817" s="3" t="s">
        <v>3167</v>
      </c>
      <c r="C817" t="s">
        <v>3167</v>
      </c>
      <c r="D817" s="3" t="s">
        <v>7329</v>
      </c>
      <c r="E817" t="s">
        <v>3190</v>
      </c>
      <c r="F817" s="3" t="s">
        <v>3191</v>
      </c>
      <c r="G817" s="10">
        <v>0</v>
      </c>
      <c r="H817" s="3" t="s">
        <v>19</v>
      </c>
      <c r="I817" t="s">
        <v>3172</v>
      </c>
      <c r="J817" s="3" t="s">
        <v>84</v>
      </c>
      <c r="K817" t="s">
        <v>5842</v>
      </c>
      <c r="L817" s="3" t="s">
        <v>5843</v>
      </c>
      <c r="M817" t="s">
        <v>6117</v>
      </c>
      <c r="N817" s="8">
        <v>4.7424000000000001E-2</v>
      </c>
    </row>
    <row r="818" spans="1:14" hidden="1" x14ac:dyDescent="0.55000000000000004">
      <c r="A818" s="3" t="s">
        <v>3085</v>
      </c>
      <c r="B818" s="3" t="s">
        <v>3167</v>
      </c>
      <c r="C818" t="s">
        <v>3167</v>
      </c>
      <c r="D818" s="3" t="s">
        <v>7329</v>
      </c>
      <c r="E818" t="s">
        <v>3190</v>
      </c>
      <c r="F818" s="3" t="s">
        <v>3191</v>
      </c>
      <c r="G818" s="10">
        <v>0</v>
      </c>
      <c r="H818" s="3" t="s">
        <v>24</v>
      </c>
      <c r="I818" t="s">
        <v>3177</v>
      </c>
      <c r="J818" s="3" t="s">
        <v>46</v>
      </c>
      <c r="K818" t="s">
        <v>5836</v>
      </c>
      <c r="L818" s="3" t="s">
        <v>5837</v>
      </c>
      <c r="M818" t="s">
        <v>6114</v>
      </c>
      <c r="N818" s="8">
        <v>0.23263300000000001</v>
      </c>
    </row>
    <row r="819" spans="1:14" hidden="1" x14ac:dyDescent="0.55000000000000004">
      <c r="A819" s="3" t="s">
        <v>3085</v>
      </c>
      <c r="B819" s="3" t="s">
        <v>3167</v>
      </c>
      <c r="C819" t="s">
        <v>3167</v>
      </c>
      <c r="D819" s="3" t="s">
        <v>7329</v>
      </c>
      <c r="E819" t="s">
        <v>3192</v>
      </c>
      <c r="F819" s="3" t="s">
        <v>3193</v>
      </c>
      <c r="G819" s="10">
        <v>0</v>
      </c>
      <c r="H819" s="3" t="s">
        <v>19</v>
      </c>
      <c r="I819" t="s">
        <v>3172</v>
      </c>
      <c r="J819" s="3" t="s">
        <v>84</v>
      </c>
      <c r="K819" t="s">
        <v>5842</v>
      </c>
      <c r="L819" s="3" t="s">
        <v>5843</v>
      </c>
      <c r="M819" t="s">
        <v>6117</v>
      </c>
      <c r="N819" s="8">
        <v>4.7424000000000001E-2</v>
      </c>
    </row>
    <row r="820" spans="1:14" hidden="1" x14ac:dyDescent="0.55000000000000004">
      <c r="A820" s="3" t="s">
        <v>3085</v>
      </c>
      <c r="B820" s="3" t="s">
        <v>3167</v>
      </c>
      <c r="C820" t="s">
        <v>3167</v>
      </c>
      <c r="D820" s="3" t="s">
        <v>7329</v>
      </c>
      <c r="E820" t="s">
        <v>3192</v>
      </c>
      <c r="F820" s="3" t="s">
        <v>3193</v>
      </c>
      <c r="G820" s="10">
        <v>0</v>
      </c>
      <c r="H820" s="3" t="s">
        <v>24</v>
      </c>
      <c r="I820" t="s">
        <v>3177</v>
      </c>
      <c r="J820" s="3" t="s">
        <v>46</v>
      </c>
      <c r="K820" t="s">
        <v>5836</v>
      </c>
      <c r="L820" s="3" t="s">
        <v>5837</v>
      </c>
      <c r="M820" t="s">
        <v>6114</v>
      </c>
      <c r="N820" s="8">
        <v>0.23263300000000001</v>
      </c>
    </row>
    <row r="821" spans="1:14" hidden="1" x14ac:dyDescent="0.55000000000000004">
      <c r="A821" s="3" t="s">
        <v>3085</v>
      </c>
      <c r="B821" s="3" t="s">
        <v>3167</v>
      </c>
      <c r="C821" t="s">
        <v>3167</v>
      </c>
      <c r="D821" s="3" t="s">
        <v>7329</v>
      </c>
      <c r="E821" t="s">
        <v>3194</v>
      </c>
      <c r="F821" s="3" t="s">
        <v>3195</v>
      </c>
      <c r="G821" s="10">
        <v>1</v>
      </c>
      <c r="H821" s="3" t="s">
        <v>19</v>
      </c>
      <c r="I821" t="s">
        <v>3172</v>
      </c>
      <c r="J821" s="3" t="s">
        <v>84</v>
      </c>
      <c r="K821" t="s">
        <v>5842</v>
      </c>
      <c r="L821" s="3" t="s">
        <v>5843</v>
      </c>
      <c r="M821" t="s">
        <v>6117</v>
      </c>
      <c r="N821" s="8">
        <v>4.7424000000000001E-2</v>
      </c>
    </row>
    <row r="822" spans="1:14" hidden="1" x14ac:dyDescent="0.55000000000000004">
      <c r="A822" s="3" t="s">
        <v>3085</v>
      </c>
      <c r="B822" s="3" t="s">
        <v>3167</v>
      </c>
      <c r="C822" t="s">
        <v>3167</v>
      </c>
      <c r="D822" s="3" t="s">
        <v>7329</v>
      </c>
      <c r="E822" t="s">
        <v>3194</v>
      </c>
      <c r="F822" s="3" t="s">
        <v>3195</v>
      </c>
      <c r="G822" s="10">
        <v>1</v>
      </c>
      <c r="H822" s="3" t="s">
        <v>24</v>
      </c>
      <c r="I822" t="s">
        <v>3177</v>
      </c>
      <c r="J822" s="3" t="s">
        <v>46</v>
      </c>
      <c r="K822" t="s">
        <v>5836</v>
      </c>
      <c r="L822" s="3" t="s">
        <v>5837</v>
      </c>
      <c r="M822" t="s">
        <v>6114</v>
      </c>
      <c r="N822" s="8">
        <v>0.23263300000000001</v>
      </c>
    </row>
    <row r="823" spans="1:14" hidden="1" x14ac:dyDescent="0.55000000000000004">
      <c r="A823" s="3" t="s">
        <v>3085</v>
      </c>
      <c r="B823" s="3" t="s">
        <v>3196</v>
      </c>
      <c r="C823" t="s">
        <v>3196</v>
      </c>
      <c r="D823" s="3" t="s">
        <v>7329</v>
      </c>
      <c r="E823" t="s">
        <v>3197</v>
      </c>
      <c r="F823" s="3" t="s">
        <v>3198</v>
      </c>
      <c r="G823" s="10">
        <v>0</v>
      </c>
      <c r="H823" s="3" t="s">
        <v>24</v>
      </c>
      <c r="I823" t="s">
        <v>3201</v>
      </c>
      <c r="J823" s="3" t="s">
        <v>40</v>
      </c>
      <c r="K823" t="s">
        <v>23</v>
      </c>
      <c r="L823" s="3" t="s">
        <v>5835</v>
      </c>
      <c r="M823" t="s">
        <v>23</v>
      </c>
      <c r="N823" s="8">
        <v>0.25761400000000001</v>
      </c>
    </row>
    <row r="824" spans="1:14" hidden="1" x14ac:dyDescent="0.55000000000000004">
      <c r="A824" s="9" t="s">
        <v>3085</v>
      </c>
      <c r="B824" s="3" t="s">
        <v>3196</v>
      </c>
      <c r="C824" t="s">
        <v>3196</v>
      </c>
      <c r="D824" s="3" t="s">
        <v>7329</v>
      </c>
      <c r="E824" t="s">
        <v>3202</v>
      </c>
      <c r="F824" s="3" t="s">
        <v>3203</v>
      </c>
      <c r="G824" s="10">
        <v>0</v>
      </c>
      <c r="H824" s="3" t="s">
        <v>24</v>
      </c>
      <c r="I824" t="s">
        <v>3201</v>
      </c>
      <c r="J824" s="3" t="s">
        <v>40</v>
      </c>
      <c r="K824" t="s">
        <v>23</v>
      </c>
      <c r="L824" s="3" t="s">
        <v>5835</v>
      </c>
      <c r="M824" t="s">
        <v>23</v>
      </c>
      <c r="N824" s="8">
        <v>0.25761400000000001</v>
      </c>
    </row>
    <row r="825" spans="1:14" hidden="1" x14ac:dyDescent="0.55000000000000004">
      <c r="A825" s="3" t="s">
        <v>3204</v>
      </c>
      <c r="B825" s="3" t="s">
        <v>3205</v>
      </c>
      <c r="C825" t="s">
        <v>3205</v>
      </c>
      <c r="D825" s="3" t="s">
        <v>7312</v>
      </c>
      <c r="E825" t="s">
        <v>3206</v>
      </c>
      <c r="F825" s="3" t="s">
        <v>3207</v>
      </c>
      <c r="G825" s="10">
        <v>0</v>
      </c>
      <c r="H825" s="3" t="s">
        <v>24</v>
      </c>
      <c r="I825" t="s">
        <v>3210</v>
      </c>
      <c r="J825" s="3" t="s">
        <v>55</v>
      </c>
      <c r="K825" t="s">
        <v>23</v>
      </c>
      <c r="L825" s="3" t="s">
        <v>5839</v>
      </c>
      <c r="M825" t="s">
        <v>23</v>
      </c>
      <c r="N825" s="8">
        <v>0.21731200000000001</v>
      </c>
    </row>
    <row r="826" spans="1:14" hidden="1" x14ac:dyDescent="0.55000000000000004">
      <c r="A826" s="3" t="s">
        <v>3204</v>
      </c>
      <c r="B826" s="3" t="s">
        <v>3211</v>
      </c>
      <c r="C826" t="s">
        <v>3211</v>
      </c>
      <c r="D826" s="3" t="s">
        <v>7312</v>
      </c>
      <c r="E826" t="s">
        <v>3212</v>
      </c>
      <c r="F826" s="3" t="s">
        <v>3213</v>
      </c>
      <c r="G826" s="10">
        <v>1</v>
      </c>
      <c r="H826" s="3" t="s">
        <v>19</v>
      </c>
      <c r="I826" t="s">
        <v>3218</v>
      </c>
      <c r="J826" s="3" t="s">
        <v>212</v>
      </c>
      <c r="K826" t="s">
        <v>5855</v>
      </c>
      <c r="L826" s="3" t="s">
        <v>6076</v>
      </c>
      <c r="M826" t="s">
        <v>6118</v>
      </c>
      <c r="N826" s="8">
        <v>8.1828999999999999E-2</v>
      </c>
    </row>
    <row r="827" spans="1:14" hidden="1" x14ac:dyDescent="0.55000000000000004">
      <c r="A827" s="3" t="s">
        <v>3204</v>
      </c>
      <c r="B827" s="3" t="s">
        <v>3211</v>
      </c>
      <c r="C827" t="s">
        <v>3211</v>
      </c>
      <c r="D827" s="3" t="s">
        <v>7312</v>
      </c>
      <c r="E827" t="s">
        <v>3212</v>
      </c>
      <c r="F827" s="3" t="s">
        <v>3213</v>
      </c>
      <c r="G827" s="10">
        <v>1</v>
      </c>
      <c r="H827" s="3" t="s">
        <v>19</v>
      </c>
      <c r="I827" t="s">
        <v>3218</v>
      </c>
      <c r="J827" s="3" t="s">
        <v>212</v>
      </c>
      <c r="K827" t="s">
        <v>5855</v>
      </c>
      <c r="L827" s="3" t="s">
        <v>6079</v>
      </c>
      <c r="M827" t="s">
        <v>6118</v>
      </c>
      <c r="N827" s="8">
        <v>8.1828999999999999E-2</v>
      </c>
    </row>
    <row r="828" spans="1:14" hidden="1" x14ac:dyDescent="0.55000000000000004">
      <c r="A828" s="3" t="s">
        <v>3204</v>
      </c>
      <c r="B828" s="3" t="s">
        <v>3228</v>
      </c>
      <c r="C828" t="s">
        <v>3228</v>
      </c>
      <c r="D828" s="3" t="s">
        <v>7312</v>
      </c>
      <c r="E828" t="s">
        <v>3229</v>
      </c>
      <c r="F828" s="3" t="s">
        <v>3230</v>
      </c>
      <c r="G828" s="10">
        <v>1</v>
      </c>
      <c r="H828" s="3" t="s">
        <v>19</v>
      </c>
      <c r="I828" t="s">
        <v>3235</v>
      </c>
      <c r="J828" s="3" t="s">
        <v>212</v>
      </c>
      <c r="K828" t="s">
        <v>5855</v>
      </c>
      <c r="L828" s="3" t="s">
        <v>6076</v>
      </c>
      <c r="M828" t="s">
        <v>6119</v>
      </c>
      <c r="N828" s="8">
        <v>6.6423999999999997E-2</v>
      </c>
    </row>
    <row r="829" spans="1:14" hidden="1" x14ac:dyDescent="0.55000000000000004">
      <c r="A829" s="3" t="s">
        <v>3204</v>
      </c>
      <c r="B829" s="3" t="s">
        <v>3228</v>
      </c>
      <c r="C829" t="s">
        <v>3228</v>
      </c>
      <c r="D829" s="3" t="s">
        <v>7312</v>
      </c>
      <c r="E829" t="s">
        <v>3229</v>
      </c>
      <c r="F829" s="3" t="s">
        <v>3230</v>
      </c>
      <c r="G829" s="10">
        <v>1</v>
      </c>
      <c r="H829" s="3" t="s">
        <v>19</v>
      </c>
      <c r="I829" t="s">
        <v>3235</v>
      </c>
      <c r="J829" s="3" t="s">
        <v>212</v>
      </c>
      <c r="K829" t="s">
        <v>5855</v>
      </c>
      <c r="L829" s="3" t="s">
        <v>6079</v>
      </c>
      <c r="M829" t="s">
        <v>6119</v>
      </c>
      <c r="N829" s="8">
        <v>6.6423999999999997E-2</v>
      </c>
    </row>
    <row r="830" spans="1:14" hidden="1" x14ac:dyDescent="0.55000000000000004">
      <c r="A830" s="3" t="s">
        <v>3204</v>
      </c>
      <c r="B830" s="3" t="s">
        <v>3228</v>
      </c>
      <c r="C830" t="s">
        <v>3228</v>
      </c>
      <c r="D830" s="3" t="s">
        <v>7312</v>
      </c>
      <c r="E830" t="s">
        <v>3229</v>
      </c>
      <c r="F830" s="3" t="s">
        <v>3230</v>
      </c>
      <c r="G830" s="10">
        <v>1</v>
      </c>
      <c r="H830" s="3" t="s">
        <v>24</v>
      </c>
      <c r="I830" t="s">
        <v>3244</v>
      </c>
      <c r="J830" s="3" t="s">
        <v>55</v>
      </c>
      <c r="K830" t="s">
        <v>23</v>
      </c>
      <c r="L830" s="3" t="s">
        <v>5839</v>
      </c>
      <c r="M830" t="s">
        <v>23</v>
      </c>
      <c r="N830" s="8">
        <v>0.18445600000000001</v>
      </c>
    </row>
    <row r="831" spans="1:14" hidden="1" x14ac:dyDescent="0.55000000000000004">
      <c r="A831" s="3" t="s">
        <v>3204</v>
      </c>
      <c r="B831" s="3" t="s">
        <v>3245</v>
      </c>
      <c r="C831" t="s">
        <v>3245</v>
      </c>
      <c r="D831" s="3" t="s">
        <v>7312</v>
      </c>
      <c r="E831" t="s">
        <v>3246</v>
      </c>
      <c r="F831" s="3" t="s">
        <v>3247</v>
      </c>
      <c r="G831" s="10">
        <v>0</v>
      </c>
      <c r="H831" s="3" t="s">
        <v>19</v>
      </c>
      <c r="I831" t="s">
        <v>3250</v>
      </c>
      <c r="J831" s="3" t="s">
        <v>3251</v>
      </c>
      <c r="K831" t="s">
        <v>6120</v>
      </c>
      <c r="L831" s="3" t="s">
        <v>6088</v>
      </c>
      <c r="M831" t="s">
        <v>6121</v>
      </c>
      <c r="N831" s="8">
        <v>2.7380999999999999E-2</v>
      </c>
    </row>
    <row r="832" spans="1:14" hidden="1" x14ac:dyDescent="0.55000000000000004">
      <c r="A832" s="3" t="s">
        <v>3204</v>
      </c>
      <c r="B832" s="3" t="s">
        <v>3245</v>
      </c>
      <c r="C832" t="s">
        <v>3245</v>
      </c>
      <c r="D832" s="3" t="s">
        <v>7312</v>
      </c>
      <c r="E832" t="s">
        <v>3246</v>
      </c>
      <c r="F832" s="3" t="s">
        <v>3247</v>
      </c>
      <c r="G832" s="10">
        <v>0</v>
      </c>
      <c r="H832" s="3" t="s">
        <v>24</v>
      </c>
      <c r="I832" t="s">
        <v>3254</v>
      </c>
      <c r="J832" s="3" t="s">
        <v>55</v>
      </c>
      <c r="K832" t="s">
        <v>23</v>
      </c>
      <c r="L832" s="3" t="s">
        <v>5839</v>
      </c>
      <c r="M832" t="s">
        <v>23</v>
      </c>
      <c r="N832" s="8">
        <v>0.18381</v>
      </c>
    </row>
    <row r="833" spans="1:14" hidden="1" x14ac:dyDescent="0.55000000000000004">
      <c r="A833" s="3" t="s">
        <v>3204</v>
      </c>
      <c r="B833" s="3" t="s">
        <v>3245</v>
      </c>
      <c r="C833" t="s">
        <v>3245</v>
      </c>
      <c r="D833" s="3" t="s">
        <v>7312</v>
      </c>
      <c r="E833" t="s">
        <v>3255</v>
      </c>
      <c r="F833" s="3" t="s">
        <v>3256</v>
      </c>
      <c r="G833" s="10">
        <v>0</v>
      </c>
      <c r="H833" s="3" t="s">
        <v>19</v>
      </c>
      <c r="I833" t="s">
        <v>3261</v>
      </c>
      <c r="J833" s="3" t="s">
        <v>1287</v>
      </c>
      <c r="K833" t="s">
        <v>5963</v>
      </c>
      <c r="L833" s="3" t="s">
        <v>5964</v>
      </c>
      <c r="M833" t="s">
        <v>6121</v>
      </c>
      <c r="N833" s="8">
        <v>0.107888</v>
      </c>
    </row>
    <row r="834" spans="1:14" hidden="1" x14ac:dyDescent="0.55000000000000004">
      <c r="A834" s="3" t="s">
        <v>3204</v>
      </c>
      <c r="B834" s="3" t="s">
        <v>3245</v>
      </c>
      <c r="C834" t="s">
        <v>3245</v>
      </c>
      <c r="D834" s="3" t="s">
        <v>7312</v>
      </c>
      <c r="E834" t="s">
        <v>3255</v>
      </c>
      <c r="F834" s="3" t="s">
        <v>3256</v>
      </c>
      <c r="G834" s="10">
        <v>0</v>
      </c>
      <c r="H834" s="3" t="s">
        <v>24</v>
      </c>
      <c r="I834" t="s">
        <v>3254</v>
      </c>
      <c r="J834" s="3" t="s">
        <v>55</v>
      </c>
      <c r="K834" t="s">
        <v>23</v>
      </c>
      <c r="L834" s="3" t="s">
        <v>5839</v>
      </c>
      <c r="M834" t="s">
        <v>23</v>
      </c>
      <c r="N834" s="8">
        <v>0.18381</v>
      </c>
    </row>
    <row r="835" spans="1:14" hidden="1" x14ac:dyDescent="0.55000000000000004">
      <c r="A835" s="3" t="s">
        <v>3204</v>
      </c>
      <c r="B835" s="3" t="s">
        <v>3262</v>
      </c>
      <c r="C835" t="s">
        <v>7364</v>
      </c>
      <c r="D835" s="3" t="s">
        <v>7312</v>
      </c>
      <c r="E835" t="s">
        <v>3263</v>
      </c>
      <c r="F835" s="3" t="s">
        <v>3264</v>
      </c>
      <c r="G835" s="10">
        <v>0</v>
      </c>
      <c r="H835" s="3" t="s">
        <v>24</v>
      </c>
      <c r="I835" t="s">
        <v>3270</v>
      </c>
      <c r="J835" s="3" t="s">
        <v>55</v>
      </c>
      <c r="K835" t="s">
        <v>23</v>
      </c>
      <c r="L835" s="3" t="s">
        <v>5839</v>
      </c>
      <c r="M835" t="s">
        <v>23</v>
      </c>
      <c r="N835" s="8">
        <v>0.18438099999999999</v>
      </c>
    </row>
    <row r="836" spans="1:14" hidden="1" x14ac:dyDescent="0.55000000000000004">
      <c r="A836" s="9" t="s">
        <v>3204</v>
      </c>
      <c r="B836" s="3" t="s">
        <v>3271</v>
      </c>
      <c r="C836" t="s">
        <v>3271</v>
      </c>
      <c r="D836" s="3" t="s">
        <v>7312</v>
      </c>
      <c r="E836" t="s">
        <v>3272</v>
      </c>
      <c r="F836" s="3" t="s">
        <v>3273</v>
      </c>
      <c r="G836" s="10">
        <v>0</v>
      </c>
      <c r="H836" s="3" t="s">
        <v>24</v>
      </c>
      <c r="I836" t="s">
        <v>3276</v>
      </c>
      <c r="J836" s="3" t="s">
        <v>55</v>
      </c>
      <c r="K836" t="s">
        <v>23</v>
      </c>
      <c r="L836" s="3" t="s">
        <v>5839</v>
      </c>
      <c r="M836" t="s">
        <v>23</v>
      </c>
      <c r="N836" s="8">
        <v>0.21773700000000001</v>
      </c>
    </row>
    <row r="837" spans="1:14" hidden="1" x14ac:dyDescent="0.55000000000000004">
      <c r="A837" s="3" t="s">
        <v>3277</v>
      </c>
      <c r="B837" s="3" t="s">
        <v>3278</v>
      </c>
      <c r="C837" t="s">
        <v>3278</v>
      </c>
      <c r="D837" s="3" t="s">
        <v>7312</v>
      </c>
      <c r="E837" t="s">
        <v>3279</v>
      </c>
      <c r="F837" s="3" t="s">
        <v>3280</v>
      </c>
      <c r="G837" s="10">
        <v>1</v>
      </c>
      <c r="H837" s="3" t="s">
        <v>19</v>
      </c>
      <c r="I837" t="s">
        <v>3285</v>
      </c>
      <c r="J837" s="3" t="s">
        <v>1287</v>
      </c>
      <c r="K837" t="s">
        <v>5963</v>
      </c>
      <c r="L837" s="3" t="s">
        <v>5964</v>
      </c>
      <c r="M837" t="s">
        <v>6122</v>
      </c>
      <c r="N837" s="8">
        <v>5.876E-2</v>
      </c>
    </row>
    <row r="838" spans="1:14" hidden="1" x14ac:dyDescent="0.55000000000000004">
      <c r="A838" s="3" t="s">
        <v>3277</v>
      </c>
      <c r="B838" s="3" t="s">
        <v>3291</v>
      </c>
      <c r="C838" t="s">
        <v>3291</v>
      </c>
      <c r="D838" s="3" t="s">
        <v>7312</v>
      </c>
      <c r="E838" t="s">
        <v>3292</v>
      </c>
      <c r="F838" s="3" t="s">
        <v>3293</v>
      </c>
      <c r="G838" s="10">
        <v>1</v>
      </c>
      <c r="H838" s="3" t="s">
        <v>19</v>
      </c>
      <c r="I838" t="s">
        <v>3302</v>
      </c>
      <c r="J838" s="3" t="s">
        <v>212</v>
      </c>
      <c r="K838" t="s">
        <v>5855</v>
      </c>
      <c r="L838" s="3" t="s">
        <v>5949</v>
      </c>
      <c r="M838" t="s">
        <v>6123</v>
      </c>
      <c r="N838" s="8">
        <v>6.8104999999999999E-2</v>
      </c>
    </row>
    <row r="839" spans="1:14" hidden="1" x14ac:dyDescent="0.55000000000000004">
      <c r="A839" s="3" t="s">
        <v>3277</v>
      </c>
      <c r="B839" s="3" t="s">
        <v>3309</v>
      </c>
      <c r="C839" t="s">
        <v>3309</v>
      </c>
      <c r="D839" s="3" t="s">
        <v>7312</v>
      </c>
      <c r="E839" t="s">
        <v>3311</v>
      </c>
      <c r="F839" s="3" t="s">
        <v>3312</v>
      </c>
      <c r="G839" s="10">
        <v>1</v>
      </c>
      <c r="H839" s="3" t="s">
        <v>19</v>
      </c>
      <c r="I839" t="s">
        <v>3319</v>
      </c>
      <c r="J839" s="3" t="s">
        <v>1287</v>
      </c>
      <c r="K839" t="s">
        <v>5963</v>
      </c>
      <c r="L839" s="3" t="s">
        <v>5964</v>
      </c>
      <c r="M839" t="s">
        <v>6124</v>
      </c>
      <c r="N839" s="8">
        <v>4.4937999999999999E-2</v>
      </c>
    </row>
    <row r="840" spans="1:14" hidden="1" x14ac:dyDescent="0.55000000000000004">
      <c r="A840" s="3" t="s">
        <v>3277</v>
      </c>
      <c r="B840" s="3" t="s">
        <v>3323</v>
      </c>
      <c r="C840" t="s">
        <v>3323</v>
      </c>
      <c r="D840" s="3" t="s">
        <v>7312</v>
      </c>
      <c r="E840" t="s">
        <v>3324</v>
      </c>
      <c r="F840" s="3" t="s">
        <v>3325</v>
      </c>
      <c r="G840" s="10">
        <v>0</v>
      </c>
      <c r="H840" s="3" t="s">
        <v>19</v>
      </c>
      <c r="I840" t="s">
        <v>3332</v>
      </c>
      <c r="J840" s="3" t="s">
        <v>212</v>
      </c>
      <c r="K840" t="s">
        <v>5855</v>
      </c>
      <c r="L840" s="3" t="s">
        <v>5949</v>
      </c>
      <c r="M840" t="s">
        <v>6125</v>
      </c>
      <c r="N840" s="8">
        <v>8.7262000000000006E-2</v>
      </c>
    </row>
    <row r="841" spans="1:14" hidden="1" x14ac:dyDescent="0.55000000000000004">
      <c r="A841" s="3" t="s">
        <v>3277</v>
      </c>
      <c r="B841" s="3" t="s">
        <v>3323</v>
      </c>
      <c r="C841" t="s">
        <v>3323</v>
      </c>
      <c r="D841" s="3" t="s">
        <v>7312</v>
      </c>
      <c r="E841" t="s">
        <v>3338</v>
      </c>
      <c r="F841" s="3" t="s">
        <v>3339</v>
      </c>
      <c r="G841" s="10">
        <v>1</v>
      </c>
      <c r="H841" s="3" t="s">
        <v>19</v>
      </c>
      <c r="I841" t="s">
        <v>3332</v>
      </c>
      <c r="J841" s="3" t="s">
        <v>212</v>
      </c>
      <c r="K841" t="s">
        <v>5855</v>
      </c>
      <c r="L841" s="3" t="s">
        <v>5949</v>
      </c>
      <c r="M841" t="s">
        <v>6125</v>
      </c>
      <c r="N841" s="8">
        <v>8.7262000000000006E-2</v>
      </c>
    </row>
    <row r="842" spans="1:14" hidden="1" x14ac:dyDescent="0.55000000000000004">
      <c r="A842" s="3" t="s">
        <v>3277</v>
      </c>
      <c r="B842" s="3" t="s">
        <v>3340</v>
      </c>
      <c r="C842" t="s">
        <v>3340</v>
      </c>
      <c r="D842" s="3" t="s">
        <v>7312</v>
      </c>
      <c r="E842" t="s">
        <v>3341</v>
      </c>
      <c r="F842" s="3" t="s">
        <v>3342</v>
      </c>
      <c r="G842" s="10">
        <v>1</v>
      </c>
      <c r="H842" s="3" t="s">
        <v>19</v>
      </c>
      <c r="I842" t="s">
        <v>3347</v>
      </c>
      <c r="J842" s="3" t="s">
        <v>1287</v>
      </c>
      <c r="K842" t="s">
        <v>5963</v>
      </c>
      <c r="L842" s="3" t="s">
        <v>5964</v>
      </c>
      <c r="M842" t="s">
        <v>6126</v>
      </c>
      <c r="N842" s="8">
        <v>6.4880999999999994E-2</v>
      </c>
    </row>
    <row r="843" spans="1:14" hidden="1" x14ac:dyDescent="0.55000000000000004">
      <c r="A843" s="3" t="s">
        <v>3277</v>
      </c>
      <c r="B843" s="3" t="s">
        <v>3354</v>
      </c>
      <c r="C843" t="s">
        <v>3354</v>
      </c>
      <c r="D843" s="3" t="s">
        <v>7312</v>
      </c>
      <c r="E843" t="s">
        <v>3355</v>
      </c>
      <c r="F843" s="3" t="s">
        <v>3356</v>
      </c>
      <c r="G843" s="10">
        <v>1</v>
      </c>
      <c r="H843" s="3" t="s">
        <v>19</v>
      </c>
      <c r="I843" t="s">
        <v>3361</v>
      </c>
      <c r="J843" s="3" t="s">
        <v>1287</v>
      </c>
      <c r="K843" t="s">
        <v>5963</v>
      </c>
      <c r="L843" s="3" t="s">
        <v>5964</v>
      </c>
      <c r="M843" t="s">
        <v>6127</v>
      </c>
      <c r="N843" s="8">
        <v>7.1168999999999996E-2</v>
      </c>
    </row>
    <row r="844" spans="1:14" hidden="1" x14ac:dyDescent="0.55000000000000004">
      <c r="A844" s="3" t="s">
        <v>3277</v>
      </c>
      <c r="B844" s="3" t="s">
        <v>3354</v>
      </c>
      <c r="C844" t="s">
        <v>3354</v>
      </c>
      <c r="D844" s="3" t="s">
        <v>7312</v>
      </c>
      <c r="E844" t="s">
        <v>3355</v>
      </c>
      <c r="F844" s="3" t="s">
        <v>3356</v>
      </c>
      <c r="G844" s="10">
        <v>1</v>
      </c>
      <c r="H844" s="3" t="s">
        <v>24</v>
      </c>
      <c r="I844" t="s">
        <v>3366</v>
      </c>
      <c r="J844" s="3" t="s">
        <v>29</v>
      </c>
      <c r="K844" t="s">
        <v>23</v>
      </c>
      <c r="L844" s="3" t="s">
        <v>5840</v>
      </c>
      <c r="M844" t="s">
        <v>23</v>
      </c>
      <c r="N844" s="8">
        <v>0.18171399999999999</v>
      </c>
    </row>
    <row r="845" spans="1:14" hidden="1" x14ac:dyDescent="0.55000000000000004">
      <c r="A845" s="3" t="s">
        <v>3277</v>
      </c>
      <c r="B845" s="3" t="s">
        <v>3310</v>
      </c>
      <c r="C845" t="s">
        <v>3310</v>
      </c>
      <c r="D845" s="3" t="s">
        <v>7312</v>
      </c>
      <c r="E845" t="s">
        <v>3367</v>
      </c>
      <c r="F845" s="3" t="s">
        <v>3368</v>
      </c>
      <c r="G845" s="10">
        <v>1</v>
      </c>
      <c r="H845" s="3" t="s">
        <v>19</v>
      </c>
      <c r="I845" t="s">
        <v>3375</v>
      </c>
      <c r="J845" s="3" t="s">
        <v>212</v>
      </c>
      <c r="K845" t="s">
        <v>5855</v>
      </c>
      <c r="L845" s="3" t="s">
        <v>5949</v>
      </c>
      <c r="M845" t="s">
        <v>6128</v>
      </c>
      <c r="N845" s="8">
        <v>8.0767000000000005E-2</v>
      </c>
    </row>
    <row r="846" spans="1:14" hidden="1" x14ac:dyDescent="0.55000000000000004">
      <c r="A846" s="3" t="s">
        <v>3277</v>
      </c>
      <c r="B846" s="3" t="s">
        <v>3381</v>
      </c>
      <c r="C846" t="s">
        <v>3381</v>
      </c>
      <c r="D846" s="3" t="s">
        <v>7312</v>
      </c>
      <c r="E846" t="s">
        <v>3382</v>
      </c>
      <c r="F846" s="3" t="s">
        <v>3383</v>
      </c>
      <c r="G846" s="10">
        <v>0</v>
      </c>
      <c r="H846" s="3" t="s">
        <v>19</v>
      </c>
      <c r="I846" t="s">
        <v>3388</v>
      </c>
      <c r="J846" s="3" t="s">
        <v>1287</v>
      </c>
      <c r="K846" t="s">
        <v>5963</v>
      </c>
      <c r="L846" s="3" t="s">
        <v>5964</v>
      </c>
      <c r="M846" t="s">
        <v>6129</v>
      </c>
      <c r="N846" s="8">
        <v>5.6892999999999999E-2</v>
      </c>
    </row>
    <row r="847" spans="1:14" hidden="1" x14ac:dyDescent="0.55000000000000004">
      <c r="A847" s="9" t="s">
        <v>3277</v>
      </c>
      <c r="B847" s="3" t="s">
        <v>3394</v>
      </c>
      <c r="C847" t="s">
        <v>3354</v>
      </c>
      <c r="D847" s="3" t="s">
        <v>7312</v>
      </c>
      <c r="E847" t="s">
        <v>3395</v>
      </c>
      <c r="F847" s="3" t="s">
        <v>3396</v>
      </c>
      <c r="G847" s="10">
        <v>0</v>
      </c>
      <c r="H847" s="3" t="s">
        <v>24</v>
      </c>
      <c r="I847" t="s">
        <v>3399</v>
      </c>
      <c r="J847" s="3" t="s">
        <v>29</v>
      </c>
      <c r="K847" t="s">
        <v>23</v>
      </c>
      <c r="L847" s="3" t="s">
        <v>5840</v>
      </c>
      <c r="M847" t="s">
        <v>23</v>
      </c>
      <c r="N847" s="8">
        <v>0.18323400000000001</v>
      </c>
    </row>
    <row r="848" spans="1:14" hidden="1" x14ac:dyDescent="0.55000000000000004">
      <c r="A848" s="3" t="s">
        <v>3406</v>
      </c>
      <c r="B848" s="3" t="s">
        <v>3407</v>
      </c>
      <c r="C848" t="s">
        <v>3408</v>
      </c>
      <c r="D848" s="3" t="s">
        <v>7329</v>
      </c>
      <c r="E848" t="s">
        <v>3409</v>
      </c>
      <c r="F848" s="3" t="s">
        <v>3410</v>
      </c>
      <c r="G848" s="10">
        <v>0</v>
      </c>
      <c r="H848" s="3" t="s">
        <v>19</v>
      </c>
      <c r="I848" t="s">
        <v>23</v>
      </c>
      <c r="J848" s="3" t="s">
        <v>23</v>
      </c>
      <c r="K848" t="s">
        <v>23</v>
      </c>
      <c r="L848" s="3" t="s">
        <v>23</v>
      </c>
      <c r="M848" t="s">
        <v>23</v>
      </c>
      <c r="N848" s="8" t="s">
        <v>23</v>
      </c>
    </row>
    <row r="849" spans="1:14" hidden="1" x14ac:dyDescent="0.55000000000000004">
      <c r="A849" s="3" t="s">
        <v>3406</v>
      </c>
      <c r="B849" s="3" t="s">
        <v>3407</v>
      </c>
      <c r="C849" t="s">
        <v>3408</v>
      </c>
      <c r="D849" s="3" t="s">
        <v>7329</v>
      </c>
      <c r="E849" t="s">
        <v>3409</v>
      </c>
      <c r="F849" s="3" t="s">
        <v>3410</v>
      </c>
      <c r="G849" s="10">
        <v>0</v>
      </c>
      <c r="H849" s="3" t="s">
        <v>24</v>
      </c>
      <c r="I849" t="s">
        <v>3416</v>
      </c>
      <c r="J849" s="3" t="s">
        <v>40</v>
      </c>
      <c r="K849" t="s">
        <v>23</v>
      </c>
      <c r="L849" s="3" t="s">
        <v>5835</v>
      </c>
      <c r="M849" t="s">
        <v>23</v>
      </c>
      <c r="N849" s="8">
        <v>0.21979299999999999</v>
      </c>
    </row>
    <row r="850" spans="1:14" hidden="1" x14ac:dyDescent="0.55000000000000004">
      <c r="A850" s="3" t="s">
        <v>3406</v>
      </c>
      <c r="B850" s="3" t="s">
        <v>3420</v>
      </c>
      <c r="C850" t="s">
        <v>3408</v>
      </c>
      <c r="D850" s="3" t="s">
        <v>7329</v>
      </c>
      <c r="E850" t="s">
        <v>3421</v>
      </c>
      <c r="F850" s="3" t="s">
        <v>3422</v>
      </c>
      <c r="G850" s="10">
        <v>0</v>
      </c>
      <c r="H850" s="3" t="s">
        <v>19</v>
      </c>
      <c r="I850" t="s">
        <v>23</v>
      </c>
      <c r="J850" s="3" t="s">
        <v>23</v>
      </c>
      <c r="K850" t="s">
        <v>23</v>
      </c>
      <c r="L850" s="3" t="s">
        <v>23</v>
      </c>
      <c r="M850" t="s">
        <v>23</v>
      </c>
      <c r="N850" s="8" t="s">
        <v>23</v>
      </c>
    </row>
    <row r="851" spans="1:14" hidden="1" x14ac:dyDescent="0.55000000000000004">
      <c r="A851" s="3" t="s">
        <v>3406</v>
      </c>
      <c r="B851" s="3" t="s">
        <v>3420</v>
      </c>
      <c r="C851" t="s">
        <v>3408</v>
      </c>
      <c r="D851" s="3" t="s">
        <v>7329</v>
      </c>
      <c r="E851" t="s">
        <v>3421</v>
      </c>
      <c r="F851" s="3" t="s">
        <v>3422</v>
      </c>
      <c r="G851" s="10">
        <v>0</v>
      </c>
      <c r="H851" s="3" t="s">
        <v>24</v>
      </c>
      <c r="I851" t="s">
        <v>3425</v>
      </c>
      <c r="J851" s="3" t="s">
        <v>40</v>
      </c>
      <c r="K851" t="s">
        <v>23</v>
      </c>
      <c r="L851" s="3" t="s">
        <v>5835</v>
      </c>
      <c r="M851" t="s">
        <v>23</v>
      </c>
      <c r="N851" s="8">
        <v>0.21973899999999999</v>
      </c>
    </row>
    <row r="852" spans="1:14" hidden="1" x14ac:dyDescent="0.55000000000000004">
      <c r="A852" s="3" t="s">
        <v>3406</v>
      </c>
      <c r="B852" s="3" t="s">
        <v>7366</v>
      </c>
      <c r="C852" t="s">
        <v>3408</v>
      </c>
      <c r="D852" s="3" t="s">
        <v>7329</v>
      </c>
      <c r="E852" t="s">
        <v>3430</v>
      </c>
      <c r="F852" s="3" t="s">
        <v>3431</v>
      </c>
      <c r="G852" s="10">
        <v>0</v>
      </c>
      <c r="H852" s="3" t="s">
        <v>24</v>
      </c>
      <c r="I852" t="s">
        <v>3435</v>
      </c>
      <c r="J852" s="3" t="s">
        <v>40</v>
      </c>
      <c r="K852" t="s">
        <v>23</v>
      </c>
      <c r="L852" s="3" t="s">
        <v>5835</v>
      </c>
      <c r="M852" t="s">
        <v>23</v>
      </c>
      <c r="N852" s="8">
        <v>0.21970899999999999</v>
      </c>
    </row>
    <row r="853" spans="1:14" hidden="1" x14ac:dyDescent="0.55000000000000004">
      <c r="A853" s="3" t="s">
        <v>3406</v>
      </c>
      <c r="B853" s="3" t="s">
        <v>3429</v>
      </c>
      <c r="C853" t="s">
        <v>3408</v>
      </c>
      <c r="D853" s="3" t="s">
        <v>7329</v>
      </c>
      <c r="E853" t="s">
        <v>3442</v>
      </c>
      <c r="F853" s="3" t="s">
        <v>3443</v>
      </c>
      <c r="G853" s="10">
        <v>0</v>
      </c>
      <c r="H853" s="3" t="s">
        <v>19</v>
      </c>
      <c r="I853" t="s">
        <v>23</v>
      </c>
      <c r="J853" s="3" t="s">
        <v>23</v>
      </c>
      <c r="K853" t="s">
        <v>23</v>
      </c>
      <c r="L853" s="3" t="s">
        <v>23</v>
      </c>
      <c r="M853" t="s">
        <v>23</v>
      </c>
      <c r="N853" s="8" t="s">
        <v>23</v>
      </c>
    </row>
    <row r="854" spans="1:14" hidden="1" x14ac:dyDescent="0.55000000000000004">
      <c r="A854" s="3" t="s">
        <v>3406</v>
      </c>
      <c r="B854" s="3" t="s">
        <v>3429</v>
      </c>
      <c r="C854" t="s">
        <v>3408</v>
      </c>
      <c r="D854" s="3" t="s">
        <v>7329</v>
      </c>
      <c r="E854" t="s">
        <v>3442</v>
      </c>
      <c r="F854" s="3" t="s">
        <v>3443</v>
      </c>
      <c r="G854" s="10">
        <v>0</v>
      </c>
      <c r="H854" s="3" t="s">
        <v>24</v>
      </c>
      <c r="I854" t="s">
        <v>3435</v>
      </c>
      <c r="J854" s="3" t="s">
        <v>40</v>
      </c>
      <c r="K854" t="s">
        <v>23</v>
      </c>
      <c r="L854" s="3" t="s">
        <v>5835</v>
      </c>
      <c r="M854" t="s">
        <v>23</v>
      </c>
      <c r="N854" s="8">
        <v>0.21970899999999999</v>
      </c>
    </row>
    <row r="855" spans="1:14" hidden="1" x14ac:dyDescent="0.55000000000000004">
      <c r="A855" s="3" t="s">
        <v>3406</v>
      </c>
      <c r="B855" s="3" t="s">
        <v>3429</v>
      </c>
      <c r="C855" t="s">
        <v>3408</v>
      </c>
      <c r="D855" s="3" t="s">
        <v>7329</v>
      </c>
      <c r="E855" t="s">
        <v>3444</v>
      </c>
      <c r="F855" s="3" t="s">
        <v>3445</v>
      </c>
      <c r="G855" s="10">
        <v>0</v>
      </c>
      <c r="H855" s="3" t="s">
        <v>24</v>
      </c>
      <c r="I855" t="s">
        <v>3435</v>
      </c>
      <c r="J855" s="3" t="s">
        <v>40</v>
      </c>
      <c r="K855" t="s">
        <v>23</v>
      </c>
      <c r="L855" s="3" t="s">
        <v>5835</v>
      </c>
      <c r="M855" t="s">
        <v>23</v>
      </c>
      <c r="N855" s="8">
        <v>0.21970899999999999</v>
      </c>
    </row>
    <row r="856" spans="1:14" hidden="1" x14ac:dyDescent="0.55000000000000004">
      <c r="A856" s="3" t="s">
        <v>3406</v>
      </c>
      <c r="B856" s="3" t="s">
        <v>3429</v>
      </c>
      <c r="C856" t="s">
        <v>3408</v>
      </c>
      <c r="D856" s="3" t="s">
        <v>7329</v>
      </c>
      <c r="E856" t="s">
        <v>3446</v>
      </c>
      <c r="F856" s="3" t="s">
        <v>3447</v>
      </c>
      <c r="G856" s="10">
        <v>0</v>
      </c>
      <c r="H856" s="3" t="s">
        <v>19</v>
      </c>
      <c r="I856" t="s">
        <v>23</v>
      </c>
      <c r="J856" s="3" t="s">
        <v>23</v>
      </c>
      <c r="K856" t="s">
        <v>23</v>
      </c>
      <c r="L856" s="3" t="s">
        <v>23</v>
      </c>
      <c r="M856" t="s">
        <v>23</v>
      </c>
      <c r="N856" s="8" t="s">
        <v>23</v>
      </c>
    </row>
    <row r="857" spans="1:14" hidden="1" x14ac:dyDescent="0.55000000000000004">
      <c r="A857" s="3" t="s">
        <v>3406</v>
      </c>
      <c r="B857" s="3" t="s">
        <v>3429</v>
      </c>
      <c r="C857" t="s">
        <v>3408</v>
      </c>
      <c r="D857" s="3" t="s">
        <v>7329</v>
      </c>
      <c r="E857" t="s">
        <v>3446</v>
      </c>
      <c r="F857" s="3" t="s">
        <v>3447</v>
      </c>
      <c r="G857" s="10">
        <v>0</v>
      </c>
      <c r="H857" s="3" t="s">
        <v>24</v>
      </c>
      <c r="I857" t="s">
        <v>3435</v>
      </c>
      <c r="J857" s="3" t="s">
        <v>40</v>
      </c>
      <c r="K857" t="s">
        <v>23</v>
      </c>
      <c r="L857" s="3" t="s">
        <v>5835</v>
      </c>
      <c r="M857" t="s">
        <v>23</v>
      </c>
      <c r="N857" s="8">
        <v>0.21970899999999999</v>
      </c>
    </row>
    <row r="858" spans="1:14" hidden="1" x14ac:dyDescent="0.55000000000000004">
      <c r="A858" s="3" t="s">
        <v>3406</v>
      </c>
      <c r="B858" s="3" t="s">
        <v>3429</v>
      </c>
      <c r="C858" t="s">
        <v>3408</v>
      </c>
      <c r="D858" s="3" t="s">
        <v>7329</v>
      </c>
      <c r="E858" t="s">
        <v>3448</v>
      </c>
      <c r="F858" s="3" t="s">
        <v>3449</v>
      </c>
      <c r="G858" s="10">
        <v>0</v>
      </c>
      <c r="H858" s="3" t="s">
        <v>19</v>
      </c>
      <c r="I858" t="s">
        <v>23</v>
      </c>
      <c r="J858" s="3" t="s">
        <v>23</v>
      </c>
      <c r="K858" t="s">
        <v>23</v>
      </c>
      <c r="L858" s="3" t="s">
        <v>23</v>
      </c>
      <c r="M858" t="s">
        <v>23</v>
      </c>
      <c r="N858" s="8" t="s">
        <v>23</v>
      </c>
    </row>
    <row r="859" spans="1:14" hidden="1" x14ac:dyDescent="0.55000000000000004">
      <c r="A859" s="3" t="s">
        <v>3406</v>
      </c>
      <c r="B859" s="3" t="s">
        <v>3429</v>
      </c>
      <c r="C859" t="s">
        <v>3408</v>
      </c>
      <c r="D859" s="3" t="s">
        <v>7329</v>
      </c>
      <c r="E859" t="s">
        <v>3448</v>
      </c>
      <c r="F859" s="3" t="s">
        <v>3449</v>
      </c>
      <c r="G859" s="10">
        <v>0</v>
      </c>
      <c r="H859" s="3" t="s">
        <v>24</v>
      </c>
      <c r="I859" t="s">
        <v>3435</v>
      </c>
      <c r="J859" s="3" t="s">
        <v>40</v>
      </c>
      <c r="K859" t="s">
        <v>23</v>
      </c>
      <c r="L859" s="3" t="s">
        <v>5835</v>
      </c>
      <c r="M859" t="s">
        <v>23</v>
      </c>
      <c r="N859" s="8">
        <v>0.21970899999999999</v>
      </c>
    </row>
    <row r="860" spans="1:14" hidden="1" x14ac:dyDescent="0.55000000000000004">
      <c r="A860" s="3" t="s">
        <v>3406</v>
      </c>
      <c r="B860" s="3" t="s">
        <v>3408</v>
      </c>
      <c r="C860" t="s">
        <v>3408</v>
      </c>
      <c r="D860" s="3" t="s">
        <v>7329</v>
      </c>
      <c r="E860" t="s">
        <v>3450</v>
      </c>
      <c r="F860" s="3" t="s">
        <v>3451</v>
      </c>
      <c r="G860" s="10">
        <v>0</v>
      </c>
      <c r="H860" s="3" t="s">
        <v>19</v>
      </c>
      <c r="I860" t="s">
        <v>23</v>
      </c>
      <c r="J860" s="3" t="s">
        <v>23</v>
      </c>
      <c r="K860" t="s">
        <v>23</v>
      </c>
      <c r="L860" s="3" t="s">
        <v>23</v>
      </c>
      <c r="M860" t="s">
        <v>23</v>
      </c>
      <c r="N860" s="8" t="s">
        <v>23</v>
      </c>
    </row>
    <row r="861" spans="1:14" hidden="1" x14ac:dyDescent="0.55000000000000004">
      <c r="A861" s="3" t="s">
        <v>3406</v>
      </c>
      <c r="B861" s="3" t="s">
        <v>3408</v>
      </c>
      <c r="C861" t="s">
        <v>3408</v>
      </c>
      <c r="D861" s="3" t="s">
        <v>7329</v>
      </c>
      <c r="E861" t="s">
        <v>3450</v>
      </c>
      <c r="F861" s="3" t="s">
        <v>3451</v>
      </c>
      <c r="G861" s="10">
        <v>0</v>
      </c>
      <c r="H861" s="3" t="s">
        <v>24</v>
      </c>
      <c r="I861" t="s">
        <v>3454</v>
      </c>
      <c r="J861" s="3" t="s">
        <v>40</v>
      </c>
      <c r="K861" t="s">
        <v>23</v>
      </c>
      <c r="L861" s="3" t="s">
        <v>5835</v>
      </c>
      <c r="M861" t="s">
        <v>23</v>
      </c>
      <c r="N861" s="8">
        <v>0.21974299999999999</v>
      </c>
    </row>
    <row r="862" spans="1:14" hidden="1" x14ac:dyDescent="0.55000000000000004">
      <c r="A862" s="3" t="s">
        <v>3406</v>
      </c>
      <c r="B862" s="3" t="s">
        <v>3408</v>
      </c>
      <c r="C862" t="s">
        <v>3408</v>
      </c>
      <c r="D862" s="3" t="s">
        <v>7329</v>
      </c>
      <c r="E862" t="s">
        <v>3461</v>
      </c>
      <c r="F862" s="3" t="s">
        <v>3462</v>
      </c>
      <c r="G862" s="10">
        <v>0</v>
      </c>
      <c r="H862" s="3" t="s">
        <v>19</v>
      </c>
      <c r="I862" t="s">
        <v>23</v>
      </c>
      <c r="J862" s="3" t="s">
        <v>23</v>
      </c>
      <c r="K862" t="s">
        <v>23</v>
      </c>
      <c r="L862" s="3" t="s">
        <v>23</v>
      </c>
      <c r="M862" t="s">
        <v>23</v>
      </c>
      <c r="N862" s="8" t="s">
        <v>23</v>
      </c>
    </row>
    <row r="863" spans="1:14" hidden="1" x14ac:dyDescent="0.55000000000000004">
      <c r="A863" s="3" t="s">
        <v>3406</v>
      </c>
      <c r="B863" s="3" t="s">
        <v>3408</v>
      </c>
      <c r="C863" t="s">
        <v>3408</v>
      </c>
      <c r="D863" s="3" t="s">
        <v>7329</v>
      </c>
      <c r="E863" t="s">
        <v>3461</v>
      </c>
      <c r="F863" s="3" t="s">
        <v>3462</v>
      </c>
      <c r="G863" s="10">
        <v>0</v>
      </c>
      <c r="H863" s="3" t="s">
        <v>24</v>
      </c>
      <c r="I863" t="s">
        <v>3454</v>
      </c>
      <c r="J863" s="3" t="s">
        <v>40</v>
      </c>
      <c r="K863" t="s">
        <v>23</v>
      </c>
      <c r="L863" s="3" t="s">
        <v>5835</v>
      </c>
      <c r="M863" t="s">
        <v>23</v>
      </c>
      <c r="N863" s="8">
        <v>0.21974299999999999</v>
      </c>
    </row>
    <row r="864" spans="1:14" hidden="1" x14ac:dyDescent="0.55000000000000004">
      <c r="A864" s="3" t="s">
        <v>3406</v>
      </c>
      <c r="B864" s="3" t="s">
        <v>3408</v>
      </c>
      <c r="C864" t="s">
        <v>3408</v>
      </c>
      <c r="D864" s="3" t="s">
        <v>7329</v>
      </c>
      <c r="E864" t="s">
        <v>3463</v>
      </c>
      <c r="F864" s="3" t="s">
        <v>3464</v>
      </c>
      <c r="G864" s="10">
        <v>0</v>
      </c>
      <c r="H864" s="3" t="s">
        <v>19</v>
      </c>
      <c r="I864" t="s">
        <v>23</v>
      </c>
      <c r="J864" s="3" t="s">
        <v>23</v>
      </c>
      <c r="K864" t="s">
        <v>23</v>
      </c>
      <c r="L864" s="3" t="s">
        <v>23</v>
      </c>
      <c r="M864" t="s">
        <v>23</v>
      </c>
      <c r="N864" s="8" t="s">
        <v>23</v>
      </c>
    </row>
    <row r="865" spans="1:14" hidden="1" x14ac:dyDescent="0.55000000000000004">
      <c r="A865" s="3" t="s">
        <v>3406</v>
      </c>
      <c r="B865" s="3" t="s">
        <v>3408</v>
      </c>
      <c r="C865" t="s">
        <v>3408</v>
      </c>
      <c r="D865" s="3" t="s">
        <v>7329</v>
      </c>
      <c r="E865" t="s">
        <v>3463</v>
      </c>
      <c r="F865" s="3" t="s">
        <v>3464</v>
      </c>
      <c r="G865" s="10">
        <v>0</v>
      </c>
      <c r="H865" s="3" t="s">
        <v>24</v>
      </c>
      <c r="I865" t="s">
        <v>3454</v>
      </c>
      <c r="J865" s="3" t="s">
        <v>40</v>
      </c>
      <c r="K865" t="s">
        <v>23</v>
      </c>
      <c r="L865" s="3" t="s">
        <v>5835</v>
      </c>
      <c r="M865" t="s">
        <v>23</v>
      </c>
      <c r="N865" s="8">
        <v>0.21974299999999999</v>
      </c>
    </row>
    <row r="866" spans="1:14" hidden="1" x14ac:dyDescent="0.55000000000000004">
      <c r="A866" s="3" t="s">
        <v>3406</v>
      </c>
      <c r="B866" s="3" t="s">
        <v>3465</v>
      </c>
      <c r="C866" t="s">
        <v>3465</v>
      </c>
      <c r="D866" s="3" t="s">
        <v>7329</v>
      </c>
      <c r="E866" t="s">
        <v>3466</v>
      </c>
      <c r="F866" s="3" t="s">
        <v>3467</v>
      </c>
      <c r="G866" s="10">
        <v>0</v>
      </c>
      <c r="H866" s="3" t="s">
        <v>19</v>
      </c>
      <c r="I866" t="s">
        <v>23</v>
      </c>
      <c r="J866" s="3" t="s">
        <v>23</v>
      </c>
      <c r="K866" t="s">
        <v>23</v>
      </c>
      <c r="L866" s="3" t="s">
        <v>23</v>
      </c>
      <c r="M866" t="s">
        <v>23</v>
      </c>
      <c r="N866" s="8" t="s">
        <v>23</v>
      </c>
    </row>
    <row r="867" spans="1:14" hidden="1" x14ac:dyDescent="0.55000000000000004">
      <c r="A867" s="3" t="s">
        <v>3406</v>
      </c>
      <c r="B867" s="3" t="s">
        <v>3465</v>
      </c>
      <c r="C867" t="s">
        <v>3465</v>
      </c>
      <c r="D867" s="3" t="s">
        <v>7329</v>
      </c>
      <c r="E867" t="s">
        <v>3466</v>
      </c>
      <c r="F867" s="3" t="s">
        <v>3467</v>
      </c>
      <c r="G867" s="10">
        <v>0</v>
      </c>
      <c r="H867" s="3" t="s">
        <v>24</v>
      </c>
      <c r="I867" t="s">
        <v>3473</v>
      </c>
      <c r="J867" s="3" t="s">
        <v>40</v>
      </c>
      <c r="K867" t="s">
        <v>23</v>
      </c>
      <c r="L867" s="3" t="s">
        <v>5835</v>
      </c>
      <c r="M867" t="s">
        <v>23</v>
      </c>
      <c r="N867" s="8">
        <v>0.21921399999999999</v>
      </c>
    </row>
    <row r="868" spans="1:14" hidden="1" x14ac:dyDescent="0.55000000000000004">
      <c r="A868" s="3" t="s">
        <v>3406</v>
      </c>
      <c r="B868" s="3" t="s">
        <v>3465</v>
      </c>
      <c r="C868" t="s">
        <v>3465</v>
      </c>
      <c r="D868" s="3" t="s">
        <v>7329</v>
      </c>
      <c r="E868" t="s">
        <v>3477</v>
      </c>
      <c r="F868" s="3" t="s">
        <v>3478</v>
      </c>
      <c r="G868" s="10">
        <v>0</v>
      </c>
      <c r="H868" s="3" t="s">
        <v>19</v>
      </c>
      <c r="I868" t="s">
        <v>23</v>
      </c>
      <c r="J868" s="3" t="s">
        <v>23</v>
      </c>
      <c r="K868" t="s">
        <v>23</v>
      </c>
      <c r="L868" s="3" t="s">
        <v>23</v>
      </c>
      <c r="M868" t="s">
        <v>23</v>
      </c>
      <c r="N868" s="8" t="s">
        <v>23</v>
      </c>
    </row>
    <row r="869" spans="1:14" hidden="1" x14ac:dyDescent="0.55000000000000004">
      <c r="A869" s="3" t="s">
        <v>3406</v>
      </c>
      <c r="B869" s="3" t="s">
        <v>3465</v>
      </c>
      <c r="C869" t="s">
        <v>3465</v>
      </c>
      <c r="D869" s="3" t="s">
        <v>7329</v>
      </c>
      <c r="E869" t="s">
        <v>3477</v>
      </c>
      <c r="F869" s="3" t="s">
        <v>3478</v>
      </c>
      <c r="G869" s="10">
        <v>0</v>
      </c>
      <c r="H869" s="3" t="s">
        <v>24</v>
      </c>
      <c r="I869" t="s">
        <v>3473</v>
      </c>
      <c r="J869" s="3" t="s">
        <v>40</v>
      </c>
      <c r="K869" t="s">
        <v>23</v>
      </c>
      <c r="L869" s="3" t="s">
        <v>5835</v>
      </c>
      <c r="M869" t="s">
        <v>23</v>
      </c>
      <c r="N869" s="8">
        <v>0.21921399999999999</v>
      </c>
    </row>
    <row r="870" spans="1:14" hidden="1" x14ac:dyDescent="0.55000000000000004">
      <c r="A870" s="3" t="s">
        <v>3406</v>
      </c>
      <c r="B870" s="3" t="s">
        <v>3465</v>
      </c>
      <c r="C870" t="s">
        <v>3465</v>
      </c>
      <c r="D870" s="3" t="s">
        <v>7329</v>
      </c>
      <c r="E870" t="s">
        <v>3479</v>
      </c>
      <c r="F870" s="3" t="s">
        <v>3480</v>
      </c>
      <c r="G870" s="10">
        <v>0</v>
      </c>
      <c r="H870" s="3" t="s">
        <v>19</v>
      </c>
      <c r="I870" t="s">
        <v>23</v>
      </c>
      <c r="J870" s="3" t="s">
        <v>23</v>
      </c>
      <c r="K870" t="s">
        <v>23</v>
      </c>
      <c r="L870" s="3" t="s">
        <v>23</v>
      </c>
      <c r="M870" t="s">
        <v>23</v>
      </c>
      <c r="N870" s="8" t="s">
        <v>23</v>
      </c>
    </row>
    <row r="871" spans="1:14" hidden="1" x14ac:dyDescent="0.55000000000000004">
      <c r="A871" s="3" t="s">
        <v>3406</v>
      </c>
      <c r="B871" s="3" t="s">
        <v>3465</v>
      </c>
      <c r="C871" t="s">
        <v>3465</v>
      </c>
      <c r="D871" s="3" t="s">
        <v>7329</v>
      </c>
      <c r="E871" t="s">
        <v>3479</v>
      </c>
      <c r="F871" s="3" t="s">
        <v>3480</v>
      </c>
      <c r="G871" s="10">
        <v>0</v>
      </c>
      <c r="H871" s="3" t="s">
        <v>24</v>
      </c>
      <c r="I871" t="s">
        <v>3473</v>
      </c>
      <c r="J871" s="3" t="s">
        <v>40</v>
      </c>
      <c r="K871" t="s">
        <v>23</v>
      </c>
      <c r="L871" s="3" t="s">
        <v>5835</v>
      </c>
      <c r="M871" t="s">
        <v>23</v>
      </c>
      <c r="N871" s="8">
        <v>0.21921399999999999</v>
      </c>
    </row>
    <row r="872" spans="1:14" hidden="1" x14ac:dyDescent="0.55000000000000004">
      <c r="A872" s="3" t="s">
        <v>3406</v>
      </c>
      <c r="B872" s="3" t="s">
        <v>3481</v>
      </c>
      <c r="C872" t="s">
        <v>3481</v>
      </c>
      <c r="D872" s="3" t="s">
        <v>7329</v>
      </c>
      <c r="E872" t="s">
        <v>3482</v>
      </c>
      <c r="F872" s="3" t="s">
        <v>3483</v>
      </c>
      <c r="G872" s="10">
        <v>1</v>
      </c>
      <c r="H872" s="3" t="s">
        <v>19</v>
      </c>
      <c r="I872" t="s">
        <v>3486</v>
      </c>
      <c r="J872" s="3" t="s">
        <v>84</v>
      </c>
      <c r="K872" t="s">
        <v>5842</v>
      </c>
      <c r="L872" s="3" t="s">
        <v>5843</v>
      </c>
      <c r="M872" t="s">
        <v>6130</v>
      </c>
      <c r="N872" s="8">
        <v>6.9766999999999996E-2</v>
      </c>
    </row>
    <row r="873" spans="1:14" hidden="1" x14ac:dyDescent="0.55000000000000004">
      <c r="A873" s="3" t="s">
        <v>3406</v>
      </c>
      <c r="B873" s="3" t="s">
        <v>3481</v>
      </c>
      <c r="C873" t="s">
        <v>3481</v>
      </c>
      <c r="D873" s="3" t="s">
        <v>7329</v>
      </c>
      <c r="E873" t="s">
        <v>3482</v>
      </c>
      <c r="F873" s="3" t="s">
        <v>3483</v>
      </c>
      <c r="G873" s="10">
        <v>1</v>
      </c>
      <c r="H873" s="3" t="s">
        <v>24</v>
      </c>
      <c r="I873" t="s">
        <v>3489</v>
      </c>
      <c r="J873" s="3" t="s">
        <v>40</v>
      </c>
      <c r="K873" t="s">
        <v>23</v>
      </c>
      <c r="L873" s="3" t="s">
        <v>5835</v>
      </c>
      <c r="M873" t="s">
        <v>23</v>
      </c>
      <c r="N873" s="8">
        <v>0.219304</v>
      </c>
    </row>
    <row r="874" spans="1:14" hidden="1" x14ac:dyDescent="0.55000000000000004">
      <c r="A874" s="3" t="s">
        <v>3406</v>
      </c>
      <c r="B874" s="3" t="s">
        <v>3493</v>
      </c>
      <c r="C874" t="s">
        <v>3408</v>
      </c>
      <c r="D874" s="3" t="s">
        <v>7329</v>
      </c>
      <c r="E874" t="s">
        <v>3494</v>
      </c>
      <c r="F874" s="3" t="s">
        <v>3495</v>
      </c>
      <c r="G874" s="10">
        <v>0</v>
      </c>
      <c r="H874" s="3" t="s">
        <v>19</v>
      </c>
      <c r="I874" t="s">
        <v>23</v>
      </c>
      <c r="J874" s="3" t="s">
        <v>23</v>
      </c>
      <c r="K874" t="s">
        <v>23</v>
      </c>
      <c r="L874" s="3" t="s">
        <v>23</v>
      </c>
      <c r="M874" t="s">
        <v>23</v>
      </c>
      <c r="N874" s="8" t="s">
        <v>23</v>
      </c>
    </row>
    <row r="875" spans="1:14" hidden="1" x14ac:dyDescent="0.55000000000000004">
      <c r="A875" s="3" t="s">
        <v>3406</v>
      </c>
      <c r="B875" s="3" t="s">
        <v>3493</v>
      </c>
      <c r="C875" t="s">
        <v>3408</v>
      </c>
      <c r="D875" s="3" t="s">
        <v>7329</v>
      </c>
      <c r="E875" t="s">
        <v>3494</v>
      </c>
      <c r="F875" s="3" t="s">
        <v>3495</v>
      </c>
      <c r="G875" s="10">
        <v>0</v>
      </c>
      <c r="H875" s="3" t="s">
        <v>24</v>
      </c>
      <c r="I875" t="s">
        <v>3498</v>
      </c>
      <c r="J875" s="3" t="s">
        <v>40</v>
      </c>
      <c r="K875" t="s">
        <v>23</v>
      </c>
      <c r="L875" s="3" t="s">
        <v>5835</v>
      </c>
      <c r="M875" t="s">
        <v>23</v>
      </c>
      <c r="N875" s="8">
        <v>0.219719</v>
      </c>
    </row>
    <row r="876" spans="1:14" hidden="1" x14ac:dyDescent="0.55000000000000004">
      <c r="A876" s="3" t="s">
        <v>3406</v>
      </c>
      <c r="B876" s="3" t="s">
        <v>3502</v>
      </c>
      <c r="C876" t="s">
        <v>3408</v>
      </c>
      <c r="D876" s="3" t="s">
        <v>7329</v>
      </c>
      <c r="E876" t="s">
        <v>3503</v>
      </c>
      <c r="F876" s="3" t="s">
        <v>3504</v>
      </c>
      <c r="G876" s="10">
        <v>0</v>
      </c>
      <c r="H876" s="3" t="s">
        <v>19</v>
      </c>
      <c r="I876" t="s">
        <v>23</v>
      </c>
      <c r="J876" s="3" t="s">
        <v>23</v>
      </c>
      <c r="K876" t="s">
        <v>23</v>
      </c>
      <c r="L876" s="3" t="s">
        <v>23</v>
      </c>
      <c r="M876" t="s">
        <v>23</v>
      </c>
      <c r="N876" s="8" t="s">
        <v>23</v>
      </c>
    </row>
    <row r="877" spans="1:14" hidden="1" x14ac:dyDescent="0.55000000000000004">
      <c r="A877" s="3" t="s">
        <v>3406</v>
      </c>
      <c r="B877" s="3" t="s">
        <v>3502</v>
      </c>
      <c r="C877" t="s">
        <v>3408</v>
      </c>
      <c r="D877" s="3" t="s">
        <v>7329</v>
      </c>
      <c r="E877" t="s">
        <v>3503</v>
      </c>
      <c r="F877" s="3" t="s">
        <v>3504</v>
      </c>
      <c r="G877" s="10">
        <v>0</v>
      </c>
      <c r="H877" s="3" t="s">
        <v>24</v>
      </c>
      <c r="I877" t="s">
        <v>3507</v>
      </c>
      <c r="J877" s="3" t="s">
        <v>40</v>
      </c>
      <c r="K877" t="s">
        <v>23</v>
      </c>
      <c r="L877" s="3" t="s">
        <v>5835</v>
      </c>
      <c r="M877" t="s">
        <v>23</v>
      </c>
      <c r="N877" s="8">
        <v>0.21972</v>
      </c>
    </row>
    <row r="878" spans="1:14" hidden="1" x14ac:dyDescent="0.55000000000000004">
      <c r="A878" s="3" t="s">
        <v>3406</v>
      </c>
      <c r="B878" s="3" t="s">
        <v>3493</v>
      </c>
      <c r="C878" t="s">
        <v>3408</v>
      </c>
      <c r="D878" s="3" t="s">
        <v>7329</v>
      </c>
      <c r="E878" t="s">
        <v>3512</v>
      </c>
      <c r="F878" s="3" t="s">
        <v>3513</v>
      </c>
      <c r="G878" s="10">
        <v>0</v>
      </c>
      <c r="H878" s="3" t="s">
        <v>19</v>
      </c>
      <c r="I878" t="s">
        <v>23</v>
      </c>
      <c r="J878" s="3" t="s">
        <v>23</v>
      </c>
      <c r="K878" t="s">
        <v>23</v>
      </c>
      <c r="L878" s="3" t="s">
        <v>23</v>
      </c>
      <c r="M878" t="s">
        <v>23</v>
      </c>
      <c r="N878" s="8" t="s">
        <v>23</v>
      </c>
    </row>
    <row r="879" spans="1:14" hidden="1" x14ac:dyDescent="0.55000000000000004">
      <c r="A879" s="3" t="s">
        <v>3406</v>
      </c>
      <c r="B879" s="3" t="s">
        <v>3493</v>
      </c>
      <c r="C879" t="s">
        <v>3408</v>
      </c>
      <c r="D879" s="3" t="s">
        <v>7329</v>
      </c>
      <c r="E879" t="s">
        <v>3512</v>
      </c>
      <c r="F879" s="3" t="s">
        <v>3513</v>
      </c>
      <c r="G879" s="10">
        <v>0</v>
      </c>
      <c r="H879" s="3" t="s">
        <v>24</v>
      </c>
      <c r="I879" t="s">
        <v>3516</v>
      </c>
      <c r="J879" s="3" t="s">
        <v>40</v>
      </c>
      <c r="K879" t="s">
        <v>23</v>
      </c>
      <c r="L879" s="3" t="s">
        <v>5835</v>
      </c>
      <c r="M879" t="s">
        <v>23</v>
      </c>
      <c r="N879" s="8">
        <v>0.219717</v>
      </c>
    </row>
    <row r="880" spans="1:14" hidden="1" x14ac:dyDescent="0.55000000000000004">
      <c r="A880" s="3" t="s">
        <v>3406</v>
      </c>
      <c r="B880" s="3" t="s">
        <v>3511</v>
      </c>
      <c r="C880" t="s">
        <v>3408</v>
      </c>
      <c r="D880" s="3" t="s">
        <v>7329</v>
      </c>
      <c r="E880" t="s">
        <v>3517</v>
      </c>
      <c r="F880" s="3" t="s">
        <v>3518</v>
      </c>
      <c r="G880" s="10">
        <v>0</v>
      </c>
      <c r="H880" s="3" t="s">
        <v>19</v>
      </c>
      <c r="I880" t="s">
        <v>23</v>
      </c>
      <c r="J880" s="3" t="s">
        <v>23</v>
      </c>
      <c r="K880" t="s">
        <v>23</v>
      </c>
      <c r="L880" s="3" t="s">
        <v>23</v>
      </c>
      <c r="M880" t="s">
        <v>23</v>
      </c>
      <c r="N880" s="8" t="s">
        <v>23</v>
      </c>
    </row>
    <row r="881" spans="1:14" hidden="1" x14ac:dyDescent="0.55000000000000004">
      <c r="A881" s="3" t="s">
        <v>3406</v>
      </c>
      <c r="B881" s="3" t="s">
        <v>3511</v>
      </c>
      <c r="C881" t="s">
        <v>3408</v>
      </c>
      <c r="D881" s="3" t="s">
        <v>7329</v>
      </c>
      <c r="E881" t="s">
        <v>3517</v>
      </c>
      <c r="F881" s="3" t="s">
        <v>3518</v>
      </c>
      <c r="G881" s="10">
        <v>0</v>
      </c>
      <c r="H881" s="3" t="s">
        <v>24</v>
      </c>
      <c r="I881" t="s">
        <v>3516</v>
      </c>
      <c r="J881" s="3" t="s">
        <v>40</v>
      </c>
      <c r="K881" t="s">
        <v>23</v>
      </c>
      <c r="L881" s="3" t="s">
        <v>5835</v>
      </c>
      <c r="M881" t="s">
        <v>23</v>
      </c>
      <c r="N881" s="8">
        <v>0.219717</v>
      </c>
    </row>
    <row r="882" spans="1:14" hidden="1" x14ac:dyDescent="0.55000000000000004">
      <c r="A882" s="3" t="s">
        <v>3406</v>
      </c>
      <c r="B882" s="3" t="s">
        <v>3519</v>
      </c>
      <c r="C882" t="s">
        <v>3465</v>
      </c>
      <c r="D882" s="3" t="s">
        <v>7329</v>
      </c>
      <c r="E882" t="s">
        <v>3520</v>
      </c>
      <c r="F882" s="3" t="s">
        <v>3521</v>
      </c>
      <c r="G882" s="10">
        <v>1</v>
      </c>
      <c r="H882" s="3" t="s">
        <v>19</v>
      </c>
      <c r="I882" t="s">
        <v>3524</v>
      </c>
      <c r="J882" s="3" t="s">
        <v>84</v>
      </c>
      <c r="K882" t="s">
        <v>5842</v>
      </c>
      <c r="L882" s="3" t="s">
        <v>5843</v>
      </c>
      <c r="M882" t="s">
        <v>6131</v>
      </c>
      <c r="N882" s="8">
        <v>6.9766999999999996E-2</v>
      </c>
    </row>
    <row r="883" spans="1:14" hidden="1" x14ac:dyDescent="0.55000000000000004">
      <c r="A883" s="3" t="s">
        <v>3406</v>
      </c>
      <c r="B883" s="3" t="s">
        <v>3519</v>
      </c>
      <c r="C883" t="s">
        <v>3465</v>
      </c>
      <c r="D883" s="3" t="s">
        <v>7329</v>
      </c>
      <c r="E883" t="s">
        <v>3520</v>
      </c>
      <c r="F883" s="3" t="s">
        <v>3521</v>
      </c>
      <c r="G883" s="10">
        <v>1</v>
      </c>
      <c r="H883" s="3" t="s">
        <v>24</v>
      </c>
      <c r="I883" t="s">
        <v>3529</v>
      </c>
      <c r="J883" s="3" t="s">
        <v>46</v>
      </c>
      <c r="K883" t="s">
        <v>5836</v>
      </c>
      <c r="L883" s="3" t="s">
        <v>5837</v>
      </c>
      <c r="M883" t="s">
        <v>6132</v>
      </c>
      <c r="N883" s="8">
        <v>0.183867</v>
      </c>
    </row>
    <row r="884" spans="1:14" hidden="1" x14ac:dyDescent="0.55000000000000004">
      <c r="A884" s="3" t="s">
        <v>3406</v>
      </c>
      <c r="B884" s="3" t="s">
        <v>3530</v>
      </c>
      <c r="C884" t="s">
        <v>3465</v>
      </c>
      <c r="D884" s="3" t="s">
        <v>7329</v>
      </c>
      <c r="E884" t="s">
        <v>3532</v>
      </c>
      <c r="F884" s="3" t="s">
        <v>3533</v>
      </c>
      <c r="G884" s="10">
        <v>0</v>
      </c>
      <c r="H884" s="3" t="s">
        <v>19</v>
      </c>
      <c r="I884" t="s">
        <v>23</v>
      </c>
      <c r="J884" s="3" t="s">
        <v>23</v>
      </c>
      <c r="K884" t="s">
        <v>23</v>
      </c>
      <c r="L884" s="3" t="s">
        <v>23</v>
      </c>
      <c r="M884" t="s">
        <v>23</v>
      </c>
      <c r="N884" s="8" t="s">
        <v>23</v>
      </c>
    </row>
    <row r="885" spans="1:14" hidden="1" x14ac:dyDescent="0.55000000000000004">
      <c r="A885" s="9" t="s">
        <v>3406</v>
      </c>
      <c r="B885" s="3" t="s">
        <v>3530</v>
      </c>
      <c r="C885" t="s">
        <v>3465</v>
      </c>
      <c r="D885" s="3" t="s">
        <v>7329</v>
      </c>
      <c r="E885" t="s">
        <v>3532</v>
      </c>
      <c r="F885" s="3" t="s">
        <v>3533</v>
      </c>
      <c r="G885" s="10">
        <v>0</v>
      </c>
      <c r="H885" s="3" t="s">
        <v>24</v>
      </c>
      <c r="I885" t="s">
        <v>3542</v>
      </c>
      <c r="J885" s="3" t="s">
        <v>40</v>
      </c>
      <c r="K885" t="s">
        <v>23</v>
      </c>
      <c r="L885" s="3" t="s">
        <v>5835</v>
      </c>
      <c r="M885" t="s">
        <v>23</v>
      </c>
      <c r="N885" s="8">
        <v>0.219278</v>
      </c>
    </row>
    <row r="886" spans="1:14" hidden="1" x14ac:dyDescent="0.55000000000000004">
      <c r="A886" s="3" t="s">
        <v>3546</v>
      </c>
      <c r="B886" s="3" t="s">
        <v>3547</v>
      </c>
      <c r="C886" t="s">
        <v>3547</v>
      </c>
      <c r="D886" s="3" t="s">
        <v>7314</v>
      </c>
      <c r="E886" t="s">
        <v>3548</v>
      </c>
      <c r="F886" s="3" t="s">
        <v>3549</v>
      </c>
      <c r="G886" s="10">
        <v>1</v>
      </c>
      <c r="H886" s="3" t="s">
        <v>19</v>
      </c>
      <c r="I886" t="s">
        <v>3553</v>
      </c>
      <c r="J886" s="3" t="s">
        <v>64</v>
      </c>
      <c r="K886" t="s">
        <v>5858</v>
      </c>
      <c r="L886" s="3" t="s">
        <v>5859</v>
      </c>
      <c r="M886" t="s">
        <v>6133</v>
      </c>
      <c r="N886" s="8">
        <v>0.188198</v>
      </c>
    </row>
    <row r="887" spans="1:14" hidden="1" x14ac:dyDescent="0.55000000000000004">
      <c r="A887" s="3" t="s">
        <v>3546</v>
      </c>
      <c r="B887" s="3" t="s">
        <v>3547</v>
      </c>
      <c r="C887" t="s">
        <v>3547</v>
      </c>
      <c r="D887" s="3" t="s">
        <v>7314</v>
      </c>
      <c r="E887" t="s">
        <v>3548</v>
      </c>
      <c r="F887" s="3" t="s">
        <v>3549</v>
      </c>
      <c r="G887" s="10">
        <v>1</v>
      </c>
      <c r="H887" s="3" t="s">
        <v>19</v>
      </c>
      <c r="I887" t="s">
        <v>3553</v>
      </c>
      <c r="J887" s="3" t="s">
        <v>64</v>
      </c>
      <c r="K887" t="s">
        <v>5858</v>
      </c>
      <c r="L887" s="3" t="s">
        <v>5861</v>
      </c>
      <c r="M887" t="s">
        <v>6133</v>
      </c>
      <c r="N887" s="8">
        <v>0.188198</v>
      </c>
    </row>
    <row r="888" spans="1:14" hidden="1" x14ac:dyDescent="0.55000000000000004">
      <c r="A888" s="3" t="s">
        <v>3546</v>
      </c>
      <c r="B888" s="3" t="s">
        <v>3547</v>
      </c>
      <c r="C888" t="s">
        <v>3547</v>
      </c>
      <c r="D888" s="3" t="s">
        <v>7314</v>
      </c>
      <c r="E888" t="s">
        <v>3548</v>
      </c>
      <c r="F888" s="3" t="s">
        <v>3549</v>
      </c>
      <c r="G888" s="10">
        <v>1</v>
      </c>
      <c r="H888" s="3" t="s">
        <v>19</v>
      </c>
      <c r="I888" t="s">
        <v>3553</v>
      </c>
      <c r="J888" s="3" t="s">
        <v>64</v>
      </c>
      <c r="K888" t="s">
        <v>5858</v>
      </c>
      <c r="L888" s="3" t="s">
        <v>5862</v>
      </c>
      <c r="M888" t="s">
        <v>6133</v>
      </c>
      <c r="N888" s="8">
        <v>0.188198</v>
      </c>
    </row>
    <row r="889" spans="1:14" hidden="1" x14ac:dyDescent="0.55000000000000004">
      <c r="A889" s="3" t="s">
        <v>3546</v>
      </c>
      <c r="B889" s="3" t="s">
        <v>3547</v>
      </c>
      <c r="C889" t="s">
        <v>3547</v>
      </c>
      <c r="D889" s="3" t="s">
        <v>7314</v>
      </c>
      <c r="E889" t="s">
        <v>3548</v>
      </c>
      <c r="F889" s="3" t="s">
        <v>3549</v>
      </c>
      <c r="G889" s="10">
        <v>1</v>
      </c>
      <c r="H889" s="3" t="s">
        <v>24</v>
      </c>
      <c r="I889" t="s">
        <v>3559</v>
      </c>
      <c r="J889" s="3" t="s">
        <v>55</v>
      </c>
      <c r="K889" t="s">
        <v>23</v>
      </c>
      <c r="L889" s="3" t="s">
        <v>5839</v>
      </c>
      <c r="M889" t="s">
        <v>23</v>
      </c>
      <c r="N889" s="8">
        <v>0.25729600000000002</v>
      </c>
    </row>
    <row r="890" spans="1:14" hidden="1" x14ac:dyDescent="0.55000000000000004">
      <c r="A890" s="3" t="s">
        <v>3546</v>
      </c>
      <c r="B890" s="3" t="s">
        <v>3547</v>
      </c>
      <c r="C890" t="s">
        <v>3547</v>
      </c>
      <c r="D890" s="3" t="s">
        <v>7314</v>
      </c>
      <c r="E890" t="s">
        <v>3560</v>
      </c>
      <c r="F890" s="3" t="s">
        <v>3561</v>
      </c>
      <c r="G890" s="10">
        <v>0</v>
      </c>
      <c r="H890" s="3" t="s">
        <v>24</v>
      </c>
      <c r="I890" t="s">
        <v>3559</v>
      </c>
      <c r="J890" s="3" t="s">
        <v>55</v>
      </c>
      <c r="K890" t="s">
        <v>23</v>
      </c>
      <c r="L890" s="3" t="s">
        <v>5839</v>
      </c>
      <c r="M890" t="s">
        <v>23</v>
      </c>
      <c r="N890" s="8">
        <v>0.25729600000000002</v>
      </c>
    </row>
    <row r="891" spans="1:14" hidden="1" x14ac:dyDescent="0.55000000000000004">
      <c r="A891" s="3" t="s">
        <v>3546</v>
      </c>
      <c r="B891" s="3" t="s">
        <v>3547</v>
      </c>
      <c r="C891" t="s">
        <v>3547</v>
      </c>
      <c r="D891" s="3" t="s">
        <v>7314</v>
      </c>
      <c r="E891" t="s">
        <v>3562</v>
      </c>
      <c r="F891" s="3" t="s">
        <v>3563</v>
      </c>
      <c r="G891" s="10">
        <v>0</v>
      </c>
      <c r="H891" s="3" t="s">
        <v>24</v>
      </c>
      <c r="I891" t="s">
        <v>3559</v>
      </c>
      <c r="J891" s="3" t="s">
        <v>55</v>
      </c>
      <c r="K891" t="s">
        <v>23</v>
      </c>
      <c r="L891" s="3" t="s">
        <v>5839</v>
      </c>
      <c r="M891" t="s">
        <v>23</v>
      </c>
      <c r="N891" s="8">
        <v>0.25729600000000002</v>
      </c>
    </row>
    <row r="892" spans="1:14" hidden="1" x14ac:dyDescent="0.55000000000000004">
      <c r="A892" s="3" t="s">
        <v>3546</v>
      </c>
      <c r="B892" s="3" t="s">
        <v>3547</v>
      </c>
      <c r="C892" t="s">
        <v>3547</v>
      </c>
      <c r="D892" s="3" t="s">
        <v>7314</v>
      </c>
      <c r="E892" t="s">
        <v>3564</v>
      </c>
      <c r="F892" s="3" t="s">
        <v>3565</v>
      </c>
      <c r="G892" s="10">
        <v>0</v>
      </c>
      <c r="H892" s="3" t="s">
        <v>19</v>
      </c>
      <c r="I892" t="s">
        <v>3553</v>
      </c>
      <c r="J892" s="3" t="s">
        <v>64</v>
      </c>
      <c r="K892" t="s">
        <v>5858</v>
      </c>
      <c r="L892" s="3" t="s">
        <v>5859</v>
      </c>
      <c r="M892" t="s">
        <v>6133</v>
      </c>
      <c r="N892" s="8">
        <v>0.188198</v>
      </c>
    </row>
    <row r="893" spans="1:14" hidden="1" x14ac:dyDescent="0.55000000000000004">
      <c r="A893" s="3" t="s">
        <v>3546</v>
      </c>
      <c r="B893" s="3" t="s">
        <v>3547</v>
      </c>
      <c r="C893" t="s">
        <v>3547</v>
      </c>
      <c r="D893" s="3" t="s">
        <v>7314</v>
      </c>
      <c r="E893" t="s">
        <v>3564</v>
      </c>
      <c r="F893" s="3" t="s">
        <v>3565</v>
      </c>
      <c r="G893" s="10">
        <v>0</v>
      </c>
      <c r="H893" s="3" t="s">
        <v>19</v>
      </c>
      <c r="I893" t="s">
        <v>3553</v>
      </c>
      <c r="J893" s="3" t="s">
        <v>64</v>
      </c>
      <c r="K893" t="s">
        <v>5858</v>
      </c>
      <c r="L893" s="3" t="s">
        <v>5861</v>
      </c>
      <c r="M893" t="s">
        <v>6133</v>
      </c>
      <c r="N893" s="8">
        <v>0.188198</v>
      </c>
    </row>
    <row r="894" spans="1:14" hidden="1" x14ac:dyDescent="0.55000000000000004">
      <c r="A894" s="3" t="s">
        <v>3546</v>
      </c>
      <c r="B894" s="3" t="s">
        <v>3547</v>
      </c>
      <c r="C894" t="s">
        <v>3547</v>
      </c>
      <c r="D894" s="3" t="s">
        <v>7314</v>
      </c>
      <c r="E894" t="s">
        <v>3564</v>
      </c>
      <c r="F894" s="3" t="s">
        <v>3565</v>
      </c>
      <c r="G894" s="10">
        <v>0</v>
      </c>
      <c r="H894" s="3" t="s">
        <v>19</v>
      </c>
      <c r="I894" t="s">
        <v>3553</v>
      </c>
      <c r="J894" s="3" t="s">
        <v>64</v>
      </c>
      <c r="K894" t="s">
        <v>5858</v>
      </c>
      <c r="L894" s="3" t="s">
        <v>5862</v>
      </c>
      <c r="M894" t="s">
        <v>6133</v>
      </c>
      <c r="N894" s="8">
        <v>0.188198</v>
      </c>
    </row>
    <row r="895" spans="1:14" hidden="1" x14ac:dyDescent="0.55000000000000004">
      <c r="A895" s="3" t="s">
        <v>3546</v>
      </c>
      <c r="B895" s="3" t="s">
        <v>3547</v>
      </c>
      <c r="C895" t="s">
        <v>3547</v>
      </c>
      <c r="D895" s="3" t="s">
        <v>7314</v>
      </c>
      <c r="E895" t="s">
        <v>3564</v>
      </c>
      <c r="F895" s="3" t="s">
        <v>3565</v>
      </c>
      <c r="G895" s="10">
        <v>0</v>
      </c>
      <c r="H895" s="3" t="s">
        <v>24</v>
      </c>
      <c r="I895" t="s">
        <v>3559</v>
      </c>
      <c r="J895" s="3" t="s">
        <v>55</v>
      </c>
      <c r="K895" t="s">
        <v>23</v>
      </c>
      <c r="L895" s="3" t="s">
        <v>5839</v>
      </c>
      <c r="M895" t="s">
        <v>23</v>
      </c>
      <c r="N895" s="8">
        <v>0.25729600000000002</v>
      </c>
    </row>
    <row r="896" spans="1:14" hidden="1" x14ac:dyDescent="0.55000000000000004">
      <c r="A896" s="3" t="s">
        <v>3546</v>
      </c>
      <c r="B896" s="3" t="s">
        <v>3566</v>
      </c>
      <c r="C896" t="s">
        <v>3566</v>
      </c>
      <c r="D896" s="3" t="s">
        <v>7314</v>
      </c>
      <c r="E896" t="s">
        <v>3567</v>
      </c>
      <c r="F896" s="3" t="s">
        <v>3568</v>
      </c>
      <c r="G896" s="10">
        <v>0</v>
      </c>
      <c r="H896" s="3" t="s">
        <v>24</v>
      </c>
      <c r="I896" t="s">
        <v>3571</v>
      </c>
      <c r="J896" s="3" t="s">
        <v>55</v>
      </c>
      <c r="K896" t="s">
        <v>23</v>
      </c>
      <c r="L896" s="3" t="s">
        <v>5839</v>
      </c>
      <c r="M896" t="s">
        <v>23</v>
      </c>
      <c r="N896" s="8">
        <v>0.25765199999999999</v>
      </c>
    </row>
    <row r="897" spans="1:14" hidden="1" x14ac:dyDescent="0.55000000000000004">
      <c r="A897" s="3" t="s">
        <v>3546</v>
      </c>
      <c r="B897" s="3" t="s">
        <v>3572</v>
      </c>
      <c r="C897" t="s">
        <v>3572</v>
      </c>
      <c r="D897" s="3" t="s">
        <v>7314</v>
      </c>
      <c r="E897" t="s">
        <v>3573</v>
      </c>
      <c r="F897" s="3" t="s">
        <v>3574</v>
      </c>
      <c r="G897" s="10">
        <v>0</v>
      </c>
      <c r="H897" s="3" t="s">
        <v>24</v>
      </c>
      <c r="I897" t="s">
        <v>3577</v>
      </c>
      <c r="J897" s="3" t="s">
        <v>55</v>
      </c>
      <c r="K897" t="s">
        <v>23</v>
      </c>
      <c r="L897" s="3" t="s">
        <v>5839</v>
      </c>
      <c r="M897" t="s">
        <v>23</v>
      </c>
      <c r="N897" s="8">
        <v>0.25725700000000001</v>
      </c>
    </row>
    <row r="898" spans="1:14" hidden="1" x14ac:dyDescent="0.55000000000000004">
      <c r="A898" s="3" t="s">
        <v>3546</v>
      </c>
      <c r="B898" s="3" t="s">
        <v>274</v>
      </c>
      <c r="C898" t="s">
        <v>274</v>
      </c>
      <c r="D898" s="3" t="s">
        <v>7314</v>
      </c>
      <c r="E898" t="s">
        <v>3578</v>
      </c>
      <c r="F898" s="3" t="s">
        <v>3579</v>
      </c>
      <c r="G898" s="10">
        <v>0</v>
      </c>
      <c r="H898" s="3" t="s">
        <v>24</v>
      </c>
      <c r="I898" t="s">
        <v>279</v>
      </c>
      <c r="J898" s="3" t="s">
        <v>55</v>
      </c>
      <c r="K898" t="s">
        <v>23</v>
      </c>
      <c r="L898" s="3" t="s">
        <v>5839</v>
      </c>
      <c r="M898" t="s">
        <v>23</v>
      </c>
      <c r="N898" s="8">
        <v>0.25825500000000001</v>
      </c>
    </row>
    <row r="899" spans="1:14" hidden="1" x14ac:dyDescent="0.55000000000000004">
      <c r="A899" s="3" t="s">
        <v>3546</v>
      </c>
      <c r="B899" s="3" t="s">
        <v>3580</v>
      </c>
      <c r="C899" t="s">
        <v>3580</v>
      </c>
      <c r="D899" s="3" t="s">
        <v>7314</v>
      </c>
      <c r="E899" t="s">
        <v>3581</v>
      </c>
      <c r="F899" s="3" t="s">
        <v>3582</v>
      </c>
      <c r="G899" s="10">
        <v>0</v>
      </c>
      <c r="H899" s="3" t="s">
        <v>24</v>
      </c>
      <c r="I899" t="s">
        <v>3585</v>
      </c>
      <c r="J899" s="3" t="s">
        <v>55</v>
      </c>
      <c r="K899" t="s">
        <v>23</v>
      </c>
      <c r="L899" s="3" t="s">
        <v>5839</v>
      </c>
      <c r="M899" t="s">
        <v>23</v>
      </c>
      <c r="N899" s="8">
        <v>0.21973100000000001</v>
      </c>
    </row>
    <row r="900" spans="1:14" hidden="1" x14ac:dyDescent="0.55000000000000004">
      <c r="A900" s="3" t="s">
        <v>3546</v>
      </c>
      <c r="B900" s="3" t="s">
        <v>3586</v>
      </c>
      <c r="C900" t="s">
        <v>3586</v>
      </c>
      <c r="D900" s="3" t="s">
        <v>7314</v>
      </c>
      <c r="E900" t="s">
        <v>3587</v>
      </c>
      <c r="F900" s="3" t="s">
        <v>3588</v>
      </c>
      <c r="G900" s="10">
        <v>0</v>
      </c>
      <c r="H900" s="3" t="s">
        <v>19</v>
      </c>
      <c r="I900" t="s">
        <v>3591</v>
      </c>
      <c r="J900" s="3" t="s">
        <v>287</v>
      </c>
      <c r="K900" t="s">
        <v>23</v>
      </c>
      <c r="L900" s="3" t="s">
        <v>5871</v>
      </c>
      <c r="M900" t="s">
        <v>6134</v>
      </c>
      <c r="N900" s="8">
        <v>1.9300000000000001E-2</v>
      </c>
    </row>
    <row r="901" spans="1:14" hidden="1" x14ac:dyDescent="0.55000000000000004">
      <c r="A901" s="9" t="s">
        <v>3546</v>
      </c>
      <c r="B901" s="3" t="s">
        <v>3586</v>
      </c>
      <c r="C901" t="s">
        <v>3586</v>
      </c>
      <c r="D901" s="3" t="s">
        <v>7314</v>
      </c>
      <c r="E901" t="s">
        <v>3587</v>
      </c>
      <c r="F901" s="3" t="s">
        <v>3588</v>
      </c>
      <c r="G901" s="10">
        <v>0</v>
      </c>
      <c r="H901" s="3" t="s">
        <v>24</v>
      </c>
      <c r="I901" t="s">
        <v>3594</v>
      </c>
      <c r="J901" s="3" t="s">
        <v>76</v>
      </c>
      <c r="K901" t="s">
        <v>5841</v>
      </c>
      <c r="L901" s="3" t="s">
        <v>5840</v>
      </c>
      <c r="M901" t="s">
        <v>23</v>
      </c>
      <c r="N901" s="8">
        <v>0.2555</v>
      </c>
    </row>
    <row r="902" spans="1:14" hidden="1" x14ac:dyDescent="0.55000000000000004">
      <c r="A902" s="3" t="s">
        <v>3595</v>
      </c>
      <c r="B902" s="3" t="s">
        <v>3596</v>
      </c>
      <c r="C902" t="s">
        <v>3596</v>
      </c>
      <c r="D902" s="3" t="s">
        <v>7319</v>
      </c>
      <c r="E902" t="s">
        <v>3597</v>
      </c>
      <c r="F902" s="3" t="s">
        <v>3598</v>
      </c>
      <c r="G902" s="10">
        <v>1</v>
      </c>
      <c r="H902" s="3" t="s">
        <v>19</v>
      </c>
      <c r="I902" t="s">
        <v>3601</v>
      </c>
      <c r="J902" s="3" t="s">
        <v>3602</v>
      </c>
      <c r="K902" t="s">
        <v>23</v>
      </c>
      <c r="L902" s="3" t="s">
        <v>5880</v>
      </c>
      <c r="M902" t="s">
        <v>6135</v>
      </c>
      <c r="N902" s="8">
        <v>4.8250000000000001E-2</v>
      </c>
    </row>
    <row r="903" spans="1:14" hidden="1" x14ac:dyDescent="0.55000000000000004">
      <c r="A903" s="3" t="s">
        <v>3595</v>
      </c>
      <c r="B903" s="3" t="s">
        <v>3596</v>
      </c>
      <c r="C903" t="s">
        <v>3596</v>
      </c>
      <c r="D903" s="3" t="s">
        <v>7319</v>
      </c>
      <c r="E903" t="s">
        <v>3597</v>
      </c>
      <c r="F903" s="3" t="s">
        <v>3598</v>
      </c>
      <c r="G903" s="10">
        <v>1</v>
      </c>
      <c r="H903" s="3" t="s">
        <v>19</v>
      </c>
      <c r="I903" t="s">
        <v>3601</v>
      </c>
      <c r="J903" s="3" t="s">
        <v>3602</v>
      </c>
      <c r="K903" t="s">
        <v>23</v>
      </c>
      <c r="L903" s="3" t="s">
        <v>5882</v>
      </c>
      <c r="M903" t="s">
        <v>6135</v>
      </c>
      <c r="N903" s="8">
        <v>4.8250000000000001E-2</v>
      </c>
    </row>
    <row r="904" spans="1:14" hidden="1" x14ac:dyDescent="0.55000000000000004">
      <c r="A904" s="3" t="s">
        <v>3595</v>
      </c>
      <c r="B904" s="3" t="s">
        <v>3596</v>
      </c>
      <c r="C904" t="s">
        <v>3596</v>
      </c>
      <c r="D904" s="3" t="s">
        <v>7319</v>
      </c>
      <c r="E904" t="s">
        <v>3597</v>
      </c>
      <c r="F904" s="3" t="s">
        <v>3598</v>
      </c>
      <c r="G904" s="10">
        <v>1</v>
      </c>
      <c r="H904" s="3" t="s">
        <v>24</v>
      </c>
      <c r="I904" t="s">
        <v>3605</v>
      </c>
      <c r="J904" s="3" t="s">
        <v>76</v>
      </c>
      <c r="K904" t="s">
        <v>5841</v>
      </c>
      <c r="L904" s="3" t="s">
        <v>5840</v>
      </c>
      <c r="M904" t="s">
        <v>6136</v>
      </c>
      <c r="N904" s="8">
        <v>0.29366700000000001</v>
      </c>
    </row>
    <row r="905" spans="1:14" hidden="1" x14ac:dyDescent="0.55000000000000004">
      <c r="A905" s="3" t="s">
        <v>3595</v>
      </c>
      <c r="B905" s="3" t="s">
        <v>3596</v>
      </c>
      <c r="C905" t="s">
        <v>3596</v>
      </c>
      <c r="D905" s="3" t="s">
        <v>7319</v>
      </c>
      <c r="E905" t="s">
        <v>3608</v>
      </c>
      <c r="F905" s="3" t="s">
        <v>3609</v>
      </c>
      <c r="G905" s="10">
        <v>0</v>
      </c>
      <c r="H905" s="3" t="s">
        <v>19</v>
      </c>
      <c r="I905" t="s">
        <v>3601</v>
      </c>
      <c r="J905" s="3" t="s">
        <v>3602</v>
      </c>
      <c r="K905" t="s">
        <v>23</v>
      </c>
      <c r="L905" s="3" t="s">
        <v>5880</v>
      </c>
      <c r="M905" t="s">
        <v>6135</v>
      </c>
      <c r="N905" s="8">
        <v>4.8250000000000001E-2</v>
      </c>
    </row>
    <row r="906" spans="1:14" hidden="1" x14ac:dyDescent="0.55000000000000004">
      <c r="A906" s="3" t="s">
        <v>3595</v>
      </c>
      <c r="B906" s="3" t="s">
        <v>3596</v>
      </c>
      <c r="C906" t="s">
        <v>3596</v>
      </c>
      <c r="D906" s="3" t="s">
        <v>7319</v>
      </c>
      <c r="E906" t="s">
        <v>3608</v>
      </c>
      <c r="F906" s="3" t="s">
        <v>3609</v>
      </c>
      <c r="G906" s="10">
        <v>0</v>
      </c>
      <c r="H906" s="3" t="s">
        <v>19</v>
      </c>
      <c r="I906" t="s">
        <v>3601</v>
      </c>
      <c r="J906" s="3" t="s">
        <v>3602</v>
      </c>
      <c r="K906" t="s">
        <v>23</v>
      </c>
      <c r="L906" s="3" t="s">
        <v>5882</v>
      </c>
      <c r="M906" t="s">
        <v>6135</v>
      </c>
      <c r="N906" s="8">
        <v>4.8250000000000001E-2</v>
      </c>
    </row>
    <row r="907" spans="1:14" hidden="1" x14ac:dyDescent="0.55000000000000004">
      <c r="A907" s="3" t="s">
        <v>3595</v>
      </c>
      <c r="B907" s="3" t="s">
        <v>3596</v>
      </c>
      <c r="C907" t="s">
        <v>3596</v>
      </c>
      <c r="D907" s="3" t="s">
        <v>7319</v>
      </c>
      <c r="E907" t="s">
        <v>3608</v>
      </c>
      <c r="F907" s="3" t="s">
        <v>3609</v>
      </c>
      <c r="G907" s="10">
        <v>0</v>
      </c>
      <c r="H907" s="3" t="s">
        <v>24</v>
      </c>
      <c r="I907" t="s">
        <v>3605</v>
      </c>
      <c r="J907" s="3" t="s">
        <v>76</v>
      </c>
      <c r="K907" t="s">
        <v>5841</v>
      </c>
      <c r="L907" s="3" t="s">
        <v>5840</v>
      </c>
      <c r="M907" t="s">
        <v>6136</v>
      </c>
      <c r="N907" s="8">
        <v>0.29366700000000001</v>
      </c>
    </row>
    <row r="908" spans="1:14" hidden="1" x14ac:dyDescent="0.55000000000000004">
      <c r="A908" s="3" t="s">
        <v>3595</v>
      </c>
      <c r="B908" s="3" t="s">
        <v>3596</v>
      </c>
      <c r="C908" t="s">
        <v>3596</v>
      </c>
      <c r="D908" s="3" t="s">
        <v>7319</v>
      </c>
      <c r="E908" t="s">
        <v>3610</v>
      </c>
      <c r="F908" s="3" t="s">
        <v>3611</v>
      </c>
      <c r="G908" s="10">
        <v>0</v>
      </c>
      <c r="H908" s="3" t="s">
        <v>19</v>
      </c>
      <c r="I908" t="s">
        <v>3601</v>
      </c>
      <c r="J908" s="3" t="s">
        <v>3602</v>
      </c>
      <c r="K908" t="s">
        <v>23</v>
      </c>
      <c r="L908" s="3" t="s">
        <v>5880</v>
      </c>
      <c r="M908" t="s">
        <v>6135</v>
      </c>
      <c r="N908" s="8">
        <v>4.8250000000000001E-2</v>
      </c>
    </row>
    <row r="909" spans="1:14" hidden="1" x14ac:dyDescent="0.55000000000000004">
      <c r="A909" s="3" t="s">
        <v>3595</v>
      </c>
      <c r="B909" s="3" t="s">
        <v>3596</v>
      </c>
      <c r="C909" t="s">
        <v>3596</v>
      </c>
      <c r="D909" s="3" t="s">
        <v>7319</v>
      </c>
      <c r="E909" t="s">
        <v>3610</v>
      </c>
      <c r="F909" s="3" t="s">
        <v>3611</v>
      </c>
      <c r="G909" s="10">
        <v>0</v>
      </c>
      <c r="H909" s="3" t="s">
        <v>19</v>
      </c>
      <c r="I909" t="s">
        <v>3601</v>
      </c>
      <c r="J909" s="3" t="s">
        <v>3602</v>
      </c>
      <c r="K909" t="s">
        <v>23</v>
      </c>
      <c r="L909" s="3" t="s">
        <v>5882</v>
      </c>
      <c r="M909" t="s">
        <v>6135</v>
      </c>
      <c r="N909" s="8">
        <v>4.8250000000000001E-2</v>
      </c>
    </row>
    <row r="910" spans="1:14" hidden="1" x14ac:dyDescent="0.55000000000000004">
      <c r="A910" s="3" t="s">
        <v>3595</v>
      </c>
      <c r="B910" s="3" t="s">
        <v>3596</v>
      </c>
      <c r="C910" t="s">
        <v>3596</v>
      </c>
      <c r="D910" s="3" t="s">
        <v>7319</v>
      </c>
      <c r="E910" t="s">
        <v>3610</v>
      </c>
      <c r="F910" s="3" t="s">
        <v>3611</v>
      </c>
      <c r="G910" s="10">
        <v>0</v>
      </c>
      <c r="H910" s="3" t="s">
        <v>24</v>
      </c>
      <c r="I910" t="s">
        <v>3605</v>
      </c>
      <c r="J910" s="3" t="s">
        <v>76</v>
      </c>
      <c r="K910" t="s">
        <v>5841</v>
      </c>
      <c r="L910" s="3" t="s">
        <v>5840</v>
      </c>
      <c r="M910" t="s">
        <v>6136</v>
      </c>
      <c r="N910" s="8">
        <v>0.29366700000000001</v>
      </c>
    </row>
    <row r="911" spans="1:14" hidden="1" x14ac:dyDescent="0.55000000000000004">
      <c r="A911" s="3" t="s">
        <v>3595</v>
      </c>
      <c r="B911" s="3" t="s">
        <v>3596</v>
      </c>
      <c r="C911" t="s">
        <v>3596</v>
      </c>
      <c r="D911" s="3" t="s">
        <v>7319</v>
      </c>
      <c r="E911" t="s">
        <v>3612</v>
      </c>
      <c r="F911" s="3" t="s">
        <v>3613</v>
      </c>
      <c r="G911" s="10">
        <v>0</v>
      </c>
      <c r="H911" s="3" t="s">
        <v>24</v>
      </c>
      <c r="I911" t="s">
        <v>3605</v>
      </c>
      <c r="J911" s="3" t="s">
        <v>76</v>
      </c>
      <c r="K911" t="s">
        <v>5841</v>
      </c>
      <c r="L911" s="3" t="s">
        <v>5840</v>
      </c>
      <c r="M911" t="s">
        <v>6136</v>
      </c>
      <c r="N911" s="8">
        <v>0.29366700000000001</v>
      </c>
    </row>
    <row r="912" spans="1:14" hidden="1" x14ac:dyDescent="0.55000000000000004">
      <c r="A912" s="3" t="s">
        <v>3595</v>
      </c>
      <c r="B912" s="3" t="s">
        <v>3633</v>
      </c>
      <c r="C912" t="s">
        <v>7367</v>
      </c>
      <c r="D912" s="3" t="s">
        <v>7319</v>
      </c>
      <c r="E912" t="s">
        <v>3642</v>
      </c>
      <c r="F912" s="3" t="s">
        <v>3643</v>
      </c>
      <c r="G912" s="10">
        <v>0</v>
      </c>
      <c r="H912" s="3" t="s">
        <v>24</v>
      </c>
      <c r="I912" t="s">
        <v>3646</v>
      </c>
      <c r="J912" s="3" t="s">
        <v>76</v>
      </c>
      <c r="K912" t="s">
        <v>5841</v>
      </c>
      <c r="L912" s="3" t="s">
        <v>5840</v>
      </c>
      <c r="M912" t="s">
        <v>6137</v>
      </c>
      <c r="N912" s="8">
        <v>0.29366700000000001</v>
      </c>
    </row>
    <row r="913" spans="1:14" hidden="1" x14ac:dyDescent="0.55000000000000004">
      <c r="A913" s="3" t="s">
        <v>3595</v>
      </c>
      <c r="B913" s="3" t="s">
        <v>7368</v>
      </c>
      <c r="C913" t="s">
        <v>7367</v>
      </c>
      <c r="D913" s="3" t="s">
        <v>7319</v>
      </c>
      <c r="E913" t="s">
        <v>3649</v>
      </c>
      <c r="F913" s="3" t="s">
        <v>3650</v>
      </c>
      <c r="G913" s="10">
        <v>1</v>
      </c>
      <c r="H913" s="3" t="s">
        <v>19</v>
      </c>
      <c r="I913" t="s">
        <v>3656</v>
      </c>
      <c r="J913" s="3" t="s">
        <v>3654</v>
      </c>
      <c r="K913" t="s">
        <v>6138</v>
      </c>
      <c r="L913" s="3" t="s">
        <v>5888</v>
      </c>
      <c r="M913" t="s">
        <v>6139</v>
      </c>
      <c r="N913" s="8">
        <v>5.6195000000000002E-2</v>
      </c>
    </row>
    <row r="914" spans="1:14" hidden="1" x14ac:dyDescent="0.55000000000000004">
      <c r="A914" s="3" t="s">
        <v>3595</v>
      </c>
      <c r="B914" s="3" t="s">
        <v>7368</v>
      </c>
      <c r="C914" t="s">
        <v>7367</v>
      </c>
      <c r="D914" s="3" t="s">
        <v>7319</v>
      </c>
      <c r="E914" t="s">
        <v>3649</v>
      </c>
      <c r="F914" s="3" t="s">
        <v>3650</v>
      </c>
      <c r="G914" s="10">
        <v>1</v>
      </c>
      <c r="H914" s="3" t="s">
        <v>19</v>
      </c>
      <c r="I914" t="s">
        <v>3656</v>
      </c>
      <c r="J914" s="3" t="s">
        <v>3654</v>
      </c>
      <c r="K914" t="s">
        <v>6138</v>
      </c>
      <c r="L914" s="3" t="s">
        <v>5890</v>
      </c>
      <c r="M914" t="s">
        <v>6139</v>
      </c>
      <c r="N914" s="8">
        <v>5.6195000000000002E-2</v>
      </c>
    </row>
    <row r="915" spans="1:14" hidden="1" x14ac:dyDescent="0.55000000000000004">
      <c r="A915" s="3" t="s">
        <v>3595</v>
      </c>
      <c r="B915" s="3" t="s">
        <v>7368</v>
      </c>
      <c r="C915" t="s">
        <v>7367</v>
      </c>
      <c r="D915" s="3" t="s">
        <v>7319</v>
      </c>
      <c r="E915" t="s">
        <v>3649</v>
      </c>
      <c r="F915" s="3" t="s">
        <v>3650</v>
      </c>
      <c r="G915" s="10">
        <v>1</v>
      </c>
      <c r="H915" s="3" t="s">
        <v>24</v>
      </c>
      <c r="I915" t="s">
        <v>3646</v>
      </c>
      <c r="J915" s="3" t="s">
        <v>76</v>
      </c>
      <c r="K915" t="s">
        <v>5841</v>
      </c>
      <c r="L915" s="3" t="s">
        <v>5840</v>
      </c>
      <c r="M915" t="s">
        <v>6137</v>
      </c>
      <c r="N915" s="8">
        <v>0.29366700000000001</v>
      </c>
    </row>
    <row r="916" spans="1:14" hidden="1" x14ac:dyDescent="0.55000000000000004">
      <c r="A916" s="9" t="s">
        <v>3595</v>
      </c>
      <c r="B916" s="3" t="s">
        <v>3633</v>
      </c>
      <c r="C916" t="s">
        <v>7367</v>
      </c>
      <c r="D916" s="3" t="s">
        <v>7319</v>
      </c>
      <c r="E916" t="s">
        <v>3657</v>
      </c>
      <c r="F916" s="3" t="s">
        <v>3658</v>
      </c>
      <c r="G916" s="10">
        <v>0</v>
      </c>
      <c r="H916" s="3" t="s">
        <v>24</v>
      </c>
      <c r="I916" t="s">
        <v>3646</v>
      </c>
      <c r="J916" s="3" t="s">
        <v>76</v>
      </c>
      <c r="K916" t="s">
        <v>5841</v>
      </c>
      <c r="L916" s="3" t="s">
        <v>5840</v>
      </c>
      <c r="M916" t="s">
        <v>6137</v>
      </c>
      <c r="N916" s="8">
        <v>0.29366700000000001</v>
      </c>
    </row>
    <row r="917" spans="1:14" hidden="1" x14ac:dyDescent="0.55000000000000004">
      <c r="A917" s="3" t="s">
        <v>3659</v>
      </c>
      <c r="B917" s="3" t="s">
        <v>3660</v>
      </c>
      <c r="C917" t="s">
        <v>3660</v>
      </c>
      <c r="D917" s="3" t="s">
        <v>7329</v>
      </c>
      <c r="E917" t="s">
        <v>3661</v>
      </c>
      <c r="F917" s="3" t="s">
        <v>3662</v>
      </c>
      <c r="G917" s="10">
        <v>0</v>
      </c>
      <c r="H917" s="3" t="s">
        <v>24</v>
      </c>
      <c r="I917" t="s">
        <v>3665</v>
      </c>
      <c r="J917" s="3" t="s">
        <v>40</v>
      </c>
      <c r="K917" t="s">
        <v>23</v>
      </c>
      <c r="L917" s="3" t="s">
        <v>5835</v>
      </c>
      <c r="M917" t="s">
        <v>6140</v>
      </c>
      <c r="N917" s="8">
        <v>0.18256900000000001</v>
      </c>
    </row>
    <row r="918" spans="1:14" hidden="1" x14ac:dyDescent="0.55000000000000004">
      <c r="A918" s="3" t="s">
        <v>3659</v>
      </c>
      <c r="B918" s="3" t="s">
        <v>3660</v>
      </c>
      <c r="C918" t="s">
        <v>3660</v>
      </c>
      <c r="D918" s="3" t="s">
        <v>7329</v>
      </c>
      <c r="E918" t="s">
        <v>3668</v>
      </c>
      <c r="F918" s="3" t="s">
        <v>3669</v>
      </c>
      <c r="G918" s="10">
        <v>0</v>
      </c>
      <c r="H918" s="3" t="s">
        <v>24</v>
      </c>
      <c r="I918" t="s">
        <v>3665</v>
      </c>
      <c r="J918" s="3" t="s">
        <v>40</v>
      </c>
      <c r="K918" t="s">
        <v>23</v>
      </c>
      <c r="L918" s="3" t="s">
        <v>5835</v>
      </c>
      <c r="M918" t="s">
        <v>6140</v>
      </c>
      <c r="N918" s="8">
        <v>0.18256900000000001</v>
      </c>
    </row>
    <row r="919" spans="1:14" hidden="1" x14ac:dyDescent="0.55000000000000004">
      <c r="A919" s="3" t="s">
        <v>3659</v>
      </c>
      <c r="B919" s="3" t="s">
        <v>3660</v>
      </c>
      <c r="C919" t="s">
        <v>3660</v>
      </c>
      <c r="D919" s="3" t="s">
        <v>7329</v>
      </c>
      <c r="E919" t="s">
        <v>3670</v>
      </c>
      <c r="F919" s="3" t="s">
        <v>3671</v>
      </c>
      <c r="G919" s="10">
        <v>0</v>
      </c>
      <c r="H919" s="3" t="s">
        <v>24</v>
      </c>
      <c r="I919" t="s">
        <v>3665</v>
      </c>
      <c r="J919" s="3" t="s">
        <v>40</v>
      </c>
      <c r="K919" t="s">
        <v>23</v>
      </c>
      <c r="L919" s="3" t="s">
        <v>5835</v>
      </c>
      <c r="M919" t="s">
        <v>6140</v>
      </c>
      <c r="N919" s="8">
        <v>0.18256900000000001</v>
      </c>
    </row>
    <row r="920" spans="1:14" hidden="1" x14ac:dyDescent="0.55000000000000004">
      <c r="A920" s="3" t="s">
        <v>3659</v>
      </c>
      <c r="B920" s="3" t="s">
        <v>7371</v>
      </c>
      <c r="C920" t="s">
        <v>3660</v>
      </c>
      <c r="D920" s="3" t="s">
        <v>7329</v>
      </c>
      <c r="E920" t="s">
        <v>3672</v>
      </c>
      <c r="F920" s="3" t="s">
        <v>3673</v>
      </c>
      <c r="G920" s="10">
        <v>0</v>
      </c>
      <c r="H920" s="3" t="s">
        <v>24</v>
      </c>
      <c r="I920" t="s">
        <v>3665</v>
      </c>
      <c r="J920" s="3" t="s">
        <v>40</v>
      </c>
      <c r="K920" t="s">
        <v>23</v>
      </c>
      <c r="L920" s="3" t="s">
        <v>5835</v>
      </c>
      <c r="M920" t="s">
        <v>6140</v>
      </c>
      <c r="N920" s="8">
        <v>0.18256900000000001</v>
      </c>
    </row>
    <row r="921" spans="1:14" hidden="1" x14ac:dyDescent="0.55000000000000004">
      <c r="A921" s="3" t="s">
        <v>3659</v>
      </c>
      <c r="B921" s="3" t="s">
        <v>7371</v>
      </c>
      <c r="C921" t="s">
        <v>3660</v>
      </c>
      <c r="D921" s="3" t="s">
        <v>7329</v>
      </c>
      <c r="E921" t="s">
        <v>3676</v>
      </c>
      <c r="F921" s="3" t="s">
        <v>3677</v>
      </c>
      <c r="G921" s="10">
        <v>0</v>
      </c>
      <c r="H921" s="3" t="s">
        <v>24</v>
      </c>
      <c r="I921" t="s">
        <v>3665</v>
      </c>
      <c r="J921" s="3" t="s">
        <v>40</v>
      </c>
      <c r="K921" t="s">
        <v>23</v>
      </c>
      <c r="L921" s="3" t="s">
        <v>5835</v>
      </c>
      <c r="M921" t="s">
        <v>6140</v>
      </c>
      <c r="N921" s="8">
        <v>0.18256900000000001</v>
      </c>
    </row>
    <row r="922" spans="1:14" hidden="1" x14ac:dyDescent="0.55000000000000004">
      <c r="A922" s="3" t="s">
        <v>3659</v>
      </c>
      <c r="B922" s="3" t="s">
        <v>7371</v>
      </c>
      <c r="C922" t="s">
        <v>3660</v>
      </c>
      <c r="D922" s="3" t="s">
        <v>7329</v>
      </c>
      <c r="E922" t="s">
        <v>3678</v>
      </c>
      <c r="F922" s="3" t="s">
        <v>3679</v>
      </c>
      <c r="G922" s="10">
        <v>0</v>
      </c>
      <c r="H922" s="3" t="s">
        <v>24</v>
      </c>
      <c r="I922" t="s">
        <v>3665</v>
      </c>
      <c r="J922" s="3" t="s">
        <v>40</v>
      </c>
      <c r="K922" t="s">
        <v>23</v>
      </c>
      <c r="L922" s="3" t="s">
        <v>5835</v>
      </c>
      <c r="M922" t="s">
        <v>6140</v>
      </c>
      <c r="N922" s="8">
        <v>0.18256900000000001</v>
      </c>
    </row>
    <row r="923" spans="1:14" hidden="1" x14ac:dyDescent="0.55000000000000004">
      <c r="A923" s="3" t="s">
        <v>3659</v>
      </c>
      <c r="B923" s="3" t="s">
        <v>3680</v>
      </c>
      <c r="C923" t="s">
        <v>3680</v>
      </c>
      <c r="D923" s="3" t="s">
        <v>7329</v>
      </c>
      <c r="E923" t="s">
        <v>3681</v>
      </c>
      <c r="F923" s="3" t="s">
        <v>3682</v>
      </c>
      <c r="G923" s="10">
        <v>0</v>
      </c>
      <c r="H923" s="3" t="s">
        <v>24</v>
      </c>
      <c r="I923" t="s">
        <v>3685</v>
      </c>
      <c r="J923" s="3" t="s">
        <v>138</v>
      </c>
      <c r="K923" t="s">
        <v>23</v>
      </c>
      <c r="L923" s="3" t="s">
        <v>5837</v>
      </c>
      <c r="M923" t="s">
        <v>23</v>
      </c>
      <c r="N923" s="8">
        <v>0.21909100000000001</v>
      </c>
    </row>
    <row r="924" spans="1:14" hidden="1" x14ac:dyDescent="0.55000000000000004">
      <c r="A924" s="3" t="s">
        <v>3659</v>
      </c>
      <c r="B924" s="3" t="s">
        <v>3686</v>
      </c>
      <c r="C924" t="s">
        <v>3687</v>
      </c>
      <c r="D924" s="3" t="s">
        <v>7329</v>
      </c>
      <c r="E924" t="s">
        <v>3688</v>
      </c>
      <c r="F924" s="3" t="s">
        <v>3689</v>
      </c>
      <c r="G924" s="10">
        <v>1</v>
      </c>
      <c r="H924" s="3" t="s">
        <v>19</v>
      </c>
      <c r="I924" t="s">
        <v>3693</v>
      </c>
      <c r="J924" s="3" t="s">
        <v>3694</v>
      </c>
      <c r="K924" t="s">
        <v>6141</v>
      </c>
      <c r="L924" s="3" t="s">
        <v>6142</v>
      </c>
      <c r="M924" t="s">
        <v>6143</v>
      </c>
      <c r="N924" s="8">
        <v>7.0786000000000002E-2</v>
      </c>
    </row>
    <row r="925" spans="1:14" hidden="1" x14ac:dyDescent="0.55000000000000004">
      <c r="A925" s="3" t="s">
        <v>3659</v>
      </c>
      <c r="B925" s="3" t="s">
        <v>3686</v>
      </c>
      <c r="C925" t="s">
        <v>3687</v>
      </c>
      <c r="D925" s="3" t="s">
        <v>7329</v>
      </c>
      <c r="E925" t="s">
        <v>3688</v>
      </c>
      <c r="F925" s="3" t="s">
        <v>3689</v>
      </c>
      <c r="G925" s="10">
        <v>1</v>
      </c>
      <c r="H925" s="3" t="s">
        <v>24</v>
      </c>
      <c r="I925" t="s">
        <v>3697</v>
      </c>
      <c r="J925" s="3" t="s">
        <v>40</v>
      </c>
      <c r="K925" t="s">
        <v>23</v>
      </c>
      <c r="L925" s="3" t="s">
        <v>5835</v>
      </c>
      <c r="M925" t="s">
        <v>23</v>
      </c>
      <c r="N925" s="8">
        <v>0.218281</v>
      </c>
    </row>
    <row r="926" spans="1:14" hidden="1" x14ac:dyDescent="0.55000000000000004">
      <c r="A926" s="3" t="s">
        <v>3659</v>
      </c>
      <c r="B926" s="3" t="s">
        <v>3703</v>
      </c>
      <c r="C926" t="s">
        <v>3703</v>
      </c>
      <c r="D926" s="3" t="s">
        <v>7329</v>
      </c>
      <c r="E926" t="s">
        <v>3704</v>
      </c>
      <c r="F926" s="3" t="s">
        <v>3705</v>
      </c>
      <c r="G926" s="10">
        <v>1</v>
      </c>
      <c r="H926" s="3" t="s">
        <v>19</v>
      </c>
      <c r="I926" t="s">
        <v>3708</v>
      </c>
      <c r="J926" s="3" t="s">
        <v>3694</v>
      </c>
      <c r="K926" t="s">
        <v>6141</v>
      </c>
      <c r="L926" s="3" t="s">
        <v>6142</v>
      </c>
      <c r="M926" t="s">
        <v>6144</v>
      </c>
      <c r="N926" s="8">
        <v>7.0248000000000005E-2</v>
      </c>
    </row>
    <row r="927" spans="1:14" hidden="1" x14ac:dyDescent="0.55000000000000004">
      <c r="A927" s="3" t="s">
        <v>3659</v>
      </c>
      <c r="B927" s="3" t="s">
        <v>3703</v>
      </c>
      <c r="C927" t="s">
        <v>3703</v>
      </c>
      <c r="D927" s="3" t="s">
        <v>7329</v>
      </c>
      <c r="E927" t="s">
        <v>3704</v>
      </c>
      <c r="F927" s="3" t="s">
        <v>3705</v>
      </c>
      <c r="G927" s="10">
        <v>1</v>
      </c>
      <c r="H927" s="3" t="s">
        <v>24</v>
      </c>
      <c r="I927" t="s">
        <v>3714</v>
      </c>
      <c r="J927" s="3" t="s">
        <v>40</v>
      </c>
      <c r="K927" t="s">
        <v>23</v>
      </c>
      <c r="L927" s="3" t="s">
        <v>5835</v>
      </c>
      <c r="M927" t="s">
        <v>23</v>
      </c>
      <c r="N927" s="8">
        <v>0.18429200000000001</v>
      </c>
    </row>
    <row r="928" spans="1:14" hidden="1" x14ac:dyDescent="0.55000000000000004">
      <c r="A928" s="3" t="s">
        <v>3659</v>
      </c>
      <c r="B928" s="3" t="s">
        <v>3718</v>
      </c>
      <c r="C928" t="s">
        <v>3719</v>
      </c>
      <c r="D928" s="3" t="s">
        <v>7329</v>
      </c>
      <c r="E928" t="s">
        <v>3720</v>
      </c>
      <c r="F928" s="3" t="s">
        <v>3721</v>
      </c>
      <c r="G928" s="10">
        <v>1</v>
      </c>
      <c r="H928" s="3" t="s">
        <v>19</v>
      </c>
      <c r="I928" t="s">
        <v>3725</v>
      </c>
      <c r="J928" s="3" t="s">
        <v>3726</v>
      </c>
      <c r="K928" t="s">
        <v>6145</v>
      </c>
      <c r="L928" s="3" t="s">
        <v>6146</v>
      </c>
      <c r="M928" t="s">
        <v>6147</v>
      </c>
      <c r="N928" s="8">
        <v>2.7498000000000002E-2</v>
      </c>
    </row>
    <row r="929" spans="1:14" hidden="1" x14ac:dyDescent="0.55000000000000004">
      <c r="A929" s="3" t="s">
        <v>3659</v>
      </c>
      <c r="B929" s="3" t="s">
        <v>3718</v>
      </c>
      <c r="C929" t="s">
        <v>3719</v>
      </c>
      <c r="D929" s="3" t="s">
        <v>7329</v>
      </c>
      <c r="E929" t="s">
        <v>3720</v>
      </c>
      <c r="F929" s="3" t="s">
        <v>3721</v>
      </c>
      <c r="G929" s="10">
        <v>1</v>
      </c>
      <c r="H929" s="3" t="s">
        <v>24</v>
      </c>
      <c r="I929" t="s">
        <v>3729</v>
      </c>
      <c r="J929" s="3" t="s">
        <v>40</v>
      </c>
      <c r="K929" t="s">
        <v>23</v>
      </c>
      <c r="L929" s="3" t="s">
        <v>5835</v>
      </c>
      <c r="M929" t="s">
        <v>23</v>
      </c>
      <c r="N929" s="8">
        <v>0.257324</v>
      </c>
    </row>
    <row r="930" spans="1:14" hidden="1" x14ac:dyDescent="0.55000000000000004">
      <c r="A930" s="3" t="s">
        <v>3659</v>
      </c>
      <c r="B930" s="3" t="s">
        <v>3730</v>
      </c>
      <c r="C930" t="s">
        <v>3719</v>
      </c>
      <c r="D930" s="3" t="s">
        <v>7329</v>
      </c>
      <c r="E930" t="s">
        <v>3731</v>
      </c>
      <c r="F930" s="3" t="s">
        <v>3732</v>
      </c>
      <c r="G930" s="10">
        <v>0</v>
      </c>
      <c r="H930" s="3" t="s">
        <v>19</v>
      </c>
      <c r="I930" t="s">
        <v>3725</v>
      </c>
      <c r="J930" s="3" t="s">
        <v>3726</v>
      </c>
      <c r="K930" t="s">
        <v>6145</v>
      </c>
      <c r="L930" s="3" t="s">
        <v>6146</v>
      </c>
      <c r="M930" t="s">
        <v>6147</v>
      </c>
      <c r="N930" s="8">
        <v>2.7498000000000002E-2</v>
      </c>
    </row>
    <row r="931" spans="1:14" hidden="1" x14ac:dyDescent="0.55000000000000004">
      <c r="A931" s="3" t="s">
        <v>3659</v>
      </c>
      <c r="B931" s="3" t="s">
        <v>3730</v>
      </c>
      <c r="C931" t="s">
        <v>3719</v>
      </c>
      <c r="D931" s="3" t="s">
        <v>7329</v>
      </c>
      <c r="E931" t="s">
        <v>3731</v>
      </c>
      <c r="F931" s="3" t="s">
        <v>3732</v>
      </c>
      <c r="G931" s="10">
        <v>0</v>
      </c>
      <c r="H931" s="3" t="s">
        <v>24</v>
      </c>
      <c r="I931" t="s">
        <v>3729</v>
      </c>
      <c r="J931" s="3" t="s">
        <v>40</v>
      </c>
      <c r="K931" t="s">
        <v>23</v>
      </c>
      <c r="L931" s="3" t="s">
        <v>5835</v>
      </c>
      <c r="M931" t="s">
        <v>23</v>
      </c>
      <c r="N931" s="8">
        <v>0.257324</v>
      </c>
    </row>
    <row r="932" spans="1:14" hidden="1" x14ac:dyDescent="0.55000000000000004">
      <c r="A932" s="3" t="s">
        <v>3659</v>
      </c>
      <c r="B932" s="3" t="s">
        <v>3730</v>
      </c>
      <c r="C932" t="s">
        <v>3719</v>
      </c>
      <c r="D932" s="3" t="s">
        <v>7329</v>
      </c>
      <c r="E932" t="s">
        <v>3733</v>
      </c>
      <c r="F932" s="3" t="s">
        <v>3734</v>
      </c>
      <c r="G932" s="10">
        <v>0</v>
      </c>
      <c r="H932" s="3" t="s">
        <v>19</v>
      </c>
      <c r="I932" t="s">
        <v>3725</v>
      </c>
      <c r="J932" s="3" t="s">
        <v>3726</v>
      </c>
      <c r="K932" t="s">
        <v>6145</v>
      </c>
      <c r="L932" s="3" t="s">
        <v>6146</v>
      </c>
      <c r="M932" t="s">
        <v>6147</v>
      </c>
      <c r="N932" s="8">
        <v>2.7498000000000002E-2</v>
      </c>
    </row>
    <row r="933" spans="1:14" hidden="1" x14ac:dyDescent="0.55000000000000004">
      <c r="A933" s="3" t="s">
        <v>3659</v>
      </c>
      <c r="B933" s="3" t="s">
        <v>3730</v>
      </c>
      <c r="C933" t="s">
        <v>3719</v>
      </c>
      <c r="D933" s="3" t="s">
        <v>7329</v>
      </c>
      <c r="E933" t="s">
        <v>3733</v>
      </c>
      <c r="F933" s="3" t="s">
        <v>3734</v>
      </c>
      <c r="G933" s="10">
        <v>0</v>
      </c>
      <c r="H933" s="3" t="s">
        <v>24</v>
      </c>
      <c r="I933" t="s">
        <v>3729</v>
      </c>
      <c r="J933" s="3" t="s">
        <v>40</v>
      </c>
      <c r="K933" t="s">
        <v>23</v>
      </c>
      <c r="L933" s="3" t="s">
        <v>5835</v>
      </c>
      <c r="M933" t="s">
        <v>23</v>
      </c>
      <c r="N933" s="8">
        <v>0.257324</v>
      </c>
    </row>
    <row r="934" spans="1:14" hidden="1" x14ac:dyDescent="0.55000000000000004">
      <c r="A934" s="3" t="s">
        <v>3659</v>
      </c>
      <c r="B934" s="3" t="s">
        <v>3735</v>
      </c>
      <c r="C934" t="s">
        <v>7369</v>
      </c>
      <c r="D934" s="3" t="s">
        <v>7329</v>
      </c>
      <c r="E934" t="s">
        <v>3736</v>
      </c>
      <c r="F934" s="3" t="s">
        <v>3737</v>
      </c>
      <c r="G934" s="10">
        <v>1</v>
      </c>
      <c r="H934" s="3" t="s">
        <v>19</v>
      </c>
      <c r="I934" t="s">
        <v>3740</v>
      </c>
      <c r="J934" s="3" t="s">
        <v>3726</v>
      </c>
      <c r="K934" t="s">
        <v>6145</v>
      </c>
      <c r="L934" s="3" t="s">
        <v>6146</v>
      </c>
      <c r="M934" t="s">
        <v>6148</v>
      </c>
      <c r="N934" s="8">
        <v>2.6838000000000001E-2</v>
      </c>
    </row>
    <row r="935" spans="1:14" hidden="1" x14ac:dyDescent="0.55000000000000004">
      <c r="A935" s="3" t="s">
        <v>3659</v>
      </c>
      <c r="B935" s="3" t="s">
        <v>3735</v>
      </c>
      <c r="C935" t="s">
        <v>7369</v>
      </c>
      <c r="D935" s="3" t="s">
        <v>7329</v>
      </c>
      <c r="E935" t="s">
        <v>3736</v>
      </c>
      <c r="F935" s="3" t="s">
        <v>3737</v>
      </c>
      <c r="G935" s="10">
        <v>1</v>
      </c>
      <c r="H935" s="3" t="s">
        <v>24</v>
      </c>
      <c r="I935" t="s">
        <v>3743</v>
      </c>
      <c r="J935" s="3" t="s">
        <v>46</v>
      </c>
      <c r="K935" t="s">
        <v>5836</v>
      </c>
      <c r="L935" s="3" t="s">
        <v>5837</v>
      </c>
      <c r="M935" t="s">
        <v>6149</v>
      </c>
      <c r="N935" s="8">
        <v>0.18590000000000001</v>
      </c>
    </row>
    <row r="936" spans="1:14" hidden="1" x14ac:dyDescent="0.55000000000000004">
      <c r="A936" s="3" t="s">
        <v>3659</v>
      </c>
      <c r="B936" s="3" t="s">
        <v>7370</v>
      </c>
      <c r="C936" t="s">
        <v>3719</v>
      </c>
      <c r="D936" s="3" t="s">
        <v>7329</v>
      </c>
      <c r="E936" t="s">
        <v>3746</v>
      </c>
      <c r="F936" s="3" t="s">
        <v>3747</v>
      </c>
      <c r="G936" s="10">
        <v>0</v>
      </c>
      <c r="H936" s="3" t="s">
        <v>24</v>
      </c>
      <c r="I936" t="s">
        <v>3750</v>
      </c>
      <c r="J936" s="3" t="s">
        <v>40</v>
      </c>
      <c r="K936" t="s">
        <v>23</v>
      </c>
      <c r="L936" s="3" t="s">
        <v>5835</v>
      </c>
      <c r="M936" t="s">
        <v>23</v>
      </c>
      <c r="N936" s="8">
        <v>0.257662</v>
      </c>
    </row>
    <row r="937" spans="1:14" hidden="1" x14ac:dyDescent="0.55000000000000004">
      <c r="A937" s="3" t="s">
        <v>3659</v>
      </c>
      <c r="B937" s="3" t="s">
        <v>3752</v>
      </c>
      <c r="C937" t="s">
        <v>3752</v>
      </c>
      <c r="D937" s="3" t="s">
        <v>7329</v>
      </c>
      <c r="E937" t="s">
        <v>3753</v>
      </c>
      <c r="F937" s="3" t="s">
        <v>3754</v>
      </c>
      <c r="G937" s="10">
        <v>0</v>
      </c>
      <c r="H937" s="3" t="s">
        <v>24</v>
      </c>
      <c r="I937" t="s">
        <v>3757</v>
      </c>
      <c r="J937" s="3" t="s">
        <v>40</v>
      </c>
      <c r="K937" t="s">
        <v>23</v>
      </c>
      <c r="L937" s="3" t="s">
        <v>5835</v>
      </c>
      <c r="M937" t="s">
        <v>23</v>
      </c>
      <c r="N937" s="8">
        <v>0.21973799999999999</v>
      </c>
    </row>
    <row r="938" spans="1:14" hidden="1" x14ac:dyDescent="0.55000000000000004">
      <c r="A938" s="3" t="s">
        <v>3659</v>
      </c>
      <c r="B938" s="3" t="s">
        <v>3752</v>
      </c>
      <c r="C938" t="s">
        <v>3752</v>
      </c>
      <c r="D938" s="3" t="s">
        <v>7329</v>
      </c>
      <c r="E938" t="s">
        <v>3758</v>
      </c>
      <c r="F938" s="3" t="s">
        <v>3759</v>
      </c>
      <c r="G938" s="10">
        <v>0</v>
      </c>
      <c r="H938" s="3" t="s">
        <v>24</v>
      </c>
      <c r="I938" t="s">
        <v>3757</v>
      </c>
      <c r="J938" s="3" t="s">
        <v>40</v>
      </c>
      <c r="K938" t="s">
        <v>23</v>
      </c>
      <c r="L938" s="3" t="s">
        <v>5835</v>
      </c>
      <c r="M938" t="s">
        <v>23</v>
      </c>
      <c r="N938" s="8">
        <v>0.21973799999999999</v>
      </c>
    </row>
    <row r="939" spans="1:14" hidden="1" x14ac:dyDescent="0.55000000000000004">
      <c r="A939" s="3" t="s">
        <v>3659</v>
      </c>
      <c r="B939" s="3" t="s">
        <v>3752</v>
      </c>
      <c r="C939" t="s">
        <v>3752</v>
      </c>
      <c r="D939" s="3" t="s">
        <v>7329</v>
      </c>
      <c r="E939" t="s">
        <v>3760</v>
      </c>
      <c r="F939" s="3" t="s">
        <v>3761</v>
      </c>
      <c r="G939" s="10">
        <v>0</v>
      </c>
      <c r="H939" s="3" t="s">
        <v>24</v>
      </c>
      <c r="I939" t="s">
        <v>3757</v>
      </c>
      <c r="J939" s="3" t="s">
        <v>40</v>
      </c>
      <c r="K939" t="s">
        <v>23</v>
      </c>
      <c r="L939" s="3" t="s">
        <v>5835</v>
      </c>
      <c r="M939" t="s">
        <v>23</v>
      </c>
      <c r="N939" s="8">
        <v>0.21973799999999999</v>
      </c>
    </row>
    <row r="940" spans="1:14" hidden="1" x14ac:dyDescent="0.55000000000000004">
      <c r="A940" s="3" t="s">
        <v>3659</v>
      </c>
      <c r="B940" s="3" t="s">
        <v>3751</v>
      </c>
      <c r="C940" t="s">
        <v>3752</v>
      </c>
      <c r="D940" s="3" t="s">
        <v>7329</v>
      </c>
      <c r="E940" t="s">
        <v>3762</v>
      </c>
      <c r="F940" s="3" t="s">
        <v>3763</v>
      </c>
      <c r="G940" s="10">
        <v>0</v>
      </c>
      <c r="H940" s="3" t="s">
        <v>24</v>
      </c>
      <c r="I940" t="s">
        <v>3757</v>
      </c>
      <c r="J940" s="3" t="s">
        <v>40</v>
      </c>
      <c r="K940" t="s">
        <v>23</v>
      </c>
      <c r="L940" s="3" t="s">
        <v>5835</v>
      </c>
      <c r="M940" t="s">
        <v>23</v>
      </c>
      <c r="N940" s="8">
        <v>0.21973799999999999</v>
      </c>
    </row>
    <row r="941" spans="1:14" hidden="1" x14ac:dyDescent="0.55000000000000004">
      <c r="A941" s="3" t="s">
        <v>3659</v>
      </c>
      <c r="B941" s="3" t="s">
        <v>7372</v>
      </c>
      <c r="C941" t="s">
        <v>3752</v>
      </c>
      <c r="D941" s="3" t="s">
        <v>7329</v>
      </c>
      <c r="E941" t="s">
        <v>3764</v>
      </c>
      <c r="F941" s="3" t="s">
        <v>3765</v>
      </c>
      <c r="G941" s="10">
        <v>0</v>
      </c>
      <c r="H941" s="3" t="s">
        <v>24</v>
      </c>
      <c r="I941" t="s">
        <v>3768</v>
      </c>
      <c r="J941" s="3" t="s">
        <v>40</v>
      </c>
      <c r="K941" t="s">
        <v>23</v>
      </c>
      <c r="L941" s="3" t="s">
        <v>5835</v>
      </c>
      <c r="M941" t="s">
        <v>23</v>
      </c>
      <c r="N941" s="8">
        <v>0.21973899999999999</v>
      </c>
    </row>
    <row r="942" spans="1:14" hidden="1" x14ac:dyDescent="0.55000000000000004">
      <c r="A942" s="3" t="s">
        <v>3659</v>
      </c>
      <c r="B942" s="3" t="s">
        <v>3769</v>
      </c>
      <c r="C942" t="s">
        <v>3769</v>
      </c>
      <c r="D942" s="3" t="s">
        <v>7329</v>
      </c>
      <c r="E942" t="s">
        <v>3770</v>
      </c>
      <c r="F942" s="3" t="s">
        <v>3771</v>
      </c>
      <c r="G942" s="10">
        <v>0</v>
      </c>
      <c r="H942" s="3" t="s">
        <v>19</v>
      </c>
      <c r="I942" t="s">
        <v>3774</v>
      </c>
      <c r="J942" s="3" t="s">
        <v>3694</v>
      </c>
      <c r="K942" t="s">
        <v>6141</v>
      </c>
      <c r="L942" s="3" t="s">
        <v>6142</v>
      </c>
      <c r="M942" t="s">
        <v>6150</v>
      </c>
      <c r="N942" s="8">
        <v>6.3057000000000002E-2</v>
      </c>
    </row>
    <row r="943" spans="1:14" hidden="1" x14ac:dyDescent="0.55000000000000004">
      <c r="A943" s="3" t="s">
        <v>3659</v>
      </c>
      <c r="B943" s="3" t="s">
        <v>3769</v>
      </c>
      <c r="C943" t="s">
        <v>3769</v>
      </c>
      <c r="D943" s="3" t="s">
        <v>7329</v>
      </c>
      <c r="E943" t="s">
        <v>3770</v>
      </c>
      <c r="F943" s="3" t="s">
        <v>3771</v>
      </c>
      <c r="G943" s="10">
        <v>0</v>
      </c>
      <c r="H943" s="3" t="s">
        <v>24</v>
      </c>
      <c r="I943" t="s">
        <v>3779</v>
      </c>
      <c r="J943" s="3" t="s">
        <v>40</v>
      </c>
      <c r="K943" t="s">
        <v>23</v>
      </c>
      <c r="L943" s="3" t="s">
        <v>5835</v>
      </c>
      <c r="M943" t="s">
        <v>23</v>
      </c>
      <c r="N943" s="8">
        <v>0.21729699999999999</v>
      </c>
    </row>
    <row r="944" spans="1:14" hidden="1" x14ac:dyDescent="0.55000000000000004">
      <c r="A944" s="3" t="s">
        <v>3659</v>
      </c>
      <c r="B944" s="3" t="s">
        <v>3769</v>
      </c>
      <c r="C944" t="s">
        <v>3769</v>
      </c>
      <c r="D944" s="3" t="s">
        <v>7329</v>
      </c>
      <c r="E944" t="s">
        <v>3780</v>
      </c>
      <c r="F944" s="3" t="s">
        <v>3781</v>
      </c>
      <c r="G944" s="10">
        <v>1</v>
      </c>
      <c r="H944" s="3" t="s">
        <v>19</v>
      </c>
      <c r="I944" t="s">
        <v>3774</v>
      </c>
      <c r="J944" s="3" t="s">
        <v>3694</v>
      </c>
      <c r="K944" t="s">
        <v>6141</v>
      </c>
      <c r="L944" s="3" t="s">
        <v>6142</v>
      </c>
      <c r="M944" t="s">
        <v>6150</v>
      </c>
      <c r="N944" s="8">
        <v>6.3057000000000002E-2</v>
      </c>
    </row>
    <row r="945" spans="1:14" hidden="1" x14ac:dyDescent="0.55000000000000004">
      <c r="A945" s="3" t="s">
        <v>3659</v>
      </c>
      <c r="B945" s="3" t="s">
        <v>3769</v>
      </c>
      <c r="C945" t="s">
        <v>3769</v>
      </c>
      <c r="D945" s="3" t="s">
        <v>7329</v>
      </c>
      <c r="E945" t="s">
        <v>3780</v>
      </c>
      <c r="F945" s="3" t="s">
        <v>3781</v>
      </c>
      <c r="G945" s="10">
        <v>1</v>
      </c>
      <c r="H945" s="3" t="s">
        <v>24</v>
      </c>
      <c r="I945" t="s">
        <v>3779</v>
      </c>
      <c r="J945" s="3" t="s">
        <v>40</v>
      </c>
      <c r="K945" t="s">
        <v>23</v>
      </c>
      <c r="L945" s="3" t="s">
        <v>5835</v>
      </c>
      <c r="M945" t="s">
        <v>23</v>
      </c>
      <c r="N945" s="8">
        <v>0.21729699999999999</v>
      </c>
    </row>
    <row r="946" spans="1:14" hidden="1" x14ac:dyDescent="0.55000000000000004">
      <c r="A946" s="3" t="s">
        <v>3659</v>
      </c>
      <c r="B946" s="3" t="s">
        <v>3769</v>
      </c>
      <c r="C946" t="s">
        <v>3769</v>
      </c>
      <c r="D946" s="3" t="s">
        <v>7329</v>
      </c>
      <c r="E946" t="s">
        <v>3785</v>
      </c>
      <c r="F946" s="3" t="s">
        <v>3786</v>
      </c>
      <c r="G946" s="10">
        <v>0</v>
      </c>
      <c r="H946" s="3" t="s">
        <v>24</v>
      </c>
      <c r="I946" t="s">
        <v>3779</v>
      </c>
      <c r="J946" s="3" t="s">
        <v>40</v>
      </c>
      <c r="K946" t="s">
        <v>23</v>
      </c>
      <c r="L946" s="3" t="s">
        <v>5835</v>
      </c>
      <c r="M946" t="s">
        <v>23</v>
      </c>
      <c r="N946" s="8">
        <v>0.21729699999999999</v>
      </c>
    </row>
    <row r="947" spans="1:14" hidden="1" x14ac:dyDescent="0.55000000000000004">
      <c r="A947" s="3" t="s">
        <v>3659</v>
      </c>
      <c r="B947" s="3" t="s">
        <v>3769</v>
      </c>
      <c r="C947" t="s">
        <v>3769</v>
      </c>
      <c r="D947" s="3" t="s">
        <v>7329</v>
      </c>
      <c r="E947" t="s">
        <v>3787</v>
      </c>
      <c r="F947" s="3" t="s">
        <v>3788</v>
      </c>
      <c r="G947" s="10">
        <v>0</v>
      </c>
      <c r="H947" s="3" t="s">
        <v>19</v>
      </c>
      <c r="I947" t="s">
        <v>3774</v>
      </c>
      <c r="J947" s="3" t="s">
        <v>3694</v>
      </c>
      <c r="K947" t="s">
        <v>6141</v>
      </c>
      <c r="L947" s="3" t="s">
        <v>6142</v>
      </c>
      <c r="M947" t="s">
        <v>6150</v>
      </c>
      <c r="N947" s="8">
        <v>6.3057000000000002E-2</v>
      </c>
    </row>
    <row r="948" spans="1:14" hidden="1" x14ac:dyDescent="0.55000000000000004">
      <c r="A948" s="3" t="s">
        <v>3659</v>
      </c>
      <c r="B948" s="3" t="s">
        <v>3769</v>
      </c>
      <c r="C948" t="s">
        <v>3769</v>
      </c>
      <c r="D948" s="3" t="s">
        <v>7329</v>
      </c>
      <c r="E948" t="s">
        <v>3787</v>
      </c>
      <c r="F948" s="3" t="s">
        <v>3788</v>
      </c>
      <c r="G948" s="10">
        <v>0</v>
      </c>
      <c r="H948" s="3" t="s">
        <v>24</v>
      </c>
      <c r="I948" t="s">
        <v>3779</v>
      </c>
      <c r="J948" s="3" t="s">
        <v>40</v>
      </c>
      <c r="K948" t="s">
        <v>23</v>
      </c>
      <c r="L948" s="3" t="s">
        <v>5835</v>
      </c>
      <c r="M948" t="s">
        <v>23</v>
      </c>
      <c r="N948" s="8">
        <v>0.21729699999999999</v>
      </c>
    </row>
    <row r="949" spans="1:14" hidden="1" x14ac:dyDescent="0.55000000000000004">
      <c r="A949" s="3" t="s">
        <v>3659</v>
      </c>
      <c r="B949" s="3" t="s">
        <v>3769</v>
      </c>
      <c r="C949" t="s">
        <v>3769</v>
      </c>
      <c r="D949" s="3" t="s">
        <v>7329</v>
      </c>
      <c r="E949" t="s">
        <v>3789</v>
      </c>
      <c r="F949" s="3" t="s">
        <v>3790</v>
      </c>
      <c r="G949" s="10">
        <v>0</v>
      </c>
      <c r="H949" s="3" t="s">
        <v>24</v>
      </c>
      <c r="I949" t="s">
        <v>3779</v>
      </c>
      <c r="J949" s="3" t="s">
        <v>40</v>
      </c>
      <c r="K949" t="s">
        <v>23</v>
      </c>
      <c r="L949" s="3" t="s">
        <v>5835</v>
      </c>
      <c r="M949" t="s">
        <v>23</v>
      </c>
      <c r="N949" s="8">
        <v>0.21729699999999999</v>
      </c>
    </row>
    <row r="950" spans="1:14" hidden="1" x14ac:dyDescent="0.55000000000000004">
      <c r="A950" s="3" t="s">
        <v>3659</v>
      </c>
      <c r="B950" s="3" t="s">
        <v>3769</v>
      </c>
      <c r="C950" t="s">
        <v>3769</v>
      </c>
      <c r="D950" s="3" t="s">
        <v>7329</v>
      </c>
      <c r="E950" t="s">
        <v>3791</v>
      </c>
      <c r="F950" s="3" t="s">
        <v>3792</v>
      </c>
      <c r="G950" s="10">
        <v>0</v>
      </c>
      <c r="H950" s="3" t="s">
        <v>19</v>
      </c>
      <c r="I950" t="s">
        <v>3774</v>
      </c>
      <c r="J950" s="3" t="s">
        <v>3694</v>
      </c>
      <c r="K950" t="s">
        <v>6141</v>
      </c>
      <c r="L950" s="3" t="s">
        <v>6142</v>
      </c>
      <c r="M950" t="s">
        <v>6150</v>
      </c>
      <c r="N950" s="8">
        <v>6.3057000000000002E-2</v>
      </c>
    </row>
    <row r="951" spans="1:14" hidden="1" x14ac:dyDescent="0.55000000000000004">
      <c r="A951" s="3" t="s">
        <v>3659</v>
      </c>
      <c r="B951" s="3" t="s">
        <v>3769</v>
      </c>
      <c r="C951" t="s">
        <v>3769</v>
      </c>
      <c r="D951" s="3" t="s">
        <v>7329</v>
      </c>
      <c r="E951" t="s">
        <v>3791</v>
      </c>
      <c r="F951" s="3" t="s">
        <v>3792</v>
      </c>
      <c r="G951" s="10">
        <v>0</v>
      </c>
      <c r="H951" s="3" t="s">
        <v>24</v>
      </c>
      <c r="I951" t="s">
        <v>3779</v>
      </c>
      <c r="J951" s="3" t="s">
        <v>40</v>
      </c>
      <c r="K951" t="s">
        <v>23</v>
      </c>
      <c r="L951" s="3" t="s">
        <v>5835</v>
      </c>
      <c r="M951" t="s">
        <v>23</v>
      </c>
      <c r="N951" s="8">
        <v>0.21729699999999999</v>
      </c>
    </row>
    <row r="952" spans="1:14" hidden="1" x14ac:dyDescent="0.55000000000000004">
      <c r="A952" s="3" t="s">
        <v>3659</v>
      </c>
      <c r="B952" s="3" t="s">
        <v>3793</v>
      </c>
      <c r="C952" t="s">
        <v>3703</v>
      </c>
      <c r="D952" s="3" t="s">
        <v>7329</v>
      </c>
      <c r="E952" t="s">
        <v>3794</v>
      </c>
      <c r="F952" s="3" t="s">
        <v>3795</v>
      </c>
      <c r="G952" s="10">
        <v>0</v>
      </c>
      <c r="H952" s="3" t="s">
        <v>24</v>
      </c>
      <c r="I952" t="s">
        <v>3798</v>
      </c>
      <c r="J952" s="3" t="s">
        <v>40</v>
      </c>
      <c r="K952" t="s">
        <v>23</v>
      </c>
      <c r="L952" s="3" t="s">
        <v>5835</v>
      </c>
      <c r="M952" t="s">
        <v>23</v>
      </c>
      <c r="N952" s="8">
        <v>0.184305</v>
      </c>
    </row>
    <row r="953" spans="1:14" hidden="1" x14ac:dyDescent="0.55000000000000004">
      <c r="A953" s="3" t="s">
        <v>3659</v>
      </c>
      <c r="B953" s="3" t="s">
        <v>3793</v>
      </c>
      <c r="C953" t="s">
        <v>3703</v>
      </c>
      <c r="D953" s="3" t="s">
        <v>7329</v>
      </c>
      <c r="E953" t="s">
        <v>3799</v>
      </c>
      <c r="F953" s="3" t="s">
        <v>3800</v>
      </c>
      <c r="G953" s="10">
        <v>0</v>
      </c>
      <c r="H953" s="3" t="s">
        <v>24</v>
      </c>
      <c r="I953" t="s">
        <v>3798</v>
      </c>
      <c r="J953" s="3" t="s">
        <v>40</v>
      </c>
      <c r="K953" t="s">
        <v>23</v>
      </c>
      <c r="L953" s="3" t="s">
        <v>5835</v>
      </c>
      <c r="M953" t="s">
        <v>23</v>
      </c>
      <c r="N953" s="8">
        <v>0.184305</v>
      </c>
    </row>
    <row r="954" spans="1:14" hidden="1" x14ac:dyDescent="0.55000000000000004">
      <c r="A954" s="3" t="s">
        <v>3659</v>
      </c>
      <c r="B954" s="3" t="s">
        <v>3793</v>
      </c>
      <c r="C954" t="s">
        <v>3703</v>
      </c>
      <c r="D954" s="3" t="s">
        <v>7329</v>
      </c>
      <c r="E954" t="s">
        <v>3801</v>
      </c>
      <c r="F954" s="3" t="s">
        <v>3802</v>
      </c>
      <c r="G954" s="10">
        <v>0</v>
      </c>
      <c r="H954" s="3" t="s">
        <v>24</v>
      </c>
      <c r="I954" t="s">
        <v>3798</v>
      </c>
      <c r="J954" s="3" t="s">
        <v>40</v>
      </c>
      <c r="K954" t="s">
        <v>23</v>
      </c>
      <c r="L954" s="3" t="s">
        <v>5835</v>
      </c>
      <c r="M954" t="s">
        <v>23</v>
      </c>
      <c r="N954" s="8">
        <v>0.184305</v>
      </c>
    </row>
    <row r="955" spans="1:14" hidden="1" x14ac:dyDescent="0.55000000000000004">
      <c r="A955" s="3" t="s">
        <v>3659</v>
      </c>
      <c r="B955" s="3" t="s">
        <v>7373</v>
      </c>
      <c r="C955" t="s">
        <v>3803</v>
      </c>
      <c r="D955" s="3" t="s">
        <v>7329</v>
      </c>
      <c r="E955" t="s">
        <v>3804</v>
      </c>
      <c r="F955" s="3" t="s">
        <v>3805</v>
      </c>
      <c r="G955" s="10">
        <v>1</v>
      </c>
      <c r="H955" s="3" t="s">
        <v>19</v>
      </c>
      <c r="I955" t="s">
        <v>3808</v>
      </c>
      <c r="J955" s="3" t="s">
        <v>3694</v>
      </c>
      <c r="K955" t="s">
        <v>6141</v>
      </c>
      <c r="L955" s="3" t="s">
        <v>6142</v>
      </c>
      <c r="M955" t="s">
        <v>6151</v>
      </c>
      <c r="N955" s="8">
        <v>7.3686000000000001E-2</v>
      </c>
    </row>
    <row r="956" spans="1:14" hidden="1" x14ac:dyDescent="0.55000000000000004">
      <c r="A956" s="3" t="s">
        <v>3659</v>
      </c>
      <c r="B956" s="3" t="s">
        <v>7373</v>
      </c>
      <c r="C956" t="s">
        <v>3803</v>
      </c>
      <c r="D956" s="3" t="s">
        <v>7329</v>
      </c>
      <c r="E956" t="s">
        <v>3804</v>
      </c>
      <c r="F956" s="3" t="s">
        <v>3805</v>
      </c>
      <c r="G956" s="10">
        <v>1</v>
      </c>
      <c r="H956" s="3" t="s">
        <v>24</v>
      </c>
      <c r="I956" t="s">
        <v>3811</v>
      </c>
      <c r="J956" s="3" t="s">
        <v>40</v>
      </c>
      <c r="K956" t="s">
        <v>23</v>
      </c>
      <c r="L956" s="3" t="s">
        <v>5835</v>
      </c>
      <c r="M956" t="s">
        <v>23</v>
      </c>
      <c r="N956" s="8">
        <v>0.21887699999999999</v>
      </c>
    </row>
    <row r="957" spans="1:14" hidden="1" x14ac:dyDescent="0.55000000000000004">
      <c r="A957" s="3" t="s">
        <v>3659</v>
      </c>
      <c r="B957" s="3" t="s">
        <v>3803</v>
      </c>
      <c r="C957" t="s">
        <v>3803</v>
      </c>
      <c r="D957" s="3" t="s">
        <v>7329</v>
      </c>
      <c r="E957" t="s">
        <v>3812</v>
      </c>
      <c r="F957" s="3" t="s">
        <v>3813</v>
      </c>
      <c r="G957" s="10">
        <v>0</v>
      </c>
      <c r="H957" s="3" t="s">
        <v>19</v>
      </c>
      <c r="I957" t="s">
        <v>3816</v>
      </c>
      <c r="J957" s="3" t="s">
        <v>3694</v>
      </c>
      <c r="K957" t="s">
        <v>6141</v>
      </c>
      <c r="L957" s="3" t="s">
        <v>6142</v>
      </c>
      <c r="M957" t="s">
        <v>6152</v>
      </c>
      <c r="N957" s="8">
        <v>7.3686000000000001E-2</v>
      </c>
    </row>
    <row r="958" spans="1:14" hidden="1" x14ac:dyDescent="0.55000000000000004">
      <c r="A958" s="3" t="s">
        <v>3659</v>
      </c>
      <c r="B958" s="3" t="s">
        <v>3803</v>
      </c>
      <c r="C958" t="s">
        <v>3803</v>
      </c>
      <c r="D958" s="3" t="s">
        <v>7329</v>
      </c>
      <c r="E958" t="s">
        <v>3812</v>
      </c>
      <c r="F958" s="3" t="s">
        <v>3813</v>
      </c>
      <c r="G958" s="10">
        <v>0</v>
      </c>
      <c r="H958" s="3" t="s">
        <v>24</v>
      </c>
      <c r="I958" t="s">
        <v>3811</v>
      </c>
      <c r="J958" s="3" t="s">
        <v>40</v>
      </c>
      <c r="K958" t="s">
        <v>23</v>
      </c>
      <c r="L958" s="3" t="s">
        <v>5835</v>
      </c>
      <c r="M958" t="s">
        <v>23</v>
      </c>
      <c r="N958" s="8">
        <v>0.21887699999999999</v>
      </c>
    </row>
    <row r="959" spans="1:14" hidden="1" x14ac:dyDescent="0.55000000000000004">
      <c r="A959" s="3" t="s">
        <v>3659</v>
      </c>
      <c r="B959" s="3" t="s">
        <v>7373</v>
      </c>
      <c r="C959" t="s">
        <v>3803</v>
      </c>
      <c r="D959" s="3" t="s">
        <v>7329</v>
      </c>
      <c r="E959" t="s">
        <v>3817</v>
      </c>
      <c r="F959" s="3" t="s">
        <v>3818</v>
      </c>
      <c r="G959" s="10">
        <v>0</v>
      </c>
      <c r="H959" s="3" t="s">
        <v>19</v>
      </c>
      <c r="I959" t="s">
        <v>3808</v>
      </c>
      <c r="J959" s="3" t="s">
        <v>3694</v>
      </c>
      <c r="K959" t="s">
        <v>6141</v>
      </c>
      <c r="L959" s="3" t="s">
        <v>6142</v>
      </c>
      <c r="M959" t="s">
        <v>6151</v>
      </c>
      <c r="N959" s="8">
        <v>7.3686000000000001E-2</v>
      </c>
    </row>
    <row r="960" spans="1:14" hidden="1" x14ac:dyDescent="0.55000000000000004">
      <c r="A960" s="3" t="s">
        <v>3659</v>
      </c>
      <c r="B960" s="3" t="s">
        <v>7373</v>
      </c>
      <c r="C960" t="s">
        <v>3803</v>
      </c>
      <c r="D960" s="3" t="s">
        <v>7329</v>
      </c>
      <c r="E960" t="s">
        <v>3817</v>
      </c>
      <c r="F960" s="3" t="s">
        <v>3818</v>
      </c>
      <c r="G960" s="10">
        <v>0</v>
      </c>
      <c r="H960" s="3" t="s">
        <v>24</v>
      </c>
      <c r="I960" t="s">
        <v>3811</v>
      </c>
      <c r="J960" s="3" t="s">
        <v>40</v>
      </c>
      <c r="K960" t="s">
        <v>23</v>
      </c>
      <c r="L960" s="3" t="s">
        <v>5835</v>
      </c>
      <c r="M960" t="s">
        <v>23</v>
      </c>
      <c r="N960" s="8">
        <v>0.21887699999999999</v>
      </c>
    </row>
    <row r="961" spans="1:14" hidden="1" x14ac:dyDescent="0.55000000000000004">
      <c r="A961" s="3" t="s">
        <v>3659</v>
      </c>
      <c r="B961" s="3" t="s">
        <v>3819</v>
      </c>
      <c r="C961" t="s">
        <v>7374</v>
      </c>
      <c r="D961" s="3" t="s">
        <v>7329</v>
      </c>
      <c r="E961" t="s">
        <v>3820</v>
      </c>
      <c r="F961" s="3" t="s">
        <v>3821</v>
      </c>
      <c r="G961" s="10">
        <v>1</v>
      </c>
      <c r="H961" s="3" t="s">
        <v>19</v>
      </c>
      <c r="I961" t="s">
        <v>3824</v>
      </c>
      <c r="J961" s="3" t="s">
        <v>3694</v>
      </c>
      <c r="K961" t="s">
        <v>6141</v>
      </c>
      <c r="L961" s="3" t="s">
        <v>6142</v>
      </c>
      <c r="M961" t="s">
        <v>6153</v>
      </c>
      <c r="N961" s="8">
        <v>6.3551999999999997E-2</v>
      </c>
    </row>
    <row r="962" spans="1:14" hidden="1" x14ac:dyDescent="0.55000000000000004">
      <c r="A962" s="3" t="s">
        <v>3659</v>
      </c>
      <c r="B962" s="3" t="s">
        <v>3819</v>
      </c>
      <c r="C962" t="s">
        <v>7374</v>
      </c>
      <c r="D962" s="3" t="s">
        <v>7329</v>
      </c>
      <c r="E962" t="s">
        <v>3820</v>
      </c>
      <c r="F962" s="3" t="s">
        <v>3821</v>
      </c>
      <c r="G962" s="10">
        <v>1</v>
      </c>
      <c r="H962" s="3" t="s">
        <v>19</v>
      </c>
      <c r="I962" t="s">
        <v>3824</v>
      </c>
      <c r="J962" s="3" t="s">
        <v>3694</v>
      </c>
      <c r="K962" t="s">
        <v>6141</v>
      </c>
      <c r="L962" s="3" t="s">
        <v>6142</v>
      </c>
      <c r="M962" t="s">
        <v>6154</v>
      </c>
      <c r="N962" s="8">
        <v>6.3551999999999997E-2</v>
      </c>
    </row>
    <row r="963" spans="1:14" hidden="1" x14ac:dyDescent="0.55000000000000004">
      <c r="A963" s="3" t="s">
        <v>3659</v>
      </c>
      <c r="B963" s="3" t="s">
        <v>3819</v>
      </c>
      <c r="C963" t="s">
        <v>7374</v>
      </c>
      <c r="D963" s="3" t="s">
        <v>7329</v>
      </c>
      <c r="E963" t="s">
        <v>3820</v>
      </c>
      <c r="F963" s="3" t="s">
        <v>3821</v>
      </c>
      <c r="G963" s="10">
        <v>1</v>
      </c>
      <c r="H963" s="3" t="s">
        <v>24</v>
      </c>
      <c r="I963" t="s">
        <v>3829</v>
      </c>
      <c r="J963" s="3" t="s">
        <v>138</v>
      </c>
      <c r="K963" t="s">
        <v>23</v>
      </c>
      <c r="L963" s="3" t="s">
        <v>5837</v>
      </c>
      <c r="M963" t="s">
        <v>23</v>
      </c>
      <c r="N963" s="8">
        <v>0.21968099999999999</v>
      </c>
    </row>
    <row r="964" spans="1:14" hidden="1" x14ac:dyDescent="0.55000000000000004">
      <c r="A964" s="3" t="s">
        <v>3659</v>
      </c>
      <c r="B964" s="3" t="s">
        <v>3687</v>
      </c>
      <c r="C964" t="s">
        <v>3687</v>
      </c>
      <c r="D964" s="3" t="s">
        <v>7329</v>
      </c>
      <c r="E964" t="s">
        <v>3830</v>
      </c>
      <c r="F964" s="3" t="s">
        <v>3831</v>
      </c>
      <c r="G964" s="10">
        <v>1</v>
      </c>
      <c r="H964" s="3" t="s">
        <v>19</v>
      </c>
      <c r="I964" t="s">
        <v>3834</v>
      </c>
      <c r="J964" s="3" t="s">
        <v>3694</v>
      </c>
      <c r="K964" t="s">
        <v>6141</v>
      </c>
      <c r="L964" s="3" t="s">
        <v>6142</v>
      </c>
      <c r="M964" t="s">
        <v>6155</v>
      </c>
      <c r="N964" s="8">
        <v>6.8918999999999994E-2</v>
      </c>
    </row>
    <row r="965" spans="1:14" hidden="1" x14ac:dyDescent="0.55000000000000004">
      <c r="A965" s="3" t="s">
        <v>3659</v>
      </c>
      <c r="B965" s="3" t="s">
        <v>3687</v>
      </c>
      <c r="C965" t="s">
        <v>3687</v>
      </c>
      <c r="D965" s="3" t="s">
        <v>7329</v>
      </c>
      <c r="E965" t="s">
        <v>3830</v>
      </c>
      <c r="F965" s="3" t="s">
        <v>3831</v>
      </c>
      <c r="G965" s="10">
        <v>1</v>
      </c>
      <c r="H965" s="3" t="s">
        <v>19</v>
      </c>
      <c r="I965" t="s">
        <v>3834</v>
      </c>
      <c r="J965" s="3" t="s">
        <v>3694</v>
      </c>
      <c r="K965" t="s">
        <v>6141</v>
      </c>
      <c r="L965" s="3" t="s">
        <v>6142</v>
      </c>
      <c r="M965" t="s">
        <v>6156</v>
      </c>
      <c r="N965" s="8">
        <v>6.8918999999999994E-2</v>
      </c>
    </row>
    <row r="966" spans="1:14" hidden="1" x14ac:dyDescent="0.55000000000000004">
      <c r="A966" s="9" t="s">
        <v>3659</v>
      </c>
      <c r="B966" s="3" t="s">
        <v>3687</v>
      </c>
      <c r="C966" t="s">
        <v>3687</v>
      </c>
      <c r="D966" s="3" t="s">
        <v>7329</v>
      </c>
      <c r="E966" t="s">
        <v>3830</v>
      </c>
      <c r="F966" s="3" t="s">
        <v>3831</v>
      </c>
      <c r="G966" s="10">
        <v>1</v>
      </c>
      <c r="H966" s="3" t="s">
        <v>24</v>
      </c>
      <c r="I966" t="s">
        <v>3839</v>
      </c>
      <c r="J966" s="3" t="s">
        <v>40</v>
      </c>
      <c r="K966" t="s">
        <v>23</v>
      </c>
      <c r="L966" s="3" t="s">
        <v>5835</v>
      </c>
      <c r="M966" t="s">
        <v>23</v>
      </c>
      <c r="N966" s="8">
        <v>0.218144</v>
      </c>
    </row>
    <row r="967" spans="1:14" hidden="1" x14ac:dyDescent="0.55000000000000004">
      <c r="A967" s="3" t="s">
        <v>3840</v>
      </c>
      <c r="B967" s="3" t="s">
        <v>3841</v>
      </c>
      <c r="C967" t="s">
        <v>7375</v>
      </c>
      <c r="D967" s="3" t="s">
        <v>7312</v>
      </c>
      <c r="E967" t="s">
        <v>3842</v>
      </c>
      <c r="F967" s="3" t="s">
        <v>3843</v>
      </c>
      <c r="G967" s="10">
        <v>1</v>
      </c>
      <c r="H967" s="3" t="s">
        <v>19</v>
      </c>
      <c r="I967" t="s">
        <v>3847</v>
      </c>
      <c r="J967" s="3" t="s">
        <v>3848</v>
      </c>
      <c r="K967" t="s">
        <v>6157</v>
      </c>
      <c r="L967" s="3" t="s">
        <v>6158</v>
      </c>
      <c r="M967" t="s">
        <v>6159</v>
      </c>
      <c r="N967" s="8">
        <v>4.4992999999999998E-2</v>
      </c>
    </row>
    <row r="968" spans="1:14" hidden="1" x14ac:dyDescent="0.55000000000000004">
      <c r="A968" s="3" t="s">
        <v>3840</v>
      </c>
      <c r="B968" s="3" t="s">
        <v>3841</v>
      </c>
      <c r="C968" t="s">
        <v>7375</v>
      </c>
      <c r="D968" s="3" t="s">
        <v>7312</v>
      </c>
      <c r="E968" t="s">
        <v>3842</v>
      </c>
      <c r="F968" s="3" t="s">
        <v>3843</v>
      </c>
      <c r="G968" s="10">
        <v>1</v>
      </c>
      <c r="H968" s="3" t="s">
        <v>24</v>
      </c>
      <c r="I968" t="s">
        <v>3851</v>
      </c>
      <c r="J968" s="3" t="s">
        <v>40</v>
      </c>
      <c r="K968" t="s">
        <v>23</v>
      </c>
      <c r="L968" s="3" t="s">
        <v>5835</v>
      </c>
      <c r="M968" t="s">
        <v>23</v>
      </c>
      <c r="N968" s="8">
        <v>0.18256900000000001</v>
      </c>
    </row>
    <row r="969" spans="1:14" hidden="1" x14ac:dyDescent="0.55000000000000004">
      <c r="A969" s="3" t="s">
        <v>3840</v>
      </c>
      <c r="B969" s="3" t="s">
        <v>3841</v>
      </c>
      <c r="C969" t="s">
        <v>7375</v>
      </c>
      <c r="D969" s="3" t="s">
        <v>7312</v>
      </c>
      <c r="E969" t="s">
        <v>3855</v>
      </c>
      <c r="F969" s="3" t="s">
        <v>3856</v>
      </c>
      <c r="G969" s="10">
        <v>0</v>
      </c>
      <c r="H969" s="3" t="s">
        <v>24</v>
      </c>
      <c r="I969" t="s">
        <v>3851</v>
      </c>
      <c r="J969" s="3" t="s">
        <v>40</v>
      </c>
      <c r="K969" t="s">
        <v>23</v>
      </c>
      <c r="L969" s="3" t="s">
        <v>5835</v>
      </c>
      <c r="M969" t="s">
        <v>23</v>
      </c>
      <c r="N969" s="8">
        <v>0.18256900000000001</v>
      </c>
    </row>
    <row r="970" spans="1:14" hidden="1" x14ac:dyDescent="0.55000000000000004">
      <c r="A970" s="3" t="s">
        <v>3840</v>
      </c>
      <c r="B970" s="3" t="s">
        <v>3857</v>
      </c>
      <c r="C970" t="s">
        <v>3858</v>
      </c>
      <c r="D970" s="3" t="s">
        <v>7312</v>
      </c>
      <c r="E970" t="s">
        <v>3859</v>
      </c>
      <c r="F970" s="3" t="s">
        <v>3860</v>
      </c>
      <c r="G970" s="10">
        <v>1</v>
      </c>
      <c r="H970" s="3" t="s">
        <v>19</v>
      </c>
      <c r="I970" t="s">
        <v>3864</v>
      </c>
      <c r="J970" s="3" t="s">
        <v>3865</v>
      </c>
      <c r="K970" t="s">
        <v>6160</v>
      </c>
      <c r="L970" s="3" t="s">
        <v>6161</v>
      </c>
      <c r="M970" t="s">
        <v>6162</v>
      </c>
      <c r="N970" s="8">
        <v>3.4076000000000002E-2</v>
      </c>
    </row>
    <row r="971" spans="1:14" hidden="1" x14ac:dyDescent="0.55000000000000004">
      <c r="A971" s="3" t="s">
        <v>3840</v>
      </c>
      <c r="B971" s="3" t="s">
        <v>3857</v>
      </c>
      <c r="C971" t="s">
        <v>3858</v>
      </c>
      <c r="D971" s="3" t="s">
        <v>7312</v>
      </c>
      <c r="E971" t="s">
        <v>3859</v>
      </c>
      <c r="F971" s="3" t="s">
        <v>3860</v>
      </c>
      <c r="G971" s="10">
        <v>1</v>
      </c>
      <c r="H971" s="3" t="s">
        <v>24</v>
      </c>
      <c r="I971" t="s">
        <v>3868</v>
      </c>
      <c r="J971" s="3" t="s">
        <v>46</v>
      </c>
      <c r="K971" t="s">
        <v>5836</v>
      </c>
      <c r="L971" s="3" t="s">
        <v>5837</v>
      </c>
      <c r="M971" t="s">
        <v>6163</v>
      </c>
      <c r="N971" s="8">
        <v>0.14363300000000001</v>
      </c>
    </row>
    <row r="972" spans="1:14" hidden="1" x14ac:dyDescent="0.55000000000000004">
      <c r="A972" s="3" t="s">
        <v>3840</v>
      </c>
      <c r="B972" s="3" t="s">
        <v>3871</v>
      </c>
      <c r="C972" t="s">
        <v>3858</v>
      </c>
      <c r="D972" s="3" t="s">
        <v>7312</v>
      </c>
      <c r="E972" t="s">
        <v>3872</v>
      </c>
      <c r="F972" s="3" t="s">
        <v>3873</v>
      </c>
      <c r="G972" s="10">
        <v>1</v>
      </c>
      <c r="H972" s="3" t="s">
        <v>19</v>
      </c>
      <c r="I972" t="s">
        <v>3876</v>
      </c>
      <c r="J972" s="3" t="s">
        <v>3865</v>
      </c>
      <c r="K972" t="s">
        <v>6160</v>
      </c>
      <c r="L972" s="3" t="s">
        <v>6161</v>
      </c>
      <c r="M972" t="s">
        <v>6164</v>
      </c>
      <c r="N972" s="8">
        <v>3.2967000000000003E-2</v>
      </c>
    </row>
    <row r="973" spans="1:14" hidden="1" x14ac:dyDescent="0.55000000000000004">
      <c r="A973" s="3" t="s">
        <v>3840</v>
      </c>
      <c r="B973" s="3" t="s">
        <v>3871</v>
      </c>
      <c r="C973" t="s">
        <v>3858</v>
      </c>
      <c r="D973" s="3" t="s">
        <v>7312</v>
      </c>
      <c r="E973" t="s">
        <v>3872</v>
      </c>
      <c r="F973" s="3" t="s">
        <v>3873</v>
      </c>
      <c r="G973" s="10">
        <v>1</v>
      </c>
      <c r="H973" s="3" t="s">
        <v>24</v>
      </c>
      <c r="I973" t="s">
        <v>3879</v>
      </c>
      <c r="J973" s="3" t="s">
        <v>46</v>
      </c>
      <c r="K973" t="s">
        <v>5836</v>
      </c>
      <c r="L973" s="3" t="s">
        <v>5837</v>
      </c>
      <c r="M973" t="s">
        <v>6163</v>
      </c>
      <c r="N973" s="8">
        <v>0.14363300000000001</v>
      </c>
    </row>
    <row r="974" spans="1:14" hidden="1" x14ac:dyDescent="0.55000000000000004">
      <c r="A974" s="3" t="s">
        <v>3840</v>
      </c>
      <c r="B974" s="3" t="s">
        <v>3882</v>
      </c>
      <c r="C974" t="s">
        <v>7375</v>
      </c>
      <c r="D974" s="3" t="s">
        <v>7312</v>
      </c>
      <c r="E974" t="s">
        <v>3883</v>
      </c>
      <c r="F974" s="3" t="s">
        <v>3884</v>
      </c>
      <c r="G974" s="10">
        <v>0</v>
      </c>
      <c r="H974" s="3" t="s">
        <v>24</v>
      </c>
      <c r="I974" t="s">
        <v>3887</v>
      </c>
      <c r="J974" s="3" t="s">
        <v>138</v>
      </c>
      <c r="K974" t="s">
        <v>23</v>
      </c>
      <c r="L974" s="3" t="s">
        <v>5837</v>
      </c>
      <c r="M974" t="s">
        <v>23</v>
      </c>
      <c r="N974" s="8">
        <v>0.15390000000000001</v>
      </c>
    </row>
    <row r="975" spans="1:14" hidden="1" x14ac:dyDescent="0.55000000000000004">
      <c r="A975" s="3" t="s">
        <v>3840</v>
      </c>
      <c r="B975" s="3" t="s">
        <v>3841</v>
      </c>
      <c r="C975" t="s">
        <v>7375</v>
      </c>
      <c r="D975" s="3" t="s">
        <v>7312</v>
      </c>
      <c r="E975" t="s">
        <v>3888</v>
      </c>
      <c r="F975" s="3" t="s">
        <v>3889</v>
      </c>
      <c r="G975" s="10">
        <v>0</v>
      </c>
      <c r="H975" s="3" t="s">
        <v>24</v>
      </c>
      <c r="I975" t="s">
        <v>3887</v>
      </c>
      <c r="J975" s="3" t="s">
        <v>138</v>
      </c>
      <c r="K975" t="s">
        <v>23</v>
      </c>
      <c r="L975" s="3" t="s">
        <v>5837</v>
      </c>
      <c r="M975" t="s">
        <v>23</v>
      </c>
      <c r="N975" s="8">
        <v>0.15390000000000001</v>
      </c>
    </row>
    <row r="976" spans="1:14" hidden="1" x14ac:dyDescent="0.55000000000000004">
      <c r="A976" s="3" t="s">
        <v>3840</v>
      </c>
      <c r="B976" s="3" t="s">
        <v>3890</v>
      </c>
      <c r="C976" t="s">
        <v>3890</v>
      </c>
      <c r="D976" s="3" t="s">
        <v>7312</v>
      </c>
      <c r="E976" t="s">
        <v>3896</v>
      </c>
      <c r="F976" s="3" t="s">
        <v>3897</v>
      </c>
      <c r="G976" s="10">
        <v>1</v>
      </c>
      <c r="H976" s="3" t="s">
        <v>19</v>
      </c>
      <c r="I976" t="s">
        <v>3903</v>
      </c>
      <c r="J976" s="3" t="s">
        <v>3904</v>
      </c>
      <c r="K976" t="s">
        <v>6165</v>
      </c>
      <c r="L976" s="3" t="s">
        <v>6166</v>
      </c>
      <c r="M976" t="s">
        <v>6167</v>
      </c>
      <c r="N976" s="8">
        <v>6.7390000000000005E-2</v>
      </c>
    </row>
    <row r="977" spans="1:14" hidden="1" x14ac:dyDescent="0.55000000000000004">
      <c r="A977" s="3" t="s">
        <v>3840</v>
      </c>
      <c r="B977" s="3" t="s">
        <v>3890</v>
      </c>
      <c r="C977" t="s">
        <v>3890</v>
      </c>
      <c r="D977" s="3" t="s">
        <v>7312</v>
      </c>
      <c r="E977" t="s">
        <v>3896</v>
      </c>
      <c r="F977" s="3" t="s">
        <v>3897</v>
      </c>
      <c r="G977" s="10">
        <v>1</v>
      </c>
      <c r="H977" s="3" t="s">
        <v>19</v>
      </c>
      <c r="I977" t="s">
        <v>3903</v>
      </c>
      <c r="J977" s="3" t="s">
        <v>3904</v>
      </c>
      <c r="K977" t="s">
        <v>6165</v>
      </c>
      <c r="L977" s="3" t="s">
        <v>6166</v>
      </c>
      <c r="M977" t="s">
        <v>6168</v>
      </c>
      <c r="N977" s="8">
        <v>6.7390000000000005E-2</v>
      </c>
    </row>
    <row r="978" spans="1:14" hidden="1" x14ac:dyDescent="0.55000000000000004">
      <c r="A978" s="3" t="s">
        <v>3840</v>
      </c>
      <c r="B978" s="3" t="s">
        <v>3890</v>
      </c>
      <c r="C978" t="s">
        <v>3890</v>
      </c>
      <c r="D978" s="3" t="s">
        <v>7312</v>
      </c>
      <c r="E978" t="s">
        <v>3896</v>
      </c>
      <c r="F978" s="3" t="s">
        <v>3897</v>
      </c>
      <c r="G978" s="10">
        <v>1</v>
      </c>
      <c r="H978" s="3" t="s">
        <v>19</v>
      </c>
      <c r="I978" t="s">
        <v>3905</v>
      </c>
      <c r="J978" s="3" t="s">
        <v>3906</v>
      </c>
      <c r="K978" t="s">
        <v>6169</v>
      </c>
      <c r="L978" s="3" t="s">
        <v>6170</v>
      </c>
      <c r="M978" t="s">
        <v>6171</v>
      </c>
      <c r="N978" s="8">
        <v>2.3644999999999999E-2</v>
      </c>
    </row>
    <row r="979" spans="1:14" hidden="1" x14ac:dyDescent="0.55000000000000004">
      <c r="A979" s="3" t="s">
        <v>3840</v>
      </c>
      <c r="B979" s="3" t="s">
        <v>3858</v>
      </c>
      <c r="C979" t="s">
        <v>3858</v>
      </c>
      <c r="D979" s="3" t="s">
        <v>7312</v>
      </c>
      <c r="E979" t="s">
        <v>3909</v>
      </c>
      <c r="F979" s="3" t="s">
        <v>3910</v>
      </c>
      <c r="G979" s="10">
        <v>1</v>
      </c>
      <c r="H979" s="3" t="s">
        <v>19</v>
      </c>
      <c r="I979" t="s">
        <v>3913</v>
      </c>
      <c r="J979" s="3" t="s">
        <v>3865</v>
      </c>
      <c r="K979" t="s">
        <v>6160</v>
      </c>
      <c r="L979" s="3" t="s">
        <v>6161</v>
      </c>
      <c r="M979" t="s">
        <v>6172</v>
      </c>
      <c r="N979" s="8">
        <v>3.3319000000000001E-2</v>
      </c>
    </row>
    <row r="980" spans="1:14" hidden="1" x14ac:dyDescent="0.55000000000000004">
      <c r="A980" s="3" t="s">
        <v>3840</v>
      </c>
      <c r="B980" s="3" t="s">
        <v>3858</v>
      </c>
      <c r="C980" t="s">
        <v>3858</v>
      </c>
      <c r="D980" s="3" t="s">
        <v>7312</v>
      </c>
      <c r="E980" t="s">
        <v>3909</v>
      </c>
      <c r="F980" s="3" t="s">
        <v>3910</v>
      </c>
      <c r="G980" s="10">
        <v>1</v>
      </c>
      <c r="H980" s="3" t="s">
        <v>24</v>
      </c>
      <c r="I980" t="s">
        <v>3916</v>
      </c>
      <c r="J980" s="3" t="s">
        <v>40</v>
      </c>
      <c r="K980" t="s">
        <v>23</v>
      </c>
      <c r="L980" s="3" t="s">
        <v>5835</v>
      </c>
      <c r="M980" t="s">
        <v>23</v>
      </c>
      <c r="N980" s="8">
        <v>0.18238699999999999</v>
      </c>
    </row>
    <row r="981" spans="1:14" hidden="1" x14ac:dyDescent="0.55000000000000004">
      <c r="A981" s="3" t="s">
        <v>3840</v>
      </c>
      <c r="B981" s="3" t="s">
        <v>3858</v>
      </c>
      <c r="C981" t="s">
        <v>3858</v>
      </c>
      <c r="D981" s="3" t="s">
        <v>7312</v>
      </c>
      <c r="E981" t="s">
        <v>3917</v>
      </c>
      <c r="F981" s="3" t="s">
        <v>3918</v>
      </c>
      <c r="G981" s="10">
        <v>0</v>
      </c>
      <c r="H981" s="3" t="s">
        <v>24</v>
      </c>
      <c r="I981" t="s">
        <v>3916</v>
      </c>
      <c r="J981" s="3" t="s">
        <v>40</v>
      </c>
      <c r="K981" t="s">
        <v>23</v>
      </c>
      <c r="L981" s="3" t="s">
        <v>5835</v>
      </c>
      <c r="M981" t="s">
        <v>23</v>
      </c>
      <c r="N981" s="8">
        <v>0.18238699999999999</v>
      </c>
    </row>
    <row r="982" spans="1:14" hidden="1" x14ac:dyDescent="0.55000000000000004">
      <c r="A982" s="3" t="s">
        <v>3840</v>
      </c>
      <c r="B982" s="3" t="s">
        <v>3858</v>
      </c>
      <c r="C982" t="s">
        <v>3858</v>
      </c>
      <c r="D982" s="3" t="s">
        <v>7312</v>
      </c>
      <c r="E982" t="s">
        <v>3919</v>
      </c>
      <c r="F982" s="3" t="s">
        <v>3920</v>
      </c>
      <c r="G982" s="10">
        <v>0</v>
      </c>
      <c r="H982" s="3" t="s">
        <v>24</v>
      </c>
      <c r="I982" t="s">
        <v>3916</v>
      </c>
      <c r="J982" s="3" t="s">
        <v>40</v>
      </c>
      <c r="K982" t="s">
        <v>23</v>
      </c>
      <c r="L982" s="3" t="s">
        <v>5835</v>
      </c>
      <c r="M982" t="s">
        <v>23</v>
      </c>
      <c r="N982" s="8">
        <v>0.18238699999999999</v>
      </c>
    </row>
    <row r="983" spans="1:14" hidden="1" x14ac:dyDescent="0.55000000000000004">
      <c r="A983" s="3" t="s">
        <v>3840</v>
      </c>
      <c r="B983" s="3" t="s">
        <v>3921</v>
      </c>
      <c r="C983" t="s">
        <v>3921</v>
      </c>
      <c r="D983" s="3" t="s">
        <v>7312</v>
      </c>
      <c r="E983" t="s">
        <v>3922</v>
      </c>
      <c r="F983" s="3" t="s">
        <v>3923</v>
      </c>
      <c r="G983" s="10">
        <v>0</v>
      </c>
      <c r="H983" s="3" t="s">
        <v>19</v>
      </c>
      <c r="I983" t="s">
        <v>3926</v>
      </c>
      <c r="J983" s="3" t="s">
        <v>1770</v>
      </c>
      <c r="K983" t="s">
        <v>6006</v>
      </c>
      <c r="L983" s="3" t="s">
        <v>6161</v>
      </c>
      <c r="M983" t="s">
        <v>6173</v>
      </c>
      <c r="N983" s="8">
        <v>3.6831000000000003E-2</v>
      </c>
    </row>
    <row r="984" spans="1:14" hidden="1" x14ac:dyDescent="0.55000000000000004">
      <c r="A984" s="3" t="s">
        <v>3840</v>
      </c>
      <c r="B984" s="3" t="s">
        <v>3921</v>
      </c>
      <c r="C984" t="s">
        <v>3921</v>
      </c>
      <c r="D984" s="3" t="s">
        <v>7312</v>
      </c>
      <c r="E984" t="s">
        <v>3939</v>
      </c>
      <c r="F984" s="3" t="s">
        <v>3940</v>
      </c>
      <c r="G984" s="10">
        <v>1</v>
      </c>
      <c r="H984" s="3" t="s">
        <v>19</v>
      </c>
      <c r="I984" t="s">
        <v>3943</v>
      </c>
      <c r="J984" s="3" t="s">
        <v>1770</v>
      </c>
      <c r="K984" t="s">
        <v>6006</v>
      </c>
      <c r="L984" s="3" t="s">
        <v>6161</v>
      </c>
      <c r="M984" t="s">
        <v>6173</v>
      </c>
      <c r="N984" s="8">
        <v>3.6831000000000003E-2</v>
      </c>
    </row>
    <row r="985" spans="1:14" hidden="1" x14ac:dyDescent="0.55000000000000004">
      <c r="A985" s="3" t="s">
        <v>3840</v>
      </c>
      <c r="B985" s="3" t="s">
        <v>3921</v>
      </c>
      <c r="C985" t="s">
        <v>3921</v>
      </c>
      <c r="D985" s="3" t="s">
        <v>7312</v>
      </c>
      <c r="E985" t="s">
        <v>3944</v>
      </c>
      <c r="F985" s="3" t="s">
        <v>3945</v>
      </c>
      <c r="G985" s="10">
        <v>0</v>
      </c>
      <c r="H985" s="3" t="s">
        <v>19</v>
      </c>
      <c r="I985" t="s">
        <v>3926</v>
      </c>
      <c r="J985" s="3" t="s">
        <v>1770</v>
      </c>
      <c r="K985" t="s">
        <v>6006</v>
      </c>
      <c r="L985" s="3" t="s">
        <v>6161</v>
      </c>
      <c r="M985" t="s">
        <v>6173</v>
      </c>
      <c r="N985" s="8">
        <v>3.6831000000000003E-2</v>
      </c>
    </row>
    <row r="986" spans="1:14" hidden="1" x14ac:dyDescent="0.55000000000000004">
      <c r="A986" s="3" t="s">
        <v>3840</v>
      </c>
      <c r="B986" s="3" t="s">
        <v>3921</v>
      </c>
      <c r="C986" t="s">
        <v>3921</v>
      </c>
      <c r="D986" s="3" t="s">
        <v>7312</v>
      </c>
      <c r="E986" t="s">
        <v>3949</v>
      </c>
      <c r="F986" s="3" t="s">
        <v>3950</v>
      </c>
      <c r="G986" s="10">
        <v>0</v>
      </c>
      <c r="H986" s="3" t="s">
        <v>19</v>
      </c>
      <c r="I986" t="s">
        <v>3926</v>
      </c>
      <c r="J986" s="3" t="s">
        <v>1770</v>
      </c>
      <c r="K986" t="s">
        <v>6006</v>
      </c>
      <c r="L986" s="3" t="s">
        <v>6161</v>
      </c>
      <c r="M986" t="s">
        <v>6173</v>
      </c>
      <c r="N986" s="8">
        <v>3.6831000000000003E-2</v>
      </c>
    </row>
    <row r="987" spans="1:14" hidden="1" x14ac:dyDescent="0.55000000000000004">
      <c r="A987" s="3" t="s">
        <v>3840</v>
      </c>
      <c r="B987" s="3" t="s">
        <v>3921</v>
      </c>
      <c r="C987" t="s">
        <v>3921</v>
      </c>
      <c r="D987" s="3" t="s">
        <v>7312</v>
      </c>
      <c r="E987" t="s">
        <v>3951</v>
      </c>
      <c r="F987" s="3" t="s">
        <v>3952</v>
      </c>
      <c r="G987" s="10">
        <v>0</v>
      </c>
      <c r="H987" s="3" t="s">
        <v>19</v>
      </c>
      <c r="I987" t="s">
        <v>3926</v>
      </c>
      <c r="J987" s="3" t="s">
        <v>1770</v>
      </c>
      <c r="K987" t="s">
        <v>6006</v>
      </c>
      <c r="L987" s="3" t="s">
        <v>6161</v>
      </c>
      <c r="M987" t="s">
        <v>6173</v>
      </c>
      <c r="N987" s="8">
        <v>3.6831000000000003E-2</v>
      </c>
    </row>
    <row r="988" spans="1:14" hidden="1" x14ac:dyDescent="0.55000000000000004">
      <c r="A988" s="3" t="s">
        <v>3840</v>
      </c>
      <c r="B988" s="3" t="s">
        <v>3921</v>
      </c>
      <c r="C988" t="s">
        <v>3921</v>
      </c>
      <c r="D988" s="3" t="s">
        <v>7312</v>
      </c>
      <c r="E988" t="s">
        <v>3953</v>
      </c>
      <c r="F988" s="3" t="s">
        <v>3954</v>
      </c>
      <c r="G988" s="10">
        <v>0</v>
      </c>
      <c r="H988" s="3" t="s">
        <v>19</v>
      </c>
      <c r="I988" t="s">
        <v>3943</v>
      </c>
      <c r="J988" s="3" t="s">
        <v>1770</v>
      </c>
      <c r="K988" t="s">
        <v>6006</v>
      </c>
      <c r="L988" s="3" t="s">
        <v>6161</v>
      </c>
      <c r="M988" t="s">
        <v>6173</v>
      </c>
      <c r="N988" s="8">
        <v>3.6831000000000003E-2</v>
      </c>
    </row>
    <row r="989" spans="1:14" hidden="1" x14ac:dyDescent="0.55000000000000004">
      <c r="A989" s="3" t="s">
        <v>3840</v>
      </c>
      <c r="B989" s="3" t="s">
        <v>3858</v>
      </c>
      <c r="C989" t="s">
        <v>3858</v>
      </c>
      <c r="D989" s="3" t="s">
        <v>7312</v>
      </c>
      <c r="E989" t="s">
        <v>3958</v>
      </c>
      <c r="F989" s="3" t="s">
        <v>3959</v>
      </c>
      <c r="G989" s="10">
        <v>1</v>
      </c>
      <c r="H989" s="3" t="s">
        <v>19</v>
      </c>
      <c r="I989" t="s">
        <v>3962</v>
      </c>
      <c r="J989" s="3" t="s">
        <v>3963</v>
      </c>
      <c r="K989" t="s">
        <v>6174</v>
      </c>
      <c r="L989" s="3" t="s">
        <v>6161</v>
      </c>
      <c r="M989" t="s">
        <v>6175</v>
      </c>
      <c r="N989" s="8">
        <v>5.4725999999999997E-2</v>
      </c>
    </row>
    <row r="990" spans="1:14" hidden="1" x14ac:dyDescent="0.55000000000000004">
      <c r="A990" s="3" t="s">
        <v>3840</v>
      </c>
      <c r="B990" s="3" t="s">
        <v>3858</v>
      </c>
      <c r="C990" t="s">
        <v>3858</v>
      </c>
      <c r="D990" s="3" t="s">
        <v>7312</v>
      </c>
      <c r="E990" t="s">
        <v>3958</v>
      </c>
      <c r="F990" s="3" t="s">
        <v>3959</v>
      </c>
      <c r="G990" s="10">
        <v>1</v>
      </c>
      <c r="H990" s="3" t="s">
        <v>24</v>
      </c>
      <c r="I990" t="s">
        <v>3966</v>
      </c>
      <c r="J990" s="3" t="s">
        <v>46</v>
      </c>
      <c r="K990" t="s">
        <v>5836</v>
      </c>
      <c r="L990" s="3" t="s">
        <v>5837</v>
      </c>
      <c r="M990" t="s">
        <v>6163</v>
      </c>
      <c r="N990" s="8">
        <v>0.14363300000000001</v>
      </c>
    </row>
    <row r="991" spans="1:14" hidden="1" x14ac:dyDescent="0.55000000000000004">
      <c r="A991" s="3" t="s">
        <v>3840</v>
      </c>
      <c r="B991" s="3" t="s">
        <v>3969</v>
      </c>
      <c r="C991" t="s">
        <v>3969</v>
      </c>
      <c r="D991" s="3" t="s">
        <v>7312</v>
      </c>
      <c r="E991" t="s">
        <v>3970</v>
      </c>
      <c r="F991" s="3" t="s">
        <v>3971</v>
      </c>
      <c r="G991" s="10">
        <v>0</v>
      </c>
      <c r="H991" s="3" t="s">
        <v>19</v>
      </c>
      <c r="I991" t="s">
        <v>3930</v>
      </c>
      <c r="J991" s="3" t="s">
        <v>3931</v>
      </c>
      <c r="K991" t="s">
        <v>6176</v>
      </c>
      <c r="L991" s="3" t="s">
        <v>6177</v>
      </c>
      <c r="M991" t="s">
        <v>6178</v>
      </c>
      <c r="N991" s="8">
        <v>2.4150000000000001E-2</v>
      </c>
    </row>
    <row r="992" spans="1:14" hidden="1" x14ac:dyDescent="0.55000000000000004">
      <c r="A992" s="3" t="s">
        <v>3840</v>
      </c>
      <c r="B992" s="3" t="s">
        <v>3969</v>
      </c>
      <c r="C992" t="s">
        <v>3969</v>
      </c>
      <c r="D992" s="3" t="s">
        <v>7312</v>
      </c>
      <c r="E992" t="s">
        <v>3970</v>
      </c>
      <c r="F992" s="3" t="s">
        <v>3971</v>
      </c>
      <c r="G992" s="10">
        <v>0</v>
      </c>
      <c r="H992" s="3" t="s">
        <v>19</v>
      </c>
      <c r="I992" t="s">
        <v>3974</v>
      </c>
      <c r="J992" s="3" t="s">
        <v>3931</v>
      </c>
      <c r="K992" t="s">
        <v>6176</v>
      </c>
      <c r="L992" s="3" t="s">
        <v>6178</v>
      </c>
      <c r="M992" t="s">
        <v>6179</v>
      </c>
      <c r="N992" s="8">
        <v>3.9640000000000002E-2</v>
      </c>
    </row>
    <row r="993" spans="1:14" hidden="1" x14ac:dyDescent="0.55000000000000004">
      <c r="A993" s="3" t="s">
        <v>3840</v>
      </c>
      <c r="B993" s="3" t="s">
        <v>3969</v>
      </c>
      <c r="C993" t="s">
        <v>3969</v>
      </c>
      <c r="D993" s="3" t="s">
        <v>7312</v>
      </c>
      <c r="E993" t="s">
        <v>3970</v>
      </c>
      <c r="F993" s="3" t="s">
        <v>3971</v>
      </c>
      <c r="G993" s="10">
        <v>0</v>
      </c>
      <c r="H993" s="3" t="s">
        <v>19</v>
      </c>
      <c r="I993" t="s">
        <v>3932</v>
      </c>
      <c r="J993" s="3" t="s">
        <v>3931</v>
      </c>
      <c r="K993" t="s">
        <v>6176</v>
      </c>
      <c r="L993" s="3" t="s">
        <v>6180</v>
      </c>
      <c r="M993" t="s">
        <v>6181</v>
      </c>
      <c r="N993" s="8">
        <v>4.1999999999999997E-3</v>
      </c>
    </row>
    <row r="994" spans="1:14" hidden="1" x14ac:dyDescent="0.55000000000000004">
      <c r="A994" s="3" t="s">
        <v>3840</v>
      </c>
      <c r="B994" s="3" t="s">
        <v>3969</v>
      </c>
      <c r="C994" t="s">
        <v>3969</v>
      </c>
      <c r="D994" s="3" t="s">
        <v>7312</v>
      </c>
      <c r="E994" t="s">
        <v>3970</v>
      </c>
      <c r="F994" s="3" t="s">
        <v>3971</v>
      </c>
      <c r="G994" s="10">
        <v>0</v>
      </c>
      <c r="H994" s="3" t="s">
        <v>19</v>
      </c>
      <c r="I994" t="s">
        <v>3933</v>
      </c>
      <c r="J994" s="3" t="s">
        <v>3931</v>
      </c>
      <c r="K994" t="s">
        <v>6176</v>
      </c>
      <c r="L994" s="3" t="s">
        <v>6181</v>
      </c>
      <c r="M994" t="s">
        <v>6177</v>
      </c>
      <c r="N994" s="8">
        <v>4.2519000000000001E-2</v>
      </c>
    </row>
    <row r="995" spans="1:14" hidden="1" x14ac:dyDescent="0.55000000000000004">
      <c r="A995" s="3" t="s">
        <v>3840</v>
      </c>
      <c r="B995" s="3" t="s">
        <v>3969</v>
      </c>
      <c r="C995" t="s">
        <v>3969</v>
      </c>
      <c r="D995" s="3" t="s">
        <v>7312</v>
      </c>
      <c r="E995" t="s">
        <v>3978</v>
      </c>
      <c r="F995" s="3" t="s">
        <v>3979</v>
      </c>
      <c r="G995" s="10">
        <v>1</v>
      </c>
      <c r="H995" s="3" t="s">
        <v>19</v>
      </c>
      <c r="I995" t="s">
        <v>3930</v>
      </c>
      <c r="J995" s="3" t="s">
        <v>3931</v>
      </c>
      <c r="K995" t="s">
        <v>6176</v>
      </c>
      <c r="L995" s="3" t="s">
        <v>6177</v>
      </c>
      <c r="M995" t="s">
        <v>6178</v>
      </c>
      <c r="N995" s="8">
        <v>2.4150000000000001E-2</v>
      </c>
    </row>
    <row r="996" spans="1:14" hidden="1" x14ac:dyDescent="0.55000000000000004">
      <c r="A996" s="3" t="s">
        <v>3840</v>
      </c>
      <c r="B996" s="3" t="s">
        <v>3969</v>
      </c>
      <c r="C996" t="s">
        <v>3969</v>
      </c>
      <c r="D996" s="3" t="s">
        <v>7312</v>
      </c>
      <c r="E996" t="s">
        <v>3978</v>
      </c>
      <c r="F996" s="3" t="s">
        <v>3979</v>
      </c>
      <c r="G996" s="10">
        <v>1</v>
      </c>
      <c r="H996" s="3" t="s">
        <v>19</v>
      </c>
      <c r="I996" t="s">
        <v>3974</v>
      </c>
      <c r="J996" s="3" t="s">
        <v>3931</v>
      </c>
      <c r="K996" t="s">
        <v>6176</v>
      </c>
      <c r="L996" s="3" t="s">
        <v>6178</v>
      </c>
      <c r="M996" t="s">
        <v>6179</v>
      </c>
      <c r="N996" s="8">
        <v>3.9640000000000002E-2</v>
      </c>
    </row>
    <row r="997" spans="1:14" hidden="1" x14ac:dyDescent="0.55000000000000004">
      <c r="A997" s="3" t="s">
        <v>3840</v>
      </c>
      <c r="B997" s="3" t="s">
        <v>3969</v>
      </c>
      <c r="C997" t="s">
        <v>3969</v>
      </c>
      <c r="D997" s="3" t="s">
        <v>7312</v>
      </c>
      <c r="E997" t="s">
        <v>3978</v>
      </c>
      <c r="F997" s="3" t="s">
        <v>3979</v>
      </c>
      <c r="G997" s="10">
        <v>1</v>
      </c>
      <c r="H997" s="3" t="s">
        <v>19</v>
      </c>
      <c r="I997" t="s">
        <v>3932</v>
      </c>
      <c r="J997" s="3" t="s">
        <v>3931</v>
      </c>
      <c r="K997" t="s">
        <v>6176</v>
      </c>
      <c r="L997" s="3" t="s">
        <v>6180</v>
      </c>
      <c r="M997" t="s">
        <v>6181</v>
      </c>
      <c r="N997" s="8">
        <v>4.1999999999999997E-3</v>
      </c>
    </row>
    <row r="998" spans="1:14" hidden="1" x14ac:dyDescent="0.55000000000000004">
      <c r="A998" s="3" t="s">
        <v>3840</v>
      </c>
      <c r="B998" s="3" t="s">
        <v>3969</v>
      </c>
      <c r="C998" t="s">
        <v>3969</v>
      </c>
      <c r="D998" s="3" t="s">
        <v>7312</v>
      </c>
      <c r="E998" t="s">
        <v>3978</v>
      </c>
      <c r="F998" s="3" t="s">
        <v>3979</v>
      </c>
      <c r="G998" s="10">
        <v>1</v>
      </c>
      <c r="H998" s="3" t="s">
        <v>19</v>
      </c>
      <c r="I998" t="s">
        <v>3933</v>
      </c>
      <c r="J998" s="3" t="s">
        <v>3931</v>
      </c>
      <c r="K998" t="s">
        <v>6176</v>
      </c>
      <c r="L998" s="3" t="s">
        <v>6181</v>
      </c>
      <c r="M998" t="s">
        <v>6177</v>
      </c>
      <c r="N998" s="8">
        <v>4.2519000000000001E-2</v>
      </c>
    </row>
    <row r="999" spans="1:14" hidden="1" x14ac:dyDescent="0.55000000000000004">
      <c r="A999" s="3" t="s">
        <v>3840</v>
      </c>
      <c r="B999" s="3" t="s">
        <v>3969</v>
      </c>
      <c r="C999" t="s">
        <v>3969</v>
      </c>
      <c r="D999" s="3" t="s">
        <v>7312</v>
      </c>
      <c r="E999" t="s">
        <v>3980</v>
      </c>
      <c r="F999" s="3" t="s">
        <v>3981</v>
      </c>
      <c r="G999" s="10">
        <v>0</v>
      </c>
      <c r="H999" s="3" t="s">
        <v>19</v>
      </c>
      <c r="I999" t="s">
        <v>3905</v>
      </c>
      <c r="J999" s="3" t="s">
        <v>3906</v>
      </c>
      <c r="K999" t="s">
        <v>6169</v>
      </c>
      <c r="L999" s="3" t="s">
        <v>6170</v>
      </c>
      <c r="M999" t="s">
        <v>6171</v>
      </c>
      <c r="N999" s="8">
        <v>2.3644999999999999E-2</v>
      </c>
    </row>
    <row r="1000" spans="1:14" hidden="1" x14ac:dyDescent="0.55000000000000004">
      <c r="A1000" s="3" t="s">
        <v>3840</v>
      </c>
      <c r="B1000" s="3" t="s">
        <v>3969</v>
      </c>
      <c r="C1000" t="s">
        <v>3969</v>
      </c>
      <c r="D1000" s="3" t="s">
        <v>7312</v>
      </c>
      <c r="E1000" t="s">
        <v>3984</v>
      </c>
      <c r="F1000" s="3" t="s">
        <v>3985</v>
      </c>
      <c r="G1000" s="10">
        <v>0</v>
      </c>
      <c r="H1000" s="3" t="s">
        <v>19</v>
      </c>
      <c r="I1000" t="s">
        <v>3930</v>
      </c>
      <c r="J1000" s="3" t="s">
        <v>3931</v>
      </c>
      <c r="K1000" t="s">
        <v>6176</v>
      </c>
      <c r="L1000" s="3" t="s">
        <v>6177</v>
      </c>
      <c r="M1000" t="s">
        <v>6178</v>
      </c>
      <c r="N1000" s="8">
        <v>2.4150000000000001E-2</v>
      </c>
    </row>
    <row r="1001" spans="1:14" hidden="1" x14ac:dyDescent="0.55000000000000004">
      <c r="A1001" s="3" t="s">
        <v>3840</v>
      </c>
      <c r="B1001" s="3" t="s">
        <v>3969</v>
      </c>
      <c r="C1001" t="s">
        <v>3969</v>
      </c>
      <c r="D1001" s="3" t="s">
        <v>7312</v>
      </c>
      <c r="E1001" t="s">
        <v>3984</v>
      </c>
      <c r="F1001" s="3" t="s">
        <v>3985</v>
      </c>
      <c r="G1001" s="10">
        <v>0</v>
      </c>
      <c r="H1001" s="3" t="s">
        <v>19</v>
      </c>
      <c r="I1001" t="s">
        <v>3974</v>
      </c>
      <c r="J1001" s="3" t="s">
        <v>3931</v>
      </c>
      <c r="K1001" t="s">
        <v>6176</v>
      </c>
      <c r="L1001" s="3" t="s">
        <v>6178</v>
      </c>
      <c r="M1001" t="s">
        <v>6179</v>
      </c>
      <c r="N1001" s="8">
        <v>3.9640000000000002E-2</v>
      </c>
    </row>
    <row r="1002" spans="1:14" hidden="1" x14ac:dyDescent="0.55000000000000004">
      <c r="A1002" s="3" t="s">
        <v>3840</v>
      </c>
      <c r="B1002" s="3" t="s">
        <v>3969</v>
      </c>
      <c r="C1002" t="s">
        <v>3969</v>
      </c>
      <c r="D1002" s="3" t="s">
        <v>7312</v>
      </c>
      <c r="E1002" t="s">
        <v>3984</v>
      </c>
      <c r="F1002" s="3" t="s">
        <v>3985</v>
      </c>
      <c r="G1002" s="10">
        <v>0</v>
      </c>
      <c r="H1002" s="3" t="s">
        <v>19</v>
      </c>
      <c r="I1002" t="s">
        <v>3932</v>
      </c>
      <c r="J1002" s="3" t="s">
        <v>3931</v>
      </c>
      <c r="K1002" t="s">
        <v>6176</v>
      </c>
      <c r="L1002" s="3" t="s">
        <v>6180</v>
      </c>
      <c r="M1002" t="s">
        <v>6181</v>
      </c>
      <c r="N1002" s="8">
        <v>4.1999999999999997E-3</v>
      </c>
    </row>
    <row r="1003" spans="1:14" hidden="1" x14ac:dyDescent="0.55000000000000004">
      <c r="A1003" s="3" t="s">
        <v>3840</v>
      </c>
      <c r="B1003" s="3" t="s">
        <v>3969</v>
      </c>
      <c r="C1003" t="s">
        <v>3969</v>
      </c>
      <c r="D1003" s="3" t="s">
        <v>7312</v>
      </c>
      <c r="E1003" t="s">
        <v>3984</v>
      </c>
      <c r="F1003" s="3" t="s">
        <v>3985</v>
      </c>
      <c r="G1003" s="10">
        <v>0</v>
      </c>
      <c r="H1003" s="3" t="s">
        <v>19</v>
      </c>
      <c r="I1003" t="s">
        <v>3933</v>
      </c>
      <c r="J1003" s="3" t="s">
        <v>3931</v>
      </c>
      <c r="K1003" t="s">
        <v>6176</v>
      </c>
      <c r="L1003" s="3" t="s">
        <v>6181</v>
      </c>
      <c r="M1003" t="s">
        <v>6177</v>
      </c>
      <c r="N1003" s="8">
        <v>4.2519000000000001E-2</v>
      </c>
    </row>
    <row r="1004" spans="1:14" hidden="1" x14ac:dyDescent="0.55000000000000004">
      <c r="A1004" s="3" t="s">
        <v>3840</v>
      </c>
      <c r="B1004" s="3" t="s">
        <v>3992</v>
      </c>
      <c r="C1004" t="s">
        <v>3992</v>
      </c>
      <c r="D1004" s="3" t="s">
        <v>7312</v>
      </c>
      <c r="E1004" t="s">
        <v>3993</v>
      </c>
      <c r="F1004" s="3" t="s">
        <v>3994</v>
      </c>
      <c r="G1004" s="10">
        <v>1</v>
      </c>
      <c r="H1004" s="3" t="s">
        <v>19</v>
      </c>
      <c r="I1004" t="s">
        <v>3932</v>
      </c>
      <c r="J1004" s="3" t="s">
        <v>3931</v>
      </c>
      <c r="K1004" t="s">
        <v>6176</v>
      </c>
      <c r="L1004" s="3" t="s">
        <v>6180</v>
      </c>
      <c r="M1004" t="s">
        <v>6181</v>
      </c>
      <c r="N1004" s="8">
        <v>4.1999999999999997E-3</v>
      </c>
    </row>
    <row r="1005" spans="1:14" hidden="1" x14ac:dyDescent="0.55000000000000004">
      <c r="A1005" s="3" t="s">
        <v>3840</v>
      </c>
      <c r="B1005" s="3" t="s">
        <v>3992</v>
      </c>
      <c r="C1005" t="s">
        <v>3992</v>
      </c>
      <c r="D1005" s="3" t="s">
        <v>7312</v>
      </c>
      <c r="E1005" t="s">
        <v>3993</v>
      </c>
      <c r="F1005" s="3" t="s">
        <v>3994</v>
      </c>
      <c r="G1005" s="10">
        <v>1</v>
      </c>
      <c r="H1005" s="3" t="s">
        <v>19</v>
      </c>
      <c r="I1005" t="s">
        <v>3933</v>
      </c>
      <c r="J1005" s="3" t="s">
        <v>3931</v>
      </c>
      <c r="K1005" t="s">
        <v>6176</v>
      </c>
      <c r="L1005" s="3" t="s">
        <v>6181</v>
      </c>
      <c r="M1005" t="s">
        <v>6177</v>
      </c>
      <c r="N1005" s="8">
        <v>4.2519000000000001E-2</v>
      </c>
    </row>
    <row r="1006" spans="1:14" hidden="1" x14ac:dyDescent="0.55000000000000004">
      <c r="A1006" s="3" t="s">
        <v>3840</v>
      </c>
      <c r="B1006" s="3" t="s">
        <v>3992</v>
      </c>
      <c r="C1006" t="s">
        <v>3992</v>
      </c>
      <c r="D1006" s="3" t="s">
        <v>7312</v>
      </c>
      <c r="E1006" t="s">
        <v>3993</v>
      </c>
      <c r="F1006" s="3" t="s">
        <v>3994</v>
      </c>
      <c r="G1006" s="10">
        <v>1</v>
      </c>
      <c r="H1006" s="3" t="s">
        <v>24</v>
      </c>
      <c r="I1006" t="s">
        <v>3999</v>
      </c>
      <c r="J1006" s="3" t="s">
        <v>138</v>
      </c>
      <c r="K1006" t="s">
        <v>23</v>
      </c>
      <c r="L1006" s="3" t="s">
        <v>5837</v>
      </c>
      <c r="M1006" t="s">
        <v>23</v>
      </c>
      <c r="N1006" s="8">
        <v>0.15113299999999999</v>
      </c>
    </row>
    <row r="1007" spans="1:14" hidden="1" x14ac:dyDescent="0.55000000000000004">
      <c r="A1007" s="3" t="s">
        <v>3840</v>
      </c>
      <c r="B1007" s="3" t="s">
        <v>4009</v>
      </c>
      <c r="C1007" t="s">
        <v>4009</v>
      </c>
      <c r="D1007" s="3" t="s">
        <v>7312</v>
      </c>
      <c r="E1007" t="s">
        <v>4010</v>
      </c>
      <c r="F1007" s="3" t="s">
        <v>4011</v>
      </c>
      <c r="G1007" s="10">
        <v>0</v>
      </c>
      <c r="H1007" s="3" t="s">
        <v>19</v>
      </c>
      <c r="I1007" t="s">
        <v>4014</v>
      </c>
      <c r="J1007" s="3" t="s">
        <v>1770</v>
      </c>
      <c r="K1007" t="s">
        <v>6006</v>
      </c>
      <c r="L1007" s="3" t="s">
        <v>6161</v>
      </c>
      <c r="M1007" t="s">
        <v>6182</v>
      </c>
      <c r="N1007" s="8">
        <v>2.9364000000000001E-2</v>
      </c>
    </row>
    <row r="1008" spans="1:14" hidden="1" x14ac:dyDescent="0.55000000000000004">
      <c r="A1008" s="3" t="s">
        <v>3840</v>
      </c>
      <c r="B1008" s="3" t="s">
        <v>4009</v>
      </c>
      <c r="C1008" t="s">
        <v>4009</v>
      </c>
      <c r="D1008" s="3" t="s">
        <v>7312</v>
      </c>
      <c r="E1008" t="s">
        <v>4020</v>
      </c>
      <c r="F1008" s="3" t="s">
        <v>4021</v>
      </c>
      <c r="G1008" s="10">
        <v>1</v>
      </c>
      <c r="H1008" s="3" t="s">
        <v>19</v>
      </c>
      <c r="I1008" t="s">
        <v>4024</v>
      </c>
      <c r="J1008" s="3" t="s">
        <v>1770</v>
      </c>
      <c r="K1008" t="s">
        <v>6006</v>
      </c>
      <c r="L1008" s="3" t="s">
        <v>6161</v>
      </c>
      <c r="M1008" t="s">
        <v>6182</v>
      </c>
      <c r="N1008" s="8">
        <v>2.9364000000000001E-2</v>
      </c>
    </row>
    <row r="1009" spans="1:14" hidden="1" x14ac:dyDescent="0.55000000000000004">
      <c r="A1009" s="3" t="s">
        <v>3840</v>
      </c>
      <c r="B1009" s="3" t="s">
        <v>7376</v>
      </c>
      <c r="C1009" t="s">
        <v>4030</v>
      </c>
      <c r="D1009" s="3" t="s">
        <v>7312</v>
      </c>
      <c r="E1009" t="s">
        <v>4031</v>
      </c>
      <c r="F1009" s="3" t="s">
        <v>4032</v>
      </c>
      <c r="G1009" s="10">
        <v>1</v>
      </c>
      <c r="H1009" s="3" t="s">
        <v>19</v>
      </c>
      <c r="I1009" t="s">
        <v>4035</v>
      </c>
      <c r="J1009" s="3" t="s">
        <v>3865</v>
      </c>
      <c r="K1009" t="s">
        <v>6160</v>
      </c>
      <c r="L1009" s="3" t="s">
        <v>6161</v>
      </c>
      <c r="M1009" t="s">
        <v>6183</v>
      </c>
      <c r="N1009" s="8">
        <v>2.2311999999999999E-2</v>
      </c>
    </row>
    <row r="1010" spans="1:14" hidden="1" x14ac:dyDescent="0.55000000000000004">
      <c r="A1010" s="3" t="s">
        <v>3840</v>
      </c>
      <c r="B1010" s="3" t="s">
        <v>7376</v>
      </c>
      <c r="C1010" t="s">
        <v>4030</v>
      </c>
      <c r="D1010" s="3" t="s">
        <v>7312</v>
      </c>
      <c r="E1010" t="s">
        <v>4031</v>
      </c>
      <c r="F1010" s="3" t="s">
        <v>4032</v>
      </c>
      <c r="G1010" s="10">
        <v>1</v>
      </c>
      <c r="H1010" s="3" t="s">
        <v>24</v>
      </c>
      <c r="I1010" t="s">
        <v>4038</v>
      </c>
      <c r="J1010" s="3" t="s">
        <v>46</v>
      </c>
      <c r="K1010" t="s">
        <v>5836</v>
      </c>
      <c r="L1010" s="3" t="s">
        <v>5837</v>
      </c>
      <c r="M1010" t="s">
        <v>6163</v>
      </c>
      <c r="N1010" s="8">
        <v>0.14363300000000001</v>
      </c>
    </row>
    <row r="1011" spans="1:14" hidden="1" x14ac:dyDescent="0.55000000000000004">
      <c r="A1011" s="3" t="s">
        <v>3840</v>
      </c>
      <c r="B1011" s="3" t="s">
        <v>4041</v>
      </c>
      <c r="C1011" t="s">
        <v>4041</v>
      </c>
      <c r="D1011" s="3" t="s">
        <v>7312</v>
      </c>
      <c r="E1011" t="s">
        <v>4042</v>
      </c>
      <c r="F1011" s="3" t="s">
        <v>4043</v>
      </c>
      <c r="G1011" s="10">
        <v>0</v>
      </c>
      <c r="H1011" s="3" t="s">
        <v>24</v>
      </c>
      <c r="I1011" t="s">
        <v>4046</v>
      </c>
      <c r="J1011" s="3" t="s">
        <v>40</v>
      </c>
      <c r="K1011" t="s">
        <v>23</v>
      </c>
      <c r="L1011" s="3" t="s">
        <v>5835</v>
      </c>
      <c r="M1011" t="s">
        <v>23</v>
      </c>
      <c r="N1011" s="8">
        <v>0.18315300000000001</v>
      </c>
    </row>
    <row r="1012" spans="1:14" hidden="1" x14ac:dyDescent="0.55000000000000004">
      <c r="A1012" s="3" t="s">
        <v>3840</v>
      </c>
      <c r="B1012" s="3" t="s">
        <v>4047</v>
      </c>
      <c r="C1012" t="s">
        <v>4048</v>
      </c>
      <c r="D1012" s="3" t="s">
        <v>7312</v>
      </c>
      <c r="E1012" t="s">
        <v>4049</v>
      </c>
      <c r="F1012" s="3" t="s">
        <v>4050</v>
      </c>
      <c r="G1012" s="10">
        <v>0</v>
      </c>
      <c r="H1012" s="3" t="s">
        <v>24</v>
      </c>
      <c r="I1012" t="s">
        <v>4053</v>
      </c>
      <c r="J1012" s="3" t="s">
        <v>40</v>
      </c>
      <c r="K1012" t="s">
        <v>23</v>
      </c>
      <c r="L1012" s="3" t="s">
        <v>5835</v>
      </c>
      <c r="M1012" t="s">
        <v>23</v>
      </c>
      <c r="N1012" s="8">
        <v>0.183058</v>
      </c>
    </row>
    <row r="1013" spans="1:14" hidden="1" x14ac:dyDescent="0.55000000000000004">
      <c r="A1013" s="3" t="s">
        <v>3840</v>
      </c>
      <c r="B1013" s="3" t="s">
        <v>4054</v>
      </c>
      <c r="C1013" t="s">
        <v>4054</v>
      </c>
      <c r="D1013" s="3" t="s">
        <v>7312</v>
      </c>
      <c r="E1013" t="s">
        <v>4055</v>
      </c>
      <c r="F1013" s="3" t="s">
        <v>4056</v>
      </c>
      <c r="G1013" s="10">
        <v>0</v>
      </c>
      <c r="H1013" s="3" t="s">
        <v>24</v>
      </c>
      <c r="I1013" t="s">
        <v>4059</v>
      </c>
      <c r="J1013" s="3" t="s">
        <v>40</v>
      </c>
      <c r="K1013" t="s">
        <v>23</v>
      </c>
      <c r="L1013" s="3" t="s">
        <v>5835</v>
      </c>
      <c r="M1013" t="s">
        <v>23</v>
      </c>
      <c r="N1013" s="8">
        <v>0.18332899999999999</v>
      </c>
    </row>
    <row r="1014" spans="1:14" hidden="1" x14ac:dyDescent="0.55000000000000004">
      <c r="A1014" s="3" t="s">
        <v>3840</v>
      </c>
      <c r="B1014" s="3" t="s">
        <v>4060</v>
      </c>
      <c r="C1014" t="s">
        <v>4060</v>
      </c>
      <c r="D1014" s="3" t="s">
        <v>7312</v>
      </c>
      <c r="E1014" t="s">
        <v>4061</v>
      </c>
      <c r="F1014" s="3" t="s">
        <v>4062</v>
      </c>
      <c r="G1014" s="10">
        <v>1</v>
      </c>
      <c r="H1014" s="3" t="s">
        <v>19</v>
      </c>
      <c r="I1014" t="s">
        <v>4065</v>
      </c>
      <c r="J1014" s="3" t="s">
        <v>3865</v>
      </c>
      <c r="K1014" t="s">
        <v>6160</v>
      </c>
      <c r="L1014" s="3" t="s">
        <v>6161</v>
      </c>
      <c r="M1014" t="s">
        <v>6184</v>
      </c>
      <c r="N1014" s="8">
        <v>8.4239999999999992E-3</v>
      </c>
    </row>
    <row r="1015" spans="1:14" hidden="1" x14ac:dyDescent="0.55000000000000004">
      <c r="A1015" s="3" t="s">
        <v>3840</v>
      </c>
      <c r="B1015" s="3" t="s">
        <v>4048</v>
      </c>
      <c r="C1015" t="s">
        <v>4048</v>
      </c>
      <c r="D1015" s="3" t="s">
        <v>7312</v>
      </c>
      <c r="E1015" t="s">
        <v>4081</v>
      </c>
      <c r="F1015" s="3" t="s">
        <v>4082</v>
      </c>
      <c r="G1015" s="10">
        <v>0</v>
      </c>
      <c r="H1015" s="3" t="s">
        <v>24</v>
      </c>
      <c r="I1015" t="s">
        <v>4085</v>
      </c>
      <c r="J1015" s="3" t="s">
        <v>40</v>
      </c>
      <c r="K1015" t="s">
        <v>23</v>
      </c>
      <c r="L1015" s="3" t="s">
        <v>5835</v>
      </c>
      <c r="M1015" t="s">
        <v>23</v>
      </c>
      <c r="N1015" s="8">
        <v>0.18314900000000001</v>
      </c>
    </row>
    <row r="1016" spans="1:14" hidden="1" x14ac:dyDescent="0.55000000000000004">
      <c r="A1016" s="3" t="s">
        <v>3840</v>
      </c>
      <c r="B1016" s="3" t="s">
        <v>4048</v>
      </c>
      <c r="C1016" t="s">
        <v>4048</v>
      </c>
      <c r="D1016" s="3" t="s">
        <v>7312</v>
      </c>
      <c r="E1016" t="s">
        <v>4086</v>
      </c>
      <c r="F1016" s="3" t="s">
        <v>4087</v>
      </c>
      <c r="G1016" s="10">
        <v>1</v>
      </c>
      <c r="H1016" s="3" t="s">
        <v>19</v>
      </c>
      <c r="I1016" t="s">
        <v>4090</v>
      </c>
      <c r="J1016" s="3" t="s">
        <v>4091</v>
      </c>
      <c r="K1016" t="s">
        <v>6185</v>
      </c>
      <c r="L1016" s="3" t="s">
        <v>6158</v>
      </c>
      <c r="M1016" t="s">
        <v>6186</v>
      </c>
      <c r="N1016" s="8">
        <v>4.8211999999999998E-2</v>
      </c>
    </row>
    <row r="1017" spans="1:14" hidden="1" x14ac:dyDescent="0.55000000000000004">
      <c r="A1017" s="9" t="s">
        <v>3840</v>
      </c>
      <c r="B1017" s="3" t="s">
        <v>4048</v>
      </c>
      <c r="C1017" t="s">
        <v>4048</v>
      </c>
      <c r="D1017" s="3" t="s">
        <v>7312</v>
      </c>
      <c r="E1017" t="s">
        <v>4086</v>
      </c>
      <c r="F1017" s="3" t="s">
        <v>4087</v>
      </c>
      <c r="G1017" s="10">
        <v>1</v>
      </c>
      <c r="H1017" s="3" t="s">
        <v>24</v>
      </c>
      <c r="I1017" t="s">
        <v>4085</v>
      </c>
      <c r="J1017" s="3" t="s">
        <v>40</v>
      </c>
      <c r="K1017" t="s">
        <v>23</v>
      </c>
      <c r="L1017" s="3" t="s">
        <v>5835</v>
      </c>
      <c r="M1017" t="s">
        <v>23</v>
      </c>
      <c r="N1017" s="8">
        <v>0.18314900000000001</v>
      </c>
    </row>
    <row r="1018" spans="1:14" hidden="1" x14ac:dyDescent="0.55000000000000004">
      <c r="A1018" s="3" t="s">
        <v>4092</v>
      </c>
      <c r="B1018" s="3" t="s">
        <v>4093</v>
      </c>
      <c r="C1018" t="s">
        <v>4093</v>
      </c>
      <c r="D1018" s="3" t="s">
        <v>7312</v>
      </c>
      <c r="E1018" t="s">
        <v>4094</v>
      </c>
      <c r="F1018" s="3" t="s">
        <v>4095</v>
      </c>
      <c r="G1018" s="10">
        <v>0</v>
      </c>
      <c r="H1018" s="3" t="s">
        <v>24</v>
      </c>
      <c r="I1018" t="s">
        <v>4098</v>
      </c>
      <c r="J1018" s="3" t="s">
        <v>55</v>
      </c>
      <c r="K1018" t="s">
        <v>23</v>
      </c>
      <c r="L1018" s="3" t="s">
        <v>5839</v>
      </c>
      <c r="M1018" t="s">
        <v>23</v>
      </c>
      <c r="N1018" s="8">
        <v>0.18485499999999999</v>
      </c>
    </row>
    <row r="1019" spans="1:14" hidden="1" x14ac:dyDescent="0.55000000000000004">
      <c r="A1019" s="3" t="s">
        <v>4092</v>
      </c>
      <c r="B1019" s="3" t="s">
        <v>4099</v>
      </c>
      <c r="C1019" t="s">
        <v>4099</v>
      </c>
      <c r="D1019" s="3" t="s">
        <v>7312</v>
      </c>
      <c r="E1019" t="s">
        <v>4100</v>
      </c>
      <c r="F1019" s="3" t="s">
        <v>4101</v>
      </c>
      <c r="G1019" s="10">
        <v>1</v>
      </c>
      <c r="H1019" s="3" t="s">
        <v>19</v>
      </c>
      <c r="I1019" t="s">
        <v>213</v>
      </c>
      <c r="J1019" s="3" t="s">
        <v>64</v>
      </c>
      <c r="K1019" t="s">
        <v>5858</v>
      </c>
      <c r="L1019" s="3" t="s">
        <v>5859</v>
      </c>
      <c r="M1019" t="s">
        <v>5860</v>
      </c>
      <c r="N1019" s="8">
        <v>6.7199999999999996E-2</v>
      </c>
    </row>
    <row r="1020" spans="1:14" hidden="1" x14ac:dyDescent="0.55000000000000004">
      <c r="A1020" s="3" t="s">
        <v>4092</v>
      </c>
      <c r="B1020" s="3" t="s">
        <v>4099</v>
      </c>
      <c r="C1020" t="s">
        <v>4099</v>
      </c>
      <c r="D1020" s="3" t="s">
        <v>7312</v>
      </c>
      <c r="E1020" t="s">
        <v>4100</v>
      </c>
      <c r="F1020" s="3" t="s">
        <v>4101</v>
      </c>
      <c r="G1020" s="10">
        <v>1</v>
      </c>
      <c r="H1020" s="3" t="s">
        <v>19</v>
      </c>
      <c r="I1020" t="s">
        <v>213</v>
      </c>
      <c r="J1020" s="3" t="s">
        <v>64</v>
      </c>
      <c r="K1020" t="s">
        <v>5858</v>
      </c>
      <c r="L1020" s="3" t="s">
        <v>5861</v>
      </c>
      <c r="M1020" t="s">
        <v>5860</v>
      </c>
      <c r="N1020" s="8">
        <v>6.7199999999999996E-2</v>
      </c>
    </row>
    <row r="1021" spans="1:14" hidden="1" x14ac:dyDescent="0.55000000000000004">
      <c r="A1021" s="3" t="s">
        <v>4092</v>
      </c>
      <c r="B1021" s="3" t="s">
        <v>4099</v>
      </c>
      <c r="C1021" t="s">
        <v>4099</v>
      </c>
      <c r="D1021" s="3" t="s">
        <v>7312</v>
      </c>
      <c r="E1021" t="s">
        <v>4100</v>
      </c>
      <c r="F1021" s="3" t="s">
        <v>4101</v>
      </c>
      <c r="G1021" s="10">
        <v>1</v>
      </c>
      <c r="H1021" s="3" t="s">
        <v>19</v>
      </c>
      <c r="I1021" t="s">
        <v>213</v>
      </c>
      <c r="J1021" s="3" t="s">
        <v>64</v>
      </c>
      <c r="K1021" t="s">
        <v>5858</v>
      </c>
      <c r="L1021" s="3" t="s">
        <v>5862</v>
      </c>
      <c r="M1021" t="s">
        <v>5860</v>
      </c>
      <c r="N1021" s="8">
        <v>6.7199999999999996E-2</v>
      </c>
    </row>
    <row r="1022" spans="1:14" hidden="1" x14ac:dyDescent="0.55000000000000004">
      <c r="A1022" s="3" t="s">
        <v>4092</v>
      </c>
      <c r="B1022" s="3" t="s">
        <v>4099</v>
      </c>
      <c r="C1022" t="s">
        <v>4099</v>
      </c>
      <c r="D1022" s="3" t="s">
        <v>7312</v>
      </c>
      <c r="E1022" t="s">
        <v>4100</v>
      </c>
      <c r="F1022" s="3" t="s">
        <v>4101</v>
      </c>
      <c r="G1022" s="10">
        <v>1</v>
      </c>
      <c r="H1022" s="3" t="s">
        <v>19</v>
      </c>
      <c r="I1022" t="s">
        <v>4104</v>
      </c>
      <c r="J1022" s="3" t="s">
        <v>212</v>
      </c>
      <c r="K1022" t="s">
        <v>5855</v>
      </c>
      <c r="L1022" s="3" t="s">
        <v>5856</v>
      </c>
      <c r="M1022" t="s">
        <v>6187</v>
      </c>
      <c r="N1022" s="8">
        <v>6.9040000000000004E-2</v>
      </c>
    </row>
    <row r="1023" spans="1:14" hidden="1" x14ac:dyDescent="0.55000000000000004">
      <c r="A1023" s="3" t="s">
        <v>4092</v>
      </c>
      <c r="B1023" s="3" t="s">
        <v>4099</v>
      </c>
      <c r="C1023" t="s">
        <v>4099</v>
      </c>
      <c r="D1023" s="3" t="s">
        <v>7312</v>
      </c>
      <c r="E1023" t="s">
        <v>4100</v>
      </c>
      <c r="F1023" s="3" t="s">
        <v>4101</v>
      </c>
      <c r="G1023" s="10">
        <v>1</v>
      </c>
      <c r="H1023" s="3" t="s">
        <v>24</v>
      </c>
      <c r="I1023" t="s">
        <v>4107</v>
      </c>
      <c r="J1023" s="3" t="s">
        <v>55</v>
      </c>
      <c r="K1023" t="s">
        <v>23</v>
      </c>
      <c r="L1023" s="3" t="s">
        <v>5839</v>
      </c>
      <c r="M1023" t="s">
        <v>23</v>
      </c>
      <c r="N1023" s="8">
        <v>0.18299199999999999</v>
      </c>
    </row>
    <row r="1024" spans="1:14" hidden="1" x14ac:dyDescent="0.55000000000000004">
      <c r="A1024" s="3" t="s">
        <v>4092</v>
      </c>
      <c r="B1024" s="3" t="s">
        <v>4108</v>
      </c>
      <c r="C1024" t="s">
        <v>4109</v>
      </c>
      <c r="D1024" s="3" t="s">
        <v>7312</v>
      </c>
      <c r="E1024" t="s">
        <v>4110</v>
      </c>
      <c r="F1024" s="3" t="s">
        <v>4111</v>
      </c>
      <c r="G1024" s="10">
        <v>1</v>
      </c>
      <c r="H1024" s="3" t="s">
        <v>19</v>
      </c>
      <c r="I1024" t="s">
        <v>4115</v>
      </c>
      <c r="J1024" s="3" t="s">
        <v>1610</v>
      </c>
      <c r="K1024" t="s">
        <v>5985</v>
      </c>
      <c r="L1024" s="3" t="s">
        <v>6188</v>
      </c>
      <c r="M1024" t="s">
        <v>6189</v>
      </c>
      <c r="N1024" s="8">
        <v>7.1429000000000006E-2</v>
      </c>
    </row>
    <row r="1025" spans="1:14" hidden="1" x14ac:dyDescent="0.55000000000000004">
      <c r="A1025" s="3" t="s">
        <v>4092</v>
      </c>
      <c r="B1025" s="3" t="s">
        <v>4108</v>
      </c>
      <c r="C1025" t="s">
        <v>4109</v>
      </c>
      <c r="D1025" s="3" t="s">
        <v>7312</v>
      </c>
      <c r="E1025" t="s">
        <v>4110</v>
      </c>
      <c r="F1025" s="3" t="s">
        <v>4111</v>
      </c>
      <c r="G1025" s="10">
        <v>1</v>
      </c>
      <c r="H1025" s="3" t="s">
        <v>24</v>
      </c>
      <c r="I1025" t="s">
        <v>4118</v>
      </c>
      <c r="J1025" s="3" t="s">
        <v>55</v>
      </c>
      <c r="K1025" t="s">
        <v>23</v>
      </c>
      <c r="L1025" s="3" t="s">
        <v>5839</v>
      </c>
      <c r="M1025" t="s">
        <v>23</v>
      </c>
      <c r="N1025" s="8">
        <v>0.18310399999999999</v>
      </c>
    </row>
    <row r="1026" spans="1:14" hidden="1" x14ac:dyDescent="0.55000000000000004">
      <c r="A1026" s="3" t="s">
        <v>4092</v>
      </c>
      <c r="B1026" s="3" t="s">
        <v>4119</v>
      </c>
      <c r="C1026" t="s">
        <v>4119</v>
      </c>
      <c r="D1026" s="3" t="s">
        <v>7312</v>
      </c>
      <c r="E1026" t="s">
        <v>4120</v>
      </c>
      <c r="F1026" s="3" t="s">
        <v>4121</v>
      </c>
      <c r="G1026" s="10">
        <v>0</v>
      </c>
      <c r="H1026" s="3" t="s">
        <v>24</v>
      </c>
      <c r="I1026" t="s">
        <v>4124</v>
      </c>
      <c r="J1026" s="3" t="s">
        <v>55</v>
      </c>
      <c r="K1026" t="s">
        <v>23</v>
      </c>
      <c r="L1026" s="3" t="s">
        <v>5839</v>
      </c>
      <c r="M1026" t="s">
        <v>23</v>
      </c>
      <c r="N1026" s="8">
        <v>0.18374099999999999</v>
      </c>
    </row>
    <row r="1027" spans="1:14" hidden="1" x14ac:dyDescent="0.55000000000000004">
      <c r="A1027" s="3" t="s">
        <v>4092</v>
      </c>
      <c r="B1027" s="3" t="s">
        <v>4119</v>
      </c>
      <c r="C1027" t="s">
        <v>4119</v>
      </c>
      <c r="D1027" s="3" t="s">
        <v>7312</v>
      </c>
      <c r="E1027" t="s">
        <v>4125</v>
      </c>
      <c r="F1027" s="3" t="s">
        <v>4126</v>
      </c>
      <c r="G1027" s="10">
        <v>1</v>
      </c>
      <c r="H1027" s="3" t="s">
        <v>19</v>
      </c>
      <c r="I1027" t="s">
        <v>213</v>
      </c>
      <c r="J1027" s="3" t="s">
        <v>64</v>
      </c>
      <c r="K1027" t="s">
        <v>5858</v>
      </c>
      <c r="L1027" s="3" t="s">
        <v>5859</v>
      </c>
      <c r="M1027" t="s">
        <v>5860</v>
      </c>
      <c r="N1027" s="8">
        <v>6.7199999999999996E-2</v>
      </c>
    </row>
    <row r="1028" spans="1:14" hidden="1" x14ac:dyDescent="0.55000000000000004">
      <c r="A1028" s="3" t="s">
        <v>4092</v>
      </c>
      <c r="B1028" s="3" t="s">
        <v>4119</v>
      </c>
      <c r="C1028" t="s">
        <v>4119</v>
      </c>
      <c r="D1028" s="3" t="s">
        <v>7312</v>
      </c>
      <c r="E1028" t="s">
        <v>4125</v>
      </c>
      <c r="F1028" s="3" t="s">
        <v>4126</v>
      </c>
      <c r="G1028" s="10">
        <v>1</v>
      </c>
      <c r="H1028" s="3" t="s">
        <v>19</v>
      </c>
      <c r="I1028" t="s">
        <v>213</v>
      </c>
      <c r="J1028" s="3" t="s">
        <v>64</v>
      </c>
      <c r="K1028" t="s">
        <v>5858</v>
      </c>
      <c r="L1028" s="3" t="s">
        <v>5861</v>
      </c>
      <c r="M1028" t="s">
        <v>5860</v>
      </c>
      <c r="N1028" s="8">
        <v>6.7199999999999996E-2</v>
      </c>
    </row>
    <row r="1029" spans="1:14" hidden="1" x14ac:dyDescent="0.55000000000000004">
      <c r="A1029" s="3" t="s">
        <v>4092</v>
      </c>
      <c r="B1029" s="3" t="s">
        <v>4119</v>
      </c>
      <c r="C1029" t="s">
        <v>4119</v>
      </c>
      <c r="D1029" s="3" t="s">
        <v>7312</v>
      </c>
      <c r="E1029" t="s">
        <v>4125</v>
      </c>
      <c r="F1029" s="3" t="s">
        <v>4126</v>
      </c>
      <c r="G1029" s="10">
        <v>1</v>
      </c>
      <c r="H1029" s="3" t="s">
        <v>19</v>
      </c>
      <c r="I1029" t="s">
        <v>213</v>
      </c>
      <c r="J1029" s="3" t="s">
        <v>64</v>
      </c>
      <c r="K1029" t="s">
        <v>5858</v>
      </c>
      <c r="L1029" s="3" t="s">
        <v>5862</v>
      </c>
      <c r="M1029" t="s">
        <v>5860</v>
      </c>
      <c r="N1029" s="8">
        <v>6.7199999999999996E-2</v>
      </c>
    </row>
    <row r="1030" spans="1:14" hidden="1" x14ac:dyDescent="0.55000000000000004">
      <c r="A1030" s="3" t="s">
        <v>4092</v>
      </c>
      <c r="B1030" s="3" t="s">
        <v>4119</v>
      </c>
      <c r="C1030" t="s">
        <v>4119</v>
      </c>
      <c r="D1030" s="3" t="s">
        <v>7312</v>
      </c>
      <c r="E1030" t="s">
        <v>4125</v>
      </c>
      <c r="F1030" s="3" t="s">
        <v>4126</v>
      </c>
      <c r="G1030" s="10">
        <v>1</v>
      </c>
      <c r="H1030" s="3" t="s">
        <v>19</v>
      </c>
      <c r="I1030" t="s">
        <v>4129</v>
      </c>
      <c r="J1030" s="3" t="s">
        <v>212</v>
      </c>
      <c r="K1030" t="s">
        <v>5855</v>
      </c>
      <c r="L1030" s="3" t="s">
        <v>5856</v>
      </c>
      <c r="M1030" t="s">
        <v>6190</v>
      </c>
      <c r="N1030" s="8">
        <v>4.1102E-2</v>
      </c>
    </row>
    <row r="1031" spans="1:14" hidden="1" x14ac:dyDescent="0.55000000000000004">
      <c r="A1031" s="3" t="s">
        <v>4092</v>
      </c>
      <c r="B1031" s="3" t="s">
        <v>4119</v>
      </c>
      <c r="C1031" t="s">
        <v>4119</v>
      </c>
      <c r="D1031" s="3" t="s">
        <v>7312</v>
      </c>
      <c r="E1031" t="s">
        <v>4125</v>
      </c>
      <c r="F1031" s="3" t="s">
        <v>4126</v>
      </c>
      <c r="G1031" s="10">
        <v>1</v>
      </c>
      <c r="H1031" s="3" t="s">
        <v>19</v>
      </c>
      <c r="I1031" t="s">
        <v>4129</v>
      </c>
      <c r="J1031" s="3" t="s">
        <v>212</v>
      </c>
      <c r="K1031" t="s">
        <v>5855</v>
      </c>
      <c r="L1031" s="3" t="s">
        <v>5856</v>
      </c>
      <c r="M1031" t="s">
        <v>6191</v>
      </c>
      <c r="N1031" s="8">
        <v>4.1102E-2</v>
      </c>
    </row>
    <row r="1032" spans="1:14" hidden="1" x14ac:dyDescent="0.55000000000000004">
      <c r="A1032" s="3" t="s">
        <v>4092</v>
      </c>
      <c r="B1032" s="3" t="s">
        <v>4119</v>
      </c>
      <c r="C1032" t="s">
        <v>4119</v>
      </c>
      <c r="D1032" s="3" t="s">
        <v>7312</v>
      </c>
      <c r="E1032" t="s">
        <v>4125</v>
      </c>
      <c r="F1032" s="3" t="s">
        <v>4126</v>
      </c>
      <c r="G1032" s="10">
        <v>1</v>
      </c>
      <c r="H1032" s="3" t="s">
        <v>24</v>
      </c>
      <c r="I1032" t="s">
        <v>4124</v>
      </c>
      <c r="J1032" s="3" t="s">
        <v>55</v>
      </c>
      <c r="K1032" t="s">
        <v>23</v>
      </c>
      <c r="L1032" s="3" t="s">
        <v>5839</v>
      </c>
      <c r="M1032" t="s">
        <v>23</v>
      </c>
      <c r="N1032" s="8">
        <v>0.18374099999999999</v>
      </c>
    </row>
    <row r="1033" spans="1:14" hidden="1" x14ac:dyDescent="0.55000000000000004">
      <c r="A1033" s="3" t="s">
        <v>4092</v>
      </c>
      <c r="B1033" s="3" t="s">
        <v>4119</v>
      </c>
      <c r="C1033" t="s">
        <v>4119</v>
      </c>
      <c r="D1033" s="3" t="s">
        <v>7312</v>
      </c>
      <c r="E1033" t="s">
        <v>4131</v>
      </c>
      <c r="F1033" s="3" t="s">
        <v>4132</v>
      </c>
      <c r="G1033" s="10">
        <v>0</v>
      </c>
      <c r="H1033" s="3" t="s">
        <v>24</v>
      </c>
      <c r="I1033" t="s">
        <v>4124</v>
      </c>
      <c r="J1033" s="3" t="s">
        <v>55</v>
      </c>
      <c r="K1033" t="s">
        <v>23</v>
      </c>
      <c r="L1033" s="3" t="s">
        <v>5839</v>
      </c>
      <c r="M1033" t="s">
        <v>23</v>
      </c>
      <c r="N1033" s="8">
        <v>0.18374099999999999</v>
      </c>
    </row>
    <row r="1034" spans="1:14" hidden="1" x14ac:dyDescent="0.55000000000000004">
      <c r="A1034" s="3" t="s">
        <v>4092</v>
      </c>
      <c r="B1034" s="3" t="s">
        <v>4133</v>
      </c>
      <c r="C1034" t="s">
        <v>4133</v>
      </c>
      <c r="D1034" s="3" t="s">
        <v>7312</v>
      </c>
      <c r="E1034" t="s">
        <v>4134</v>
      </c>
      <c r="F1034" s="3" t="s">
        <v>4135</v>
      </c>
      <c r="G1034" s="10">
        <v>0</v>
      </c>
      <c r="H1034" s="3" t="s">
        <v>24</v>
      </c>
      <c r="I1034" t="s">
        <v>4138</v>
      </c>
      <c r="J1034" s="3" t="s">
        <v>55</v>
      </c>
      <c r="K1034" t="s">
        <v>23</v>
      </c>
      <c r="L1034" s="3" t="s">
        <v>5839</v>
      </c>
      <c r="M1034" t="s">
        <v>23</v>
      </c>
      <c r="N1034" s="8">
        <v>0.18257200000000001</v>
      </c>
    </row>
    <row r="1035" spans="1:14" hidden="1" x14ac:dyDescent="0.55000000000000004">
      <c r="A1035" s="3" t="s">
        <v>4092</v>
      </c>
      <c r="B1035" s="3" t="s">
        <v>4109</v>
      </c>
      <c r="C1035" t="s">
        <v>4109</v>
      </c>
      <c r="D1035" s="3" t="s">
        <v>7312</v>
      </c>
      <c r="E1035" t="s">
        <v>4139</v>
      </c>
      <c r="F1035" s="3" t="s">
        <v>4140</v>
      </c>
      <c r="G1035" s="10">
        <v>0</v>
      </c>
      <c r="H1035" s="3" t="s">
        <v>19</v>
      </c>
      <c r="I1035" t="s">
        <v>4143</v>
      </c>
      <c r="J1035" s="3" t="s">
        <v>1610</v>
      </c>
      <c r="K1035" t="s">
        <v>5985</v>
      </c>
      <c r="L1035" s="3" t="s">
        <v>6188</v>
      </c>
      <c r="M1035" t="s">
        <v>6189</v>
      </c>
      <c r="N1035" s="8">
        <v>7.1429000000000006E-2</v>
      </c>
    </row>
    <row r="1036" spans="1:14" hidden="1" x14ac:dyDescent="0.55000000000000004">
      <c r="A1036" s="3" t="s">
        <v>4092</v>
      </c>
      <c r="B1036" s="3" t="s">
        <v>4109</v>
      </c>
      <c r="C1036" t="s">
        <v>4109</v>
      </c>
      <c r="D1036" s="3" t="s">
        <v>7312</v>
      </c>
      <c r="E1036" t="s">
        <v>4139</v>
      </c>
      <c r="F1036" s="3" t="s">
        <v>4140</v>
      </c>
      <c r="G1036" s="10">
        <v>0</v>
      </c>
      <c r="H1036" s="3" t="s">
        <v>24</v>
      </c>
      <c r="I1036" t="s">
        <v>4146</v>
      </c>
      <c r="J1036" s="3" t="s">
        <v>55</v>
      </c>
      <c r="K1036" t="s">
        <v>23</v>
      </c>
      <c r="L1036" s="3" t="s">
        <v>5839</v>
      </c>
      <c r="M1036" t="s">
        <v>23</v>
      </c>
      <c r="N1036" s="8">
        <v>0.18298300000000001</v>
      </c>
    </row>
    <row r="1037" spans="1:14" hidden="1" x14ac:dyDescent="0.55000000000000004">
      <c r="A1037" s="3" t="s">
        <v>4092</v>
      </c>
      <c r="B1037" s="3" t="s">
        <v>4109</v>
      </c>
      <c r="C1037" t="s">
        <v>4109</v>
      </c>
      <c r="D1037" s="3" t="s">
        <v>7312</v>
      </c>
      <c r="E1037" t="s">
        <v>4147</v>
      </c>
      <c r="F1037" s="3" t="s">
        <v>4148</v>
      </c>
      <c r="G1037" s="10">
        <v>0</v>
      </c>
      <c r="H1037" s="3" t="s">
        <v>19</v>
      </c>
      <c r="I1037" t="s">
        <v>4143</v>
      </c>
      <c r="J1037" s="3" t="s">
        <v>1610</v>
      </c>
      <c r="K1037" t="s">
        <v>5985</v>
      </c>
      <c r="L1037" s="3" t="s">
        <v>6188</v>
      </c>
      <c r="M1037" t="s">
        <v>6189</v>
      </c>
      <c r="N1037" s="8">
        <v>7.1429000000000006E-2</v>
      </c>
    </row>
    <row r="1038" spans="1:14" hidden="1" x14ac:dyDescent="0.55000000000000004">
      <c r="A1038" s="3" t="s">
        <v>4092</v>
      </c>
      <c r="B1038" s="3" t="s">
        <v>4109</v>
      </c>
      <c r="C1038" t="s">
        <v>4109</v>
      </c>
      <c r="D1038" s="3" t="s">
        <v>7312</v>
      </c>
      <c r="E1038" t="s">
        <v>4147</v>
      </c>
      <c r="F1038" s="3" t="s">
        <v>4148</v>
      </c>
      <c r="G1038" s="10">
        <v>0</v>
      </c>
      <c r="H1038" s="3" t="s">
        <v>24</v>
      </c>
      <c r="I1038" t="s">
        <v>4146</v>
      </c>
      <c r="J1038" s="3" t="s">
        <v>55</v>
      </c>
      <c r="K1038" t="s">
        <v>23</v>
      </c>
      <c r="L1038" s="3" t="s">
        <v>5839</v>
      </c>
      <c r="M1038" t="s">
        <v>23</v>
      </c>
      <c r="N1038" s="8">
        <v>0.18298300000000001</v>
      </c>
    </row>
    <row r="1039" spans="1:14" hidden="1" x14ac:dyDescent="0.55000000000000004">
      <c r="A1039" s="3" t="s">
        <v>4092</v>
      </c>
      <c r="B1039" s="3" t="s">
        <v>4109</v>
      </c>
      <c r="C1039" t="s">
        <v>4109</v>
      </c>
      <c r="D1039" s="3" t="s">
        <v>7312</v>
      </c>
      <c r="E1039" t="s">
        <v>4149</v>
      </c>
      <c r="F1039" s="3" t="s">
        <v>4150</v>
      </c>
      <c r="G1039" s="10">
        <v>1</v>
      </c>
      <c r="H1039" s="3" t="s">
        <v>19</v>
      </c>
      <c r="I1039" t="s">
        <v>4143</v>
      </c>
      <c r="J1039" s="3" t="s">
        <v>1610</v>
      </c>
      <c r="K1039" t="s">
        <v>5985</v>
      </c>
      <c r="L1039" s="3" t="s">
        <v>6188</v>
      </c>
      <c r="M1039" t="s">
        <v>6189</v>
      </c>
      <c r="N1039" s="8">
        <v>7.1429000000000006E-2</v>
      </c>
    </row>
    <row r="1040" spans="1:14" hidden="1" x14ac:dyDescent="0.55000000000000004">
      <c r="A1040" s="3" t="s">
        <v>4092</v>
      </c>
      <c r="B1040" s="3" t="s">
        <v>4109</v>
      </c>
      <c r="C1040" t="s">
        <v>4109</v>
      </c>
      <c r="D1040" s="3" t="s">
        <v>7312</v>
      </c>
      <c r="E1040" t="s">
        <v>4149</v>
      </c>
      <c r="F1040" s="3" t="s">
        <v>4150</v>
      </c>
      <c r="G1040" s="10">
        <v>1</v>
      </c>
      <c r="H1040" s="3" t="s">
        <v>24</v>
      </c>
      <c r="I1040" t="s">
        <v>4146</v>
      </c>
      <c r="J1040" s="3" t="s">
        <v>55</v>
      </c>
      <c r="K1040" t="s">
        <v>23</v>
      </c>
      <c r="L1040" s="3" t="s">
        <v>5839</v>
      </c>
      <c r="M1040" t="s">
        <v>23</v>
      </c>
      <c r="N1040" s="8">
        <v>0.18298300000000001</v>
      </c>
    </row>
    <row r="1041" spans="1:14" hidden="1" x14ac:dyDescent="0.55000000000000004">
      <c r="A1041" s="9" t="s">
        <v>4092</v>
      </c>
      <c r="B1041" s="3" t="s">
        <v>4160</v>
      </c>
      <c r="C1041" t="s">
        <v>4160</v>
      </c>
      <c r="D1041" s="3" t="s">
        <v>7312</v>
      </c>
      <c r="E1041" t="s">
        <v>4161</v>
      </c>
      <c r="F1041" s="3" t="s">
        <v>4162</v>
      </c>
      <c r="G1041" s="10">
        <v>0</v>
      </c>
      <c r="H1041" s="3" t="s">
        <v>24</v>
      </c>
      <c r="I1041" t="s">
        <v>4165</v>
      </c>
      <c r="J1041" s="3" t="s">
        <v>55</v>
      </c>
      <c r="K1041" t="s">
        <v>23</v>
      </c>
      <c r="L1041" s="3" t="s">
        <v>5839</v>
      </c>
      <c r="M1041" t="s">
        <v>23</v>
      </c>
      <c r="N1041" s="8">
        <v>0.18443599999999999</v>
      </c>
    </row>
    <row r="1042" spans="1:14" hidden="1" x14ac:dyDescent="0.55000000000000004">
      <c r="A1042" s="3" t="s">
        <v>4166</v>
      </c>
      <c r="B1042" s="3" t="s">
        <v>4167</v>
      </c>
      <c r="C1042" t="s">
        <v>4167</v>
      </c>
      <c r="D1042" s="3" t="s">
        <v>7319</v>
      </c>
      <c r="E1042" t="s">
        <v>4168</v>
      </c>
      <c r="F1042" s="3" t="s">
        <v>4169</v>
      </c>
      <c r="G1042" s="10">
        <v>0</v>
      </c>
      <c r="H1042" s="3" t="s">
        <v>19</v>
      </c>
      <c r="I1042" t="s">
        <v>4173</v>
      </c>
      <c r="J1042" s="3" t="s">
        <v>4174</v>
      </c>
      <c r="K1042" t="s">
        <v>23</v>
      </c>
      <c r="L1042" s="3" t="s">
        <v>6192</v>
      </c>
      <c r="M1042" t="s">
        <v>6193</v>
      </c>
      <c r="N1042" s="8">
        <v>2.0882999999999999E-2</v>
      </c>
    </row>
    <row r="1043" spans="1:14" hidden="1" x14ac:dyDescent="0.55000000000000004">
      <c r="A1043" s="3" t="s">
        <v>4166</v>
      </c>
      <c r="B1043" s="3" t="s">
        <v>4167</v>
      </c>
      <c r="C1043" t="s">
        <v>4167</v>
      </c>
      <c r="D1043" s="3" t="s">
        <v>7319</v>
      </c>
      <c r="E1043" t="s">
        <v>4168</v>
      </c>
      <c r="F1043" s="3" t="s">
        <v>4169</v>
      </c>
      <c r="G1043" s="10">
        <v>0</v>
      </c>
      <c r="H1043" s="3" t="s">
        <v>24</v>
      </c>
      <c r="I1043" t="s">
        <v>4180</v>
      </c>
      <c r="J1043" s="3" t="s">
        <v>76</v>
      </c>
      <c r="K1043" t="s">
        <v>5841</v>
      </c>
      <c r="L1043" s="3" t="s">
        <v>5840</v>
      </c>
      <c r="M1043" t="s">
        <v>23</v>
      </c>
      <c r="N1043" s="8">
        <v>0.29083300000000001</v>
      </c>
    </row>
    <row r="1044" spans="1:14" hidden="1" x14ac:dyDescent="0.55000000000000004">
      <c r="A1044" s="3" t="s">
        <v>4166</v>
      </c>
      <c r="B1044" s="3" t="s">
        <v>4181</v>
      </c>
      <c r="C1044" t="s">
        <v>4181</v>
      </c>
      <c r="D1044" s="3" t="s">
        <v>7319</v>
      </c>
      <c r="E1044" t="s">
        <v>4182</v>
      </c>
      <c r="F1044" s="3" t="s">
        <v>4183</v>
      </c>
      <c r="G1044" s="10">
        <v>0</v>
      </c>
      <c r="H1044" s="3" t="s">
        <v>24</v>
      </c>
      <c r="I1044" t="s">
        <v>4186</v>
      </c>
      <c r="J1044" s="3" t="s">
        <v>55</v>
      </c>
      <c r="K1044" t="s">
        <v>23</v>
      </c>
      <c r="L1044" s="3" t="s">
        <v>5839</v>
      </c>
      <c r="M1044" t="s">
        <v>23</v>
      </c>
      <c r="N1044" s="8">
        <v>0.29643599999999998</v>
      </c>
    </row>
    <row r="1045" spans="1:14" hidden="1" x14ac:dyDescent="0.55000000000000004">
      <c r="A1045" s="3" t="s">
        <v>4166</v>
      </c>
      <c r="B1045" s="3" t="s">
        <v>7378</v>
      </c>
      <c r="C1045" t="s">
        <v>4181</v>
      </c>
      <c r="D1045" s="3" t="s">
        <v>7319</v>
      </c>
      <c r="E1045" t="s">
        <v>4190</v>
      </c>
      <c r="F1045" s="3" t="s">
        <v>4191</v>
      </c>
      <c r="G1045" s="10">
        <v>0</v>
      </c>
      <c r="H1045" s="3" t="s">
        <v>24</v>
      </c>
      <c r="I1045" t="s">
        <v>4186</v>
      </c>
      <c r="J1045" s="3" t="s">
        <v>55</v>
      </c>
      <c r="K1045" t="s">
        <v>23</v>
      </c>
      <c r="L1045" s="3" t="s">
        <v>5839</v>
      </c>
      <c r="M1045" t="s">
        <v>23</v>
      </c>
      <c r="N1045" s="8">
        <v>0.29643599999999998</v>
      </c>
    </row>
    <row r="1046" spans="1:14" hidden="1" x14ac:dyDescent="0.55000000000000004">
      <c r="A1046" s="3" t="s">
        <v>4166</v>
      </c>
      <c r="B1046" s="3" t="s">
        <v>4181</v>
      </c>
      <c r="C1046" t="s">
        <v>4181</v>
      </c>
      <c r="D1046" s="3" t="s">
        <v>7319</v>
      </c>
      <c r="E1046" t="s">
        <v>4193</v>
      </c>
      <c r="F1046" s="3" t="s">
        <v>4194</v>
      </c>
      <c r="G1046" s="10">
        <v>0</v>
      </c>
      <c r="H1046" s="3" t="s">
        <v>24</v>
      </c>
      <c r="I1046" t="s">
        <v>4186</v>
      </c>
      <c r="J1046" s="3" t="s">
        <v>55</v>
      </c>
      <c r="K1046" t="s">
        <v>23</v>
      </c>
      <c r="L1046" s="3" t="s">
        <v>5839</v>
      </c>
      <c r="M1046" t="s">
        <v>23</v>
      </c>
      <c r="N1046" s="8">
        <v>0.29643599999999998</v>
      </c>
    </row>
    <row r="1047" spans="1:14" hidden="1" x14ac:dyDescent="0.55000000000000004">
      <c r="A1047" s="3" t="s">
        <v>4166</v>
      </c>
      <c r="B1047" s="3" t="s">
        <v>4181</v>
      </c>
      <c r="C1047" t="s">
        <v>4181</v>
      </c>
      <c r="D1047" s="3" t="s">
        <v>7319</v>
      </c>
      <c r="E1047" t="s">
        <v>4195</v>
      </c>
      <c r="F1047" s="3" t="s">
        <v>4196</v>
      </c>
      <c r="G1047" s="10">
        <v>0</v>
      </c>
      <c r="H1047" s="3" t="s">
        <v>24</v>
      </c>
      <c r="I1047" t="s">
        <v>4186</v>
      </c>
      <c r="J1047" s="3" t="s">
        <v>55</v>
      </c>
      <c r="K1047" t="s">
        <v>23</v>
      </c>
      <c r="L1047" s="3" t="s">
        <v>5839</v>
      </c>
      <c r="M1047" t="s">
        <v>23</v>
      </c>
      <c r="N1047" s="8">
        <v>0.29643599999999998</v>
      </c>
    </row>
    <row r="1048" spans="1:14" hidden="1" x14ac:dyDescent="0.55000000000000004">
      <c r="A1048" s="3" t="s">
        <v>4166</v>
      </c>
      <c r="B1048" s="3" t="s">
        <v>4181</v>
      </c>
      <c r="C1048" t="s">
        <v>4181</v>
      </c>
      <c r="D1048" s="3" t="s">
        <v>7319</v>
      </c>
      <c r="E1048" t="s">
        <v>4197</v>
      </c>
      <c r="F1048" s="3" t="s">
        <v>4198</v>
      </c>
      <c r="G1048" s="10">
        <v>0</v>
      </c>
      <c r="H1048" s="3" t="s">
        <v>24</v>
      </c>
      <c r="I1048" t="s">
        <v>4186</v>
      </c>
      <c r="J1048" s="3" t="s">
        <v>55</v>
      </c>
      <c r="K1048" t="s">
        <v>23</v>
      </c>
      <c r="L1048" s="3" t="s">
        <v>5839</v>
      </c>
      <c r="M1048" t="s">
        <v>23</v>
      </c>
      <c r="N1048" s="8">
        <v>0.29643599999999998</v>
      </c>
    </row>
    <row r="1049" spans="1:14" hidden="1" x14ac:dyDescent="0.55000000000000004">
      <c r="A1049" s="3" t="s">
        <v>4166</v>
      </c>
      <c r="B1049" s="3" t="s">
        <v>4181</v>
      </c>
      <c r="C1049" t="s">
        <v>4181</v>
      </c>
      <c r="D1049" s="3" t="s">
        <v>7319</v>
      </c>
      <c r="E1049" t="s">
        <v>4199</v>
      </c>
      <c r="F1049" s="3" t="s">
        <v>4200</v>
      </c>
      <c r="G1049" s="10">
        <v>0</v>
      </c>
      <c r="H1049" s="3" t="s">
        <v>24</v>
      </c>
      <c r="I1049" t="s">
        <v>4186</v>
      </c>
      <c r="J1049" s="3" t="s">
        <v>55</v>
      </c>
      <c r="K1049" t="s">
        <v>23</v>
      </c>
      <c r="L1049" s="3" t="s">
        <v>5839</v>
      </c>
      <c r="M1049" t="s">
        <v>23</v>
      </c>
      <c r="N1049" s="8">
        <v>0.29643599999999998</v>
      </c>
    </row>
    <row r="1050" spans="1:14" hidden="1" x14ac:dyDescent="0.55000000000000004">
      <c r="A1050" s="9" t="s">
        <v>4166</v>
      </c>
      <c r="B1050" s="3" t="s">
        <v>4201</v>
      </c>
      <c r="C1050" t="s">
        <v>4201</v>
      </c>
      <c r="D1050" s="3" t="s">
        <v>7319</v>
      </c>
      <c r="E1050" t="s">
        <v>4202</v>
      </c>
      <c r="F1050" s="3" t="s">
        <v>4203</v>
      </c>
      <c r="G1050" s="10">
        <v>0</v>
      </c>
      <c r="H1050" s="3" t="s">
        <v>24</v>
      </c>
      <c r="I1050" t="s">
        <v>4206</v>
      </c>
      <c r="J1050" s="3" t="s">
        <v>55</v>
      </c>
      <c r="K1050" t="s">
        <v>23</v>
      </c>
      <c r="L1050" s="3" t="s">
        <v>5839</v>
      </c>
      <c r="M1050" t="s">
        <v>23</v>
      </c>
      <c r="N1050" s="8">
        <v>0.294319</v>
      </c>
    </row>
    <row r="1051" spans="1:14" hidden="1" x14ac:dyDescent="0.55000000000000004">
      <c r="A1051" s="3" t="s">
        <v>4210</v>
      </c>
      <c r="B1051" s="3" t="s">
        <v>4211</v>
      </c>
      <c r="C1051" t="s">
        <v>4344</v>
      </c>
      <c r="D1051" s="3" t="s">
        <v>7329</v>
      </c>
      <c r="E1051" t="s">
        <v>4212</v>
      </c>
      <c r="F1051" s="3" t="s">
        <v>4213</v>
      </c>
      <c r="G1051" s="10">
        <v>1</v>
      </c>
      <c r="H1051" s="3" t="s">
        <v>19</v>
      </c>
      <c r="I1051" t="s">
        <v>4219</v>
      </c>
      <c r="J1051" s="3" t="s">
        <v>3711</v>
      </c>
      <c r="K1051" t="s">
        <v>6194</v>
      </c>
      <c r="L1051" s="3" t="s">
        <v>6195</v>
      </c>
      <c r="M1051" t="s">
        <v>6196</v>
      </c>
      <c r="N1051" s="8">
        <v>3.4363999999999999E-2</v>
      </c>
    </row>
    <row r="1052" spans="1:14" hidden="1" x14ac:dyDescent="0.55000000000000004">
      <c r="A1052" s="3" t="s">
        <v>4210</v>
      </c>
      <c r="B1052" s="3" t="s">
        <v>4211</v>
      </c>
      <c r="C1052" t="s">
        <v>4344</v>
      </c>
      <c r="D1052" s="3" t="s">
        <v>7329</v>
      </c>
      <c r="E1052" t="s">
        <v>4212</v>
      </c>
      <c r="F1052" s="3" t="s">
        <v>4213</v>
      </c>
      <c r="G1052" s="10">
        <v>1</v>
      </c>
      <c r="H1052" s="3" t="s">
        <v>24</v>
      </c>
      <c r="I1052" t="s">
        <v>4222</v>
      </c>
      <c r="J1052" s="3" t="s">
        <v>46</v>
      </c>
      <c r="K1052" t="s">
        <v>5836</v>
      </c>
      <c r="L1052" s="3" t="s">
        <v>5837</v>
      </c>
      <c r="M1052" t="s">
        <v>6197</v>
      </c>
      <c r="N1052" s="8">
        <v>0.21213299999999999</v>
      </c>
    </row>
    <row r="1053" spans="1:14" hidden="1" x14ac:dyDescent="0.55000000000000004">
      <c r="A1053" s="3" t="s">
        <v>4210</v>
      </c>
      <c r="B1053" s="3" t="s">
        <v>7384</v>
      </c>
      <c r="C1053" t="s">
        <v>4225</v>
      </c>
      <c r="D1053" s="3" t="s">
        <v>7329</v>
      </c>
      <c r="E1053" t="s">
        <v>4226</v>
      </c>
      <c r="F1053" s="3" t="s">
        <v>4227</v>
      </c>
      <c r="G1053" s="10">
        <v>1</v>
      </c>
      <c r="H1053" s="3" t="s">
        <v>19</v>
      </c>
      <c r="I1053" t="s">
        <v>4231</v>
      </c>
      <c r="J1053" s="3" t="s">
        <v>4217</v>
      </c>
      <c r="K1053" t="s">
        <v>6198</v>
      </c>
      <c r="L1053" s="3" t="s">
        <v>6199</v>
      </c>
      <c r="M1053" t="s">
        <v>6200</v>
      </c>
      <c r="N1053" s="8">
        <v>3.124E-2</v>
      </c>
    </row>
    <row r="1054" spans="1:14" hidden="1" x14ac:dyDescent="0.55000000000000004">
      <c r="A1054" s="3" t="s">
        <v>4210</v>
      </c>
      <c r="B1054" s="3" t="s">
        <v>7384</v>
      </c>
      <c r="C1054" t="s">
        <v>4225</v>
      </c>
      <c r="D1054" s="3" t="s">
        <v>7329</v>
      </c>
      <c r="E1054" t="s">
        <v>4226</v>
      </c>
      <c r="F1054" s="3" t="s">
        <v>4227</v>
      </c>
      <c r="G1054" s="10">
        <v>1</v>
      </c>
      <c r="H1054" s="3" t="s">
        <v>24</v>
      </c>
      <c r="I1054" t="s">
        <v>4239</v>
      </c>
      <c r="J1054" s="3" t="s">
        <v>46</v>
      </c>
      <c r="K1054" t="s">
        <v>5836</v>
      </c>
      <c r="L1054" s="3" t="s">
        <v>5837</v>
      </c>
      <c r="M1054" t="s">
        <v>6201</v>
      </c>
      <c r="N1054" s="8">
        <v>0.19956699999999999</v>
      </c>
    </row>
    <row r="1055" spans="1:14" hidden="1" x14ac:dyDescent="0.55000000000000004">
      <c r="A1055" s="3" t="s">
        <v>4210</v>
      </c>
      <c r="B1055" s="3" t="s">
        <v>4225</v>
      </c>
      <c r="C1055" t="s">
        <v>4225</v>
      </c>
      <c r="D1055" s="3" t="s">
        <v>7329</v>
      </c>
      <c r="E1055" t="s">
        <v>4242</v>
      </c>
      <c r="F1055" s="3" t="s">
        <v>4243</v>
      </c>
      <c r="G1055" s="10">
        <v>0</v>
      </c>
      <c r="H1055" s="3" t="s">
        <v>19</v>
      </c>
      <c r="I1055" t="s">
        <v>4231</v>
      </c>
      <c r="J1055" s="3" t="s">
        <v>4217</v>
      </c>
      <c r="K1055" t="s">
        <v>6198</v>
      </c>
      <c r="L1055" s="3" t="s">
        <v>6199</v>
      </c>
      <c r="M1055" t="s">
        <v>6200</v>
      </c>
      <c r="N1055" s="8">
        <v>3.124E-2</v>
      </c>
    </row>
    <row r="1056" spans="1:14" hidden="1" x14ac:dyDescent="0.55000000000000004">
      <c r="A1056" s="3" t="s">
        <v>4210</v>
      </c>
      <c r="B1056" s="3" t="s">
        <v>4225</v>
      </c>
      <c r="C1056" t="s">
        <v>4225</v>
      </c>
      <c r="D1056" s="3" t="s">
        <v>7329</v>
      </c>
      <c r="E1056" t="s">
        <v>4242</v>
      </c>
      <c r="F1056" s="3" t="s">
        <v>4243</v>
      </c>
      <c r="G1056" s="10">
        <v>0</v>
      </c>
      <c r="H1056" s="3" t="s">
        <v>24</v>
      </c>
      <c r="I1056" t="s">
        <v>4239</v>
      </c>
      <c r="J1056" s="3" t="s">
        <v>46</v>
      </c>
      <c r="K1056" t="s">
        <v>5836</v>
      </c>
      <c r="L1056" s="3" t="s">
        <v>5837</v>
      </c>
      <c r="M1056" t="s">
        <v>6201</v>
      </c>
      <c r="N1056" s="8">
        <v>0.19956699999999999</v>
      </c>
    </row>
    <row r="1057" spans="1:14" hidden="1" x14ac:dyDescent="0.55000000000000004">
      <c r="A1057" s="3" t="s">
        <v>4210</v>
      </c>
      <c r="B1057" s="3" t="s">
        <v>4225</v>
      </c>
      <c r="C1057" t="s">
        <v>4225</v>
      </c>
      <c r="D1057" s="3" t="s">
        <v>7329</v>
      </c>
      <c r="E1057" t="s">
        <v>4244</v>
      </c>
      <c r="F1057" s="3" t="s">
        <v>4245</v>
      </c>
      <c r="G1057" s="10">
        <v>0</v>
      </c>
      <c r="H1057" s="3" t="s">
        <v>19</v>
      </c>
      <c r="I1057" t="s">
        <v>4231</v>
      </c>
      <c r="J1057" s="3" t="s">
        <v>4217</v>
      </c>
      <c r="K1057" t="s">
        <v>6198</v>
      </c>
      <c r="L1057" s="3" t="s">
        <v>6199</v>
      </c>
      <c r="M1057" t="s">
        <v>6200</v>
      </c>
      <c r="N1057" s="8">
        <v>3.124E-2</v>
      </c>
    </row>
    <row r="1058" spans="1:14" hidden="1" x14ac:dyDescent="0.55000000000000004">
      <c r="A1058" s="3" t="s">
        <v>4210</v>
      </c>
      <c r="B1058" s="3" t="s">
        <v>4225</v>
      </c>
      <c r="C1058" t="s">
        <v>4225</v>
      </c>
      <c r="D1058" s="3" t="s">
        <v>7329</v>
      </c>
      <c r="E1058" t="s">
        <v>4244</v>
      </c>
      <c r="F1058" s="3" t="s">
        <v>4245</v>
      </c>
      <c r="G1058" s="10">
        <v>0</v>
      </c>
      <c r="H1058" s="3" t="s">
        <v>24</v>
      </c>
      <c r="I1058" t="s">
        <v>4239</v>
      </c>
      <c r="J1058" s="3" t="s">
        <v>46</v>
      </c>
      <c r="K1058" t="s">
        <v>5836</v>
      </c>
      <c r="L1058" s="3" t="s">
        <v>5837</v>
      </c>
      <c r="M1058" t="s">
        <v>6201</v>
      </c>
      <c r="N1058" s="8">
        <v>0.19956699999999999</v>
      </c>
    </row>
    <row r="1059" spans="1:14" hidden="1" x14ac:dyDescent="0.55000000000000004">
      <c r="A1059" s="3" t="s">
        <v>4210</v>
      </c>
      <c r="B1059" s="3" t="s">
        <v>7382</v>
      </c>
      <c r="C1059" t="s">
        <v>3531</v>
      </c>
      <c r="D1059" s="3" t="s">
        <v>7329</v>
      </c>
      <c r="E1059" t="s">
        <v>4246</v>
      </c>
      <c r="F1059" s="3" t="s">
        <v>4247</v>
      </c>
      <c r="G1059" s="10">
        <v>1</v>
      </c>
      <c r="H1059" s="3" t="s">
        <v>19</v>
      </c>
      <c r="I1059" t="s">
        <v>4251</v>
      </c>
      <c r="J1059" s="3" t="s">
        <v>4252</v>
      </c>
      <c r="K1059" t="s">
        <v>6202</v>
      </c>
      <c r="L1059" s="3" t="s">
        <v>6203</v>
      </c>
      <c r="M1059" t="s">
        <v>6204</v>
      </c>
      <c r="N1059" s="8">
        <v>1.7340000000000001E-2</v>
      </c>
    </row>
    <row r="1060" spans="1:14" hidden="1" x14ac:dyDescent="0.55000000000000004">
      <c r="A1060" s="3" t="s">
        <v>4210</v>
      </c>
      <c r="B1060" s="3" t="s">
        <v>7382</v>
      </c>
      <c r="C1060" t="s">
        <v>3531</v>
      </c>
      <c r="D1060" s="3" t="s">
        <v>7329</v>
      </c>
      <c r="E1060" t="s">
        <v>4246</v>
      </c>
      <c r="F1060" s="3" t="s">
        <v>4247</v>
      </c>
      <c r="G1060" s="10">
        <v>1</v>
      </c>
      <c r="H1060" s="3" t="s">
        <v>24</v>
      </c>
      <c r="I1060" t="s">
        <v>4255</v>
      </c>
      <c r="J1060" s="3" t="s">
        <v>40</v>
      </c>
      <c r="K1060" t="s">
        <v>23</v>
      </c>
      <c r="L1060" s="3" t="s">
        <v>5835</v>
      </c>
      <c r="M1060" t="s">
        <v>23</v>
      </c>
      <c r="N1060" s="8">
        <v>0.219079</v>
      </c>
    </row>
    <row r="1061" spans="1:14" hidden="1" x14ac:dyDescent="0.55000000000000004">
      <c r="A1061" s="3" t="s">
        <v>4210</v>
      </c>
      <c r="B1061" s="3" t="s">
        <v>4259</v>
      </c>
      <c r="C1061" t="s">
        <v>4260</v>
      </c>
      <c r="D1061" s="3" t="s">
        <v>7329</v>
      </c>
      <c r="E1061" t="s">
        <v>4261</v>
      </c>
      <c r="F1061" s="3" t="s">
        <v>4262</v>
      </c>
      <c r="G1061" s="10">
        <v>0</v>
      </c>
      <c r="H1061" s="3" t="s">
        <v>24</v>
      </c>
      <c r="I1061" t="s">
        <v>4265</v>
      </c>
      <c r="J1061" s="3" t="s">
        <v>138</v>
      </c>
      <c r="K1061" t="s">
        <v>23</v>
      </c>
      <c r="L1061" s="3" t="s">
        <v>5837</v>
      </c>
      <c r="M1061" t="s">
        <v>23</v>
      </c>
      <c r="N1061" s="8">
        <v>0.1706</v>
      </c>
    </row>
    <row r="1062" spans="1:14" hidden="1" x14ac:dyDescent="0.55000000000000004">
      <c r="A1062" s="3" t="s">
        <v>4210</v>
      </c>
      <c r="B1062" s="3" t="s">
        <v>4266</v>
      </c>
      <c r="C1062" t="s">
        <v>4267</v>
      </c>
      <c r="D1062" s="3" t="s">
        <v>7329</v>
      </c>
      <c r="E1062" t="s">
        <v>4268</v>
      </c>
      <c r="F1062" s="3" t="s">
        <v>4269</v>
      </c>
      <c r="G1062" s="10">
        <v>0</v>
      </c>
      <c r="H1062" s="3" t="s">
        <v>24</v>
      </c>
      <c r="I1062" t="s">
        <v>4272</v>
      </c>
      <c r="J1062" s="3" t="s">
        <v>138</v>
      </c>
      <c r="K1062" t="s">
        <v>23</v>
      </c>
      <c r="L1062" s="3" t="s">
        <v>5837</v>
      </c>
      <c r="M1062" t="s">
        <v>23</v>
      </c>
      <c r="N1062" s="8">
        <v>0.21809000000000001</v>
      </c>
    </row>
    <row r="1063" spans="1:14" hidden="1" x14ac:dyDescent="0.55000000000000004">
      <c r="A1063" s="3" t="s">
        <v>4210</v>
      </c>
      <c r="B1063" s="3" t="s">
        <v>4273</v>
      </c>
      <c r="C1063" t="s">
        <v>4260</v>
      </c>
      <c r="D1063" s="3" t="s">
        <v>7329</v>
      </c>
      <c r="E1063" t="s">
        <v>4274</v>
      </c>
      <c r="F1063" s="3" t="s">
        <v>4275</v>
      </c>
      <c r="G1063" s="10">
        <v>0</v>
      </c>
      <c r="H1063" s="3" t="s">
        <v>19</v>
      </c>
      <c r="I1063" t="s">
        <v>4280</v>
      </c>
      <c r="J1063" s="3" t="s">
        <v>4217</v>
      </c>
      <c r="K1063" t="s">
        <v>6198</v>
      </c>
      <c r="L1063" s="3" t="s">
        <v>6199</v>
      </c>
      <c r="M1063" t="s">
        <v>6205</v>
      </c>
      <c r="N1063" s="8">
        <v>3.8635999999999997E-2</v>
      </c>
    </row>
    <row r="1064" spans="1:14" hidden="1" x14ac:dyDescent="0.55000000000000004">
      <c r="A1064" s="3" t="s">
        <v>4210</v>
      </c>
      <c r="B1064" s="3" t="s">
        <v>4273</v>
      </c>
      <c r="C1064" t="s">
        <v>4260</v>
      </c>
      <c r="D1064" s="3" t="s">
        <v>7329</v>
      </c>
      <c r="E1064" t="s">
        <v>4274</v>
      </c>
      <c r="F1064" s="3" t="s">
        <v>4275</v>
      </c>
      <c r="G1064" s="10">
        <v>0</v>
      </c>
      <c r="H1064" s="3" t="s">
        <v>24</v>
      </c>
      <c r="I1064" t="s">
        <v>4288</v>
      </c>
      <c r="J1064" s="3" t="s">
        <v>46</v>
      </c>
      <c r="K1064" t="s">
        <v>5836</v>
      </c>
      <c r="L1064" s="3" t="s">
        <v>5837</v>
      </c>
      <c r="M1064" t="s">
        <v>6206</v>
      </c>
      <c r="N1064" s="8">
        <v>0.15226700000000001</v>
      </c>
    </row>
    <row r="1065" spans="1:14" hidden="1" x14ac:dyDescent="0.55000000000000004">
      <c r="A1065" s="3" t="s">
        <v>4210</v>
      </c>
      <c r="B1065" s="3" t="s">
        <v>4273</v>
      </c>
      <c r="C1065" t="s">
        <v>4260</v>
      </c>
      <c r="D1065" s="3" t="s">
        <v>7329</v>
      </c>
      <c r="E1065" t="s">
        <v>4291</v>
      </c>
      <c r="F1065" s="3" t="s">
        <v>4292</v>
      </c>
      <c r="G1065" s="10">
        <v>0</v>
      </c>
      <c r="H1065" s="3" t="s">
        <v>19</v>
      </c>
      <c r="I1065" t="s">
        <v>4280</v>
      </c>
      <c r="J1065" s="3" t="s">
        <v>4217</v>
      </c>
      <c r="K1065" t="s">
        <v>6198</v>
      </c>
      <c r="L1065" s="3" t="s">
        <v>6199</v>
      </c>
      <c r="M1065" t="s">
        <v>6205</v>
      </c>
      <c r="N1065" s="8">
        <v>3.8635999999999997E-2</v>
      </c>
    </row>
    <row r="1066" spans="1:14" hidden="1" x14ac:dyDescent="0.55000000000000004">
      <c r="A1066" s="3" t="s">
        <v>4210</v>
      </c>
      <c r="B1066" s="3" t="s">
        <v>4273</v>
      </c>
      <c r="C1066" t="s">
        <v>4260</v>
      </c>
      <c r="D1066" s="3" t="s">
        <v>7329</v>
      </c>
      <c r="E1066" t="s">
        <v>4291</v>
      </c>
      <c r="F1066" s="3" t="s">
        <v>4292</v>
      </c>
      <c r="G1066" s="10">
        <v>0</v>
      </c>
      <c r="H1066" s="3" t="s">
        <v>24</v>
      </c>
      <c r="I1066" t="s">
        <v>4288</v>
      </c>
      <c r="J1066" s="3" t="s">
        <v>46</v>
      </c>
      <c r="K1066" t="s">
        <v>5836</v>
      </c>
      <c r="L1066" s="3" t="s">
        <v>5837</v>
      </c>
      <c r="M1066" t="s">
        <v>6206</v>
      </c>
      <c r="N1066" s="8">
        <v>0.15226700000000001</v>
      </c>
    </row>
    <row r="1067" spans="1:14" hidden="1" x14ac:dyDescent="0.55000000000000004">
      <c r="A1067" s="3" t="s">
        <v>4210</v>
      </c>
      <c r="B1067" s="3" t="s">
        <v>4273</v>
      </c>
      <c r="C1067" t="s">
        <v>4260</v>
      </c>
      <c r="D1067" s="3" t="s">
        <v>7329</v>
      </c>
      <c r="E1067" t="s">
        <v>4293</v>
      </c>
      <c r="F1067" s="3" t="s">
        <v>4294</v>
      </c>
      <c r="G1067" s="10">
        <v>1</v>
      </c>
      <c r="H1067" s="3" t="s">
        <v>19</v>
      </c>
      <c r="I1067" t="s">
        <v>4280</v>
      </c>
      <c r="J1067" s="3" t="s">
        <v>4217</v>
      </c>
      <c r="K1067" t="s">
        <v>6198</v>
      </c>
      <c r="L1067" s="3" t="s">
        <v>6199</v>
      </c>
      <c r="M1067" t="s">
        <v>6205</v>
      </c>
      <c r="N1067" s="8">
        <v>3.8635999999999997E-2</v>
      </c>
    </row>
    <row r="1068" spans="1:14" hidden="1" x14ac:dyDescent="0.55000000000000004">
      <c r="A1068" s="3" t="s">
        <v>4210</v>
      </c>
      <c r="B1068" s="3" t="s">
        <v>4273</v>
      </c>
      <c r="C1068" t="s">
        <v>4260</v>
      </c>
      <c r="D1068" s="3" t="s">
        <v>7329</v>
      </c>
      <c r="E1068" t="s">
        <v>4293</v>
      </c>
      <c r="F1068" s="3" t="s">
        <v>4294</v>
      </c>
      <c r="G1068" s="10">
        <v>1</v>
      </c>
      <c r="H1068" s="3" t="s">
        <v>24</v>
      </c>
      <c r="I1068" t="s">
        <v>4288</v>
      </c>
      <c r="J1068" s="3" t="s">
        <v>46</v>
      </c>
      <c r="K1068" t="s">
        <v>5836</v>
      </c>
      <c r="L1068" s="3" t="s">
        <v>5837</v>
      </c>
      <c r="M1068" t="s">
        <v>6206</v>
      </c>
      <c r="N1068" s="8">
        <v>0.15226700000000001</v>
      </c>
    </row>
    <row r="1069" spans="1:14" hidden="1" x14ac:dyDescent="0.55000000000000004">
      <c r="A1069" s="3" t="s">
        <v>4210</v>
      </c>
      <c r="B1069" s="3" t="s">
        <v>4295</v>
      </c>
      <c r="C1069" t="s">
        <v>4260</v>
      </c>
      <c r="D1069" s="3" t="s">
        <v>7329</v>
      </c>
      <c r="E1069" t="s">
        <v>4296</v>
      </c>
      <c r="F1069" s="3" t="s">
        <v>4297</v>
      </c>
      <c r="G1069" s="10">
        <v>0</v>
      </c>
      <c r="H1069" s="3" t="s">
        <v>19</v>
      </c>
      <c r="I1069" t="s">
        <v>4300</v>
      </c>
      <c r="J1069" s="3" t="s">
        <v>4217</v>
      </c>
      <c r="K1069" t="s">
        <v>6198</v>
      </c>
      <c r="L1069" s="3" t="s">
        <v>6199</v>
      </c>
      <c r="M1069" t="s">
        <v>6207</v>
      </c>
      <c r="N1069" s="8">
        <v>3.5730999999999999E-2</v>
      </c>
    </row>
    <row r="1070" spans="1:14" hidden="1" x14ac:dyDescent="0.55000000000000004">
      <c r="A1070" s="3" t="s">
        <v>4210</v>
      </c>
      <c r="B1070" s="3" t="s">
        <v>4295</v>
      </c>
      <c r="C1070" t="s">
        <v>4260</v>
      </c>
      <c r="D1070" s="3" t="s">
        <v>7329</v>
      </c>
      <c r="E1070" t="s">
        <v>4296</v>
      </c>
      <c r="F1070" s="3" t="s">
        <v>4297</v>
      </c>
      <c r="G1070" s="10">
        <v>0</v>
      </c>
      <c r="H1070" s="3" t="s">
        <v>24</v>
      </c>
      <c r="I1070" t="s">
        <v>4307</v>
      </c>
      <c r="J1070" s="3" t="s">
        <v>46</v>
      </c>
      <c r="K1070" t="s">
        <v>5836</v>
      </c>
      <c r="L1070" s="3" t="s">
        <v>5837</v>
      </c>
      <c r="M1070" t="s">
        <v>6206</v>
      </c>
      <c r="N1070" s="8">
        <v>0.15226700000000001</v>
      </c>
    </row>
    <row r="1071" spans="1:14" hidden="1" x14ac:dyDescent="0.55000000000000004">
      <c r="A1071" s="3" t="s">
        <v>4210</v>
      </c>
      <c r="B1071" s="3" t="s">
        <v>4295</v>
      </c>
      <c r="C1071" t="s">
        <v>4260</v>
      </c>
      <c r="D1071" s="3" t="s">
        <v>7329</v>
      </c>
      <c r="E1071" t="s">
        <v>4310</v>
      </c>
      <c r="F1071" s="3" t="s">
        <v>4311</v>
      </c>
      <c r="G1071" s="10">
        <v>1</v>
      </c>
      <c r="H1071" s="3" t="s">
        <v>19</v>
      </c>
      <c r="I1071" t="s">
        <v>4300</v>
      </c>
      <c r="J1071" s="3" t="s">
        <v>4217</v>
      </c>
      <c r="K1071" t="s">
        <v>6198</v>
      </c>
      <c r="L1071" s="3" t="s">
        <v>6199</v>
      </c>
      <c r="M1071" t="s">
        <v>6207</v>
      </c>
      <c r="N1071" s="8">
        <v>3.5730999999999999E-2</v>
      </c>
    </row>
    <row r="1072" spans="1:14" hidden="1" x14ac:dyDescent="0.55000000000000004">
      <c r="A1072" s="3" t="s">
        <v>4210</v>
      </c>
      <c r="B1072" s="3" t="s">
        <v>4295</v>
      </c>
      <c r="C1072" t="s">
        <v>4260</v>
      </c>
      <c r="D1072" s="3" t="s">
        <v>7329</v>
      </c>
      <c r="E1072" t="s">
        <v>4310</v>
      </c>
      <c r="F1072" s="3" t="s">
        <v>4311</v>
      </c>
      <c r="G1072" s="10">
        <v>1</v>
      </c>
      <c r="H1072" s="3" t="s">
        <v>24</v>
      </c>
      <c r="I1072" t="s">
        <v>4307</v>
      </c>
      <c r="J1072" s="3" t="s">
        <v>46</v>
      </c>
      <c r="K1072" t="s">
        <v>5836</v>
      </c>
      <c r="L1072" s="3" t="s">
        <v>5837</v>
      </c>
      <c r="M1072" t="s">
        <v>6206</v>
      </c>
      <c r="N1072" s="8">
        <v>0.15226700000000001</v>
      </c>
    </row>
    <row r="1073" spans="1:14" hidden="1" x14ac:dyDescent="0.55000000000000004">
      <c r="A1073" s="3" t="s">
        <v>4210</v>
      </c>
      <c r="B1073" s="3" t="s">
        <v>4312</v>
      </c>
      <c r="C1073" t="s">
        <v>4312</v>
      </c>
      <c r="D1073" s="3" t="s">
        <v>7329</v>
      </c>
      <c r="E1073" t="s">
        <v>4313</v>
      </c>
      <c r="F1073" s="3" t="s">
        <v>4314</v>
      </c>
      <c r="G1073" s="10">
        <v>0</v>
      </c>
      <c r="H1073" s="3" t="s">
        <v>19</v>
      </c>
      <c r="I1073" t="s">
        <v>4317</v>
      </c>
      <c r="J1073" s="3" t="s">
        <v>4217</v>
      </c>
      <c r="K1073" t="s">
        <v>6198</v>
      </c>
      <c r="L1073" s="3" t="s">
        <v>6199</v>
      </c>
      <c r="M1073" t="s">
        <v>6208</v>
      </c>
      <c r="N1073" s="8">
        <v>2.4648E-2</v>
      </c>
    </row>
    <row r="1074" spans="1:14" hidden="1" x14ac:dyDescent="0.55000000000000004">
      <c r="A1074" s="3" t="s">
        <v>4210</v>
      </c>
      <c r="B1074" s="3" t="s">
        <v>4312</v>
      </c>
      <c r="C1074" t="s">
        <v>4312</v>
      </c>
      <c r="D1074" s="3" t="s">
        <v>7329</v>
      </c>
      <c r="E1074" t="s">
        <v>4313</v>
      </c>
      <c r="F1074" s="3" t="s">
        <v>4314</v>
      </c>
      <c r="G1074" s="10">
        <v>0</v>
      </c>
      <c r="H1074" s="3" t="s">
        <v>24</v>
      </c>
      <c r="I1074" t="s">
        <v>4327</v>
      </c>
      <c r="J1074" s="3" t="s">
        <v>46</v>
      </c>
      <c r="K1074" t="s">
        <v>5836</v>
      </c>
      <c r="L1074" s="3" t="s">
        <v>5837</v>
      </c>
      <c r="M1074" t="s">
        <v>6209</v>
      </c>
      <c r="N1074" s="8">
        <v>0.22120000000000001</v>
      </c>
    </row>
    <row r="1075" spans="1:14" hidden="1" x14ac:dyDescent="0.55000000000000004">
      <c r="A1075" s="3" t="s">
        <v>4210</v>
      </c>
      <c r="B1075" s="3" t="s">
        <v>7380</v>
      </c>
      <c r="C1075" t="s">
        <v>4312</v>
      </c>
      <c r="D1075" s="3" t="s">
        <v>7329</v>
      </c>
      <c r="E1075" t="s">
        <v>4330</v>
      </c>
      <c r="F1075" s="3" t="s">
        <v>4331</v>
      </c>
      <c r="G1075" s="10">
        <v>1</v>
      </c>
      <c r="H1075" s="3" t="s">
        <v>19</v>
      </c>
      <c r="I1075" t="s">
        <v>4317</v>
      </c>
      <c r="J1075" s="3" t="s">
        <v>4217</v>
      </c>
      <c r="K1075" t="s">
        <v>6198</v>
      </c>
      <c r="L1075" s="3" t="s">
        <v>6199</v>
      </c>
      <c r="M1075" t="s">
        <v>6208</v>
      </c>
      <c r="N1075" s="8">
        <v>2.4648E-2</v>
      </c>
    </row>
    <row r="1076" spans="1:14" hidden="1" x14ac:dyDescent="0.55000000000000004">
      <c r="A1076" s="3" t="s">
        <v>4210</v>
      </c>
      <c r="B1076" s="3" t="s">
        <v>7380</v>
      </c>
      <c r="C1076" t="s">
        <v>4312</v>
      </c>
      <c r="D1076" s="3" t="s">
        <v>7329</v>
      </c>
      <c r="E1076" t="s">
        <v>4330</v>
      </c>
      <c r="F1076" s="3" t="s">
        <v>4331</v>
      </c>
      <c r="G1076" s="10">
        <v>1</v>
      </c>
      <c r="H1076" s="3" t="s">
        <v>24</v>
      </c>
      <c r="I1076" t="s">
        <v>4327</v>
      </c>
      <c r="J1076" s="3" t="s">
        <v>46</v>
      </c>
      <c r="K1076" t="s">
        <v>5836</v>
      </c>
      <c r="L1076" s="3" t="s">
        <v>5837</v>
      </c>
      <c r="M1076" t="s">
        <v>6209</v>
      </c>
      <c r="N1076" s="8">
        <v>0.22120000000000001</v>
      </c>
    </row>
    <row r="1077" spans="1:14" hidden="1" x14ac:dyDescent="0.55000000000000004">
      <c r="A1077" s="3" t="s">
        <v>4210</v>
      </c>
      <c r="B1077" s="3" t="s">
        <v>4332</v>
      </c>
      <c r="C1077" t="s">
        <v>4260</v>
      </c>
      <c r="D1077" s="3" t="s">
        <v>7329</v>
      </c>
      <c r="E1077" t="s">
        <v>4333</v>
      </c>
      <c r="F1077" s="3" t="s">
        <v>4334</v>
      </c>
      <c r="G1077" s="10">
        <v>0</v>
      </c>
      <c r="H1077" s="3" t="s">
        <v>24</v>
      </c>
      <c r="I1077" t="s">
        <v>4265</v>
      </c>
      <c r="J1077" s="3" t="s">
        <v>138</v>
      </c>
      <c r="K1077" t="s">
        <v>23</v>
      </c>
      <c r="L1077" s="3" t="s">
        <v>5837</v>
      </c>
      <c r="M1077" t="s">
        <v>23</v>
      </c>
      <c r="N1077" s="8">
        <v>0.1706</v>
      </c>
    </row>
    <row r="1078" spans="1:14" hidden="1" x14ac:dyDescent="0.55000000000000004">
      <c r="A1078" s="3" t="s">
        <v>4210</v>
      </c>
      <c r="B1078" s="3" t="s">
        <v>4337</v>
      </c>
      <c r="C1078" t="s">
        <v>4475</v>
      </c>
      <c r="D1078" s="3" t="s">
        <v>7329</v>
      </c>
      <c r="E1078" t="s">
        <v>4339</v>
      </c>
      <c r="F1078" s="3" t="s">
        <v>4340</v>
      </c>
      <c r="G1078" s="10">
        <v>0</v>
      </c>
      <c r="H1078" s="3" t="s">
        <v>24</v>
      </c>
      <c r="I1078" t="s">
        <v>4343</v>
      </c>
      <c r="J1078" s="3" t="s">
        <v>138</v>
      </c>
      <c r="K1078" t="s">
        <v>23</v>
      </c>
      <c r="L1078" s="3" t="s">
        <v>5837</v>
      </c>
      <c r="M1078" t="s">
        <v>23</v>
      </c>
      <c r="N1078" s="8">
        <v>0.23046700000000001</v>
      </c>
    </row>
    <row r="1079" spans="1:14" hidden="1" x14ac:dyDescent="0.55000000000000004">
      <c r="A1079" s="3" t="s">
        <v>4210</v>
      </c>
      <c r="B1079" s="3" t="s">
        <v>4344</v>
      </c>
      <c r="C1079" t="s">
        <v>4344</v>
      </c>
      <c r="D1079" s="3" t="s">
        <v>7329</v>
      </c>
      <c r="E1079" t="s">
        <v>4345</v>
      </c>
      <c r="F1079" s="3" t="s">
        <v>4346</v>
      </c>
      <c r="G1079" s="10">
        <v>0</v>
      </c>
      <c r="H1079" s="3" t="s">
        <v>19</v>
      </c>
      <c r="I1079" t="s">
        <v>4351</v>
      </c>
      <c r="J1079" s="3" t="s">
        <v>4217</v>
      </c>
      <c r="K1079" t="s">
        <v>6198</v>
      </c>
      <c r="L1079" s="3" t="s">
        <v>6195</v>
      </c>
      <c r="M1079" t="s">
        <v>6210</v>
      </c>
      <c r="N1079" s="8">
        <v>3.9787999999999997E-2</v>
      </c>
    </row>
    <row r="1080" spans="1:14" hidden="1" x14ac:dyDescent="0.55000000000000004">
      <c r="A1080" s="3" t="s">
        <v>4210</v>
      </c>
      <c r="B1080" s="3" t="s">
        <v>4344</v>
      </c>
      <c r="C1080" t="s">
        <v>4344</v>
      </c>
      <c r="D1080" s="3" t="s">
        <v>7329</v>
      </c>
      <c r="E1080" t="s">
        <v>4345</v>
      </c>
      <c r="F1080" s="3" t="s">
        <v>4346</v>
      </c>
      <c r="G1080" s="10">
        <v>0</v>
      </c>
      <c r="H1080" s="3" t="s">
        <v>24</v>
      </c>
      <c r="I1080" t="s">
        <v>4355</v>
      </c>
      <c r="J1080" s="3" t="s">
        <v>46</v>
      </c>
      <c r="K1080" t="s">
        <v>5836</v>
      </c>
      <c r="L1080" s="3" t="s">
        <v>5837</v>
      </c>
      <c r="M1080" t="s">
        <v>6197</v>
      </c>
      <c r="N1080" s="8">
        <v>0.21213299999999999</v>
      </c>
    </row>
    <row r="1081" spans="1:14" hidden="1" x14ac:dyDescent="0.55000000000000004">
      <c r="A1081" s="3" t="s">
        <v>4210</v>
      </c>
      <c r="B1081" s="3" t="s">
        <v>4344</v>
      </c>
      <c r="C1081" t="s">
        <v>4344</v>
      </c>
      <c r="D1081" s="3" t="s">
        <v>7329</v>
      </c>
      <c r="E1081" t="s">
        <v>4358</v>
      </c>
      <c r="F1081" s="3" t="s">
        <v>4359</v>
      </c>
      <c r="G1081" s="10">
        <v>1</v>
      </c>
      <c r="H1081" s="3" t="s">
        <v>19</v>
      </c>
      <c r="I1081" t="s">
        <v>4351</v>
      </c>
      <c r="J1081" s="3" t="s">
        <v>4217</v>
      </c>
      <c r="K1081" t="s">
        <v>6198</v>
      </c>
      <c r="L1081" s="3" t="s">
        <v>6195</v>
      </c>
      <c r="M1081" t="s">
        <v>6210</v>
      </c>
      <c r="N1081" s="8">
        <v>3.9787999999999997E-2</v>
      </c>
    </row>
    <row r="1082" spans="1:14" hidden="1" x14ac:dyDescent="0.55000000000000004">
      <c r="A1082" s="3" t="s">
        <v>4210</v>
      </c>
      <c r="B1082" s="3" t="s">
        <v>4344</v>
      </c>
      <c r="C1082" t="s">
        <v>4344</v>
      </c>
      <c r="D1082" s="3" t="s">
        <v>7329</v>
      </c>
      <c r="E1082" t="s">
        <v>4358</v>
      </c>
      <c r="F1082" s="3" t="s">
        <v>4359</v>
      </c>
      <c r="G1082" s="10">
        <v>1</v>
      </c>
      <c r="H1082" s="3" t="s">
        <v>24</v>
      </c>
      <c r="I1082" t="s">
        <v>4355</v>
      </c>
      <c r="J1082" s="3" t="s">
        <v>46</v>
      </c>
      <c r="K1082" t="s">
        <v>5836</v>
      </c>
      <c r="L1082" s="3" t="s">
        <v>5837</v>
      </c>
      <c r="M1082" t="s">
        <v>6197</v>
      </c>
      <c r="N1082" s="8">
        <v>0.21213299999999999</v>
      </c>
    </row>
    <row r="1083" spans="1:14" hidden="1" x14ac:dyDescent="0.55000000000000004">
      <c r="A1083" s="3" t="s">
        <v>4210</v>
      </c>
      <c r="B1083" s="3" t="s">
        <v>4344</v>
      </c>
      <c r="C1083" t="s">
        <v>4344</v>
      </c>
      <c r="D1083" s="3" t="s">
        <v>7329</v>
      </c>
      <c r="E1083" t="s">
        <v>4360</v>
      </c>
      <c r="F1083" s="3" t="s">
        <v>4361</v>
      </c>
      <c r="G1083" s="10">
        <v>0</v>
      </c>
      <c r="H1083" s="3" t="s">
        <v>19</v>
      </c>
      <c r="I1083" t="s">
        <v>4351</v>
      </c>
      <c r="J1083" s="3" t="s">
        <v>4217</v>
      </c>
      <c r="K1083" t="s">
        <v>6198</v>
      </c>
      <c r="L1083" s="3" t="s">
        <v>6195</v>
      </c>
      <c r="M1083" t="s">
        <v>6210</v>
      </c>
      <c r="N1083" s="8">
        <v>3.9787999999999997E-2</v>
      </c>
    </row>
    <row r="1084" spans="1:14" hidden="1" x14ac:dyDescent="0.55000000000000004">
      <c r="A1084" s="3" t="s">
        <v>4210</v>
      </c>
      <c r="B1084" s="3" t="s">
        <v>4344</v>
      </c>
      <c r="C1084" t="s">
        <v>4344</v>
      </c>
      <c r="D1084" s="3" t="s">
        <v>7329</v>
      </c>
      <c r="E1084" t="s">
        <v>4360</v>
      </c>
      <c r="F1084" s="3" t="s">
        <v>4361</v>
      </c>
      <c r="G1084" s="10">
        <v>0</v>
      </c>
      <c r="H1084" s="3" t="s">
        <v>24</v>
      </c>
      <c r="I1084" t="s">
        <v>4355</v>
      </c>
      <c r="J1084" s="3" t="s">
        <v>46</v>
      </c>
      <c r="K1084" t="s">
        <v>5836</v>
      </c>
      <c r="L1084" s="3" t="s">
        <v>5837</v>
      </c>
      <c r="M1084" t="s">
        <v>6197</v>
      </c>
      <c r="N1084" s="8">
        <v>0.21213299999999999</v>
      </c>
    </row>
    <row r="1085" spans="1:14" hidden="1" x14ac:dyDescent="0.55000000000000004">
      <c r="A1085" s="3" t="s">
        <v>4210</v>
      </c>
      <c r="B1085" s="3" t="s">
        <v>4362</v>
      </c>
      <c r="C1085" t="s">
        <v>3531</v>
      </c>
      <c r="D1085" s="3" t="s">
        <v>7329</v>
      </c>
      <c r="E1085" t="s">
        <v>4363</v>
      </c>
      <c r="F1085" s="3" t="s">
        <v>4364</v>
      </c>
      <c r="G1085" s="10">
        <v>0</v>
      </c>
      <c r="H1085" s="3" t="s">
        <v>24</v>
      </c>
      <c r="I1085" t="s">
        <v>4367</v>
      </c>
      <c r="J1085" s="3" t="s">
        <v>46</v>
      </c>
      <c r="K1085" t="s">
        <v>5836</v>
      </c>
      <c r="L1085" s="3" t="s">
        <v>5837</v>
      </c>
      <c r="M1085" t="s">
        <v>6132</v>
      </c>
      <c r="N1085" s="8">
        <v>0.183867</v>
      </c>
    </row>
    <row r="1086" spans="1:14" hidden="1" x14ac:dyDescent="0.55000000000000004">
      <c r="A1086" s="3" t="s">
        <v>4210</v>
      </c>
      <c r="B1086" s="3" t="s">
        <v>4362</v>
      </c>
      <c r="C1086" t="s">
        <v>3531</v>
      </c>
      <c r="D1086" s="3" t="s">
        <v>7329</v>
      </c>
      <c r="E1086" t="s">
        <v>4370</v>
      </c>
      <c r="F1086" s="3" t="s">
        <v>4371</v>
      </c>
      <c r="G1086" s="10">
        <v>1</v>
      </c>
      <c r="H1086" s="3" t="s">
        <v>19</v>
      </c>
      <c r="I1086" t="s">
        <v>4374</v>
      </c>
      <c r="J1086" s="3" t="s">
        <v>3711</v>
      </c>
      <c r="K1086" t="s">
        <v>6194</v>
      </c>
      <c r="L1086" s="3" t="s">
        <v>6195</v>
      </c>
      <c r="M1086" t="s">
        <v>6211</v>
      </c>
      <c r="N1086" s="8">
        <v>7.8069999999999997E-3</v>
      </c>
    </row>
    <row r="1087" spans="1:14" hidden="1" x14ac:dyDescent="0.55000000000000004">
      <c r="A1087" s="3" t="s">
        <v>4210</v>
      </c>
      <c r="B1087" s="3" t="s">
        <v>4362</v>
      </c>
      <c r="C1087" t="s">
        <v>3531</v>
      </c>
      <c r="D1087" s="3" t="s">
        <v>7329</v>
      </c>
      <c r="E1087" t="s">
        <v>4370</v>
      </c>
      <c r="F1087" s="3" t="s">
        <v>4371</v>
      </c>
      <c r="G1087" s="10">
        <v>1</v>
      </c>
      <c r="H1087" s="3" t="s">
        <v>24</v>
      </c>
      <c r="I1087" t="s">
        <v>4367</v>
      </c>
      <c r="J1087" s="3" t="s">
        <v>46</v>
      </c>
      <c r="K1087" t="s">
        <v>5836</v>
      </c>
      <c r="L1087" s="3" t="s">
        <v>5837</v>
      </c>
      <c r="M1087" t="s">
        <v>6132</v>
      </c>
      <c r="N1087" s="8">
        <v>0.183867</v>
      </c>
    </row>
    <row r="1088" spans="1:14" hidden="1" x14ac:dyDescent="0.55000000000000004">
      <c r="A1088" s="3" t="s">
        <v>4210</v>
      </c>
      <c r="B1088" s="3" t="s">
        <v>4362</v>
      </c>
      <c r="C1088" t="s">
        <v>3531</v>
      </c>
      <c r="D1088" s="3" t="s">
        <v>7329</v>
      </c>
      <c r="E1088" t="s">
        <v>4375</v>
      </c>
      <c r="F1088" s="3" t="s">
        <v>4376</v>
      </c>
      <c r="G1088" s="10">
        <v>0</v>
      </c>
      <c r="H1088" s="3" t="s">
        <v>24</v>
      </c>
      <c r="I1088" t="s">
        <v>4367</v>
      </c>
      <c r="J1088" s="3" t="s">
        <v>46</v>
      </c>
      <c r="K1088" t="s">
        <v>5836</v>
      </c>
      <c r="L1088" s="3" t="s">
        <v>5837</v>
      </c>
      <c r="M1088" t="s">
        <v>6132</v>
      </c>
      <c r="N1088" s="8">
        <v>0.183867</v>
      </c>
    </row>
    <row r="1089" spans="1:14" hidden="1" x14ac:dyDescent="0.55000000000000004">
      <c r="A1089" s="3" t="s">
        <v>4210</v>
      </c>
      <c r="B1089" s="3" t="s">
        <v>4377</v>
      </c>
      <c r="C1089" t="s">
        <v>4312</v>
      </c>
      <c r="D1089" s="3" t="s">
        <v>7329</v>
      </c>
      <c r="E1089" t="s">
        <v>4378</v>
      </c>
      <c r="F1089" s="3" t="s">
        <v>4379</v>
      </c>
      <c r="G1089" s="10">
        <v>1</v>
      </c>
      <c r="H1089" s="3" t="s">
        <v>19</v>
      </c>
      <c r="I1089" t="s">
        <v>4382</v>
      </c>
      <c r="J1089" s="3" t="s">
        <v>4217</v>
      </c>
      <c r="K1089" t="s">
        <v>6198</v>
      </c>
      <c r="L1089" s="3" t="s">
        <v>6199</v>
      </c>
      <c r="M1089" t="s">
        <v>6212</v>
      </c>
      <c r="N1089" s="8">
        <v>2.5368999999999999E-2</v>
      </c>
    </row>
    <row r="1090" spans="1:14" hidden="1" x14ac:dyDescent="0.55000000000000004">
      <c r="A1090" s="3" t="s">
        <v>4210</v>
      </c>
      <c r="B1090" s="3" t="s">
        <v>4377</v>
      </c>
      <c r="C1090" t="s">
        <v>4312</v>
      </c>
      <c r="D1090" s="3" t="s">
        <v>7329</v>
      </c>
      <c r="E1090" t="s">
        <v>4378</v>
      </c>
      <c r="F1090" s="3" t="s">
        <v>4379</v>
      </c>
      <c r="G1090" s="10">
        <v>1</v>
      </c>
      <c r="H1090" s="3" t="s">
        <v>24</v>
      </c>
      <c r="I1090" t="s">
        <v>4389</v>
      </c>
      <c r="J1090" s="3" t="s">
        <v>46</v>
      </c>
      <c r="K1090" t="s">
        <v>5836</v>
      </c>
      <c r="L1090" s="3" t="s">
        <v>5837</v>
      </c>
      <c r="M1090" t="s">
        <v>6209</v>
      </c>
      <c r="N1090" s="8">
        <v>0.22120000000000001</v>
      </c>
    </row>
    <row r="1091" spans="1:14" hidden="1" x14ac:dyDescent="0.55000000000000004">
      <c r="A1091" s="3" t="s">
        <v>4210</v>
      </c>
      <c r="B1091" s="3" t="s">
        <v>4377</v>
      </c>
      <c r="C1091" t="s">
        <v>4312</v>
      </c>
      <c r="D1091" s="3" t="s">
        <v>7329</v>
      </c>
      <c r="E1091" t="s">
        <v>4392</v>
      </c>
      <c r="F1091" s="3" t="s">
        <v>4393</v>
      </c>
      <c r="G1091" s="10">
        <v>0</v>
      </c>
      <c r="H1091" s="3" t="s">
        <v>19</v>
      </c>
      <c r="I1091" t="s">
        <v>4382</v>
      </c>
      <c r="J1091" s="3" t="s">
        <v>4217</v>
      </c>
      <c r="K1091" t="s">
        <v>6198</v>
      </c>
      <c r="L1091" s="3" t="s">
        <v>6199</v>
      </c>
      <c r="M1091" t="s">
        <v>6212</v>
      </c>
      <c r="N1091" s="8">
        <v>2.5368999999999999E-2</v>
      </c>
    </row>
    <row r="1092" spans="1:14" hidden="1" x14ac:dyDescent="0.55000000000000004">
      <c r="A1092" s="3" t="s">
        <v>4210</v>
      </c>
      <c r="B1092" s="3" t="s">
        <v>4377</v>
      </c>
      <c r="C1092" t="s">
        <v>4312</v>
      </c>
      <c r="D1092" s="3" t="s">
        <v>7329</v>
      </c>
      <c r="E1092" t="s">
        <v>4392</v>
      </c>
      <c r="F1092" s="3" t="s">
        <v>4393</v>
      </c>
      <c r="G1092" s="10">
        <v>0</v>
      </c>
      <c r="H1092" s="3" t="s">
        <v>24</v>
      </c>
      <c r="I1092" t="s">
        <v>4389</v>
      </c>
      <c r="J1092" s="3" t="s">
        <v>46</v>
      </c>
      <c r="K1092" t="s">
        <v>5836</v>
      </c>
      <c r="L1092" s="3" t="s">
        <v>5837</v>
      </c>
      <c r="M1092" t="s">
        <v>6209</v>
      </c>
      <c r="N1092" s="8">
        <v>0.22120000000000001</v>
      </c>
    </row>
    <row r="1093" spans="1:14" hidden="1" x14ac:dyDescent="0.55000000000000004">
      <c r="A1093" s="3" t="s">
        <v>4210</v>
      </c>
      <c r="B1093" s="3" t="s">
        <v>4377</v>
      </c>
      <c r="C1093" t="s">
        <v>4312</v>
      </c>
      <c r="D1093" s="3" t="s">
        <v>7329</v>
      </c>
      <c r="E1093" t="s">
        <v>4394</v>
      </c>
      <c r="F1093" s="3" t="s">
        <v>4395</v>
      </c>
      <c r="G1093" s="10">
        <v>0</v>
      </c>
      <c r="H1093" s="3" t="s">
        <v>19</v>
      </c>
      <c r="I1093" t="s">
        <v>4382</v>
      </c>
      <c r="J1093" s="3" t="s">
        <v>4217</v>
      </c>
      <c r="K1093" t="s">
        <v>6198</v>
      </c>
      <c r="L1093" s="3" t="s">
        <v>6199</v>
      </c>
      <c r="M1093" t="s">
        <v>6212</v>
      </c>
      <c r="N1093" s="8">
        <v>2.5368999999999999E-2</v>
      </c>
    </row>
    <row r="1094" spans="1:14" hidden="1" x14ac:dyDescent="0.55000000000000004">
      <c r="A1094" s="3" t="s">
        <v>4210</v>
      </c>
      <c r="B1094" s="3" t="s">
        <v>4377</v>
      </c>
      <c r="C1094" t="s">
        <v>4312</v>
      </c>
      <c r="D1094" s="3" t="s">
        <v>7329</v>
      </c>
      <c r="E1094" t="s">
        <v>4394</v>
      </c>
      <c r="F1094" s="3" t="s">
        <v>4395</v>
      </c>
      <c r="G1094" s="10">
        <v>0</v>
      </c>
      <c r="H1094" s="3" t="s">
        <v>24</v>
      </c>
      <c r="I1094" t="s">
        <v>4389</v>
      </c>
      <c r="J1094" s="3" t="s">
        <v>46</v>
      </c>
      <c r="K1094" t="s">
        <v>5836</v>
      </c>
      <c r="L1094" s="3" t="s">
        <v>5837</v>
      </c>
      <c r="M1094" t="s">
        <v>6209</v>
      </c>
      <c r="N1094" s="8">
        <v>0.22120000000000001</v>
      </c>
    </row>
    <row r="1095" spans="1:14" hidden="1" x14ac:dyDescent="0.55000000000000004">
      <c r="A1095" s="3" t="s">
        <v>4210</v>
      </c>
      <c r="B1095" s="3" t="s">
        <v>4396</v>
      </c>
      <c r="C1095" t="s">
        <v>4396</v>
      </c>
      <c r="D1095" s="3" t="s">
        <v>7329</v>
      </c>
      <c r="E1095" t="s">
        <v>4397</v>
      </c>
      <c r="F1095" s="3" t="s">
        <v>4398</v>
      </c>
      <c r="G1095" s="10">
        <v>1</v>
      </c>
      <c r="H1095" s="3" t="s">
        <v>19</v>
      </c>
      <c r="I1095" t="s">
        <v>3932</v>
      </c>
      <c r="J1095" s="3" t="s">
        <v>3931</v>
      </c>
      <c r="K1095" t="s">
        <v>6176</v>
      </c>
      <c r="L1095" s="3" t="s">
        <v>6180</v>
      </c>
      <c r="M1095" t="s">
        <v>6181</v>
      </c>
      <c r="N1095" s="8">
        <v>4.1999999999999997E-3</v>
      </c>
    </row>
    <row r="1096" spans="1:14" hidden="1" x14ac:dyDescent="0.55000000000000004">
      <c r="A1096" s="3" t="s">
        <v>4210</v>
      </c>
      <c r="B1096" s="3" t="s">
        <v>4396</v>
      </c>
      <c r="C1096" t="s">
        <v>4396</v>
      </c>
      <c r="D1096" s="3" t="s">
        <v>7329</v>
      </c>
      <c r="E1096" t="s">
        <v>4397</v>
      </c>
      <c r="F1096" s="3" t="s">
        <v>4398</v>
      </c>
      <c r="G1096" s="10">
        <v>1</v>
      </c>
      <c r="H1096" s="3" t="s">
        <v>19</v>
      </c>
      <c r="I1096" t="s">
        <v>4411</v>
      </c>
      <c r="J1096" s="3" t="s">
        <v>3931</v>
      </c>
      <c r="K1096" t="s">
        <v>6176</v>
      </c>
      <c r="L1096" s="3" t="s">
        <v>6181</v>
      </c>
      <c r="M1096" t="s">
        <v>6213</v>
      </c>
      <c r="N1096" s="8">
        <v>3.2550000000000003E-2</v>
      </c>
    </row>
    <row r="1097" spans="1:14" hidden="1" x14ac:dyDescent="0.55000000000000004">
      <c r="A1097" s="3" t="s">
        <v>4210</v>
      </c>
      <c r="B1097" s="3" t="s">
        <v>4396</v>
      </c>
      <c r="C1097" t="s">
        <v>4396</v>
      </c>
      <c r="D1097" s="3" t="s">
        <v>7329</v>
      </c>
      <c r="E1097" t="s">
        <v>4397</v>
      </c>
      <c r="F1097" s="3" t="s">
        <v>4398</v>
      </c>
      <c r="G1097" s="10">
        <v>1</v>
      </c>
      <c r="H1097" s="3" t="s">
        <v>24</v>
      </c>
      <c r="I1097" t="s">
        <v>4414</v>
      </c>
      <c r="J1097" s="3" t="s">
        <v>40</v>
      </c>
      <c r="K1097" t="s">
        <v>23</v>
      </c>
      <c r="L1097" s="3" t="s">
        <v>5835</v>
      </c>
      <c r="M1097" t="s">
        <v>23</v>
      </c>
      <c r="N1097" s="8">
        <v>0.18337300000000001</v>
      </c>
    </row>
    <row r="1098" spans="1:14" hidden="1" x14ac:dyDescent="0.55000000000000004">
      <c r="A1098" s="3" t="s">
        <v>4210</v>
      </c>
      <c r="B1098" s="3" t="s">
        <v>4415</v>
      </c>
      <c r="C1098" t="s">
        <v>4260</v>
      </c>
      <c r="D1098" s="3" t="s">
        <v>7329</v>
      </c>
      <c r="E1098" t="s">
        <v>4416</v>
      </c>
      <c r="F1098" s="3" t="s">
        <v>4417</v>
      </c>
      <c r="G1098" s="10">
        <v>1</v>
      </c>
      <c r="H1098" s="3" t="s">
        <v>19</v>
      </c>
      <c r="I1098" t="s">
        <v>4420</v>
      </c>
      <c r="J1098" s="3" t="s">
        <v>4217</v>
      </c>
      <c r="K1098" t="s">
        <v>6198</v>
      </c>
      <c r="L1098" s="3" t="s">
        <v>6199</v>
      </c>
      <c r="M1098" t="s">
        <v>6214</v>
      </c>
      <c r="N1098" s="8">
        <v>4.0883000000000003E-2</v>
      </c>
    </row>
    <row r="1099" spans="1:14" hidden="1" x14ac:dyDescent="0.55000000000000004">
      <c r="A1099" s="3" t="s">
        <v>4210</v>
      </c>
      <c r="B1099" s="3" t="s">
        <v>4415</v>
      </c>
      <c r="C1099" t="s">
        <v>4260</v>
      </c>
      <c r="D1099" s="3" t="s">
        <v>7329</v>
      </c>
      <c r="E1099" t="s">
        <v>4416</v>
      </c>
      <c r="F1099" s="3" t="s">
        <v>4417</v>
      </c>
      <c r="G1099" s="10">
        <v>1</v>
      </c>
      <c r="H1099" s="3" t="s">
        <v>24</v>
      </c>
      <c r="I1099" t="s">
        <v>4430</v>
      </c>
      <c r="J1099" s="3" t="s">
        <v>46</v>
      </c>
      <c r="K1099" t="s">
        <v>5836</v>
      </c>
      <c r="L1099" s="3" t="s">
        <v>5837</v>
      </c>
      <c r="M1099" t="s">
        <v>6206</v>
      </c>
      <c r="N1099" s="8">
        <v>0.15226700000000001</v>
      </c>
    </row>
    <row r="1100" spans="1:14" hidden="1" x14ac:dyDescent="0.55000000000000004">
      <c r="A1100" s="3" t="s">
        <v>4210</v>
      </c>
      <c r="B1100" s="3" t="s">
        <v>4433</v>
      </c>
      <c r="C1100" t="s">
        <v>4433</v>
      </c>
      <c r="D1100" s="3" t="s">
        <v>7329</v>
      </c>
      <c r="E1100" t="s">
        <v>4434</v>
      </c>
      <c r="F1100" s="3" t="s">
        <v>4435</v>
      </c>
      <c r="G1100" s="10">
        <v>0</v>
      </c>
      <c r="H1100" s="3" t="s">
        <v>24</v>
      </c>
      <c r="I1100" t="s">
        <v>4438</v>
      </c>
      <c r="J1100" s="3" t="s">
        <v>138</v>
      </c>
      <c r="K1100" t="s">
        <v>23</v>
      </c>
      <c r="L1100" s="3" t="s">
        <v>5837</v>
      </c>
      <c r="M1100" t="s">
        <v>23</v>
      </c>
      <c r="N1100" s="8">
        <v>0.21907099999999999</v>
      </c>
    </row>
    <row r="1101" spans="1:14" hidden="1" x14ac:dyDescent="0.55000000000000004">
      <c r="A1101" s="3" t="s">
        <v>4210</v>
      </c>
      <c r="B1101" s="3" t="s">
        <v>4433</v>
      </c>
      <c r="C1101" t="s">
        <v>4433</v>
      </c>
      <c r="D1101" s="3" t="s">
        <v>7329</v>
      </c>
      <c r="E1101" t="s">
        <v>4439</v>
      </c>
      <c r="F1101" s="3" t="s">
        <v>4440</v>
      </c>
      <c r="G1101" s="10">
        <v>0</v>
      </c>
      <c r="H1101" s="3" t="s">
        <v>24</v>
      </c>
      <c r="I1101" t="s">
        <v>4438</v>
      </c>
      <c r="J1101" s="3" t="s">
        <v>138</v>
      </c>
      <c r="K1101" t="s">
        <v>23</v>
      </c>
      <c r="L1101" s="3" t="s">
        <v>5837</v>
      </c>
      <c r="M1101" t="s">
        <v>23</v>
      </c>
      <c r="N1101" s="8">
        <v>0.21907099999999999</v>
      </c>
    </row>
    <row r="1102" spans="1:14" hidden="1" x14ac:dyDescent="0.55000000000000004">
      <c r="A1102" s="3" t="s">
        <v>4210</v>
      </c>
      <c r="B1102" s="3" t="s">
        <v>3531</v>
      </c>
      <c r="C1102" t="s">
        <v>3531</v>
      </c>
      <c r="D1102" s="3" t="s">
        <v>7329</v>
      </c>
      <c r="E1102" t="s">
        <v>4441</v>
      </c>
      <c r="F1102" s="3" t="s">
        <v>4442</v>
      </c>
      <c r="G1102" s="10">
        <v>0</v>
      </c>
      <c r="H1102" s="3" t="s">
        <v>24</v>
      </c>
      <c r="I1102" t="s">
        <v>4445</v>
      </c>
      <c r="J1102" s="3" t="s">
        <v>46</v>
      </c>
      <c r="K1102" t="s">
        <v>5836</v>
      </c>
      <c r="L1102" s="3" t="s">
        <v>5837</v>
      </c>
      <c r="M1102" t="s">
        <v>6132</v>
      </c>
      <c r="N1102" s="8">
        <v>0.183867</v>
      </c>
    </row>
    <row r="1103" spans="1:14" hidden="1" x14ac:dyDescent="0.55000000000000004">
      <c r="A1103" s="3" t="s">
        <v>4210</v>
      </c>
      <c r="B1103" s="3" t="s">
        <v>3531</v>
      </c>
      <c r="C1103" t="s">
        <v>3531</v>
      </c>
      <c r="D1103" s="3" t="s">
        <v>7329</v>
      </c>
      <c r="E1103" t="s">
        <v>4448</v>
      </c>
      <c r="F1103" s="3" t="s">
        <v>4449</v>
      </c>
      <c r="G1103" s="10">
        <v>1</v>
      </c>
      <c r="H1103" s="3" t="s">
        <v>19</v>
      </c>
      <c r="I1103" t="s">
        <v>4452</v>
      </c>
      <c r="J1103" s="3" t="s">
        <v>84</v>
      </c>
      <c r="K1103" t="s">
        <v>5842</v>
      </c>
      <c r="L1103" s="3" t="s">
        <v>5843</v>
      </c>
      <c r="M1103" t="s">
        <v>6215</v>
      </c>
      <c r="N1103" s="8">
        <v>6.9766999999999996E-2</v>
      </c>
    </row>
    <row r="1104" spans="1:14" hidden="1" x14ac:dyDescent="0.55000000000000004">
      <c r="A1104" s="3" t="s">
        <v>4210</v>
      </c>
      <c r="B1104" s="3" t="s">
        <v>3531</v>
      </c>
      <c r="C1104" t="s">
        <v>3531</v>
      </c>
      <c r="D1104" s="3" t="s">
        <v>7329</v>
      </c>
      <c r="E1104" t="s">
        <v>4448</v>
      </c>
      <c r="F1104" s="3" t="s">
        <v>4449</v>
      </c>
      <c r="G1104" s="10">
        <v>1</v>
      </c>
      <c r="H1104" s="3" t="s">
        <v>24</v>
      </c>
      <c r="I1104" t="s">
        <v>4445</v>
      </c>
      <c r="J1104" s="3" t="s">
        <v>46</v>
      </c>
      <c r="K1104" t="s">
        <v>5836</v>
      </c>
      <c r="L1104" s="3" t="s">
        <v>5837</v>
      </c>
      <c r="M1104" t="s">
        <v>6132</v>
      </c>
      <c r="N1104" s="8">
        <v>0.183867</v>
      </c>
    </row>
    <row r="1105" spans="1:14" hidden="1" x14ac:dyDescent="0.55000000000000004">
      <c r="A1105" s="3" t="s">
        <v>4210</v>
      </c>
      <c r="B1105" s="3" t="s">
        <v>3531</v>
      </c>
      <c r="C1105" t="s">
        <v>3531</v>
      </c>
      <c r="D1105" s="3" t="s">
        <v>7329</v>
      </c>
      <c r="E1105" t="s">
        <v>4453</v>
      </c>
      <c r="F1105" s="3" t="s">
        <v>4454</v>
      </c>
      <c r="G1105" s="10">
        <v>0</v>
      </c>
      <c r="H1105" s="3" t="s">
        <v>24</v>
      </c>
      <c r="I1105" t="s">
        <v>4445</v>
      </c>
      <c r="J1105" s="3" t="s">
        <v>46</v>
      </c>
      <c r="K1105" t="s">
        <v>5836</v>
      </c>
      <c r="L1105" s="3" t="s">
        <v>5837</v>
      </c>
      <c r="M1105" t="s">
        <v>6132</v>
      </c>
      <c r="N1105" s="8">
        <v>0.183867</v>
      </c>
    </row>
    <row r="1106" spans="1:14" hidden="1" x14ac:dyDescent="0.55000000000000004">
      <c r="A1106" s="3" t="s">
        <v>4210</v>
      </c>
      <c r="B1106" s="3" t="s">
        <v>3531</v>
      </c>
      <c r="C1106" t="s">
        <v>3531</v>
      </c>
      <c r="D1106" s="3" t="s">
        <v>7329</v>
      </c>
      <c r="E1106" t="s">
        <v>4455</v>
      </c>
      <c r="F1106" s="3" t="s">
        <v>4456</v>
      </c>
      <c r="G1106" s="10">
        <v>0</v>
      </c>
      <c r="H1106" s="3" t="s">
        <v>19</v>
      </c>
      <c r="I1106" t="s">
        <v>4452</v>
      </c>
      <c r="J1106" s="3" t="s">
        <v>84</v>
      </c>
      <c r="K1106" t="s">
        <v>5842</v>
      </c>
      <c r="L1106" s="3" t="s">
        <v>5843</v>
      </c>
      <c r="M1106" t="s">
        <v>6215</v>
      </c>
      <c r="N1106" s="8">
        <v>6.9766999999999996E-2</v>
      </c>
    </row>
    <row r="1107" spans="1:14" hidden="1" x14ac:dyDescent="0.55000000000000004">
      <c r="A1107" s="3" t="s">
        <v>4210</v>
      </c>
      <c r="B1107" s="3" t="s">
        <v>3531</v>
      </c>
      <c r="C1107" t="s">
        <v>3531</v>
      </c>
      <c r="D1107" s="3" t="s">
        <v>7329</v>
      </c>
      <c r="E1107" t="s">
        <v>4455</v>
      </c>
      <c r="F1107" s="3" t="s">
        <v>4456</v>
      </c>
      <c r="G1107" s="10">
        <v>0</v>
      </c>
      <c r="H1107" s="3" t="s">
        <v>24</v>
      </c>
      <c r="I1107" t="s">
        <v>4445</v>
      </c>
      <c r="J1107" s="3" t="s">
        <v>46</v>
      </c>
      <c r="K1107" t="s">
        <v>5836</v>
      </c>
      <c r="L1107" s="3" t="s">
        <v>5837</v>
      </c>
      <c r="M1107" t="s">
        <v>6132</v>
      </c>
      <c r="N1107" s="8">
        <v>0.183867</v>
      </c>
    </row>
    <row r="1108" spans="1:14" hidden="1" x14ac:dyDescent="0.55000000000000004">
      <c r="A1108" s="3" t="s">
        <v>4210</v>
      </c>
      <c r="B1108" s="3" t="s">
        <v>4260</v>
      </c>
      <c r="C1108" t="s">
        <v>4260</v>
      </c>
      <c r="D1108" s="3" t="s">
        <v>7329</v>
      </c>
      <c r="E1108" t="s">
        <v>4457</v>
      </c>
      <c r="F1108" s="3" t="s">
        <v>4458</v>
      </c>
      <c r="G1108" s="10">
        <v>0</v>
      </c>
      <c r="H1108" s="3" t="s">
        <v>24</v>
      </c>
      <c r="I1108" t="s">
        <v>4461</v>
      </c>
      <c r="J1108" s="3" t="s">
        <v>138</v>
      </c>
      <c r="K1108" t="s">
        <v>23</v>
      </c>
      <c r="L1108" s="3" t="s">
        <v>5837</v>
      </c>
      <c r="M1108" t="s">
        <v>23</v>
      </c>
      <c r="N1108" s="8">
        <v>0.1706</v>
      </c>
    </row>
    <row r="1109" spans="1:14" hidden="1" x14ac:dyDescent="0.55000000000000004">
      <c r="A1109" s="3" t="s">
        <v>4210</v>
      </c>
      <c r="B1109" s="3" t="s">
        <v>7383</v>
      </c>
      <c r="C1109" t="s">
        <v>4462</v>
      </c>
      <c r="D1109" s="3" t="s">
        <v>7329</v>
      </c>
      <c r="E1109" t="s">
        <v>4463</v>
      </c>
      <c r="F1109" s="3" t="s">
        <v>4464</v>
      </c>
      <c r="G1109" s="10">
        <v>1</v>
      </c>
      <c r="H1109" s="3" t="s">
        <v>19</v>
      </c>
      <c r="I1109" t="s">
        <v>4469</v>
      </c>
      <c r="J1109" s="3" t="s">
        <v>4217</v>
      </c>
      <c r="K1109" t="s">
        <v>6198</v>
      </c>
      <c r="L1109" s="3" t="s">
        <v>6195</v>
      </c>
      <c r="M1109" t="s">
        <v>6216</v>
      </c>
      <c r="N1109" s="8">
        <v>3.9787999999999997E-2</v>
      </c>
    </row>
    <row r="1110" spans="1:14" hidden="1" x14ac:dyDescent="0.55000000000000004">
      <c r="A1110" s="3" t="s">
        <v>4210</v>
      </c>
      <c r="B1110" s="3" t="s">
        <v>7383</v>
      </c>
      <c r="C1110" t="s">
        <v>4462</v>
      </c>
      <c r="D1110" s="3" t="s">
        <v>7329</v>
      </c>
      <c r="E1110" t="s">
        <v>4463</v>
      </c>
      <c r="F1110" s="3" t="s">
        <v>4464</v>
      </c>
      <c r="G1110" s="10">
        <v>1</v>
      </c>
      <c r="H1110" s="3" t="s">
        <v>24</v>
      </c>
      <c r="I1110" t="s">
        <v>4472</v>
      </c>
      <c r="J1110" s="3" t="s">
        <v>46</v>
      </c>
      <c r="K1110" t="s">
        <v>5836</v>
      </c>
      <c r="L1110" s="3" t="s">
        <v>5837</v>
      </c>
      <c r="M1110" t="s">
        <v>6197</v>
      </c>
      <c r="N1110" s="8">
        <v>0.21213299999999999</v>
      </c>
    </row>
    <row r="1111" spans="1:14" hidden="1" x14ac:dyDescent="0.55000000000000004">
      <c r="A1111" s="3" t="s">
        <v>4210</v>
      </c>
      <c r="B1111" s="3" t="s">
        <v>4475</v>
      </c>
      <c r="C1111" t="s">
        <v>4475</v>
      </c>
      <c r="D1111" s="3" t="s">
        <v>7329</v>
      </c>
      <c r="E1111" t="s">
        <v>4476</v>
      </c>
      <c r="F1111" s="3" t="s">
        <v>4477</v>
      </c>
      <c r="G1111" s="10">
        <v>0</v>
      </c>
      <c r="H1111" s="3" t="s">
        <v>19</v>
      </c>
      <c r="I1111" t="s">
        <v>4480</v>
      </c>
      <c r="J1111" s="3" t="s">
        <v>4217</v>
      </c>
      <c r="K1111" t="s">
        <v>6198</v>
      </c>
      <c r="L1111" s="3" t="s">
        <v>6142</v>
      </c>
      <c r="M1111" t="s">
        <v>6217</v>
      </c>
      <c r="N1111" s="8">
        <v>5.2513999999999998E-2</v>
      </c>
    </row>
    <row r="1112" spans="1:14" hidden="1" x14ac:dyDescent="0.55000000000000004">
      <c r="A1112" s="3" t="s">
        <v>4210</v>
      </c>
      <c r="B1112" s="3" t="s">
        <v>4475</v>
      </c>
      <c r="C1112" t="s">
        <v>4475</v>
      </c>
      <c r="D1112" s="3" t="s">
        <v>7329</v>
      </c>
      <c r="E1112" t="s">
        <v>4476</v>
      </c>
      <c r="F1112" s="3" t="s">
        <v>4477</v>
      </c>
      <c r="G1112" s="10">
        <v>0</v>
      </c>
      <c r="H1112" s="3" t="s">
        <v>24</v>
      </c>
      <c r="I1112" t="s">
        <v>4485</v>
      </c>
      <c r="J1112" s="3" t="s">
        <v>46</v>
      </c>
      <c r="K1112" t="s">
        <v>5836</v>
      </c>
      <c r="L1112" s="3" t="s">
        <v>5837</v>
      </c>
      <c r="M1112" t="s">
        <v>6197</v>
      </c>
      <c r="N1112" s="8">
        <v>0.21213299999999999</v>
      </c>
    </row>
    <row r="1113" spans="1:14" hidden="1" x14ac:dyDescent="0.55000000000000004">
      <c r="A1113" s="3" t="s">
        <v>4210</v>
      </c>
      <c r="B1113" s="3" t="s">
        <v>4338</v>
      </c>
      <c r="C1113" t="s">
        <v>4475</v>
      </c>
      <c r="D1113" s="3" t="s">
        <v>7329</v>
      </c>
      <c r="E1113" t="s">
        <v>4488</v>
      </c>
      <c r="F1113" s="3" t="s">
        <v>4489</v>
      </c>
      <c r="G1113" s="10">
        <v>1</v>
      </c>
      <c r="H1113" s="3" t="s">
        <v>19</v>
      </c>
      <c r="I1113" t="s">
        <v>4480</v>
      </c>
      <c r="J1113" s="3" t="s">
        <v>4217</v>
      </c>
      <c r="K1113" t="s">
        <v>6198</v>
      </c>
      <c r="L1113" s="3" t="s">
        <v>6142</v>
      </c>
      <c r="M1113" t="s">
        <v>6217</v>
      </c>
      <c r="N1113" s="8">
        <v>5.2513999999999998E-2</v>
      </c>
    </row>
    <row r="1114" spans="1:14" hidden="1" x14ac:dyDescent="0.55000000000000004">
      <c r="A1114" s="3" t="s">
        <v>4210</v>
      </c>
      <c r="B1114" s="3" t="s">
        <v>4338</v>
      </c>
      <c r="C1114" t="s">
        <v>4475</v>
      </c>
      <c r="D1114" s="3" t="s">
        <v>7329</v>
      </c>
      <c r="E1114" t="s">
        <v>4488</v>
      </c>
      <c r="F1114" s="3" t="s">
        <v>4489</v>
      </c>
      <c r="G1114" s="10">
        <v>1</v>
      </c>
      <c r="H1114" s="3" t="s">
        <v>24</v>
      </c>
      <c r="I1114" t="s">
        <v>4485</v>
      </c>
      <c r="J1114" s="3" t="s">
        <v>46</v>
      </c>
      <c r="K1114" t="s">
        <v>5836</v>
      </c>
      <c r="L1114" s="3" t="s">
        <v>5837</v>
      </c>
      <c r="M1114" t="s">
        <v>6197</v>
      </c>
      <c r="N1114" s="8">
        <v>0.21213299999999999</v>
      </c>
    </row>
    <row r="1115" spans="1:14" hidden="1" x14ac:dyDescent="0.55000000000000004">
      <c r="A1115" s="3" t="s">
        <v>4210</v>
      </c>
      <c r="B1115" s="3" t="s">
        <v>7381</v>
      </c>
      <c r="C1115" t="s">
        <v>4462</v>
      </c>
      <c r="D1115" s="3" t="s">
        <v>7329</v>
      </c>
      <c r="E1115" t="s">
        <v>4491</v>
      </c>
      <c r="F1115" s="3" t="s">
        <v>4492</v>
      </c>
      <c r="G1115" s="10">
        <v>1</v>
      </c>
      <c r="H1115" s="3" t="s">
        <v>19</v>
      </c>
      <c r="I1115" t="s">
        <v>4495</v>
      </c>
      <c r="J1115" s="3" t="s">
        <v>4217</v>
      </c>
      <c r="K1115" t="s">
        <v>6198</v>
      </c>
      <c r="L1115" s="3" t="s">
        <v>6199</v>
      </c>
      <c r="M1115" t="s">
        <v>6218</v>
      </c>
      <c r="N1115" s="8">
        <v>2.1555000000000001E-2</v>
      </c>
    </row>
    <row r="1116" spans="1:14" hidden="1" x14ac:dyDescent="0.55000000000000004">
      <c r="A1116" s="3" t="s">
        <v>4210</v>
      </c>
      <c r="B1116" s="3" t="s">
        <v>7381</v>
      </c>
      <c r="C1116" t="s">
        <v>4462</v>
      </c>
      <c r="D1116" s="3" t="s">
        <v>7329</v>
      </c>
      <c r="E1116" t="s">
        <v>4491</v>
      </c>
      <c r="F1116" s="3" t="s">
        <v>4492</v>
      </c>
      <c r="G1116" s="10">
        <v>1</v>
      </c>
      <c r="H1116" s="3" t="s">
        <v>24</v>
      </c>
      <c r="I1116" t="s">
        <v>4506</v>
      </c>
      <c r="J1116" s="3" t="s">
        <v>46</v>
      </c>
      <c r="K1116" t="s">
        <v>5836</v>
      </c>
      <c r="L1116" s="3" t="s">
        <v>5837</v>
      </c>
      <c r="M1116" t="s">
        <v>6197</v>
      </c>
      <c r="N1116" s="8">
        <v>0.21213299999999999</v>
      </c>
    </row>
    <row r="1117" spans="1:14" hidden="1" x14ac:dyDescent="0.55000000000000004">
      <c r="A1117" s="3" t="s">
        <v>4210</v>
      </c>
      <c r="B1117" s="3" t="s">
        <v>4490</v>
      </c>
      <c r="C1117" t="s">
        <v>4462</v>
      </c>
      <c r="D1117" s="3" t="s">
        <v>7329</v>
      </c>
      <c r="E1117" t="s">
        <v>4509</v>
      </c>
      <c r="F1117" s="3" t="s">
        <v>4510</v>
      </c>
      <c r="G1117" s="10">
        <v>0</v>
      </c>
      <c r="H1117" s="3" t="s">
        <v>19</v>
      </c>
      <c r="I1117" t="s">
        <v>4495</v>
      </c>
      <c r="J1117" s="3" t="s">
        <v>4217</v>
      </c>
      <c r="K1117" t="s">
        <v>6198</v>
      </c>
      <c r="L1117" s="3" t="s">
        <v>6199</v>
      </c>
      <c r="M1117" t="s">
        <v>6218</v>
      </c>
      <c r="N1117" s="8">
        <v>2.1555000000000001E-2</v>
      </c>
    </row>
    <row r="1118" spans="1:14" hidden="1" x14ac:dyDescent="0.55000000000000004">
      <c r="A1118" s="3" t="s">
        <v>4210</v>
      </c>
      <c r="B1118" s="3" t="s">
        <v>4490</v>
      </c>
      <c r="C1118" t="s">
        <v>4462</v>
      </c>
      <c r="D1118" s="3" t="s">
        <v>7329</v>
      </c>
      <c r="E1118" t="s">
        <v>4509</v>
      </c>
      <c r="F1118" s="3" t="s">
        <v>4510</v>
      </c>
      <c r="G1118" s="10">
        <v>0</v>
      </c>
      <c r="H1118" s="3" t="s">
        <v>24</v>
      </c>
      <c r="I1118" t="s">
        <v>4506</v>
      </c>
      <c r="J1118" s="3" t="s">
        <v>46</v>
      </c>
      <c r="K1118" t="s">
        <v>5836</v>
      </c>
      <c r="L1118" s="3" t="s">
        <v>5837</v>
      </c>
      <c r="M1118" t="s">
        <v>6197</v>
      </c>
      <c r="N1118" s="8">
        <v>0.21213299999999999</v>
      </c>
    </row>
    <row r="1119" spans="1:14" hidden="1" x14ac:dyDescent="0.55000000000000004">
      <c r="A1119" s="3" t="s">
        <v>4210</v>
      </c>
      <c r="B1119" s="3" t="s">
        <v>4267</v>
      </c>
      <c r="C1119" t="s">
        <v>4267</v>
      </c>
      <c r="D1119" s="3" t="s">
        <v>7329</v>
      </c>
      <c r="E1119" t="s">
        <v>4511</v>
      </c>
      <c r="F1119" s="3" t="s">
        <v>4512</v>
      </c>
      <c r="G1119" s="10">
        <v>0</v>
      </c>
      <c r="H1119" s="3" t="s">
        <v>24</v>
      </c>
      <c r="I1119" t="s">
        <v>4272</v>
      </c>
      <c r="J1119" s="3" t="s">
        <v>138</v>
      </c>
      <c r="K1119" t="s">
        <v>23</v>
      </c>
      <c r="L1119" s="3" t="s">
        <v>5837</v>
      </c>
      <c r="M1119" t="s">
        <v>23</v>
      </c>
      <c r="N1119" s="8">
        <v>0.21809000000000001</v>
      </c>
    </row>
    <row r="1120" spans="1:14" hidden="1" x14ac:dyDescent="0.55000000000000004">
      <c r="A1120" s="3" t="s">
        <v>4210</v>
      </c>
      <c r="B1120" s="3" t="s">
        <v>7379</v>
      </c>
      <c r="C1120" t="s">
        <v>4344</v>
      </c>
      <c r="D1120" s="3" t="s">
        <v>7329</v>
      </c>
      <c r="E1120" t="s">
        <v>4513</v>
      </c>
      <c r="F1120" s="3" t="s">
        <v>4514</v>
      </c>
      <c r="G1120" s="10">
        <v>0</v>
      </c>
      <c r="H1120" s="3" t="s">
        <v>24</v>
      </c>
      <c r="I1120" t="s">
        <v>4519</v>
      </c>
      <c r="J1120" s="3" t="s">
        <v>46</v>
      </c>
      <c r="K1120" t="s">
        <v>5836</v>
      </c>
      <c r="L1120" s="3" t="s">
        <v>5837</v>
      </c>
      <c r="M1120" t="s">
        <v>6197</v>
      </c>
      <c r="N1120" s="8">
        <v>0.21213299999999999</v>
      </c>
    </row>
    <row r="1121" spans="1:14" hidden="1" x14ac:dyDescent="0.55000000000000004">
      <c r="A1121" s="3" t="s">
        <v>4210</v>
      </c>
      <c r="B1121" s="3" t="s">
        <v>7379</v>
      </c>
      <c r="C1121" t="s">
        <v>4344</v>
      </c>
      <c r="D1121" s="3" t="s">
        <v>7329</v>
      </c>
      <c r="E1121" t="s">
        <v>4520</v>
      </c>
      <c r="F1121" s="3" t="s">
        <v>4521</v>
      </c>
      <c r="G1121" s="10">
        <v>1</v>
      </c>
      <c r="H1121" s="3" t="s">
        <v>19</v>
      </c>
      <c r="I1121" t="s">
        <v>4524</v>
      </c>
      <c r="J1121" s="3" t="s">
        <v>4217</v>
      </c>
      <c r="K1121" t="s">
        <v>6198</v>
      </c>
      <c r="L1121" s="3" t="s">
        <v>6142</v>
      </c>
      <c r="M1121" t="s">
        <v>6219</v>
      </c>
      <c r="N1121" s="8">
        <v>3.8075999999999999E-2</v>
      </c>
    </row>
    <row r="1122" spans="1:14" hidden="1" x14ac:dyDescent="0.55000000000000004">
      <c r="A1122" s="3" t="s">
        <v>4210</v>
      </c>
      <c r="B1122" s="3" t="s">
        <v>7379</v>
      </c>
      <c r="C1122" t="s">
        <v>4344</v>
      </c>
      <c r="D1122" s="3" t="s">
        <v>7329</v>
      </c>
      <c r="E1122" t="s">
        <v>4520</v>
      </c>
      <c r="F1122" s="3" t="s">
        <v>4521</v>
      </c>
      <c r="G1122" s="10">
        <v>1</v>
      </c>
      <c r="H1122" s="3" t="s">
        <v>24</v>
      </c>
      <c r="I1122" t="s">
        <v>4519</v>
      </c>
      <c r="J1122" s="3" t="s">
        <v>46</v>
      </c>
      <c r="K1122" t="s">
        <v>5836</v>
      </c>
      <c r="L1122" s="3" t="s">
        <v>5837</v>
      </c>
      <c r="M1122" t="s">
        <v>6197</v>
      </c>
      <c r="N1122" s="8">
        <v>0.21213299999999999</v>
      </c>
    </row>
    <row r="1123" spans="1:14" hidden="1" x14ac:dyDescent="0.55000000000000004">
      <c r="A1123" s="3" t="s">
        <v>4210</v>
      </c>
      <c r="B1123" s="3" t="s">
        <v>4525</v>
      </c>
      <c r="C1123" t="s">
        <v>4525</v>
      </c>
      <c r="D1123" s="3" t="s">
        <v>7329</v>
      </c>
      <c r="E1123" t="s">
        <v>4526</v>
      </c>
      <c r="F1123" s="3" t="s">
        <v>4527</v>
      </c>
      <c r="G1123" s="10">
        <v>0</v>
      </c>
      <c r="H1123" s="3" t="s">
        <v>24</v>
      </c>
      <c r="I1123" t="s">
        <v>4530</v>
      </c>
      <c r="J1123" s="3" t="s">
        <v>138</v>
      </c>
      <c r="K1123" t="s">
        <v>23</v>
      </c>
      <c r="L1123" s="3" t="s">
        <v>5837</v>
      </c>
      <c r="M1123" t="s">
        <v>23</v>
      </c>
      <c r="N1123" s="8">
        <v>0.218919</v>
      </c>
    </row>
    <row r="1124" spans="1:14" hidden="1" x14ac:dyDescent="0.55000000000000004">
      <c r="A1124" s="9" t="s">
        <v>4210</v>
      </c>
      <c r="B1124" s="3" t="s">
        <v>4525</v>
      </c>
      <c r="C1124" t="s">
        <v>4525</v>
      </c>
      <c r="D1124" s="3" t="s">
        <v>7329</v>
      </c>
      <c r="E1124" t="s">
        <v>4531</v>
      </c>
      <c r="F1124" s="3" t="s">
        <v>4532</v>
      </c>
      <c r="G1124" s="10">
        <v>0</v>
      </c>
      <c r="H1124" s="3" t="s">
        <v>24</v>
      </c>
      <c r="I1124" t="s">
        <v>4530</v>
      </c>
      <c r="J1124" s="3" t="s">
        <v>138</v>
      </c>
      <c r="K1124" t="s">
        <v>23</v>
      </c>
      <c r="L1124" s="3" t="s">
        <v>5837</v>
      </c>
      <c r="M1124" t="s">
        <v>23</v>
      </c>
      <c r="N1124" s="8">
        <v>0.218919</v>
      </c>
    </row>
    <row r="1125" spans="1:14" hidden="1" x14ac:dyDescent="0.55000000000000004">
      <c r="A1125" s="3" t="s">
        <v>4533</v>
      </c>
      <c r="B1125" s="3" t="s">
        <v>4534</v>
      </c>
      <c r="C1125" t="s">
        <v>4534</v>
      </c>
      <c r="D1125" s="3" t="s">
        <v>7329</v>
      </c>
      <c r="E1125" t="s">
        <v>4535</v>
      </c>
      <c r="F1125" s="3" t="s">
        <v>4536</v>
      </c>
      <c r="G1125" s="10">
        <v>0</v>
      </c>
      <c r="H1125" s="3" t="s">
        <v>24</v>
      </c>
      <c r="I1125" t="s">
        <v>4539</v>
      </c>
      <c r="J1125" s="3" t="s">
        <v>40</v>
      </c>
      <c r="K1125" t="s">
        <v>23</v>
      </c>
      <c r="L1125" s="3" t="s">
        <v>5835</v>
      </c>
      <c r="M1125" t="s">
        <v>23</v>
      </c>
      <c r="N1125" s="8">
        <v>0.25894899999999998</v>
      </c>
    </row>
    <row r="1126" spans="1:14" hidden="1" x14ac:dyDescent="0.55000000000000004">
      <c r="A1126" s="3" t="s">
        <v>4533</v>
      </c>
      <c r="B1126" s="3" t="s">
        <v>4534</v>
      </c>
      <c r="C1126" t="s">
        <v>4534</v>
      </c>
      <c r="D1126" s="3" t="s">
        <v>7329</v>
      </c>
      <c r="E1126" t="s">
        <v>4540</v>
      </c>
      <c r="F1126" s="3" t="s">
        <v>4541</v>
      </c>
      <c r="G1126" s="10">
        <v>0</v>
      </c>
      <c r="H1126" s="3" t="s">
        <v>24</v>
      </c>
      <c r="I1126" t="s">
        <v>4539</v>
      </c>
      <c r="J1126" s="3" t="s">
        <v>40</v>
      </c>
      <c r="K1126" t="s">
        <v>23</v>
      </c>
      <c r="L1126" s="3" t="s">
        <v>5835</v>
      </c>
      <c r="M1126" t="s">
        <v>23</v>
      </c>
      <c r="N1126" s="8">
        <v>0.25894899999999998</v>
      </c>
    </row>
    <row r="1127" spans="1:14" hidden="1" x14ac:dyDescent="0.55000000000000004">
      <c r="A1127" s="3" t="s">
        <v>4533</v>
      </c>
      <c r="B1127" s="3" t="s">
        <v>7385</v>
      </c>
      <c r="C1127" t="s">
        <v>4534</v>
      </c>
      <c r="D1127" s="3" t="s">
        <v>7329</v>
      </c>
      <c r="E1127" t="s">
        <v>4542</v>
      </c>
      <c r="F1127" s="3" t="s">
        <v>4543</v>
      </c>
      <c r="G1127" s="10">
        <v>0</v>
      </c>
      <c r="H1127" s="3" t="s">
        <v>24</v>
      </c>
      <c r="I1127" t="s">
        <v>4539</v>
      </c>
      <c r="J1127" s="3" t="s">
        <v>40</v>
      </c>
      <c r="K1127" t="s">
        <v>23</v>
      </c>
      <c r="L1127" s="3" t="s">
        <v>5835</v>
      </c>
      <c r="M1127" t="s">
        <v>23</v>
      </c>
      <c r="N1127" s="8">
        <v>0.25894899999999998</v>
      </c>
    </row>
    <row r="1128" spans="1:14" hidden="1" x14ac:dyDescent="0.55000000000000004">
      <c r="A1128" s="3" t="s">
        <v>4533</v>
      </c>
      <c r="B1128" s="3" t="s">
        <v>4534</v>
      </c>
      <c r="C1128" t="s">
        <v>4534</v>
      </c>
      <c r="D1128" s="3" t="s">
        <v>7329</v>
      </c>
      <c r="E1128" t="s">
        <v>4544</v>
      </c>
      <c r="F1128" s="3" t="s">
        <v>4545</v>
      </c>
      <c r="G1128" s="10">
        <v>0</v>
      </c>
      <c r="H1128" s="3" t="s">
        <v>24</v>
      </c>
      <c r="I1128" t="s">
        <v>4539</v>
      </c>
      <c r="J1128" s="3" t="s">
        <v>40</v>
      </c>
      <c r="K1128" t="s">
        <v>23</v>
      </c>
      <c r="L1128" s="3" t="s">
        <v>5835</v>
      </c>
      <c r="M1128" t="s">
        <v>23</v>
      </c>
      <c r="N1128" s="8">
        <v>0.25894899999999998</v>
      </c>
    </row>
    <row r="1129" spans="1:14" hidden="1" x14ac:dyDescent="0.55000000000000004">
      <c r="A1129" s="9" t="s">
        <v>4533</v>
      </c>
      <c r="B1129" s="3" t="s">
        <v>7385</v>
      </c>
      <c r="C1129" t="s">
        <v>4534</v>
      </c>
      <c r="D1129" s="3" t="s">
        <v>7329</v>
      </c>
      <c r="E1129" t="s">
        <v>4546</v>
      </c>
      <c r="F1129" s="3" t="s">
        <v>4547</v>
      </c>
      <c r="G1129" s="10">
        <v>0</v>
      </c>
      <c r="H1129" s="3" t="s">
        <v>24</v>
      </c>
      <c r="I1129" t="s">
        <v>4539</v>
      </c>
      <c r="J1129" s="3" t="s">
        <v>40</v>
      </c>
      <c r="K1129" t="s">
        <v>23</v>
      </c>
      <c r="L1129" s="3" t="s">
        <v>5835</v>
      </c>
      <c r="M1129" t="s">
        <v>23</v>
      </c>
      <c r="N1129" s="8">
        <v>0.25894899999999998</v>
      </c>
    </row>
    <row r="1130" spans="1:14" hidden="1" x14ac:dyDescent="0.55000000000000004">
      <c r="A1130" s="3" t="s">
        <v>4548</v>
      </c>
      <c r="B1130" s="3" t="s">
        <v>4549</v>
      </c>
      <c r="C1130" t="s">
        <v>4549</v>
      </c>
      <c r="D1130" s="3" t="s">
        <v>7329</v>
      </c>
      <c r="E1130" t="s">
        <v>4550</v>
      </c>
      <c r="F1130" s="3" t="s">
        <v>4551</v>
      </c>
      <c r="G1130" s="10">
        <v>1</v>
      </c>
      <c r="H1130" s="3" t="s">
        <v>19</v>
      </c>
      <c r="I1130" t="s">
        <v>4554</v>
      </c>
      <c r="J1130" s="3" t="s">
        <v>84</v>
      </c>
      <c r="K1130" t="s">
        <v>5842</v>
      </c>
      <c r="L1130" s="3" t="s">
        <v>5843</v>
      </c>
      <c r="M1130" t="s">
        <v>6220</v>
      </c>
      <c r="N1130" s="8">
        <v>4.1005E-2</v>
      </c>
    </row>
    <row r="1131" spans="1:14" hidden="1" x14ac:dyDescent="0.55000000000000004">
      <c r="A1131" s="3" t="s">
        <v>4548</v>
      </c>
      <c r="B1131" s="3" t="s">
        <v>4549</v>
      </c>
      <c r="C1131" t="s">
        <v>4549</v>
      </c>
      <c r="D1131" s="3" t="s">
        <v>7329</v>
      </c>
      <c r="E1131" t="s">
        <v>4550</v>
      </c>
      <c r="F1131" s="3" t="s">
        <v>4551</v>
      </c>
      <c r="G1131" s="10">
        <v>1</v>
      </c>
      <c r="H1131" s="3" t="s">
        <v>24</v>
      </c>
      <c r="I1131" t="s">
        <v>4560</v>
      </c>
      <c r="J1131" s="3" t="s">
        <v>46</v>
      </c>
      <c r="K1131" t="s">
        <v>5836</v>
      </c>
      <c r="L1131" s="3" t="s">
        <v>5837</v>
      </c>
      <c r="M1131" t="s">
        <v>6221</v>
      </c>
      <c r="N1131" s="8">
        <v>0.214033</v>
      </c>
    </row>
    <row r="1132" spans="1:14" hidden="1" x14ac:dyDescent="0.55000000000000004">
      <c r="A1132" s="3" t="s">
        <v>4548</v>
      </c>
      <c r="B1132" s="3" t="s">
        <v>4549</v>
      </c>
      <c r="C1132" t="s">
        <v>4549</v>
      </c>
      <c r="D1132" s="3" t="s">
        <v>7329</v>
      </c>
      <c r="E1132" t="s">
        <v>4563</v>
      </c>
      <c r="F1132" s="3" t="s">
        <v>4564</v>
      </c>
      <c r="G1132" s="10">
        <v>0</v>
      </c>
      <c r="H1132" s="3" t="s">
        <v>19</v>
      </c>
      <c r="I1132" t="s">
        <v>4554</v>
      </c>
      <c r="J1132" s="3" t="s">
        <v>84</v>
      </c>
      <c r="K1132" t="s">
        <v>5842</v>
      </c>
      <c r="L1132" s="3" t="s">
        <v>5843</v>
      </c>
      <c r="M1132" t="s">
        <v>6220</v>
      </c>
      <c r="N1132" s="8">
        <v>4.1005E-2</v>
      </c>
    </row>
    <row r="1133" spans="1:14" hidden="1" x14ac:dyDescent="0.55000000000000004">
      <c r="A1133" s="3" t="s">
        <v>4548</v>
      </c>
      <c r="B1133" s="3" t="s">
        <v>4549</v>
      </c>
      <c r="C1133" t="s">
        <v>4549</v>
      </c>
      <c r="D1133" s="3" t="s">
        <v>7329</v>
      </c>
      <c r="E1133" t="s">
        <v>4563</v>
      </c>
      <c r="F1133" s="3" t="s">
        <v>4564</v>
      </c>
      <c r="G1133" s="10">
        <v>0</v>
      </c>
      <c r="H1133" s="3" t="s">
        <v>24</v>
      </c>
      <c r="I1133" t="s">
        <v>4560</v>
      </c>
      <c r="J1133" s="3" t="s">
        <v>46</v>
      </c>
      <c r="K1133" t="s">
        <v>5836</v>
      </c>
      <c r="L1133" s="3" t="s">
        <v>5837</v>
      </c>
      <c r="M1133" t="s">
        <v>6221</v>
      </c>
      <c r="N1133" s="8">
        <v>0.214033</v>
      </c>
    </row>
    <row r="1134" spans="1:14" hidden="1" x14ac:dyDescent="0.55000000000000004">
      <c r="A1134" s="3" t="s">
        <v>4548</v>
      </c>
      <c r="B1134" s="3" t="s">
        <v>4565</v>
      </c>
      <c r="C1134" t="s">
        <v>4565</v>
      </c>
      <c r="D1134" s="3" t="s">
        <v>7329</v>
      </c>
      <c r="E1134" t="s">
        <v>4566</v>
      </c>
      <c r="F1134" s="3" t="s">
        <v>4567</v>
      </c>
      <c r="G1134" s="10">
        <v>0</v>
      </c>
      <c r="H1134" s="3" t="s">
        <v>24</v>
      </c>
      <c r="I1134" t="s">
        <v>4570</v>
      </c>
      <c r="J1134" s="3" t="s">
        <v>40</v>
      </c>
      <c r="K1134" t="s">
        <v>23</v>
      </c>
      <c r="L1134" s="3" t="s">
        <v>5835</v>
      </c>
      <c r="M1134" t="s">
        <v>23</v>
      </c>
      <c r="N1134" s="8">
        <v>0.25779200000000002</v>
      </c>
    </row>
    <row r="1135" spans="1:14" hidden="1" x14ac:dyDescent="0.55000000000000004">
      <c r="A1135" s="3" t="s">
        <v>4548</v>
      </c>
      <c r="B1135" s="3" t="s">
        <v>7386</v>
      </c>
      <c r="C1135" t="s">
        <v>4565</v>
      </c>
      <c r="D1135" s="3" t="s">
        <v>7329</v>
      </c>
      <c r="E1135" t="s">
        <v>4574</v>
      </c>
      <c r="F1135" s="3" t="s">
        <v>4575</v>
      </c>
      <c r="G1135" s="10">
        <v>0</v>
      </c>
      <c r="H1135" s="3" t="s">
        <v>24</v>
      </c>
      <c r="I1135" t="s">
        <v>4570</v>
      </c>
      <c r="J1135" s="3" t="s">
        <v>40</v>
      </c>
      <c r="K1135" t="s">
        <v>23</v>
      </c>
      <c r="L1135" s="3" t="s">
        <v>5835</v>
      </c>
      <c r="M1135" t="s">
        <v>23</v>
      </c>
      <c r="N1135" s="8">
        <v>0.25779200000000002</v>
      </c>
    </row>
    <row r="1136" spans="1:14" hidden="1" x14ac:dyDescent="0.55000000000000004">
      <c r="A1136" s="3" t="s">
        <v>4548</v>
      </c>
      <c r="B1136" s="3" t="s">
        <v>4565</v>
      </c>
      <c r="C1136" t="s">
        <v>4565</v>
      </c>
      <c r="D1136" s="3" t="s">
        <v>7329</v>
      </c>
      <c r="E1136" t="s">
        <v>4576</v>
      </c>
      <c r="F1136" s="3" t="s">
        <v>4577</v>
      </c>
      <c r="G1136" s="10">
        <v>0</v>
      </c>
      <c r="H1136" s="3" t="s">
        <v>24</v>
      </c>
      <c r="I1136" t="s">
        <v>4570</v>
      </c>
      <c r="J1136" s="3" t="s">
        <v>40</v>
      </c>
      <c r="K1136" t="s">
        <v>23</v>
      </c>
      <c r="L1136" s="3" t="s">
        <v>5835</v>
      </c>
      <c r="M1136" t="s">
        <v>23</v>
      </c>
      <c r="N1136" s="8">
        <v>0.25779200000000002</v>
      </c>
    </row>
    <row r="1137" spans="1:14" hidden="1" x14ac:dyDescent="0.55000000000000004">
      <c r="A1137" s="3" t="s">
        <v>4548</v>
      </c>
      <c r="B1137" s="3" t="s">
        <v>4578</v>
      </c>
      <c r="C1137" t="s">
        <v>4578</v>
      </c>
      <c r="D1137" s="3" t="s">
        <v>7329</v>
      </c>
      <c r="E1137" t="s">
        <v>4579</v>
      </c>
      <c r="F1137" s="3" t="s">
        <v>4580</v>
      </c>
      <c r="G1137" s="10">
        <v>0</v>
      </c>
      <c r="H1137" s="3" t="s">
        <v>19</v>
      </c>
      <c r="I1137" t="s">
        <v>4583</v>
      </c>
      <c r="J1137" s="3" t="s">
        <v>84</v>
      </c>
      <c r="K1137" t="s">
        <v>5842</v>
      </c>
      <c r="L1137" s="3" t="s">
        <v>5843</v>
      </c>
      <c r="M1137" t="s">
        <v>6222</v>
      </c>
      <c r="N1137" s="8">
        <v>4.2654999999999998E-2</v>
      </c>
    </row>
    <row r="1138" spans="1:14" hidden="1" x14ac:dyDescent="0.55000000000000004">
      <c r="A1138" s="3" t="s">
        <v>4548</v>
      </c>
      <c r="B1138" s="3" t="s">
        <v>4578</v>
      </c>
      <c r="C1138" t="s">
        <v>4578</v>
      </c>
      <c r="D1138" s="3" t="s">
        <v>7329</v>
      </c>
      <c r="E1138" t="s">
        <v>4579</v>
      </c>
      <c r="F1138" s="3" t="s">
        <v>4580</v>
      </c>
      <c r="G1138" s="10">
        <v>0</v>
      </c>
      <c r="H1138" s="3" t="s">
        <v>24</v>
      </c>
      <c r="I1138" t="s">
        <v>4586</v>
      </c>
      <c r="J1138" s="3" t="s">
        <v>46</v>
      </c>
      <c r="K1138" t="s">
        <v>5836</v>
      </c>
      <c r="L1138" s="3" t="s">
        <v>5837</v>
      </c>
      <c r="M1138" t="s">
        <v>6223</v>
      </c>
      <c r="N1138" s="8">
        <v>0.20976700000000001</v>
      </c>
    </row>
    <row r="1139" spans="1:14" hidden="1" x14ac:dyDescent="0.55000000000000004">
      <c r="A1139" s="3" t="s">
        <v>4548</v>
      </c>
      <c r="B1139" s="3" t="s">
        <v>4578</v>
      </c>
      <c r="C1139" t="s">
        <v>4578</v>
      </c>
      <c r="D1139" s="3" t="s">
        <v>7329</v>
      </c>
      <c r="E1139" t="s">
        <v>4589</v>
      </c>
      <c r="F1139" s="3" t="s">
        <v>4590</v>
      </c>
      <c r="G1139" s="10">
        <v>0</v>
      </c>
      <c r="H1139" s="3" t="s">
        <v>19</v>
      </c>
      <c r="I1139" t="s">
        <v>4583</v>
      </c>
      <c r="J1139" s="3" t="s">
        <v>84</v>
      </c>
      <c r="K1139" t="s">
        <v>5842</v>
      </c>
      <c r="L1139" s="3" t="s">
        <v>5843</v>
      </c>
      <c r="M1139" t="s">
        <v>6222</v>
      </c>
      <c r="N1139" s="8">
        <v>4.2654999999999998E-2</v>
      </c>
    </row>
    <row r="1140" spans="1:14" hidden="1" x14ac:dyDescent="0.55000000000000004">
      <c r="A1140" s="3" t="s">
        <v>4548</v>
      </c>
      <c r="B1140" s="3" t="s">
        <v>4578</v>
      </c>
      <c r="C1140" t="s">
        <v>4578</v>
      </c>
      <c r="D1140" s="3" t="s">
        <v>7329</v>
      </c>
      <c r="E1140" t="s">
        <v>4589</v>
      </c>
      <c r="F1140" s="3" t="s">
        <v>4590</v>
      </c>
      <c r="G1140" s="10">
        <v>0</v>
      </c>
      <c r="H1140" s="3" t="s">
        <v>24</v>
      </c>
      <c r="I1140" t="s">
        <v>4586</v>
      </c>
      <c r="J1140" s="3" t="s">
        <v>46</v>
      </c>
      <c r="K1140" t="s">
        <v>5836</v>
      </c>
      <c r="L1140" s="3" t="s">
        <v>5837</v>
      </c>
      <c r="M1140" t="s">
        <v>6223</v>
      </c>
      <c r="N1140" s="8">
        <v>0.20976700000000001</v>
      </c>
    </row>
    <row r="1141" spans="1:14" hidden="1" x14ac:dyDescent="0.55000000000000004">
      <c r="A1141" s="3" t="s">
        <v>4548</v>
      </c>
      <c r="B1141" s="3" t="s">
        <v>4578</v>
      </c>
      <c r="C1141" t="s">
        <v>4578</v>
      </c>
      <c r="D1141" s="3" t="s">
        <v>7329</v>
      </c>
      <c r="E1141" t="s">
        <v>4591</v>
      </c>
      <c r="F1141" s="3" t="s">
        <v>4592</v>
      </c>
      <c r="G1141" s="10">
        <v>1</v>
      </c>
      <c r="H1141" s="3" t="s">
        <v>19</v>
      </c>
      <c r="I1141" t="s">
        <v>4583</v>
      </c>
      <c r="J1141" s="3" t="s">
        <v>84</v>
      </c>
      <c r="K1141" t="s">
        <v>5842</v>
      </c>
      <c r="L1141" s="3" t="s">
        <v>5843</v>
      </c>
      <c r="M1141" t="s">
        <v>6222</v>
      </c>
      <c r="N1141" s="8">
        <v>4.2654999999999998E-2</v>
      </c>
    </row>
    <row r="1142" spans="1:14" hidden="1" x14ac:dyDescent="0.55000000000000004">
      <c r="A1142" s="3" t="s">
        <v>4548</v>
      </c>
      <c r="B1142" s="3" t="s">
        <v>4578</v>
      </c>
      <c r="C1142" t="s">
        <v>4578</v>
      </c>
      <c r="D1142" s="3" t="s">
        <v>7329</v>
      </c>
      <c r="E1142" t="s">
        <v>4591</v>
      </c>
      <c r="F1142" s="3" t="s">
        <v>4592</v>
      </c>
      <c r="G1142" s="10">
        <v>1</v>
      </c>
      <c r="H1142" s="3" t="s">
        <v>24</v>
      </c>
      <c r="I1142" t="s">
        <v>4586</v>
      </c>
      <c r="J1142" s="3" t="s">
        <v>46</v>
      </c>
      <c r="K1142" t="s">
        <v>5836</v>
      </c>
      <c r="L1142" s="3" t="s">
        <v>5837</v>
      </c>
      <c r="M1142" t="s">
        <v>6223</v>
      </c>
      <c r="N1142" s="8">
        <v>0.20976700000000001</v>
      </c>
    </row>
    <row r="1143" spans="1:14" hidden="1" x14ac:dyDescent="0.55000000000000004">
      <c r="A1143" s="3" t="s">
        <v>4548</v>
      </c>
      <c r="B1143" s="3" t="s">
        <v>4578</v>
      </c>
      <c r="C1143" t="s">
        <v>4578</v>
      </c>
      <c r="D1143" s="3" t="s">
        <v>7329</v>
      </c>
      <c r="E1143" t="s">
        <v>4593</v>
      </c>
      <c r="F1143" s="3" t="s">
        <v>4594</v>
      </c>
      <c r="G1143" s="10">
        <v>0</v>
      </c>
      <c r="H1143" s="3" t="s">
        <v>19</v>
      </c>
      <c r="I1143" t="s">
        <v>4583</v>
      </c>
      <c r="J1143" s="3" t="s">
        <v>84</v>
      </c>
      <c r="K1143" t="s">
        <v>5842</v>
      </c>
      <c r="L1143" s="3" t="s">
        <v>5843</v>
      </c>
      <c r="M1143" t="s">
        <v>6222</v>
      </c>
      <c r="N1143" s="8">
        <v>4.2654999999999998E-2</v>
      </c>
    </row>
    <row r="1144" spans="1:14" hidden="1" x14ac:dyDescent="0.55000000000000004">
      <c r="A1144" s="3" t="s">
        <v>4548</v>
      </c>
      <c r="B1144" s="3" t="s">
        <v>4578</v>
      </c>
      <c r="C1144" t="s">
        <v>4578</v>
      </c>
      <c r="D1144" s="3" t="s">
        <v>7329</v>
      </c>
      <c r="E1144" t="s">
        <v>4593</v>
      </c>
      <c r="F1144" s="3" t="s">
        <v>4594</v>
      </c>
      <c r="G1144" s="10">
        <v>0</v>
      </c>
      <c r="H1144" s="3" t="s">
        <v>24</v>
      </c>
      <c r="I1144" t="s">
        <v>4586</v>
      </c>
      <c r="J1144" s="3" t="s">
        <v>46</v>
      </c>
      <c r="K1144" t="s">
        <v>5836</v>
      </c>
      <c r="L1144" s="3" t="s">
        <v>5837</v>
      </c>
      <c r="M1144" t="s">
        <v>6223</v>
      </c>
      <c r="N1144" s="8">
        <v>0.20976700000000001</v>
      </c>
    </row>
    <row r="1145" spans="1:14" hidden="1" x14ac:dyDescent="0.55000000000000004">
      <c r="A1145" s="3" t="s">
        <v>4548</v>
      </c>
      <c r="B1145" s="3" t="s">
        <v>4578</v>
      </c>
      <c r="C1145" t="s">
        <v>4578</v>
      </c>
      <c r="D1145" s="3" t="s">
        <v>7329</v>
      </c>
      <c r="E1145" t="s">
        <v>4595</v>
      </c>
      <c r="F1145" s="3" t="s">
        <v>4596</v>
      </c>
      <c r="G1145" s="10">
        <v>0</v>
      </c>
      <c r="H1145" s="3" t="s">
        <v>19</v>
      </c>
      <c r="I1145" t="s">
        <v>4583</v>
      </c>
      <c r="J1145" s="3" t="s">
        <v>84</v>
      </c>
      <c r="K1145" t="s">
        <v>5842</v>
      </c>
      <c r="L1145" s="3" t="s">
        <v>5843</v>
      </c>
      <c r="M1145" t="s">
        <v>6222</v>
      </c>
      <c r="N1145" s="8">
        <v>4.2654999999999998E-2</v>
      </c>
    </row>
    <row r="1146" spans="1:14" hidden="1" x14ac:dyDescent="0.55000000000000004">
      <c r="A1146" s="3" t="s">
        <v>4548</v>
      </c>
      <c r="B1146" s="3" t="s">
        <v>4578</v>
      </c>
      <c r="C1146" t="s">
        <v>4578</v>
      </c>
      <c r="D1146" s="3" t="s">
        <v>7329</v>
      </c>
      <c r="E1146" t="s">
        <v>4595</v>
      </c>
      <c r="F1146" s="3" t="s">
        <v>4596</v>
      </c>
      <c r="G1146" s="10">
        <v>0</v>
      </c>
      <c r="H1146" s="3" t="s">
        <v>24</v>
      </c>
      <c r="I1146" t="s">
        <v>4586</v>
      </c>
      <c r="J1146" s="3" t="s">
        <v>46</v>
      </c>
      <c r="K1146" t="s">
        <v>5836</v>
      </c>
      <c r="L1146" s="3" t="s">
        <v>5837</v>
      </c>
      <c r="M1146" t="s">
        <v>6223</v>
      </c>
      <c r="N1146" s="8">
        <v>0.20976700000000001</v>
      </c>
    </row>
    <row r="1147" spans="1:14" hidden="1" x14ac:dyDescent="0.55000000000000004">
      <c r="A1147" s="3" t="s">
        <v>4548</v>
      </c>
      <c r="B1147" s="3" t="s">
        <v>4597</v>
      </c>
      <c r="C1147" t="s">
        <v>4597</v>
      </c>
      <c r="D1147" s="3" t="s">
        <v>7329</v>
      </c>
      <c r="E1147" t="s">
        <v>4598</v>
      </c>
      <c r="F1147" s="3" t="s">
        <v>4599</v>
      </c>
      <c r="G1147" s="10">
        <v>1</v>
      </c>
      <c r="H1147" s="3" t="s">
        <v>19</v>
      </c>
      <c r="I1147" t="s">
        <v>4602</v>
      </c>
      <c r="J1147" s="3" t="s">
        <v>84</v>
      </c>
      <c r="K1147" t="s">
        <v>5842</v>
      </c>
      <c r="L1147" s="3" t="s">
        <v>5843</v>
      </c>
      <c r="M1147" t="s">
        <v>6224</v>
      </c>
      <c r="N1147" s="8">
        <v>4.1943000000000001E-2</v>
      </c>
    </row>
    <row r="1148" spans="1:14" hidden="1" x14ac:dyDescent="0.55000000000000004">
      <c r="A1148" s="3" t="s">
        <v>4548</v>
      </c>
      <c r="B1148" s="3" t="s">
        <v>4597</v>
      </c>
      <c r="C1148" t="s">
        <v>4597</v>
      </c>
      <c r="D1148" s="3" t="s">
        <v>7329</v>
      </c>
      <c r="E1148" t="s">
        <v>4598</v>
      </c>
      <c r="F1148" s="3" t="s">
        <v>4599</v>
      </c>
      <c r="G1148" s="10">
        <v>1</v>
      </c>
      <c r="H1148" s="3" t="s">
        <v>24</v>
      </c>
      <c r="I1148" t="s">
        <v>4608</v>
      </c>
      <c r="J1148" s="3" t="s">
        <v>46</v>
      </c>
      <c r="K1148" t="s">
        <v>5836</v>
      </c>
      <c r="L1148" s="3" t="s">
        <v>5837</v>
      </c>
      <c r="M1148" t="s">
        <v>6225</v>
      </c>
      <c r="N1148" s="8">
        <v>0.22686700000000001</v>
      </c>
    </row>
    <row r="1149" spans="1:14" hidden="1" x14ac:dyDescent="0.55000000000000004">
      <c r="A1149" s="3" t="s">
        <v>4548</v>
      </c>
      <c r="B1149" s="3" t="s">
        <v>4597</v>
      </c>
      <c r="C1149" t="s">
        <v>4597</v>
      </c>
      <c r="D1149" s="3" t="s">
        <v>7329</v>
      </c>
      <c r="E1149" t="s">
        <v>4611</v>
      </c>
      <c r="F1149" s="3" t="s">
        <v>4612</v>
      </c>
      <c r="G1149" s="10">
        <v>0</v>
      </c>
      <c r="H1149" s="3" t="s">
        <v>19</v>
      </c>
      <c r="I1149" t="s">
        <v>4602</v>
      </c>
      <c r="J1149" s="3" t="s">
        <v>84</v>
      </c>
      <c r="K1149" t="s">
        <v>5842</v>
      </c>
      <c r="L1149" s="3" t="s">
        <v>5843</v>
      </c>
      <c r="M1149" t="s">
        <v>6224</v>
      </c>
      <c r="N1149" s="8">
        <v>4.1943000000000001E-2</v>
      </c>
    </row>
    <row r="1150" spans="1:14" hidden="1" x14ac:dyDescent="0.55000000000000004">
      <c r="A1150" s="3" t="s">
        <v>4548</v>
      </c>
      <c r="B1150" s="3" t="s">
        <v>4597</v>
      </c>
      <c r="C1150" t="s">
        <v>4597</v>
      </c>
      <c r="D1150" s="3" t="s">
        <v>7329</v>
      </c>
      <c r="E1150" t="s">
        <v>4611</v>
      </c>
      <c r="F1150" s="3" t="s">
        <v>4612</v>
      </c>
      <c r="G1150" s="10">
        <v>0</v>
      </c>
      <c r="H1150" s="3" t="s">
        <v>24</v>
      </c>
      <c r="I1150" t="s">
        <v>4608</v>
      </c>
      <c r="J1150" s="3" t="s">
        <v>46</v>
      </c>
      <c r="K1150" t="s">
        <v>5836</v>
      </c>
      <c r="L1150" s="3" t="s">
        <v>5837</v>
      </c>
      <c r="M1150" t="s">
        <v>6225</v>
      </c>
      <c r="N1150" s="8">
        <v>0.22686700000000001</v>
      </c>
    </row>
    <row r="1151" spans="1:14" hidden="1" x14ac:dyDescent="0.55000000000000004">
      <c r="A1151" s="3" t="s">
        <v>4548</v>
      </c>
      <c r="B1151" s="3" t="s">
        <v>4597</v>
      </c>
      <c r="C1151" t="s">
        <v>4597</v>
      </c>
      <c r="D1151" s="3" t="s">
        <v>7329</v>
      </c>
      <c r="E1151" t="s">
        <v>4613</v>
      </c>
      <c r="F1151" s="3" t="s">
        <v>4614</v>
      </c>
      <c r="G1151" s="10">
        <v>0</v>
      </c>
      <c r="H1151" s="3" t="s">
        <v>19</v>
      </c>
      <c r="I1151" t="s">
        <v>4602</v>
      </c>
      <c r="J1151" s="3" t="s">
        <v>84</v>
      </c>
      <c r="K1151" t="s">
        <v>5842</v>
      </c>
      <c r="L1151" s="3" t="s">
        <v>5843</v>
      </c>
      <c r="M1151" t="s">
        <v>6224</v>
      </c>
      <c r="N1151" s="8">
        <v>4.1943000000000001E-2</v>
      </c>
    </row>
    <row r="1152" spans="1:14" hidden="1" x14ac:dyDescent="0.55000000000000004">
      <c r="A1152" s="3" t="s">
        <v>4548</v>
      </c>
      <c r="B1152" s="3" t="s">
        <v>4597</v>
      </c>
      <c r="C1152" t="s">
        <v>4597</v>
      </c>
      <c r="D1152" s="3" t="s">
        <v>7329</v>
      </c>
      <c r="E1152" t="s">
        <v>4613</v>
      </c>
      <c r="F1152" s="3" t="s">
        <v>4614</v>
      </c>
      <c r="G1152" s="10">
        <v>0</v>
      </c>
      <c r="H1152" s="3" t="s">
        <v>24</v>
      </c>
      <c r="I1152" t="s">
        <v>4608</v>
      </c>
      <c r="J1152" s="3" t="s">
        <v>46</v>
      </c>
      <c r="K1152" t="s">
        <v>5836</v>
      </c>
      <c r="L1152" s="3" t="s">
        <v>5837</v>
      </c>
      <c r="M1152" t="s">
        <v>6225</v>
      </c>
      <c r="N1152" s="8">
        <v>0.22686700000000001</v>
      </c>
    </row>
    <row r="1153" spans="1:14" hidden="1" x14ac:dyDescent="0.55000000000000004">
      <c r="A1153" s="3" t="s">
        <v>4548</v>
      </c>
      <c r="B1153" s="3" t="s">
        <v>4597</v>
      </c>
      <c r="C1153" t="s">
        <v>4597</v>
      </c>
      <c r="D1153" s="3" t="s">
        <v>7329</v>
      </c>
      <c r="E1153" t="s">
        <v>4615</v>
      </c>
      <c r="F1153" s="3" t="s">
        <v>4616</v>
      </c>
      <c r="G1153" s="10">
        <v>0</v>
      </c>
      <c r="H1153" s="3" t="s">
        <v>19</v>
      </c>
      <c r="I1153" t="s">
        <v>4602</v>
      </c>
      <c r="J1153" s="3" t="s">
        <v>84</v>
      </c>
      <c r="K1153" t="s">
        <v>5842</v>
      </c>
      <c r="L1153" s="3" t="s">
        <v>5843</v>
      </c>
      <c r="M1153" t="s">
        <v>6224</v>
      </c>
      <c r="N1153" s="8">
        <v>4.1943000000000001E-2</v>
      </c>
    </row>
    <row r="1154" spans="1:14" hidden="1" x14ac:dyDescent="0.55000000000000004">
      <c r="A1154" s="3" t="s">
        <v>4548</v>
      </c>
      <c r="B1154" s="3" t="s">
        <v>4597</v>
      </c>
      <c r="C1154" t="s">
        <v>4597</v>
      </c>
      <c r="D1154" s="3" t="s">
        <v>7329</v>
      </c>
      <c r="E1154" t="s">
        <v>4615</v>
      </c>
      <c r="F1154" s="3" t="s">
        <v>4616</v>
      </c>
      <c r="G1154" s="10">
        <v>0</v>
      </c>
      <c r="H1154" s="3" t="s">
        <v>24</v>
      </c>
      <c r="I1154" t="s">
        <v>4608</v>
      </c>
      <c r="J1154" s="3" t="s">
        <v>46</v>
      </c>
      <c r="K1154" t="s">
        <v>5836</v>
      </c>
      <c r="L1154" s="3" t="s">
        <v>5837</v>
      </c>
      <c r="M1154" t="s">
        <v>6225</v>
      </c>
      <c r="N1154" s="8">
        <v>0.22686700000000001</v>
      </c>
    </row>
    <row r="1155" spans="1:14" hidden="1" x14ac:dyDescent="0.55000000000000004">
      <c r="A1155" s="3" t="s">
        <v>4548</v>
      </c>
      <c r="B1155" s="3" t="s">
        <v>4597</v>
      </c>
      <c r="C1155" t="s">
        <v>4597</v>
      </c>
      <c r="D1155" s="3" t="s">
        <v>7329</v>
      </c>
      <c r="E1155" t="s">
        <v>4617</v>
      </c>
      <c r="F1155" s="3" t="s">
        <v>4618</v>
      </c>
      <c r="G1155" s="10">
        <v>0</v>
      </c>
      <c r="H1155" s="3" t="s">
        <v>19</v>
      </c>
      <c r="I1155" t="s">
        <v>4602</v>
      </c>
      <c r="J1155" s="3" t="s">
        <v>84</v>
      </c>
      <c r="K1155" t="s">
        <v>5842</v>
      </c>
      <c r="L1155" s="3" t="s">
        <v>5843</v>
      </c>
      <c r="M1155" t="s">
        <v>6224</v>
      </c>
      <c r="N1155" s="8">
        <v>4.1943000000000001E-2</v>
      </c>
    </row>
    <row r="1156" spans="1:14" hidden="1" x14ac:dyDescent="0.55000000000000004">
      <c r="A1156" s="3" t="s">
        <v>4548</v>
      </c>
      <c r="B1156" s="3" t="s">
        <v>4597</v>
      </c>
      <c r="C1156" t="s">
        <v>4597</v>
      </c>
      <c r="D1156" s="3" t="s">
        <v>7329</v>
      </c>
      <c r="E1156" t="s">
        <v>4617</v>
      </c>
      <c r="F1156" s="3" t="s">
        <v>4618</v>
      </c>
      <c r="G1156" s="10">
        <v>0</v>
      </c>
      <c r="H1156" s="3" t="s">
        <v>24</v>
      </c>
      <c r="I1156" t="s">
        <v>4608</v>
      </c>
      <c r="J1156" s="3" t="s">
        <v>46</v>
      </c>
      <c r="K1156" t="s">
        <v>5836</v>
      </c>
      <c r="L1156" s="3" t="s">
        <v>5837</v>
      </c>
      <c r="M1156" t="s">
        <v>6225</v>
      </c>
      <c r="N1156" s="8">
        <v>0.22686700000000001</v>
      </c>
    </row>
    <row r="1157" spans="1:14" hidden="1" x14ac:dyDescent="0.55000000000000004">
      <c r="A1157" s="3" t="s">
        <v>4548</v>
      </c>
      <c r="B1157" s="3" t="s">
        <v>4597</v>
      </c>
      <c r="C1157" t="s">
        <v>4597</v>
      </c>
      <c r="D1157" s="3" t="s">
        <v>7329</v>
      </c>
      <c r="E1157" t="s">
        <v>4619</v>
      </c>
      <c r="F1157" s="3" t="s">
        <v>4620</v>
      </c>
      <c r="G1157" s="10">
        <v>0</v>
      </c>
      <c r="H1157" s="3" t="s">
        <v>19</v>
      </c>
      <c r="I1157" t="s">
        <v>4602</v>
      </c>
      <c r="J1157" s="3" t="s">
        <v>84</v>
      </c>
      <c r="K1157" t="s">
        <v>5842</v>
      </c>
      <c r="L1157" s="3" t="s">
        <v>5843</v>
      </c>
      <c r="M1157" t="s">
        <v>6224</v>
      </c>
      <c r="N1157" s="8">
        <v>4.1943000000000001E-2</v>
      </c>
    </row>
    <row r="1158" spans="1:14" hidden="1" x14ac:dyDescent="0.55000000000000004">
      <c r="A1158" s="3" t="s">
        <v>4548</v>
      </c>
      <c r="B1158" s="3" t="s">
        <v>4597</v>
      </c>
      <c r="C1158" t="s">
        <v>4597</v>
      </c>
      <c r="D1158" s="3" t="s">
        <v>7329</v>
      </c>
      <c r="E1158" t="s">
        <v>4619</v>
      </c>
      <c r="F1158" s="3" t="s">
        <v>4620</v>
      </c>
      <c r="G1158" s="10">
        <v>0</v>
      </c>
      <c r="H1158" s="3" t="s">
        <v>24</v>
      </c>
      <c r="I1158" t="s">
        <v>4608</v>
      </c>
      <c r="J1158" s="3" t="s">
        <v>46</v>
      </c>
      <c r="K1158" t="s">
        <v>5836</v>
      </c>
      <c r="L1158" s="3" t="s">
        <v>5837</v>
      </c>
      <c r="M1158" t="s">
        <v>6225</v>
      </c>
      <c r="N1158" s="8">
        <v>0.22686700000000001</v>
      </c>
    </row>
    <row r="1159" spans="1:14" hidden="1" x14ac:dyDescent="0.55000000000000004">
      <c r="A1159" s="3" t="s">
        <v>4548</v>
      </c>
      <c r="B1159" s="3" t="s">
        <v>4597</v>
      </c>
      <c r="C1159" t="s">
        <v>4597</v>
      </c>
      <c r="D1159" s="3" t="s">
        <v>7329</v>
      </c>
      <c r="E1159" t="s">
        <v>4621</v>
      </c>
      <c r="F1159" s="3" t="s">
        <v>4622</v>
      </c>
      <c r="G1159" s="10">
        <v>0</v>
      </c>
      <c r="H1159" s="3" t="s">
        <v>19</v>
      </c>
      <c r="I1159" t="s">
        <v>4602</v>
      </c>
      <c r="J1159" s="3" t="s">
        <v>84</v>
      </c>
      <c r="K1159" t="s">
        <v>5842</v>
      </c>
      <c r="L1159" s="3" t="s">
        <v>5843</v>
      </c>
      <c r="M1159" t="s">
        <v>6224</v>
      </c>
      <c r="N1159" s="8">
        <v>4.1943000000000001E-2</v>
      </c>
    </row>
    <row r="1160" spans="1:14" hidden="1" x14ac:dyDescent="0.55000000000000004">
      <c r="A1160" s="9" t="s">
        <v>4548</v>
      </c>
      <c r="B1160" s="3" t="s">
        <v>4597</v>
      </c>
      <c r="C1160" t="s">
        <v>4597</v>
      </c>
      <c r="D1160" s="3" t="s">
        <v>7329</v>
      </c>
      <c r="E1160" t="s">
        <v>4621</v>
      </c>
      <c r="F1160" s="3" t="s">
        <v>4622</v>
      </c>
      <c r="G1160" s="10">
        <v>0</v>
      </c>
      <c r="H1160" s="3" t="s">
        <v>24</v>
      </c>
      <c r="I1160" t="s">
        <v>4608</v>
      </c>
      <c r="J1160" s="3" t="s">
        <v>46</v>
      </c>
      <c r="K1160" t="s">
        <v>5836</v>
      </c>
      <c r="L1160" s="3" t="s">
        <v>5837</v>
      </c>
      <c r="M1160" t="s">
        <v>6225</v>
      </c>
      <c r="N1160" s="8">
        <v>0.22686700000000001</v>
      </c>
    </row>
    <row r="1161" spans="1:14" hidden="1" x14ac:dyDescent="0.55000000000000004">
      <c r="A1161" s="3" t="s">
        <v>4623</v>
      </c>
      <c r="B1161" s="3" t="s">
        <v>4624</v>
      </c>
      <c r="C1161" t="s">
        <v>4624</v>
      </c>
      <c r="D1161" s="3" t="s">
        <v>7312</v>
      </c>
      <c r="E1161" t="s">
        <v>4625</v>
      </c>
      <c r="F1161" s="3" t="s">
        <v>4626</v>
      </c>
      <c r="G1161" s="10">
        <v>1</v>
      </c>
      <c r="H1161" s="3" t="s">
        <v>19</v>
      </c>
      <c r="I1161" t="s">
        <v>4631</v>
      </c>
      <c r="J1161" s="3" t="s">
        <v>1287</v>
      </c>
      <c r="K1161" t="s">
        <v>5963</v>
      </c>
      <c r="L1161" s="3" t="s">
        <v>5964</v>
      </c>
      <c r="M1161" t="s">
        <v>6226</v>
      </c>
      <c r="N1161" s="8">
        <v>9.6264000000000002E-2</v>
      </c>
    </row>
    <row r="1162" spans="1:14" hidden="1" x14ac:dyDescent="0.55000000000000004">
      <c r="A1162" s="3" t="s">
        <v>4623</v>
      </c>
      <c r="B1162" s="3" t="s">
        <v>4635</v>
      </c>
      <c r="C1162" t="s">
        <v>4635</v>
      </c>
      <c r="D1162" s="3" t="s">
        <v>7312</v>
      </c>
      <c r="E1162" t="s">
        <v>4636</v>
      </c>
      <c r="F1162" s="3" t="s">
        <v>4637</v>
      </c>
      <c r="G1162" s="10">
        <v>1</v>
      </c>
      <c r="H1162" s="3" t="s">
        <v>19</v>
      </c>
      <c r="I1162" t="s">
        <v>4642</v>
      </c>
      <c r="J1162" s="3" t="s">
        <v>1287</v>
      </c>
      <c r="K1162" t="s">
        <v>5963</v>
      </c>
      <c r="L1162" s="3" t="s">
        <v>5964</v>
      </c>
      <c r="M1162" t="s">
        <v>6227</v>
      </c>
      <c r="N1162" s="8">
        <v>7.4968999999999994E-2</v>
      </c>
    </row>
    <row r="1163" spans="1:14" hidden="1" x14ac:dyDescent="0.55000000000000004">
      <c r="A1163" s="3" t="s">
        <v>4623</v>
      </c>
      <c r="B1163" s="3" t="s">
        <v>4646</v>
      </c>
      <c r="C1163" t="s">
        <v>4646</v>
      </c>
      <c r="D1163" s="3" t="s">
        <v>7312</v>
      </c>
      <c r="E1163" t="s">
        <v>4647</v>
      </c>
      <c r="F1163" s="3" t="s">
        <v>4648</v>
      </c>
      <c r="G1163" s="10">
        <v>1</v>
      </c>
      <c r="H1163" s="3" t="s">
        <v>19</v>
      </c>
      <c r="I1163" t="s">
        <v>4652</v>
      </c>
      <c r="J1163" s="3" t="s">
        <v>693</v>
      </c>
      <c r="K1163" t="s">
        <v>6228</v>
      </c>
      <c r="L1163" s="3" t="s">
        <v>6229</v>
      </c>
      <c r="M1163" t="s">
        <v>6230</v>
      </c>
      <c r="N1163" s="8">
        <v>2.7175999999999999E-2</v>
      </c>
    </row>
    <row r="1164" spans="1:14" hidden="1" x14ac:dyDescent="0.55000000000000004">
      <c r="A1164" s="3" t="s">
        <v>4623</v>
      </c>
      <c r="B1164" s="3" t="s">
        <v>4646</v>
      </c>
      <c r="C1164" t="s">
        <v>4646</v>
      </c>
      <c r="D1164" s="3" t="s">
        <v>7312</v>
      </c>
      <c r="E1164" t="s">
        <v>4647</v>
      </c>
      <c r="F1164" s="3" t="s">
        <v>4648</v>
      </c>
      <c r="G1164" s="10">
        <v>1</v>
      </c>
      <c r="H1164" s="3" t="s">
        <v>24</v>
      </c>
      <c r="I1164" t="s">
        <v>4655</v>
      </c>
      <c r="J1164" s="3" t="s">
        <v>55</v>
      </c>
      <c r="K1164" t="s">
        <v>23</v>
      </c>
      <c r="L1164" s="3" t="s">
        <v>5839</v>
      </c>
      <c r="M1164" t="s">
        <v>23</v>
      </c>
      <c r="N1164" s="8">
        <v>0.18389800000000001</v>
      </c>
    </row>
    <row r="1165" spans="1:14" hidden="1" x14ac:dyDescent="0.55000000000000004">
      <c r="A1165" s="3" t="s">
        <v>4623</v>
      </c>
      <c r="B1165" s="3" t="s">
        <v>4656</v>
      </c>
      <c r="C1165" t="s">
        <v>4656</v>
      </c>
      <c r="D1165" s="3" t="s">
        <v>7312</v>
      </c>
      <c r="E1165" t="s">
        <v>4657</v>
      </c>
      <c r="F1165" s="3" t="s">
        <v>4658</v>
      </c>
      <c r="G1165" s="10">
        <v>0</v>
      </c>
      <c r="H1165" s="3" t="s">
        <v>19</v>
      </c>
      <c r="I1165" t="s">
        <v>4661</v>
      </c>
      <c r="J1165" s="3" t="s">
        <v>1287</v>
      </c>
      <c r="K1165" t="s">
        <v>5963</v>
      </c>
      <c r="L1165" s="3" t="s">
        <v>5964</v>
      </c>
      <c r="M1165" t="s">
        <v>6231</v>
      </c>
      <c r="N1165" s="8">
        <v>6.2632999999999994E-2</v>
      </c>
    </row>
    <row r="1166" spans="1:14" hidden="1" x14ac:dyDescent="0.55000000000000004">
      <c r="A1166" s="3" t="s">
        <v>4623</v>
      </c>
      <c r="B1166" s="3" t="s">
        <v>4656</v>
      </c>
      <c r="C1166" t="s">
        <v>4656</v>
      </c>
      <c r="D1166" s="3" t="s">
        <v>7312</v>
      </c>
      <c r="E1166" t="s">
        <v>4669</v>
      </c>
      <c r="F1166" s="3" t="s">
        <v>4670</v>
      </c>
      <c r="G1166" s="10">
        <v>1</v>
      </c>
      <c r="H1166" s="3" t="s">
        <v>19</v>
      </c>
      <c r="I1166" t="s">
        <v>4677</v>
      </c>
      <c r="J1166" s="3" t="s">
        <v>212</v>
      </c>
      <c r="K1166" t="s">
        <v>5855</v>
      </c>
      <c r="L1166" s="3" t="s">
        <v>5949</v>
      </c>
      <c r="M1166" t="s">
        <v>6231</v>
      </c>
      <c r="N1166" s="8">
        <v>7.8899999999999998E-2</v>
      </c>
    </row>
    <row r="1167" spans="1:14" hidden="1" x14ac:dyDescent="0.55000000000000004">
      <c r="A1167" s="3" t="s">
        <v>4623</v>
      </c>
      <c r="B1167" s="3" t="s">
        <v>4682</v>
      </c>
      <c r="C1167" t="s">
        <v>4682</v>
      </c>
      <c r="D1167" s="3" t="s">
        <v>7312</v>
      </c>
      <c r="E1167" t="s">
        <v>4683</v>
      </c>
      <c r="F1167" s="3" t="s">
        <v>4684</v>
      </c>
      <c r="G1167" s="10">
        <v>1</v>
      </c>
      <c r="H1167" s="3" t="s">
        <v>19</v>
      </c>
      <c r="I1167" t="s">
        <v>4691</v>
      </c>
      <c r="J1167" s="3" t="s">
        <v>212</v>
      </c>
      <c r="K1167" t="s">
        <v>5855</v>
      </c>
      <c r="L1167" s="3" t="s">
        <v>5949</v>
      </c>
      <c r="M1167" t="s">
        <v>6232</v>
      </c>
      <c r="N1167" s="8">
        <v>0.11074000000000001</v>
      </c>
    </row>
    <row r="1168" spans="1:14" hidden="1" x14ac:dyDescent="0.55000000000000004">
      <c r="A1168" s="3" t="s">
        <v>4623</v>
      </c>
      <c r="B1168" s="3" t="s">
        <v>4699</v>
      </c>
      <c r="C1168" t="s">
        <v>4699</v>
      </c>
      <c r="D1168" s="3" t="s">
        <v>7312</v>
      </c>
      <c r="E1168" t="s">
        <v>4700</v>
      </c>
      <c r="F1168" s="3" t="s">
        <v>4701</v>
      </c>
      <c r="G1168" s="10">
        <v>1</v>
      </c>
      <c r="H1168" s="3" t="s">
        <v>19</v>
      </c>
      <c r="I1168" t="s">
        <v>4706</v>
      </c>
      <c r="J1168" s="3" t="s">
        <v>1287</v>
      </c>
      <c r="K1168" t="s">
        <v>5963</v>
      </c>
      <c r="L1168" s="3" t="s">
        <v>5964</v>
      </c>
      <c r="M1168" t="s">
        <v>6233</v>
      </c>
      <c r="N1168" s="8">
        <v>8.6938000000000001E-2</v>
      </c>
    </row>
    <row r="1169" spans="1:14" hidden="1" x14ac:dyDescent="0.55000000000000004">
      <c r="A1169" s="9" t="s">
        <v>4623</v>
      </c>
      <c r="B1169" s="3" t="s">
        <v>4710</v>
      </c>
      <c r="C1169" t="s">
        <v>4710</v>
      </c>
      <c r="D1169" s="3" t="s">
        <v>7312</v>
      </c>
      <c r="E1169" t="s">
        <v>4711</v>
      </c>
      <c r="F1169" s="3" t="s">
        <v>4712</v>
      </c>
      <c r="G1169" s="10">
        <v>1</v>
      </c>
      <c r="H1169" s="3" t="s">
        <v>19</v>
      </c>
      <c r="I1169" t="s">
        <v>4717</v>
      </c>
      <c r="J1169" s="3" t="s">
        <v>1287</v>
      </c>
      <c r="K1169" t="s">
        <v>5963</v>
      </c>
      <c r="L1169" s="3" t="s">
        <v>5964</v>
      </c>
      <c r="M1169" t="s">
        <v>6234</v>
      </c>
      <c r="N1169" s="8">
        <v>6.2716999999999995E-2</v>
      </c>
    </row>
    <row r="1170" spans="1:14" hidden="1" x14ac:dyDescent="0.55000000000000004">
      <c r="A1170" s="3" t="s">
        <v>4723</v>
      </c>
      <c r="B1170" s="3" t="s">
        <v>1137</v>
      </c>
      <c r="C1170" t="s">
        <v>1137</v>
      </c>
      <c r="D1170" s="3" t="s">
        <v>7312</v>
      </c>
      <c r="E1170" t="s">
        <v>4724</v>
      </c>
      <c r="F1170" s="3" t="s">
        <v>4725</v>
      </c>
      <c r="G1170" s="10">
        <v>0</v>
      </c>
      <c r="H1170" s="3" t="s">
        <v>19</v>
      </c>
      <c r="I1170" t="s">
        <v>4728</v>
      </c>
      <c r="J1170" s="3" t="s">
        <v>84</v>
      </c>
      <c r="K1170" t="s">
        <v>5842</v>
      </c>
      <c r="L1170" s="3" t="s">
        <v>5843</v>
      </c>
      <c r="M1170" t="s">
        <v>6235</v>
      </c>
      <c r="N1170" s="8">
        <v>4.0399999999999998E-2</v>
      </c>
    </row>
    <row r="1171" spans="1:14" hidden="1" x14ac:dyDescent="0.55000000000000004">
      <c r="A1171" s="3" t="s">
        <v>4723</v>
      </c>
      <c r="B1171" s="3" t="s">
        <v>1137</v>
      </c>
      <c r="C1171" t="s">
        <v>1137</v>
      </c>
      <c r="D1171" s="3" t="s">
        <v>7312</v>
      </c>
      <c r="E1171" t="s">
        <v>4724</v>
      </c>
      <c r="F1171" s="3" t="s">
        <v>4725</v>
      </c>
      <c r="G1171" s="10">
        <v>0</v>
      </c>
      <c r="H1171" s="3" t="s">
        <v>24</v>
      </c>
      <c r="I1171" t="s">
        <v>4731</v>
      </c>
      <c r="J1171" s="3" t="s">
        <v>46</v>
      </c>
      <c r="K1171" t="s">
        <v>5836</v>
      </c>
      <c r="L1171" s="3" t="s">
        <v>5837</v>
      </c>
      <c r="M1171" t="s">
        <v>5942</v>
      </c>
      <c r="N1171" s="8">
        <v>0.20116700000000001</v>
      </c>
    </row>
    <row r="1172" spans="1:14" hidden="1" x14ac:dyDescent="0.55000000000000004">
      <c r="A1172" s="3" t="s">
        <v>4723</v>
      </c>
      <c r="B1172" s="3" t="s">
        <v>1137</v>
      </c>
      <c r="C1172" t="s">
        <v>1137</v>
      </c>
      <c r="D1172" s="3" t="s">
        <v>7312</v>
      </c>
      <c r="E1172" t="s">
        <v>4734</v>
      </c>
      <c r="F1172" s="3" t="s">
        <v>4735</v>
      </c>
      <c r="G1172" s="10">
        <v>0</v>
      </c>
      <c r="H1172" s="3" t="s">
        <v>19</v>
      </c>
      <c r="I1172" t="s">
        <v>4728</v>
      </c>
      <c r="J1172" s="3" t="s">
        <v>84</v>
      </c>
      <c r="K1172" t="s">
        <v>5842</v>
      </c>
      <c r="L1172" s="3" t="s">
        <v>5843</v>
      </c>
      <c r="M1172" t="s">
        <v>6235</v>
      </c>
      <c r="N1172" s="8">
        <v>4.0399999999999998E-2</v>
      </c>
    </row>
    <row r="1173" spans="1:14" hidden="1" x14ac:dyDescent="0.55000000000000004">
      <c r="A1173" s="3" t="s">
        <v>4723</v>
      </c>
      <c r="B1173" s="3" t="s">
        <v>1137</v>
      </c>
      <c r="C1173" t="s">
        <v>1137</v>
      </c>
      <c r="D1173" s="3" t="s">
        <v>7312</v>
      </c>
      <c r="E1173" t="s">
        <v>4734</v>
      </c>
      <c r="F1173" s="3" t="s">
        <v>4735</v>
      </c>
      <c r="G1173" s="10">
        <v>0</v>
      </c>
      <c r="H1173" s="3" t="s">
        <v>24</v>
      </c>
      <c r="I1173" t="s">
        <v>4731</v>
      </c>
      <c r="J1173" s="3" t="s">
        <v>46</v>
      </c>
      <c r="K1173" t="s">
        <v>5836</v>
      </c>
      <c r="L1173" s="3" t="s">
        <v>5837</v>
      </c>
      <c r="M1173" t="s">
        <v>5942</v>
      </c>
      <c r="N1173" s="8">
        <v>0.20116700000000001</v>
      </c>
    </row>
    <row r="1174" spans="1:14" hidden="1" x14ac:dyDescent="0.55000000000000004">
      <c r="A1174" s="3" t="s">
        <v>4723</v>
      </c>
      <c r="B1174" s="3" t="s">
        <v>1137</v>
      </c>
      <c r="C1174" t="s">
        <v>1137</v>
      </c>
      <c r="D1174" s="3" t="s">
        <v>7312</v>
      </c>
      <c r="E1174" t="s">
        <v>4739</v>
      </c>
      <c r="F1174" s="3" t="s">
        <v>4740</v>
      </c>
      <c r="G1174" s="10">
        <v>0</v>
      </c>
      <c r="H1174" s="3" t="s">
        <v>19</v>
      </c>
      <c r="I1174" t="s">
        <v>4728</v>
      </c>
      <c r="J1174" s="3" t="s">
        <v>84</v>
      </c>
      <c r="K1174" t="s">
        <v>5842</v>
      </c>
      <c r="L1174" s="3" t="s">
        <v>5843</v>
      </c>
      <c r="M1174" t="s">
        <v>6235</v>
      </c>
      <c r="N1174" s="8">
        <v>4.0399999999999998E-2</v>
      </c>
    </row>
    <row r="1175" spans="1:14" hidden="1" x14ac:dyDescent="0.55000000000000004">
      <c r="A1175" s="3" t="s">
        <v>4723</v>
      </c>
      <c r="B1175" s="3" t="s">
        <v>1137</v>
      </c>
      <c r="C1175" t="s">
        <v>1137</v>
      </c>
      <c r="D1175" s="3" t="s">
        <v>7312</v>
      </c>
      <c r="E1175" t="s">
        <v>4739</v>
      </c>
      <c r="F1175" s="3" t="s">
        <v>4740</v>
      </c>
      <c r="G1175" s="10">
        <v>0</v>
      </c>
      <c r="H1175" s="3" t="s">
        <v>24</v>
      </c>
      <c r="I1175" t="s">
        <v>4731</v>
      </c>
      <c r="J1175" s="3" t="s">
        <v>46</v>
      </c>
      <c r="K1175" t="s">
        <v>5836</v>
      </c>
      <c r="L1175" s="3" t="s">
        <v>5837</v>
      </c>
      <c r="M1175" t="s">
        <v>5942</v>
      </c>
      <c r="N1175" s="8">
        <v>0.20116700000000001</v>
      </c>
    </row>
    <row r="1176" spans="1:14" hidden="1" x14ac:dyDescent="0.55000000000000004">
      <c r="A1176" s="3" t="s">
        <v>4723</v>
      </c>
      <c r="B1176" s="3" t="s">
        <v>1137</v>
      </c>
      <c r="C1176" t="s">
        <v>1137</v>
      </c>
      <c r="D1176" s="3" t="s">
        <v>7312</v>
      </c>
      <c r="E1176" t="s">
        <v>4741</v>
      </c>
      <c r="F1176" s="3" t="s">
        <v>4742</v>
      </c>
      <c r="G1176" s="10">
        <v>0</v>
      </c>
      <c r="H1176" s="3" t="s">
        <v>19</v>
      </c>
      <c r="I1176" t="s">
        <v>4728</v>
      </c>
      <c r="J1176" s="3" t="s">
        <v>84</v>
      </c>
      <c r="K1176" t="s">
        <v>5842</v>
      </c>
      <c r="L1176" s="3" t="s">
        <v>5843</v>
      </c>
      <c r="M1176" t="s">
        <v>6235</v>
      </c>
      <c r="N1176" s="8">
        <v>4.0399999999999998E-2</v>
      </c>
    </row>
    <row r="1177" spans="1:14" hidden="1" x14ac:dyDescent="0.55000000000000004">
      <c r="A1177" s="3" t="s">
        <v>4723</v>
      </c>
      <c r="B1177" s="3" t="s">
        <v>1137</v>
      </c>
      <c r="C1177" t="s">
        <v>1137</v>
      </c>
      <c r="D1177" s="3" t="s">
        <v>7312</v>
      </c>
      <c r="E1177" t="s">
        <v>4741</v>
      </c>
      <c r="F1177" s="3" t="s">
        <v>4742</v>
      </c>
      <c r="G1177" s="10">
        <v>0</v>
      </c>
      <c r="H1177" s="3" t="s">
        <v>24</v>
      </c>
      <c r="I1177" t="s">
        <v>4731</v>
      </c>
      <c r="J1177" s="3" t="s">
        <v>46</v>
      </c>
      <c r="K1177" t="s">
        <v>5836</v>
      </c>
      <c r="L1177" s="3" t="s">
        <v>5837</v>
      </c>
      <c r="M1177" t="s">
        <v>5942</v>
      </c>
      <c r="N1177" s="8">
        <v>0.20116700000000001</v>
      </c>
    </row>
    <row r="1178" spans="1:14" hidden="1" x14ac:dyDescent="0.55000000000000004">
      <c r="A1178" s="3" t="s">
        <v>4723</v>
      </c>
      <c r="B1178" s="3" t="s">
        <v>1137</v>
      </c>
      <c r="C1178" t="s">
        <v>1137</v>
      </c>
      <c r="D1178" s="3" t="s">
        <v>7312</v>
      </c>
      <c r="E1178" t="s">
        <v>4743</v>
      </c>
      <c r="F1178" s="3" t="s">
        <v>4744</v>
      </c>
      <c r="G1178" s="10">
        <v>1</v>
      </c>
      <c r="H1178" s="3" t="s">
        <v>19</v>
      </c>
      <c r="I1178" t="s">
        <v>4728</v>
      </c>
      <c r="J1178" s="3" t="s">
        <v>84</v>
      </c>
      <c r="K1178" t="s">
        <v>5842</v>
      </c>
      <c r="L1178" s="3" t="s">
        <v>5843</v>
      </c>
      <c r="M1178" t="s">
        <v>6235</v>
      </c>
      <c r="N1178" s="8">
        <v>4.0399999999999998E-2</v>
      </c>
    </row>
    <row r="1179" spans="1:14" hidden="1" x14ac:dyDescent="0.55000000000000004">
      <c r="A1179" s="3" t="s">
        <v>4723</v>
      </c>
      <c r="B1179" s="3" t="s">
        <v>1137</v>
      </c>
      <c r="C1179" t="s">
        <v>1137</v>
      </c>
      <c r="D1179" s="3" t="s">
        <v>7312</v>
      </c>
      <c r="E1179" t="s">
        <v>4743</v>
      </c>
      <c r="F1179" s="3" t="s">
        <v>4744</v>
      </c>
      <c r="G1179" s="10">
        <v>1</v>
      </c>
      <c r="H1179" s="3" t="s">
        <v>24</v>
      </c>
      <c r="I1179" t="s">
        <v>4731</v>
      </c>
      <c r="J1179" s="3" t="s">
        <v>46</v>
      </c>
      <c r="K1179" t="s">
        <v>5836</v>
      </c>
      <c r="L1179" s="3" t="s">
        <v>5837</v>
      </c>
      <c r="M1179" t="s">
        <v>5942</v>
      </c>
      <c r="N1179" s="8">
        <v>0.20116700000000001</v>
      </c>
    </row>
    <row r="1180" spans="1:14" hidden="1" x14ac:dyDescent="0.55000000000000004">
      <c r="A1180" s="3" t="s">
        <v>4723</v>
      </c>
      <c r="B1180" s="3" t="s">
        <v>4745</v>
      </c>
      <c r="C1180" t="s">
        <v>4745</v>
      </c>
      <c r="D1180" s="3" t="s">
        <v>7312</v>
      </c>
      <c r="E1180" t="s">
        <v>4746</v>
      </c>
      <c r="F1180" s="3" t="s">
        <v>4747</v>
      </c>
      <c r="G1180" s="10">
        <v>1</v>
      </c>
      <c r="H1180" s="3" t="s">
        <v>19</v>
      </c>
      <c r="I1180" t="s">
        <v>4750</v>
      </c>
      <c r="J1180" s="3" t="s">
        <v>84</v>
      </c>
      <c r="K1180" t="s">
        <v>5842</v>
      </c>
      <c r="L1180" s="3" t="s">
        <v>5843</v>
      </c>
      <c r="M1180" t="s">
        <v>6236</v>
      </c>
      <c r="N1180" s="8">
        <v>4.2035999999999997E-2</v>
      </c>
    </row>
    <row r="1181" spans="1:14" hidden="1" x14ac:dyDescent="0.55000000000000004">
      <c r="A1181" s="3" t="s">
        <v>4723</v>
      </c>
      <c r="B1181" s="3" t="s">
        <v>4745</v>
      </c>
      <c r="C1181" t="s">
        <v>4745</v>
      </c>
      <c r="D1181" s="3" t="s">
        <v>7312</v>
      </c>
      <c r="E1181" t="s">
        <v>4746</v>
      </c>
      <c r="F1181" s="3" t="s">
        <v>4747</v>
      </c>
      <c r="G1181" s="10">
        <v>1</v>
      </c>
      <c r="H1181" s="3" t="s">
        <v>24</v>
      </c>
      <c r="I1181" t="s">
        <v>45</v>
      </c>
      <c r="J1181" s="3" t="s">
        <v>46</v>
      </c>
      <c r="K1181" t="s">
        <v>5836</v>
      </c>
      <c r="L1181" s="3" t="s">
        <v>5837</v>
      </c>
      <c r="M1181" t="s">
        <v>5838</v>
      </c>
      <c r="N1181" s="8">
        <v>0.19789999999999999</v>
      </c>
    </row>
    <row r="1182" spans="1:14" hidden="1" x14ac:dyDescent="0.55000000000000004">
      <c r="A1182" s="3" t="s">
        <v>4723</v>
      </c>
      <c r="B1182" s="3" t="s">
        <v>4745</v>
      </c>
      <c r="C1182" t="s">
        <v>4745</v>
      </c>
      <c r="D1182" s="3" t="s">
        <v>7312</v>
      </c>
      <c r="E1182" t="s">
        <v>4754</v>
      </c>
      <c r="F1182" s="3" t="s">
        <v>4755</v>
      </c>
      <c r="G1182" s="10">
        <v>0</v>
      </c>
      <c r="H1182" s="3" t="s">
        <v>19</v>
      </c>
      <c r="I1182" t="s">
        <v>4750</v>
      </c>
      <c r="J1182" s="3" t="s">
        <v>84</v>
      </c>
      <c r="K1182" t="s">
        <v>5842</v>
      </c>
      <c r="L1182" s="3" t="s">
        <v>5843</v>
      </c>
      <c r="M1182" t="s">
        <v>6236</v>
      </c>
      <c r="N1182" s="8">
        <v>4.2035999999999997E-2</v>
      </c>
    </row>
    <row r="1183" spans="1:14" hidden="1" x14ac:dyDescent="0.55000000000000004">
      <c r="A1183" s="3" t="s">
        <v>4723</v>
      </c>
      <c r="B1183" s="3" t="s">
        <v>4745</v>
      </c>
      <c r="C1183" t="s">
        <v>4745</v>
      </c>
      <c r="D1183" s="3" t="s">
        <v>7312</v>
      </c>
      <c r="E1183" t="s">
        <v>4754</v>
      </c>
      <c r="F1183" s="3" t="s">
        <v>4755</v>
      </c>
      <c r="G1183" s="10">
        <v>0</v>
      </c>
      <c r="H1183" s="3" t="s">
        <v>24</v>
      </c>
      <c r="I1183" t="s">
        <v>45</v>
      </c>
      <c r="J1183" s="3" t="s">
        <v>46</v>
      </c>
      <c r="K1183" t="s">
        <v>5836</v>
      </c>
      <c r="L1183" s="3" t="s">
        <v>5837</v>
      </c>
      <c r="M1183" t="s">
        <v>5838</v>
      </c>
      <c r="N1183" s="8">
        <v>0.19789999999999999</v>
      </c>
    </row>
    <row r="1184" spans="1:14" hidden="1" x14ac:dyDescent="0.55000000000000004">
      <c r="A1184" s="3" t="s">
        <v>4723</v>
      </c>
      <c r="B1184" s="3" t="s">
        <v>4745</v>
      </c>
      <c r="C1184" t="s">
        <v>4745</v>
      </c>
      <c r="D1184" s="3" t="s">
        <v>7312</v>
      </c>
      <c r="E1184" t="s">
        <v>4756</v>
      </c>
      <c r="F1184" s="3" t="s">
        <v>4757</v>
      </c>
      <c r="G1184" s="10">
        <v>0</v>
      </c>
      <c r="H1184" s="3" t="s">
        <v>19</v>
      </c>
      <c r="I1184" t="s">
        <v>4750</v>
      </c>
      <c r="J1184" s="3" t="s">
        <v>84</v>
      </c>
      <c r="K1184" t="s">
        <v>5842</v>
      </c>
      <c r="L1184" s="3" t="s">
        <v>5843</v>
      </c>
      <c r="M1184" t="s">
        <v>6236</v>
      </c>
      <c r="N1184" s="8">
        <v>4.2035999999999997E-2</v>
      </c>
    </row>
    <row r="1185" spans="1:14" hidden="1" x14ac:dyDescent="0.55000000000000004">
      <c r="A1185" s="3" t="s">
        <v>4723</v>
      </c>
      <c r="B1185" s="3" t="s">
        <v>4745</v>
      </c>
      <c r="C1185" t="s">
        <v>4745</v>
      </c>
      <c r="D1185" s="3" t="s">
        <v>7312</v>
      </c>
      <c r="E1185" t="s">
        <v>4756</v>
      </c>
      <c r="F1185" s="3" t="s">
        <v>4757</v>
      </c>
      <c r="G1185" s="10">
        <v>0</v>
      </c>
      <c r="H1185" s="3" t="s">
        <v>24</v>
      </c>
      <c r="I1185" t="s">
        <v>45</v>
      </c>
      <c r="J1185" s="3" t="s">
        <v>46</v>
      </c>
      <c r="K1185" t="s">
        <v>5836</v>
      </c>
      <c r="L1185" s="3" t="s">
        <v>5837</v>
      </c>
      <c r="M1185" t="s">
        <v>5838</v>
      </c>
      <c r="N1185" s="8">
        <v>0.19789999999999999</v>
      </c>
    </row>
    <row r="1186" spans="1:14" hidden="1" x14ac:dyDescent="0.55000000000000004">
      <c r="A1186" s="3" t="s">
        <v>4723</v>
      </c>
      <c r="B1186" s="3" t="s">
        <v>4745</v>
      </c>
      <c r="C1186" t="s">
        <v>4745</v>
      </c>
      <c r="D1186" s="3" t="s">
        <v>7312</v>
      </c>
      <c r="E1186" t="s">
        <v>4758</v>
      </c>
      <c r="F1186" s="3" t="s">
        <v>4759</v>
      </c>
      <c r="G1186" s="10">
        <v>0</v>
      </c>
      <c r="H1186" s="3" t="s">
        <v>19</v>
      </c>
      <c r="I1186" t="s">
        <v>4750</v>
      </c>
      <c r="J1186" s="3" t="s">
        <v>84</v>
      </c>
      <c r="K1186" t="s">
        <v>5842</v>
      </c>
      <c r="L1186" s="3" t="s">
        <v>5843</v>
      </c>
      <c r="M1186" t="s">
        <v>6236</v>
      </c>
      <c r="N1186" s="8">
        <v>4.2035999999999997E-2</v>
      </c>
    </row>
    <row r="1187" spans="1:14" hidden="1" x14ac:dyDescent="0.55000000000000004">
      <c r="A1187" s="3" t="s">
        <v>4723</v>
      </c>
      <c r="B1187" s="3" t="s">
        <v>4745</v>
      </c>
      <c r="C1187" t="s">
        <v>4745</v>
      </c>
      <c r="D1187" s="3" t="s">
        <v>7312</v>
      </c>
      <c r="E1187" t="s">
        <v>4758</v>
      </c>
      <c r="F1187" s="3" t="s">
        <v>4759</v>
      </c>
      <c r="G1187" s="10">
        <v>0</v>
      </c>
      <c r="H1187" s="3" t="s">
        <v>24</v>
      </c>
      <c r="I1187" t="s">
        <v>45</v>
      </c>
      <c r="J1187" s="3" t="s">
        <v>46</v>
      </c>
      <c r="K1187" t="s">
        <v>5836</v>
      </c>
      <c r="L1187" s="3" t="s">
        <v>5837</v>
      </c>
      <c r="M1187" t="s">
        <v>5838</v>
      </c>
      <c r="N1187" s="8">
        <v>0.19789999999999999</v>
      </c>
    </row>
    <row r="1188" spans="1:14" hidden="1" x14ac:dyDescent="0.55000000000000004">
      <c r="A1188" s="3" t="s">
        <v>4723</v>
      </c>
      <c r="B1188" s="3" t="s">
        <v>4745</v>
      </c>
      <c r="C1188" t="s">
        <v>4745</v>
      </c>
      <c r="D1188" s="3" t="s">
        <v>7312</v>
      </c>
      <c r="E1188" t="s">
        <v>4760</v>
      </c>
      <c r="F1188" s="3" t="s">
        <v>4761</v>
      </c>
      <c r="G1188" s="10">
        <v>0</v>
      </c>
      <c r="H1188" s="3" t="s">
        <v>19</v>
      </c>
      <c r="I1188" t="s">
        <v>4750</v>
      </c>
      <c r="J1188" s="3" t="s">
        <v>84</v>
      </c>
      <c r="K1188" t="s">
        <v>5842</v>
      </c>
      <c r="L1188" s="3" t="s">
        <v>5843</v>
      </c>
      <c r="M1188" t="s">
        <v>6236</v>
      </c>
      <c r="N1188" s="8">
        <v>4.2035999999999997E-2</v>
      </c>
    </row>
    <row r="1189" spans="1:14" hidden="1" x14ac:dyDescent="0.55000000000000004">
      <c r="A1189" s="3" t="s">
        <v>4723</v>
      </c>
      <c r="B1189" s="3" t="s">
        <v>4745</v>
      </c>
      <c r="C1189" t="s">
        <v>4745</v>
      </c>
      <c r="D1189" s="3" t="s">
        <v>7312</v>
      </c>
      <c r="E1189" t="s">
        <v>4760</v>
      </c>
      <c r="F1189" s="3" t="s">
        <v>4761</v>
      </c>
      <c r="G1189" s="10">
        <v>0</v>
      </c>
      <c r="H1189" s="3" t="s">
        <v>24</v>
      </c>
      <c r="I1189" t="s">
        <v>45</v>
      </c>
      <c r="J1189" s="3" t="s">
        <v>46</v>
      </c>
      <c r="K1189" t="s">
        <v>5836</v>
      </c>
      <c r="L1189" s="3" t="s">
        <v>5837</v>
      </c>
      <c r="M1189" t="s">
        <v>5838</v>
      </c>
      <c r="N1189" s="8">
        <v>0.19789999999999999</v>
      </c>
    </row>
    <row r="1190" spans="1:14" hidden="1" x14ac:dyDescent="0.55000000000000004">
      <c r="A1190" s="3" t="s">
        <v>4723</v>
      </c>
      <c r="B1190" s="3" t="s">
        <v>4745</v>
      </c>
      <c r="C1190" t="s">
        <v>4745</v>
      </c>
      <c r="D1190" s="3" t="s">
        <v>7312</v>
      </c>
      <c r="E1190" t="s">
        <v>4762</v>
      </c>
      <c r="F1190" s="3" t="s">
        <v>4763</v>
      </c>
      <c r="G1190" s="10">
        <v>0</v>
      </c>
      <c r="H1190" s="3" t="s">
        <v>19</v>
      </c>
      <c r="I1190" t="s">
        <v>4750</v>
      </c>
      <c r="J1190" s="3" t="s">
        <v>84</v>
      </c>
      <c r="K1190" t="s">
        <v>5842</v>
      </c>
      <c r="L1190" s="3" t="s">
        <v>5843</v>
      </c>
      <c r="M1190" t="s">
        <v>6236</v>
      </c>
      <c r="N1190" s="8">
        <v>4.2035999999999997E-2</v>
      </c>
    </row>
    <row r="1191" spans="1:14" hidden="1" x14ac:dyDescent="0.55000000000000004">
      <c r="A1191" s="3" t="s">
        <v>4723</v>
      </c>
      <c r="B1191" s="3" t="s">
        <v>4745</v>
      </c>
      <c r="C1191" t="s">
        <v>4745</v>
      </c>
      <c r="D1191" s="3" t="s">
        <v>7312</v>
      </c>
      <c r="E1191" t="s">
        <v>4762</v>
      </c>
      <c r="F1191" s="3" t="s">
        <v>4763</v>
      </c>
      <c r="G1191" s="10">
        <v>0</v>
      </c>
      <c r="H1191" s="3" t="s">
        <v>24</v>
      </c>
      <c r="I1191" t="s">
        <v>45</v>
      </c>
      <c r="J1191" s="3" t="s">
        <v>46</v>
      </c>
      <c r="K1191" t="s">
        <v>5836</v>
      </c>
      <c r="L1191" s="3" t="s">
        <v>5837</v>
      </c>
      <c r="M1191" t="s">
        <v>5838</v>
      </c>
      <c r="N1191" s="8">
        <v>0.19789999999999999</v>
      </c>
    </row>
    <row r="1192" spans="1:14" hidden="1" x14ac:dyDescent="0.55000000000000004">
      <c r="A1192" s="3" t="s">
        <v>4723</v>
      </c>
      <c r="B1192" s="3" t="s">
        <v>4745</v>
      </c>
      <c r="C1192" t="s">
        <v>4745</v>
      </c>
      <c r="D1192" s="3" t="s">
        <v>7312</v>
      </c>
      <c r="E1192" t="s">
        <v>4764</v>
      </c>
      <c r="F1192" s="3" t="s">
        <v>4765</v>
      </c>
      <c r="G1192" s="10">
        <v>0</v>
      </c>
      <c r="H1192" s="3" t="s">
        <v>19</v>
      </c>
      <c r="I1192" t="s">
        <v>4750</v>
      </c>
      <c r="J1192" s="3" t="s">
        <v>84</v>
      </c>
      <c r="K1192" t="s">
        <v>5842</v>
      </c>
      <c r="L1192" s="3" t="s">
        <v>5843</v>
      </c>
      <c r="M1192" t="s">
        <v>6236</v>
      </c>
      <c r="N1192" s="8">
        <v>4.2035999999999997E-2</v>
      </c>
    </row>
    <row r="1193" spans="1:14" hidden="1" x14ac:dyDescent="0.55000000000000004">
      <c r="A1193" s="3" t="s">
        <v>4723</v>
      </c>
      <c r="B1193" s="3" t="s">
        <v>4745</v>
      </c>
      <c r="C1193" t="s">
        <v>4745</v>
      </c>
      <c r="D1193" s="3" t="s">
        <v>7312</v>
      </c>
      <c r="E1193" t="s">
        <v>4764</v>
      </c>
      <c r="F1193" s="3" t="s">
        <v>4765</v>
      </c>
      <c r="G1193" s="10">
        <v>0</v>
      </c>
      <c r="H1193" s="3" t="s">
        <v>24</v>
      </c>
      <c r="I1193" t="s">
        <v>45</v>
      </c>
      <c r="J1193" s="3" t="s">
        <v>46</v>
      </c>
      <c r="K1193" t="s">
        <v>5836</v>
      </c>
      <c r="L1193" s="3" t="s">
        <v>5837</v>
      </c>
      <c r="M1193" t="s">
        <v>5838</v>
      </c>
      <c r="N1193" s="8">
        <v>0.19789999999999999</v>
      </c>
    </row>
    <row r="1194" spans="1:14" hidden="1" x14ac:dyDescent="0.55000000000000004">
      <c r="A1194" s="3" t="s">
        <v>4723</v>
      </c>
      <c r="B1194" s="3" t="s">
        <v>264</v>
      </c>
      <c r="C1194" t="s">
        <v>264</v>
      </c>
      <c r="D1194" s="3" t="s">
        <v>7312</v>
      </c>
      <c r="E1194" t="s">
        <v>4766</v>
      </c>
      <c r="F1194" s="3" t="s">
        <v>4767</v>
      </c>
      <c r="G1194" s="10">
        <v>0</v>
      </c>
      <c r="H1194" s="3" t="s">
        <v>19</v>
      </c>
      <c r="I1194" t="s">
        <v>4770</v>
      </c>
      <c r="J1194" s="3" t="s">
        <v>249</v>
      </c>
      <c r="K1194" t="s">
        <v>5866</v>
      </c>
      <c r="L1194" s="3" t="s">
        <v>5867</v>
      </c>
      <c r="M1194" t="s">
        <v>6237</v>
      </c>
      <c r="N1194" s="8">
        <v>8.0463999999999994E-2</v>
      </c>
    </row>
    <row r="1195" spans="1:14" hidden="1" x14ac:dyDescent="0.55000000000000004">
      <c r="A1195" s="3" t="s">
        <v>4723</v>
      </c>
      <c r="B1195" s="3" t="s">
        <v>264</v>
      </c>
      <c r="C1195" t="s">
        <v>264</v>
      </c>
      <c r="D1195" s="3" t="s">
        <v>7312</v>
      </c>
      <c r="E1195" t="s">
        <v>4766</v>
      </c>
      <c r="F1195" s="3" t="s">
        <v>4767</v>
      </c>
      <c r="G1195" s="10">
        <v>0</v>
      </c>
      <c r="H1195" s="3" t="s">
        <v>19</v>
      </c>
      <c r="I1195" t="s">
        <v>4770</v>
      </c>
      <c r="J1195" s="3" t="s">
        <v>249</v>
      </c>
      <c r="K1195" t="s">
        <v>5866</v>
      </c>
      <c r="L1195" s="3" t="s">
        <v>5867</v>
      </c>
      <c r="M1195" t="s">
        <v>6238</v>
      </c>
      <c r="N1195" s="8">
        <v>8.0463999999999994E-2</v>
      </c>
    </row>
    <row r="1196" spans="1:14" hidden="1" x14ac:dyDescent="0.55000000000000004">
      <c r="A1196" s="3" t="s">
        <v>4723</v>
      </c>
      <c r="B1196" s="3" t="s">
        <v>264</v>
      </c>
      <c r="C1196" t="s">
        <v>264</v>
      </c>
      <c r="D1196" s="3" t="s">
        <v>7312</v>
      </c>
      <c r="E1196" t="s">
        <v>4766</v>
      </c>
      <c r="F1196" s="3" t="s">
        <v>4767</v>
      </c>
      <c r="G1196" s="10">
        <v>0</v>
      </c>
      <c r="H1196" s="3" t="s">
        <v>24</v>
      </c>
      <c r="I1196" t="s">
        <v>4773</v>
      </c>
      <c r="J1196" s="3" t="s">
        <v>55</v>
      </c>
      <c r="K1196" t="s">
        <v>23</v>
      </c>
      <c r="L1196" s="3" t="s">
        <v>5839</v>
      </c>
      <c r="M1196" t="s">
        <v>23</v>
      </c>
      <c r="N1196" s="8">
        <v>0.21742</v>
      </c>
    </row>
    <row r="1197" spans="1:14" hidden="1" x14ac:dyDescent="0.55000000000000004">
      <c r="A1197" s="3" t="s">
        <v>4723</v>
      </c>
      <c r="B1197" s="3" t="s">
        <v>264</v>
      </c>
      <c r="C1197" t="s">
        <v>264</v>
      </c>
      <c r="D1197" s="3" t="s">
        <v>7312</v>
      </c>
      <c r="E1197" t="s">
        <v>4777</v>
      </c>
      <c r="F1197" s="3" t="s">
        <v>4778</v>
      </c>
      <c r="G1197" s="10">
        <v>1</v>
      </c>
      <c r="H1197" s="3" t="s">
        <v>19</v>
      </c>
      <c r="I1197" t="s">
        <v>4770</v>
      </c>
      <c r="J1197" s="3" t="s">
        <v>249</v>
      </c>
      <c r="K1197" t="s">
        <v>5866</v>
      </c>
      <c r="L1197" s="3" t="s">
        <v>5867</v>
      </c>
      <c r="M1197" t="s">
        <v>6237</v>
      </c>
      <c r="N1197" s="8">
        <v>8.0463999999999994E-2</v>
      </c>
    </row>
    <row r="1198" spans="1:14" hidden="1" x14ac:dyDescent="0.55000000000000004">
      <c r="A1198" s="3" t="s">
        <v>4723</v>
      </c>
      <c r="B1198" s="3" t="s">
        <v>264</v>
      </c>
      <c r="C1198" t="s">
        <v>264</v>
      </c>
      <c r="D1198" s="3" t="s">
        <v>7312</v>
      </c>
      <c r="E1198" t="s">
        <v>4777</v>
      </c>
      <c r="F1198" s="3" t="s">
        <v>4778</v>
      </c>
      <c r="G1198" s="10">
        <v>1</v>
      </c>
      <c r="H1198" s="3" t="s">
        <v>19</v>
      </c>
      <c r="I1198" t="s">
        <v>4770</v>
      </c>
      <c r="J1198" s="3" t="s">
        <v>249</v>
      </c>
      <c r="K1198" t="s">
        <v>5866</v>
      </c>
      <c r="L1198" s="3" t="s">
        <v>5867</v>
      </c>
      <c r="M1198" t="s">
        <v>6238</v>
      </c>
      <c r="N1198" s="8">
        <v>8.0463999999999994E-2</v>
      </c>
    </row>
    <row r="1199" spans="1:14" hidden="1" x14ac:dyDescent="0.55000000000000004">
      <c r="A1199" s="3" t="s">
        <v>4723</v>
      </c>
      <c r="B1199" s="3" t="s">
        <v>264</v>
      </c>
      <c r="C1199" t="s">
        <v>264</v>
      </c>
      <c r="D1199" s="3" t="s">
        <v>7312</v>
      </c>
      <c r="E1199" t="s">
        <v>4777</v>
      </c>
      <c r="F1199" s="3" t="s">
        <v>4778</v>
      </c>
      <c r="G1199" s="10">
        <v>1</v>
      </c>
      <c r="H1199" s="3" t="s">
        <v>24</v>
      </c>
      <c r="I1199" t="s">
        <v>4773</v>
      </c>
      <c r="J1199" s="3" t="s">
        <v>55</v>
      </c>
      <c r="K1199" t="s">
        <v>23</v>
      </c>
      <c r="L1199" s="3" t="s">
        <v>5839</v>
      </c>
      <c r="M1199" t="s">
        <v>23</v>
      </c>
      <c r="N1199" s="8">
        <v>0.21742</v>
      </c>
    </row>
    <row r="1200" spans="1:14" hidden="1" x14ac:dyDescent="0.55000000000000004">
      <c r="A1200" s="3" t="s">
        <v>4723</v>
      </c>
      <c r="B1200" s="3" t="s">
        <v>264</v>
      </c>
      <c r="C1200" t="s">
        <v>264</v>
      </c>
      <c r="D1200" s="3" t="s">
        <v>7312</v>
      </c>
      <c r="E1200" t="s">
        <v>4779</v>
      </c>
      <c r="F1200" s="3" t="s">
        <v>4780</v>
      </c>
      <c r="G1200" s="10">
        <v>0</v>
      </c>
      <c r="H1200" s="3" t="s">
        <v>24</v>
      </c>
      <c r="I1200" t="s">
        <v>4773</v>
      </c>
      <c r="J1200" s="3" t="s">
        <v>55</v>
      </c>
      <c r="K1200" t="s">
        <v>23</v>
      </c>
      <c r="L1200" s="3" t="s">
        <v>5839</v>
      </c>
      <c r="M1200" t="s">
        <v>23</v>
      </c>
      <c r="N1200" s="8">
        <v>0.21742</v>
      </c>
    </row>
    <row r="1201" spans="1:14" hidden="1" x14ac:dyDescent="0.55000000000000004">
      <c r="A1201" s="3" t="s">
        <v>4723</v>
      </c>
      <c r="B1201" s="3" t="s">
        <v>264</v>
      </c>
      <c r="C1201" t="s">
        <v>264</v>
      </c>
      <c r="D1201" s="3" t="s">
        <v>7312</v>
      </c>
      <c r="E1201" t="s">
        <v>4781</v>
      </c>
      <c r="F1201" s="3" t="s">
        <v>4782</v>
      </c>
      <c r="G1201" s="10">
        <v>0</v>
      </c>
      <c r="H1201" s="3" t="s">
        <v>24</v>
      </c>
      <c r="I1201" t="s">
        <v>4773</v>
      </c>
      <c r="J1201" s="3" t="s">
        <v>55</v>
      </c>
      <c r="K1201" t="s">
        <v>23</v>
      </c>
      <c r="L1201" s="3" t="s">
        <v>5839</v>
      </c>
      <c r="M1201" t="s">
        <v>23</v>
      </c>
      <c r="N1201" s="8">
        <v>0.21742</v>
      </c>
    </row>
    <row r="1202" spans="1:14" hidden="1" x14ac:dyDescent="0.55000000000000004">
      <c r="A1202" s="3" t="s">
        <v>4723</v>
      </c>
      <c r="B1202" s="3" t="s">
        <v>4783</v>
      </c>
      <c r="C1202" t="s">
        <v>4783</v>
      </c>
      <c r="D1202" s="3" t="s">
        <v>7312</v>
      </c>
      <c r="E1202" t="s">
        <v>4784</v>
      </c>
      <c r="F1202" s="3" t="s">
        <v>4785</v>
      </c>
      <c r="G1202" s="10">
        <v>0</v>
      </c>
      <c r="H1202" s="3" t="s">
        <v>19</v>
      </c>
      <c r="I1202" t="s">
        <v>4788</v>
      </c>
      <c r="J1202" s="3" t="s">
        <v>84</v>
      </c>
      <c r="K1202" t="s">
        <v>5842</v>
      </c>
      <c r="L1202" s="3" t="s">
        <v>5843</v>
      </c>
      <c r="M1202" t="s">
        <v>6239</v>
      </c>
      <c r="N1202" s="8">
        <v>4.2654999999999998E-2</v>
      </c>
    </row>
    <row r="1203" spans="1:14" hidden="1" x14ac:dyDescent="0.55000000000000004">
      <c r="A1203" s="3" t="s">
        <v>4723</v>
      </c>
      <c r="B1203" s="3" t="s">
        <v>4783</v>
      </c>
      <c r="C1203" t="s">
        <v>4783</v>
      </c>
      <c r="D1203" s="3" t="s">
        <v>7312</v>
      </c>
      <c r="E1203" t="s">
        <v>4784</v>
      </c>
      <c r="F1203" s="3" t="s">
        <v>4785</v>
      </c>
      <c r="G1203" s="10">
        <v>0</v>
      </c>
      <c r="H1203" s="3" t="s">
        <v>24</v>
      </c>
      <c r="I1203" t="s">
        <v>4791</v>
      </c>
      <c r="J1203" s="3" t="s">
        <v>40</v>
      </c>
      <c r="K1203" t="s">
        <v>23</v>
      </c>
      <c r="L1203" s="3" t="s">
        <v>5835</v>
      </c>
      <c r="M1203" t="s">
        <v>6240</v>
      </c>
      <c r="N1203" s="8">
        <v>0.18357599999999999</v>
      </c>
    </row>
    <row r="1204" spans="1:14" hidden="1" x14ac:dyDescent="0.55000000000000004">
      <c r="A1204" s="3" t="s">
        <v>4723</v>
      </c>
      <c r="B1204" s="3" t="s">
        <v>4783</v>
      </c>
      <c r="C1204" t="s">
        <v>4783</v>
      </c>
      <c r="D1204" s="3" t="s">
        <v>7312</v>
      </c>
      <c r="E1204" t="s">
        <v>4794</v>
      </c>
      <c r="F1204" s="3" t="s">
        <v>4795</v>
      </c>
      <c r="G1204" s="10">
        <v>0</v>
      </c>
      <c r="H1204" s="3" t="s">
        <v>19</v>
      </c>
      <c r="I1204" t="s">
        <v>4798</v>
      </c>
      <c r="J1204" s="3" t="s">
        <v>84</v>
      </c>
      <c r="K1204" t="s">
        <v>5842</v>
      </c>
      <c r="L1204" s="3" t="s">
        <v>5843</v>
      </c>
      <c r="M1204" t="s">
        <v>6241</v>
      </c>
      <c r="N1204" s="8">
        <v>4.2654999999999998E-2</v>
      </c>
    </row>
    <row r="1205" spans="1:14" hidden="1" x14ac:dyDescent="0.55000000000000004">
      <c r="A1205" s="3" t="s">
        <v>4723</v>
      </c>
      <c r="B1205" s="3" t="s">
        <v>4783</v>
      </c>
      <c r="C1205" t="s">
        <v>4783</v>
      </c>
      <c r="D1205" s="3" t="s">
        <v>7312</v>
      </c>
      <c r="E1205" t="s">
        <v>4794</v>
      </c>
      <c r="F1205" s="3" t="s">
        <v>4795</v>
      </c>
      <c r="G1205" s="10">
        <v>0</v>
      </c>
      <c r="H1205" s="3" t="s">
        <v>24</v>
      </c>
      <c r="I1205" t="s">
        <v>4791</v>
      </c>
      <c r="J1205" s="3" t="s">
        <v>40</v>
      </c>
      <c r="K1205" t="s">
        <v>23</v>
      </c>
      <c r="L1205" s="3" t="s">
        <v>5835</v>
      </c>
      <c r="M1205" t="s">
        <v>6240</v>
      </c>
      <c r="N1205" s="8">
        <v>0.18357599999999999</v>
      </c>
    </row>
    <row r="1206" spans="1:14" hidden="1" x14ac:dyDescent="0.55000000000000004">
      <c r="A1206" s="3" t="s">
        <v>4723</v>
      </c>
      <c r="B1206" s="3" t="s">
        <v>4783</v>
      </c>
      <c r="C1206" t="s">
        <v>4783</v>
      </c>
      <c r="D1206" s="3" t="s">
        <v>7312</v>
      </c>
      <c r="E1206" t="s">
        <v>4799</v>
      </c>
      <c r="F1206" s="3" t="s">
        <v>4800</v>
      </c>
      <c r="G1206" s="10">
        <v>0</v>
      </c>
      <c r="H1206" s="3" t="s">
        <v>19</v>
      </c>
      <c r="I1206" t="s">
        <v>4788</v>
      </c>
      <c r="J1206" s="3" t="s">
        <v>84</v>
      </c>
      <c r="K1206" t="s">
        <v>5842</v>
      </c>
      <c r="L1206" s="3" t="s">
        <v>5843</v>
      </c>
      <c r="M1206" t="s">
        <v>6239</v>
      </c>
      <c r="N1206" s="8">
        <v>4.2654999999999998E-2</v>
      </c>
    </row>
    <row r="1207" spans="1:14" hidden="1" x14ac:dyDescent="0.55000000000000004">
      <c r="A1207" s="3" t="s">
        <v>4723</v>
      </c>
      <c r="B1207" s="3" t="s">
        <v>4783</v>
      </c>
      <c r="C1207" t="s">
        <v>4783</v>
      </c>
      <c r="D1207" s="3" t="s">
        <v>7312</v>
      </c>
      <c r="E1207" t="s">
        <v>4799</v>
      </c>
      <c r="F1207" s="3" t="s">
        <v>4800</v>
      </c>
      <c r="G1207" s="10">
        <v>0</v>
      </c>
      <c r="H1207" s="3" t="s">
        <v>24</v>
      </c>
      <c r="I1207" t="s">
        <v>4791</v>
      </c>
      <c r="J1207" s="3" t="s">
        <v>40</v>
      </c>
      <c r="K1207" t="s">
        <v>23</v>
      </c>
      <c r="L1207" s="3" t="s">
        <v>5835</v>
      </c>
      <c r="M1207" t="s">
        <v>6240</v>
      </c>
      <c r="N1207" s="8">
        <v>0.18357599999999999</v>
      </c>
    </row>
    <row r="1208" spans="1:14" hidden="1" x14ac:dyDescent="0.55000000000000004">
      <c r="A1208" s="3" t="s">
        <v>4723</v>
      </c>
      <c r="B1208" s="3" t="s">
        <v>4783</v>
      </c>
      <c r="C1208" t="s">
        <v>4783</v>
      </c>
      <c r="D1208" s="3" t="s">
        <v>7312</v>
      </c>
      <c r="E1208" t="s">
        <v>4801</v>
      </c>
      <c r="F1208" s="3" t="s">
        <v>4802</v>
      </c>
      <c r="G1208" s="10">
        <v>0</v>
      </c>
      <c r="H1208" s="3" t="s">
        <v>19</v>
      </c>
      <c r="I1208" t="s">
        <v>4788</v>
      </c>
      <c r="J1208" s="3" t="s">
        <v>84</v>
      </c>
      <c r="K1208" t="s">
        <v>5842</v>
      </c>
      <c r="L1208" s="3" t="s">
        <v>5843</v>
      </c>
      <c r="M1208" t="s">
        <v>6239</v>
      </c>
      <c r="N1208" s="8">
        <v>4.2654999999999998E-2</v>
      </c>
    </row>
    <row r="1209" spans="1:14" hidden="1" x14ac:dyDescent="0.55000000000000004">
      <c r="A1209" s="3" t="s">
        <v>4723</v>
      </c>
      <c r="B1209" s="3" t="s">
        <v>4783</v>
      </c>
      <c r="C1209" t="s">
        <v>4783</v>
      </c>
      <c r="D1209" s="3" t="s">
        <v>7312</v>
      </c>
      <c r="E1209" t="s">
        <v>4801</v>
      </c>
      <c r="F1209" s="3" t="s">
        <v>4802</v>
      </c>
      <c r="G1209" s="10">
        <v>0</v>
      </c>
      <c r="H1209" s="3" t="s">
        <v>24</v>
      </c>
      <c r="I1209" t="s">
        <v>4791</v>
      </c>
      <c r="J1209" s="3" t="s">
        <v>40</v>
      </c>
      <c r="K1209" t="s">
        <v>23</v>
      </c>
      <c r="L1209" s="3" t="s">
        <v>5835</v>
      </c>
      <c r="M1209" t="s">
        <v>6240</v>
      </c>
      <c r="N1209" s="8">
        <v>0.18357599999999999</v>
      </c>
    </row>
    <row r="1210" spans="1:14" hidden="1" x14ac:dyDescent="0.55000000000000004">
      <c r="A1210" s="3" t="s">
        <v>4723</v>
      </c>
      <c r="B1210" s="3" t="s">
        <v>4783</v>
      </c>
      <c r="C1210" t="s">
        <v>4783</v>
      </c>
      <c r="D1210" s="3" t="s">
        <v>7312</v>
      </c>
      <c r="E1210" t="s">
        <v>4803</v>
      </c>
      <c r="F1210" s="3" t="s">
        <v>4804</v>
      </c>
      <c r="G1210" s="10">
        <v>0</v>
      </c>
      <c r="H1210" s="3" t="s">
        <v>19</v>
      </c>
      <c r="I1210" t="s">
        <v>4788</v>
      </c>
      <c r="J1210" s="3" t="s">
        <v>84</v>
      </c>
      <c r="K1210" t="s">
        <v>5842</v>
      </c>
      <c r="L1210" s="3" t="s">
        <v>5843</v>
      </c>
      <c r="M1210" t="s">
        <v>6239</v>
      </c>
      <c r="N1210" s="8">
        <v>4.2654999999999998E-2</v>
      </c>
    </row>
    <row r="1211" spans="1:14" hidden="1" x14ac:dyDescent="0.55000000000000004">
      <c r="A1211" s="3" t="s">
        <v>4723</v>
      </c>
      <c r="B1211" s="3" t="s">
        <v>4783</v>
      </c>
      <c r="C1211" t="s">
        <v>4783</v>
      </c>
      <c r="D1211" s="3" t="s">
        <v>7312</v>
      </c>
      <c r="E1211" t="s">
        <v>4803</v>
      </c>
      <c r="F1211" s="3" t="s">
        <v>4804</v>
      </c>
      <c r="G1211" s="10">
        <v>0</v>
      </c>
      <c r="H1211" s="3" t="s">
        <v>24</v>
      </c>
      <c r="I1211" t="s">
        <v>4791</v>
      </c>
      <c r="J1211" s="3" t="s">
        <v>40</v>
      </c>
      <c r="K1211" t="s">
        <v>23</v>
      </c>
      <c r="L1211" s="3" t="s">
        <v>5835</v>
      </c>
      <c r="M1211" t="s">
        <v>6240</v>
      </c>
      <c r="N1211" s="8">
        <v>0.18357599999999999</v>
      </c>
    </row>
    <row r="1212" spans="1:14" hidden="1" x14ac:dyDescent="0.55000000000000004">
      <c r="A1212" s="3" t="s">
        <v>4723</v>
      </c>
      <c r="B1212" s="3" t="s">
        <v>4783</v>
      </c>
      <c r="C1212" t="s">
        <v>4783</v>
      </c>
      <c r="D1212" s="3" t="s">
        <v>7312</v>
      </c>
      <c r="E1212" t="s">
        <v>4805</v>
      </c>
      <c r="F1212" s="3" t="s">
        <v>4806</v>
      </c>
      <c r="G1212" s="10">
        <v>0</v>
      </c>
      <c r="H1212" s="3" t="s">
        <v>19</v>
      </c>
      <c r="I1212" t="s">
        <v>4798</v>
      </c>
      <c r="J1212" s="3" t="s">
        <v>84</v>
      </c>
      <c r="K1212" t="s">
        <v>5842</v>
      </c>
      <c r="L1212" s="3" t="s">
        <v>5843</v>
      </c>
      <c r="M1212" t="s">
        <v>6241</v>
      </c>
      <c r="N1212" s="8">
        <v>4.2654999999999998E-2</v>
      </c>
    </row>
    <row r="1213" spans="1:14" hidden="1" x14ac:dyDescent="0.55000000000000004">
      <c r="A1213" s="3" t="s">
        <v>4723</v>
      </c>
      <c r="B1213" s="3" t="s">
        <v>4783</v>
      </c>
      <c r="C1213" t="s">
        <v>4783</v>
      </c>
      <c r="D1213" s="3" t="s">
        <v>7312</v>
      </c>
      <c r="E1213" t="s">
        <v>4805</v>
      </c>
      <c r="F1213" s="3" t="s">
        <v>4806</v>
      </c>
      <c r="G1213" s="10">
        <v>0</v>
      </c>
      <c r="H1213" s="3" t="s">
        <v>24</v>
      </c>
      <c r="I1213" t="s">
        <v>4791</v>
      </c>
      <c r="J1213" s="3" t="s">
        <v>40</v>
      </c>
      <c r="K1213" t="s">
        <v>23</v>
      </c>
      <c r="L1213" s="3" t="s">
        <v>5835</v>
      </c>
      <c r="M1213" t="s">
        <v>6240</v>
      </c>
      <c r="N1213" s="8">
        <v>0.18357599999999999</v>
      </c>
    </row>
    <row r="1214" spans="1:14" hidden="1" x14ac:dyDescent="0.55000000000000004">
      <c r="A1214" s="3" t="s">
        <v>4723</v>
      </c>
      <c r="B1214" s="3" t="s">
        <v>4783</v>
      </c>
      <c r="C1214" t="s">
        <v>4783</v>
      </c>
      <c r="D1214" s="3" t="s">
        <v>7312</v>
      </c>
      <c r="E1214" t="s">
        <v>4807</v>
      </c>
      <c r="F1214" s="3" t="s">
        <v>4808</v>
      </c>
      <c r="G1214" s="10">
        <v>0</v>
      </c>
      <c r="H1214" s="3" t="s">
        <v>19</v>
      </c>
      <c r="I1214" t="s">
        <v>4798</v>
      </c>
      <c r="J1214" s="3" t="s">
        <v>84</v>
      </c>
      <c r="K1214" t="s">
        <v>5842</v>
      </c>
      <c r="L1214" s="3" t="s">
        <v>5843</v>
      </c>
      <c r="M1214" t="s">
        <v>6241</v>
      </c>
      <c r="N1214" s="8">
        <v>4.2654999999999998E-2</v>
      </c>
    </row>
    <row r="1215" spans="1:14" hidden="1" x14ac:dyDescent="0.55000000000000004">
      <c r="A1215" s="3" t="s">
        <v>4723</v>
      </c>
      <c r="B1215" s="3" t="s">
        <v>4783</v>
      </c>
      <c r="C1215" t="s">
        <v>4783</v>
      </c>
      <c r="D1215" s="3" t="s">
        <v>7312</v>
      </c>
      <c r="E1215" t="s">
        <v>4807</v>
      </c>
      <c r="F1215" s="3" t="s">
        <v>4808</v>
      </c>
      <c r="G1215" s="10">
        <v>0</v>
      </c>
      <c r="H1215" s="3" t="s">
        <v>24</v>
      </c>
      <c r="I1215" t="s">
        <v>4791</v>
      </c>
      <c r="J1215" s="3" t="s">
        <v>40</v>
      </c>
      <c r="K1215" t="s">
        <v>23</v>
      </c>
      <c r="L1215" s="3" t="s">
        <v>5835</v>
      </c>
      <c r="M1215" t="s">
        <v>6240</v>
      </c>
      <c r="N1215" s="8">
        <v>0.18357599999999999</v>
      </c>
    </row>
    <row r="1216" spans="1:14" hidden="1" x14ac:dyDescent="0.55000000000000004">
      <c r="A1216" s="3" t="s">
        <v>4723</v>
      </c>
      <c r="B1216" s="3" t="s">
        <v>4783</v>
      </c>
      <c r="C1216" t="s">
        <v>4783</v>
      </c>
      <c r="D1216" s="3" t="s">
        <v>7312</v>
      </c>
      <c r="E1216" t="s">
        <v>4809</v>
      </c>
      <c r="F1216" s="3" t="s">
        <v>4810</v>
      </c>
      <c r="G1216" s="10">
        <v>0</v>
      </c>
      <c r="H1216" s="3" t="s">
        <v>19</v>
      </c>
      <c r="I1216" t="s">
        <v>4798</v>
      </c>
      <c r="J1216" s="3" t="s">
        <v>84</v>
      </c>
      <c r="K1216" t="s">
        <v>5842</v>
      </c>
      <c r="L1216" s="3" t="s">
        <v>5843</v>
      </c>
      <c r="M1216" t="s">
        <v>6241</v>
      </c>
      <c r="N1216" s="8">
        <v>4.2654999999999998E-2</v>
      </c>
    </row>
    <row r="1217" spans="1:14" hidden="1" x14ac:dyDescent="0.55000000000000004">
      <c r="A1217" s="3" t="s">
        <v>4723</v>
      </c>
      <c r="B1217" s="3" t="s">
        <v>4783</v>
      </c>
      <c r="C1217" t="s">
        <v>4783</v>
      </c>
      <c r="D1217" s="3" t="s">
        <v>7312</v>
      </c>
      <c r="E1217" t="s">
        <v>4809</v>
      </c>
      <c r="F1217" s="3" t="s">
        <v>4810</v>
      </c>
      <c r="G1217" s="10">
        <v>0</v>
      </c>
      <c r="H1217" s="3" t="s">
        <v>24</v>
      </c>
      <c r="I1217" t="s">
        <v>4791</v>
      </c>
      <c r="J1217" s="3" t="s">
        <v>40</v>
      </c>
      <c r="K1217" t="s">
        <v>23</v>
      </c>
      <c r="L1217" s="3" t="s">
        <v>5835</v>
      </c>
      <c r="M1217" t="s">
        <v>6240</v>
      </c>
      <c r="N1217" s="8">
        <v>0.18357599999999999</v>
      </c>
    </row>
    <row r="1218" spans="1:14" hidden="1" x14ac:dyDescent="0.55000000000000004">
      <c r="A1218" s="3" t="s">
        <v>4723</v>
      </c>
      <c r="B1218" s="3" t="s">
        <v>4783</v>
      </c>
      <c r="C1218" t="s">
        <v>4783</v>
      </c>
      <c r="D1218" s="3" t="s">
        <v>7312</v>
      </c>
      <c r="E1218" t="s">
        <v>4811</v>
      </c>
      <c r="F1218" s="3" t="s">
        <v>4812</v>
      </c>
      <c r="G1218" s="10">
        <v>1</v>
      </c>
      <c r="H1218" s="3" t="s">
        <v>19</v>
      </c>
      <c r="I1218" t="s">
        <v>4798</v>
      </c>
      <c r="J1218" s="3" t="s">
        <v>84</v>
      </c>
      <c r="K1218" t="s">
        <v>5842</v>
      </c>
      <c r="L1218" s="3" t="s">
        <v>5843</v>
      </c>
      <c r="M1218" t="s">
        <v>6241</v>
      </c>
      <c r="N1218" s="8">
        <v>4.2654999999999998E-2</v>
      </c>
    </row>
    <row r="1219" spans="1:14" hidden="1" x14ac:dyDescent="0.55000000000000004">
      <c r="A1219" s="3" t="s">
        <v>4723</v>
      </c>
      <c r="B1219" s="3" t="s">
        <v>4783</v>
      </c>
      <c r="C1219" t="s">
        <v>4783</v>
      </c>
      <c r="D1219" s="3" t="s">
        <v>7312</v>
      </c>
      <c r="E1219" t="s">
        <v>4811</v>
      </c>
      <c r="F1219" s="3" t="s">
        <v>4812</v>
      </c>
      <c r="G1219" s="10">
        <v>1</v>
      </c>
      <c r="H1219" s="3" t="s">
        <v>24</v>
      </c>
      <c r="I1219" t="s">
        <v>4791</v>
      </c>
      <c r="J1219" s="3" t="s">
        <v>40</v>
      </c>
      <c r="K1219" t="s">
        <v>23</v>
      </c>
      <c r="L1219" s="3" t="s">
        <v>5835</v>
      </c>
      <c r="M1219" t="s">
        <v>6240</v>
      </c>
      <c r="N1219" s="8">
        <v>0.18357599999999999</v>
      </c>
    </row>
    <row r="1220" spans="1:14" hidden="1" x14ac:dyDescent="0.55000000000000004">
      <c r="A1220" s="3" t="s">
        <v>4723</v>
      </c>
      <c r="B1220" s="3" t="s">
        <v>4783</v>
      </c>
      <c r="C1220" t="s">
        <v>4783</v>
      </c>
      <c r="D1220" s="3" t="s">
        <v>7312</v>
      </c>
      <c r="E1220" t="s">
        <v>4813</v>
      </c>
      <c r="F1220" s="3" t="s">
        <v>4814</v>
      </c>
      <c r="G1220" s="10">
        <v>0</v>
      </c>
      <c r="H1220" s="3" t="s">
        <v>19</v>
      </c>
      <c r="I1220" t="s">
        <v>4798</v>
      </c>
      <c r="J1220" s="3" t="s">
        <v>84</v>
      </c>
      <c r="K1220" t="s">
        <v>5842</v>
      </c>
      <c r="L1220" s="3" t="s">
        <v>5843</v>
      </c>
      <c r="M1220" t="s">
        <v>6241</v>
      </c>
      <c r="N1220" s="8">
        <v>4.2654999999999998E-2</v>
      </c>
    </row>
    <row r="1221" spans="1:14" hidden="1" x14ac:dyDescent="0.55000000000000004">
      <c r="A1221" s="9" t="s">
        <v>4723</v>
      </c>
      <c r="B1221" s="3" t="s">
        <v>4783</v>
      </c>
      <c r="C1221" t="s">
        <v>4783</v>
      </c>
      <c r="D1221" s="3" t="s">
        <v>7312</v>
      </c>
      <c r="E1221" t="s">
        <v>4813</v>
      </c>
      <c r="F1221" s="3" t="s">
        <v>4814</v>
      </c>
      <c r="G1221" s="10">
        <v>0</v>
      </c>
      <c r="H1221" s="3" t="s">
        <v>24</v>
      </c>
      <c r="I1221" t="s">
        <v>4791</v>
      </c>
      <c r="J1221" s="3" t="s">
        <v>40</v>
      </c>
      <c r="K1221" t="s">
        <v>23</v>
      </c>
      <c r="L1221" s="3" t="s">
        <v>5835</v>
      </c>
      <c r="M1221" t="s">
        <v>6240</v>
      </c>
      <c r="N1221" s="8">
        <v>0.18357599999999999</v>
      </c>
    </row>
    <row r="1222" spans="1:14" hidden="1" x14ac:dyDescent="0.55000000000000004">
      <c r="A1222" s="3" t="s">
        <v>4815</v>
      </c>
      <c r="B1222" s="3" t="s">
        <v>4816</v>
      </c>
      <c r="C1222" t="s">
        <v>4817</v>
      </c>
      <c r="D1222" s="3" t="s">
        <v>7314</v>
      </c>
      <c r="E1222" t="s">
        <v>4818</v>
      </c>
      <c r="F1222" s="3" t="s">
        <v>4819</v>
      </c>
      <c r="G1222" s="10">
        <v>1</v>
      </c>
      <c r="H1222" s="3" t="s">
        <v>19</v>
      </c>
      <c r="I1222" t="s">
        <v>4823</v>
      </c>
      <c r="J1222" s="3" t="s">
        <v>4824</v>
      </c>
      <c r="K1222" t="s">
        <v>6242</v>
      </c>
      <c r="L1222" s="3" t="s">
        <v>6243</v>
      </c>
      <c r="M1222" t="s">
        <v>6244</v>
      </c>
      <c r="N1222" s="8">
        <v>2.8223999999999999E-2</v>
      </c>
    </row>
    <row r="1223" spans="1:14" hidden="1" x14ac:dyDescent="0.55000000000000004">
      <c r="A1223" s="3" t="s">
        <v>4815</v>
      </c>
      <c r="B1223" s="3" t="s">
        <v>4816</v>
      </c>
      <c r="C1223" t="s">
        <v>4817</v>
      </c>
      <c r="D1223" s="3" t="s">
        <v>7314</v>
      </c>
      <c r="E1223" t="s">
        <v>4818</v>
      </c>
      <c r="F1223" s="3" t="s">
        <v>4819</v>
      </c>
      <c r="G1223" s="10">
        <v>1</v>
      </c>
      <c r="H1223" s="3" t="s">
        <v>24</v>
      </c>
      <c r="I1223" t="s">
        <v>4827</v>
      </c>
      <c r="J1223" s="3" t="s">
        <v>55</v>
      </c>
      <c r="K1223" t="s">
        <v>23</v>
      </c>
      <c r="L1223" s="3" t="s">
        <v>5839</v>
      </c>
      <c r="M1223" t="s">
        <v>23</v>
      </c>
      <c r="N1223" s="8">
        <v>0.218504</v>
      </c>
    </row>
    <row r="1224" spans="1:14" hidden="1" x14ac:dyDescent="0.55000000000000004">
      <c r="A1224" s="3" t="s">
        <v>4815</v>
      </c>
      <c r="B1224" s="3" t="s">
        <v>7388</v>
      </c>
      <c r="C1224" t="s">
        <v>4828</v>
      </c>
      <c r="D1224" s="3" t="s">
        <v>7314</v>
      </c>
      <c r="E1224" t="s">
        <v>4829</v>
      </c>
      <c r="F1224" s="3" t="s">
        <v>4830</v>
      </c>
      <c r="G1224" s="10">
        <v>1</v>
      </c>
      <c r="H1224" s="3" t="s">
        <v>19</v>
      </c>
      <c r="I1224" t="s">
        <v>4833</v>
      </c>
      <c r="J1224" s="3" t="s">
        <v>64</v>
      </c>
      <c r="K1224" t="s">
        <v>5858</v>
      </c>
      <c r="L1224" s="3" t="s">
        <v>6245</v>
      </c>
      <c r="M1224" t="s">
        <v>6246</v>
      </c>
      <c r="N1224" s="8">
        <v>0.10306899999999999</v>
      </c>
    </row>
    <row r="1225" spans="1:14" hidden="1" x14ac:dyDescent="0.55000000000000004">
      <c r="A1225" s="3" t="s">
        <v>4815</v>
      </c>
      <c r="B1225" s="3" t="s">
        <v>7388</v>
      </c>
      <c r="C1225" t="s">
        <v>4828</v>
      </c>
      <c r="D1225" s="3" t="s">
        <v>7314</v>
      </c>
      <c r="E1225" t="s">
        <v>4829</v>
      </c>
      <c r="F1225" s="3" t="s">
        <v>4830</v>
      </c>
      <c r="G1225" s="10">
        <v>1</v>
      </c>
      <c r="H1225" s="3" t="s">
        <v>24</v>
      </c>
      <c r="I1225" t="s">
        <v>4836</v>
      </c>
      <c r="J1225" s="3" t="s">
        <v>55</v>
      </c>
      <c r="K1225" t="s">
        <v>23</v>
      </c>
      <c r="L1225" s="3" t="s">
        <v>5839</v>
      </c>
      <c r="M1225" t="s">
        <v>23</v>
      </c>
      <c r="N1225" s="8">
        <v>0.21898300000000001</v>
      </c>
    </row>
    <row r="1226" spans="1:14" hidden="1" x14ac:dyDescent="0.55000000000000004">
      <c r="A1226" s="3" t="s">
        <v>4815</v>
      </c>
      <c r="B1226" s="3" t="s">
        <v>4828</v>
      </c>
      <c r="C1226" t="s">
        <v>4828</v>
      </c>
      <c r="D1226" s="3" t="s">
        <v>7314</v>
      </c>
      <c r="E1226" t="s">
        <v>4840</v>
      </c>
      <c r="F1226" s="3" t="s">
        <v>4841</v>
      </c>
      <c r="G1226" s="10">
        <v>0</v>
      </c>
      <c r="H1226" s="3" t="s">
        <v>24</v>
      </c>
      <c r="I1226" t="s">
        <v>4836</v>
      </c>
      <c r="J1226" s="3" t="s">
        <v>55</v>
      </c>
      <c r="K1226" t="s">
        <v>23</v>
      </c>
      <c r="L1226" s="3" t="s">
        <v>5839</v>
      </c>
      <c r="M1226" t="s">
        <v>23</v>
      </c>
      <c r="N1226" s="8">
        <v>0.21898300000000001</v>
      </c>
    </row>
    <row r="1227" spans="1:14" hidden="1" x14ac:dyDescent="0.55000000000000004">
      <c r="A1227" s="3" t="s">
        <v>4815</v>
      </c>
      <c r="B1227" s="3" t="s">
        <v>4842</v>
      </c>
      <c r="C1227" t="s">
        <v>4971</v>
      </c>
      <c r="D1227" s="3" t="s">
        <v>7314</v>
      </c>
      <c r="E1227" t="s">
        <v>4843</v>
      </c>
      <c r="F1227" s="3" t="s">
        <v>4844</v>
      </c>
      <c r="G1227" s="10">
        <v>1</v>
      </c>
      <c r="H1227" s="3" t="s">
        <v>19</v>
      </c>
      <c r="I1227" t="s">
        <v>4850</v>
      </c>
      <c r="J1227" s="3" t="s">
        <v>4851</v>
      </c>
      <c r="K1227" t="s">
        <v>6247</v>
      </c>
      <c r="L1227" s="3" t="s">
        <v>5859</v>
      </c>
      <c r="M1227" t="s">
        <v>6248</v>
      </c>
      <c r="N1227" s="8">
        <v>5.5633000000000002E-2</v>
      </c>
    </row>
    <row r="1228" spans="1:14" hidden="1" x14ac:dyDescent="0.55000000000000004">
      <c r="A1228" s="3" t="s">
        <v>4815</v>
      </c>
      <c r="B1228" s="3" t="s">
        <v>4842</v>
      </c>
      <c r="C1228" t="s">
        <v>4971</v>
      </c>
      <c r="D1228" s="3" t="s">
        <v>7314</v>
      </c>
      <c r="E1228" t="s">
        <v>4843</v>
      </c>
      <c r="F1228" s="3" t="s">
        <v>4844</v>
      </c>
      <c r="G1228" s="10">
        <v>1</v>
      </c>
      <c r="H1228" s="3" t="s">
        <v>19</v>
      </c>
      <c r="I1228" t="s">
        <v>4850</v>
      </c>
      <c r="J1228" s="3" t="s">
        <v>4851</v>
      </c>
      <c r="K1228" t="s">
        <v>6247</v>
      </c>
      <c r="L1228" s="3" t="s">
        <v>5861</v>
      </c>
      <c r="M1228" t="s">
        <v>6248</v>
      </c>
      <c r="N1228" s="8">
        <v>5.5633000000000002E-2</v>
      </c>
    </row>
    <row r="1229" spans="1:14" hidden="1" x14ac:dyDescent="0.55000000000000004">
      <c r="A1229" s="3" t="s">
        <v>4815</v>
      </c>
      <c r="B1229" s="3" t="s">
        <v>4842</v>
      </c>
      <c r="C1229" t="s">
        <v>4971</v>
      </c>
      <c r="D1229" s="3" t="s">
        <v>7314</v>
      </c>
      <c r="E1229" t="s">
        <v>4843</v>
      </c>
      <c r="F1229" s="3" t="s">
        <v>4844</v>
      </c>
      <c r="G1229" s="10">
        <v>1</v>
      </c>
      <c r="H1229" s="3" t="s">
        <v>19</v>
      </c>
      <c r="I1229" t="s">
        <v>4850</v>
      </c>
      <c r="J1229" s="3" t="s">
        <v>4851</v>
      </c>
      <c r="K1229" t="s">
        <v>6247</v>
      </c>
      <c r="L1229" s="3" t="s">
        <v>5862</v>
      </c>
      <c r="M1229" t="s">
        <v>6248</v>
      </c>
      <c r="N1229" s="8">
        <v>5.5633000000000002E-2</v>
      </c>
    </row>
    <row r="1230" spans="1:14" hidden="1" x14ac:dyDescent="0.55000000000000004">
      <c r="A1230" s="3" t="s">
        <v>4815</v>
      </c>
      <c r="B1230" s="3" t="s">
        <v>4842</v>
      </c>
      <c r="C1230" t="s">
        <v>4971</v>
      </c>
      <c r="D1230" s="3" t="s">
        <v>7314</v>
      </c>
      <c r="E1230" t="s">
        <v>4843</v>
      </c>
      <c r="F1230" s="3" t="s">
        <v>4844</v>
      </c>
      <c r="G1230" s="10">
        <v>1</v>
      </c>
      <c r="H1230" s="3" t="s">
        <v>24</v>
      </c>
      <c r="I1230" t="s">
        <v>4861</v>
      </c>
      <c r="J1230" s="3" t="s">
        <v>76</v>
      </c>
      <c r="K1230" t="s">
        <v>5841</v>
      </c>
      <c r="L1230" s="3" t="s">
        <v>5840</v>
      </c>
      <c r="M1230" t="s">
        <v>6249</v>
      </c>
      <c r="N1230" s="8">
        <v>0.192167</v>
      </c>
    </row>
    <row r="1231" spans="1:14" hidden="1" x14ac:dyDescent="0.55000000000000004">
      <c r="A1231" s="3" t="s">
        <v>4815</v>
      </c>
      <c r="B1231" s="3" t="s">
        <v>4870</v>
      </c>
      <c r="C1231" t="s">
        <v>4870</v>
      </c>
      <c r="D1231" s="3" t="s">
        <v>7314</v>
      </c>
      <c r="E1231" t="s">
        <v>4871</v>
      </c>
      <c r="F1231" s="3" t="s">
        <v>4872</v>
      </c>
      <c r="G1231" s="10">
        <v>0</v>
      </c>
      <c r="H1231" s="3" t="s">
        <v>19</v>
      </c>
      <c r="I1231" t="s">
        <v>4875</v>
      </c>
      <c r="J1231" s="3" t="s">
        <v>4824</v>
      </c>
      <c r="K1231" t="s">
        <v>6242</v>
      </c>
      <c r="L1231" s="3" t="s">
        <v>6243</v>
      </c>
      <c r="M1231" t="s">
        <v>6250</v>
      </c>
      <c r="N1231" s="8">
        <v>9.2169999999999995E-3</v>
      </c>
    </row>
    <row r="1232" spans="1:14" hidden="1" x14ac:dyDescent="0.55000000000000004">
      <c r="A1232" s="3" t="s">
        <v>4815</v>
      </c>
      <c r="B1232" s="3" t="s">
        <v>4870</v>
      </c>
      <c r="C1232" t="s">
        <v>4870</v>
      </c>
      <c r="D1232" s="3" t="s">
        <v>7314</v>
      </c>
      <c r="E1232" t="s">
        <v>4871</v>
      </c>
      <c r="F1232" s="3" t="s">
        <v>4872</v>
      </c>
      <c r="G1232" s="10">
        <v>0</v>
      </c>
      <c r="H1232" s="3" t="s">
        <v>24</v>
      </c>
      <c r="I1232" t="s">
        <v>4878</v>
      </c>
      <c r="J1232" s="3" t="s">
        <v>76</v>
      </c>
      <c r="K1232" t="s">
        <v>5841</v>
      </c>
      <c r="L1232" s="3" t="s">
        <v>5840</v>
      </c>
      <c r="M1232" t="s">
        <v>6251</v>
      </c>
      <c r="N1232" s="8">
        <v>0.23799999999999999</v>
      </c>
    </row>
    <row r="1233" spans="1:14" hidden="1" x14ac:dyDescent="0.55000000000000004">
      <c r="A1233" s="3" t="s">
        <v>4815</v>
      </c>
      <c r="B1233" s="3" t="s">
        <v>4870</v>
      </c>
      <c r="C1233" t="s">
        <v>4870</v>
      </c>
      <c r="D1233" s="3" t="s">
        <v>7314</v>
      </c>
      <c r="E1233" t="s">
        <v>4881</v>
      </c>
      <c r="F1233" s="3" t="s">
        <v>4882</v>
      </c>
      <c r="G1233" s="10">
        <v>1</v>
      </c>
      <c r="H1233" s="3" t="s">
        <v>19</v>
      </c>
      <c r="I1233" t="s">
        <v>4885</v>
      </c>
      <c r="J1233" s="3" t="s">
        <v>4886</v>
      </c>
      <c r="K1233" t="s">
        <v>6252</v>
      </c>
      <c r="L1233" s="3" t="s">
        <v>6034</v>
      </c>
      <c r="M1233" t="s">
        <v>6253</v>
      </c>
      <c r="N1233" s="8">
        <v>8.4239999999999992E-3</v>
      </c>
    </row>
    <row r="1234" spans="1:14" hidden="1" x14ac:dyDescent="0.55000000000000004">
      <c r="A1234" s="3" t="s">
        <v>4815</v>
      </c>
      <c r="B1234" s="3" t="s">
        <v>4870</v>
      </c>
      <c r="C1234" t="s">
        <v>4870</v>
      </c>
      <c r="D1234" s="3" t="s">
        <v>7314</v>
      </c>
      <c r="E1234" t="s">
        <v>4881</v>
      </c>
      <c r="F1234" s="3" t="s">
        <v>4882</v>
      </c>
      <c r="G1234" s="10">
        <v>1</v>
      </c>
      <c r="H1234" s="3" t="s">
        <v>19</v>
      </c>
      <c r="I1234" t="s">
        <v>4885</v>
      </c>
      <c r="J1234" s="3" t="s">
        <v>4886</v>
      </c>
      <c r="K1234" t="s">
        <v>6252</v>
      </c>
      <c r="L1234" s="3" t="s">
        <v>6036</v>
      </c>
      <c r="M1234" t="s">
        <v>6253</v>
      </c>
      <c r="N1234" s="8">
        <v>8.4239999999999992E-3</v>
      </c>
    </row>
    <row r="1235" spans="1:14" hidden="1" x14ac:dyDescent="0.55000000000000004">
      <c r="A1235" s="3" t="s">
        <v>4815</v>
      </c>
      <c r="B1235" s="3" t="s">
        <v>4870</v>
      </c>
      <c r="C1235" t="s">
        <v>4870</v>
      </c>
      <c r="D1235" s="3" t="s">
        <v>7314</v>
      </c>
      <c r="E1235" t="s">
        <v>4881</v>
      </c>
      <c r="F1235" s="3" t="s">
        <v>4882</v>
      </c>
      <c r="G1235" s="10">
        <v>1</v>
      </c>
      <c r="H1235" s="3" t="s">
        <v>24</v>
      </c>
      <c r="I1235" t="s">
        <v>4878</v>
      </c>
      <c r="J1235" s="3" t="s">
        <v>76</v>
      </c>
      <c r="K1235" t="s">
        <v>5841</v>
      </c>
      <c r="L1235" s="3" t="s">
        <v>5840</v>
      </c>
      <c r="M1235" t="s">
        <v>6251</v>
      </c>
      <c r="N1235" s="8">
        <v>0.23799999999999999</v>
      </c>
    </row>
    <row r="1236" spans="1:14" hidden="1" x14ac:dyDescent="0.55000000000000004">
      <c r="A1236" s="3" t="s">
        <v>4815</v>
      </c>
      <c r="B1236" s="3" t="s">
        <v>4887</v>
      </c>
      <c r="C1236" t="s">
        <v>4887</v>
      </c>
      <c r="D1236" s="3" t="s">
        <v>7314</v>
      </c>
      <c r="E1236" t="s">
        <v>4888</v>
      </c>
      <c r="F1236" s="3" t="s">
        <v>4889</v>
      </c>
      <c r="G1236" s="10">
        <v>0</v>
      </c>
      <c r="H1236" s="3" t="s">
        <v>24</v>
      </c>
      <c r="I1236" t="s">
        <v>4892</v>
      </c>
      <c r="J1236" s="3" t="s">
        <v>76</v>
      </c>
      <c r="K1236" t="s">
        <v>5841</v>
      </c>
      <c r="L1236" s="3" t="s">
        <v>5840</v>
      </c>
      <c r="M1236" t="s">
        <v>23</v>
      </c>
      <c r="N1236" s="8">
        <v>0.20050000000000001</v>
      </c>
    </row>
    <row r="1237" spans="1:14" hidden="1" x14ac:dyDescent="0.55000000000000004">
      <c r="A1237" s="3" t="s">
        <v>4815</v>
      </c>
      <c r="B1237" s="3" t="s">
        <v>4893</v>
      </c>
      <c r="C1237" t="s">
        <v>4893</v>
      </c>
      <c r="D1237" s="3" t="s">
        <v>7314</v>
      </c>
      <c r="E1237" t="s">
        <v>4894</v>
      </c>
      <c r="F1237" s="3" t="s">
        <v>4895</v>
      </c>
      <c r="G1237" s="10">
        <v>0</v>
      </c>
      <c r="H1237" s="3" t="s">
        <v>24</v>
      </c>
      <c r="I1237" t="s">
        <v>4898</v>
      </c>
      <c r="J1237" s="3" t="s">
        <v>55</v>
      </c>
      <c r="K1237" t="s">
        <v>23</v>
      </c>
      <c r="L1237" s="3" t="s">
        <v>5839</v>
      </c>
      <c r="M1237" t="s">
        <v>23</v>
      </c>
      <c r="N1237" s="8">
        <v>0.25811200000000001</v>
      </c>
    </row>
    <row r="1238" spans="1:14" hidden="1" x14ac:dyDescent="0.55000000000000004">
      <c r="A1238" s="3" t="s">
        <v>4815</v>
      </c>
      <c r="B1238" s="3" t="s">
        <v>7392</v>
      </c>
      <c r="C1238" t="s">
        <v>4893</v>
      </c>
      <c r="D1238" s="3" t="s">
        <v>7314</v>
      </c>
      <c r="E1238" t="s">
        <v>4902</v>
      </c>
      <c r="F1238" s="3" t="s">
        <v>4903</v>
      </c>
      <c r="G1238" s="10">
        <v>1</v>
      </c>
      <c r="H1238" s="3" t="s">
        <v>19</v>
      </c>
      <c r="I1238" t="s">
        <v>4906</v>
      </c>
      <c r="J1238" s="3" t="s">
        <v>4907</v>
      </c>
      <c r="K1238" t="s">
        <v>6254</v>
      </c>
      <c r="L1238" s="3" t="s">
        <v>5867</v>
      </c>
      <c r="M1238" t="s">
        <v>6255</v>
      </c>
      <c r="N1238" s="8">
        <v>2.7098000000000001E-2</v>
      </c>
    </row>
    <row r="1239" spans="1:14" hidden="1" x14ac:dyDescent="0.55000000000000004">
      <c r="A1239" s="3" t="s">
        <v>4815</v>
      </c>
      <c r="B1239" s="3" t="s">
        <v>7392</v>
      </c>
      <c r="C1239" t="s">
        <v>4893</v>
      </c>
      <c r="D1239" s="3" t="s">
        <v>7314</v>
      </c>
      <c r="E1239" t="s">
        <v>4902</v>
      </c>
      <c r="F1239" s="3" t="s">
        <v>4903</v>
      </c>
      <c r="G1239" s="10">
        <v>1</v>
      </c>
      <c r="H1239" s="3" t="s">
        <v>24</v>
      </c>
      <c r="I1239" t="s">
        <v>4898</v>
      </c>
      <c r="J1239" s="3" t="s">
        <v>55</v>
      </c>
      <c r="K1239" t="s">
        <v>23</v>
      </c>
      <c r="L1239" s="3" t="s">
        <v>5839</v>
      </c>
      <c r="M1239" t="s">
        <v>23</v>
      </c>
      <c r="N1239" s="8">
        <v>0.25811200000000001</v>
      </c>
    </row>
    <row r="1240" spans="1:14" hidden="1" x14ac:dyDescent="0.55000000000000004">
      <c r="A1240" s="3" t="s">
        <v>4815</v>
      </c>
      <c r="B1240" s="3" t="s">
        <v>4908</v>
      </c>
      <c r="C1240" t="s">
        <v>5293</v>
      </c>
      <c r="D1240" s="3" t="s">
        <v>7314</v>
      </c>
      <c r="E1240" t="s">
        <v>4909</v>
      </c>
      <c r="F1240" s="3" t="s">
        <v>4910</v>
      </c>
      <c r="G1240" s="10">
        <v>0</v>
      </c>
      <c r="H1240" s="3" t="s">
        <v>24</v>
      </c>
      <c r="I1240" t="s">
        <v>4913</v>
      </c>
      <c r="J1240" s="3" t="s">
        <v>29</v>
      </c>
      <c r="K1240" t="s">
        <v>23</v>
      </c>
      <c r="L1240" s="3" t="s">
        <v>5840</v>
      </c>
      <c r="M1240" t="s">
        <v>23</v>
      </c>
      <c r="N1240" s="8">
        <v>0.218357</v>
      </c>
    </row>
    <row r="1241" spans="1:14" hidden="1" x14ac:dyDescent="0.55000000000000004">
      <c r="A1241" s="3" t="s">
        <v>4815</v>
      </c>
      <c r="B1241" s="3" t="s">
        <v>4914</v>
      </c>
      <c r="C1241" t="s">
        <v>4914</v>
      </c>
      <c r="D1241" s="3" t="s">
        <v>7314</v>
      </c>
      <c r="E1241" t="s">
        <v>4915</v>
      </c>
      <c r="F1241" s="3" t="s">
        <v>4916</v>
      </c>
      <c r="G1241" s="10">
        <v>0</v>
      </c>
      <c r="H1241" s="3" t="s">
        <v>24</v>
      </c>
      <c r="I1241" t="s">
        <v>4919</v>
      </c>
      <c r="J1241" s="3" t="s">
        <v>76</v>
      </c>
      <c r="K1241" t="s">
        <v>5841</v>
      </c>
      <c r="L1241" s="3" t="s">
        <v>5840</v>
      </c>
      <c r="M1241" t="s">
        <v>23</v>
      </c>
      <c r="N1241" s="8">
        <v>0.2455</v>
      </c>
    </row>
    <row r="1242" spans="1:14" hidden="1" x14ac:dyDescent="0.55000000000000004">
      <c r="A1242" s="3" t="s">
        <v>4815</v>
      </c>
      <c r="B1242" s="3" t="s">
        <v>4920</v>
      </c>
      <c r="C1242" t="s">
        <v>4920</v>
      </c>
      <c r="D1242" s="3" t="s">
        <v>7314</v>
      </c>
      <c r="E1242" t="s">
        <v>4921</v>
      </c>
      <c r="F1242" s="3" t="s">
        <v>4922</v>
      </c>
      <c r="G1242" s="10">
        <v>0</v>
      </c>
      <c r="H1242" s="3" t="s">
        <v>24</v>
      </c>
      <c r="I1242" t="s">
        <v>54</v>
      </c>
      <c r="J1242" s="3" t="s">
        <v>55</v>
      </c>
      <c r="K1242" t="s">
        <v>23</v>
      </c>
      <c r="L1242" s="3" t="s">
        <v>5839</v>
      </c>
      <c r="M1242" t="s">
        <v>23</v>
      </c>
      <c r="N1242" s="8">
        <v>0.29234300000000002</v>
      </c>
    </row>
    <row r="1243" spans="1:14" hidden="1" x14ac:dyDescent="0.55000000000000004">
      <c r="A1243" s="3" t="s">
        <v>4815</v>
      </c>
      <c r="B1243" s="3" t="s">
        <v>4920</v>
      </c>
      <c r="C1243" t="s">
        <v>4920</v>
      </c>
      <c r="D1243" s="3" t="s">
        <v>7314</v>
      </c>
      <c r="E1243" t="s">
        <v>4923</v>
      </c>
      <c r="F1243" s="3" t="s">
        <v>4924</v>
      </c>
      <c r="G1243" s="10">
        <v>0</v>
      </c>
      <c r="H1243" s="3" t="s">
        <v>24</v>
      </c>
      <c r="I1243" t="s">
        <v>54</v>
      </c>
      <c r="J1243" s="3" t="s">
        <v>55</v>
      </c>
      <c r="K1243" t="s">
        <v>23</v>
      </c>
      <c r="L1243" s="3" t="s">
        <v>5839</v>
      </c>
      <c r="M1243" t="s">
        <v>23</v>
      </c>
      <c r="N1243" s="8">
        <v>0.29234300000000002</v>
      </c>
    </row>
    <row r="1244" spans="1:14" hidden="1" x14ac:dyDescent="0.55000000000000004">
      <c r="A1244" s="3" t="s">
        <v>4815</v>
      </c>
      <c r="B1244" s="3" t="s">
        <v>4925</v>
      </c>
      <c r="C1244" t="s">
        <v>4925</v>
      </c>
      <c r="D1244" s="3" t="s">
        <v>7314</v>
      </c>
      <c r="E1244" t="s">
        <v>4926</v>
      </c>
      <c r="F1244" s="3" t="s">
        <v>4927</v>
      </c>
      <c r="G1244" s="10">
        <v>0</v>
      </c>
      <c r="H1244" s="3" t="s">
        <v>19</v>
      </c>
      <c r="I1244" t="s">
        <v>4931</v>
      </c>
      <c r="J1244" s="3" t="s">
        <v>1610</v>
      </c>
      <c r="K1244" t="s">
        <v>5985</v>
      </c>
      <c r="L1244" s="3" t="s">
        <v>6188</v>
      </c>
      <c r="M1244" t="s">
        <v>6256</v>
      </c>
      <c r="N1244" s="8">
        <v>5.0048000000000002E-2</v>
      </c>
    </row>
    <row r="1245" spans="1:14" hidden="1" x14ac:dyDescent="0.55000000000000004">
      <c r="A1245" s="3" t="s">
        <v>4815</v>
      </c>
      <c r="B1245" s="3" t="s">
        <v>4925</v>
      </c>
      <c r="C1245" t="s">
        <v>4925</v>
      </c>
      <c r="D1245" s="3" t="s">
        <v>7314</v>
      </c>
      <c r="E1245" t="s">
        <v>4926</v>
      </c>
      <c r="F1245" s="3" t="s">
        <v>4927</v>
      </c>
      <c r="G1245" s="10">
        <v>0</v>
      </c>
      <c r="H1245" s="3" t="s">
        <v>24</v>
      </c>
      <c r="I1245" t="s">
        <v>4934</v>
      </c>
      <c r="J1245" s="3" t="s">
        <v>29</v>
      </c>
      <c r="K1245" t="s">
        <v>23</v>
      </c>
      <c r="L1245" s="3" t="s">
        <v>5840</v>
      </c>
      <c r="M1245" t="s">
        <v>23</v>
      </c>
      <c r="N1245" s="8">
        <v>0.25737100000000002</v>
      </c>
    </row>
    <row r="1246" spans="1:14" hidden="1" x14ac:dyDescent="0.55000000000000004">
      <c r="A1246" s="3" t="s">
        <v>4815</v>
      </c>
      <c r="B1246" s="3" t="s">
        <v>7389</v>
      </c>
      <c r="C1246" t="s">
        <v>4887</v>
      </c>
      <c r="D1246" s="3" t="s">
        <v>7314</v>
      </c>
      <c r="E1246" t="s">
        <v>4935</v>
      </c>
      <c r="F1246" s="3" t="s">
        <v>4936</v>
      </c>
      <c r="G1246" s="10">
        <v>0</v>
      </c>
      <c r="H1246" s="3" t="s">
        <v>24</v>
      </c>
      <c r="I1246" t="s">
        <v>4939</v>
      </c>
      <c r="J1246" s="3" t="s">
        <v>76</v>
      </c>
      <c r="K1246" t="s">
        <v>5841</v>
      </c>
      <c r="L1246" s="3" t="s">
        <v>5840</v>
      </c>
      <c r="M1246" t="s">
        <v>23</v>
      </c>
      <c r="N1246" s="8">
        <v>0.20050000000000001</v>
      </c>
    </row>
    <row r="1247" spans="1:14" hidden="1" x14ac:dyDescent="0.55000000000000004">
      <c r="A1247" s="3" t="s">
        <v>4815</v>
      </c>
      <c r="B1247" s="3" t="s">
        <v>4940</v>
      </c>
      <c r="C1247" t="s">
        <v>4940</v>
      </c>
      <c r="D1247" s="3" t="s">
        <v>7314</v>
      </c>
      <c r="E1247" t="s">
        <v>4941</v>
      </c>
      <c r="F1247" s="3" t="s">
        <v>4942</v>
      </c>
      <c r="G1247" s="10">
        <v>1</v>
      </c>
      <c r="H1247" s="3" t="s">
        <v>19</v>
      </c>
      <c r="I1247" t="s">
        <v>4945</v>
      </c>
      <c r="J1247" s="3" t="s">
        <v>1610</v>
      </c>
      <c r="K1247" t="s">
        <v>5985</v>
      </c>
      <c r="L1247" s="3" t="s">
        <v>6188</v>
      </c>
      <c r="M1247" t="s">
        <v>6257</v>
      </c>
      <c r="N1247" s="8">
        <v>5.0048000000000002E-2</v>
      </c>
    </row>
    <row r="1248" spans="1:14" hidden="1" x14ac:dyDescent="0.55000000000000004">
      <c r="A1248" s="3" t="s">
        <v>4815</v>
      </c>
      <c r="B1248" s="3" t="s">
        <v>4940</v>
      </c>
      <c r="C1248" t="s">
        <v>4940</v>
      </c>
      <c r="D1248" s="3" t="s">
        <v>7314</v>
      </c>
      <c r="E1248" t="s">
        <v>4941</v>
      </c>
      <c r="F1248" s="3" t="s">
        <v>4942</v>
      </c>
      <c r="G1248" s="10">
        <v>1</v>
      </c>
      <c r="H1248" s="3" t="s">
        <v>24</v>
      </c>
      <c r="I1248" t="s">
        <v>4949</v>
      </c>
      <c r="J1248" s="3" t="s">
        <v>76</v>
      </c>
      <c r="K1248" t="s">
        <v>5841</v>
      </c>
      <c r="L1248" s="3" t="s">
        <v>5877</v>
      </c>
      <c r="M1248" t="s">
        <v>6258</v>
      </c>
      <c r="N1248" s="8">
        <v>0.23283300000000001</v>
      </c>
    </row>
    <row r="1249" spans="1:14" hidden="1" x14ac:dyDescent="0.55000000000000004">
      <c r="A1249" s="3" t="s">
        <v>4815</v>
      </c>
      <c r="B1249" s="3" t="s">
        <v>4940</v>
      </c>
      <c r="C1249" t="s">
        <v>4940</v>
      </c>
      <c r="D1249" s="3" t="s">
        <v>7314</v>
      </c>
      <c r="E1249" t="s">
        <v>4941</v>
      </c>
      <c r="F1249" s="3" t="s">
        <v>4942</v>
      </c>
      <c r="G1249" s="10">
        <v>1</v>
      </c>
      <c r="H1249" s="3" t="s">
        <v>24</v>
      </c>
      <c r="I1249" t="s">
        <v>4949</v>
      </c>
      <c r="J1249" s="3" t="s">
        <v>76</v>
      </c>
      <c r="K1249" t="s">
        <v>5841</v>
      </c>
      <c r="L1249" s="3" t="s">
        <v>5878</v>
      </c>
      <c r="M1249" t="s">
        <v>6258</v>
      </c>
      <c r="N1249" s="8">
        <v>0.23283300000000001</v>
      </c>
    </row>
    <row r="1250" spans="1:14" hidden="1" x14ac:dyDescent="0.55000000000000004">
      <c r="A1250" s="3" t="s">
        <v>4815</v>
      </c>
      <c r="B1250" s="3" t="s">
        <v>4952</v>
      </c>
      <c r="C1250" t="s">
        <v>4952</v>
      </c>
      <c r="D1250" s="3" t="s">
        <v>7314</v>
      </c>
      <c r="E1250" t="s">
        <v>4953</v>
      </c>
      <c r="F1250" s="3" t="s">
        <v>4954</v>
      </c>
      <c r="G1250" s="10">
        <v>0</v>
      </c>
      <c r="H1250" s="3" t="s">
        <v>24</v>
      </c>
      <c r="I1250" t="s">
        <v>4957</v>
      </c>
      <c r="J1250" s="3" t="s">
        <v>55</v>
      </c>
      <c r="K1250" t="s">
        <v>23</v>
      </c>
      <c r="L1250" s="3" t="s">
        <v>5839</v>
      </c>
      <c r="M1250" t="s">
        <v>23</v>
      </c>
      <c r="N1250" s="8">
        <v>0.21917500000000001</v>
      </c>
    </row>
    <row r="1251" spans="1:14" hidden="1" x14ac:dyDescent="0.55000000000000004">
      <c r="A1251" s="3" t="s">
        <v>4815</v>
      </c>
      <c r="B1251" s="3" t="s">
        <v>4958</v>
      </c>
      <c r="C1251" t="s">
        <v>4958</v>
      </c>
      <c r="D1251" s="3" t="s">
        <v>7314</v>
      </c>
      <c r="E1251" t="s">
        <v>4959</v>
      </c>
      <c r="F1251" s="3" t="s">
        <v>4960</v>
      </c>
      <c r="G1251" s="10">
        <v>0</v>
      </c>
      <c r="H1251" s="3" t="s">
        <v>24</v>
      </c>
      <c r="I1251" t="s">
        <v>4963</v>
      </c>
      <c r="J1251" s="3" t="s">
        <v>55</v>
      </c>
      <c r="K1251" t="s">
        <v>23</v>
      </c>
      <c r="L1251" s="3" t="s">
        <v>5839</v>
      </c>
      <c r="M1251" t="s">
        <v>23</v>
      </c>
      <c r="N1251" s="8">
        <v>0.26047399999999998</v>
      </c>
    </row>
    <row r="1252" spans="1:14" hidden="1" x14ac:dyDescent="0.55000000000000004">
      <c r="A1252" s="3" t="s">
        <v>4815</v>
      </c>
      <c r="B1252" s="3" t="s">
        <v>4958</v>
      </c>
      <c r="C1252" t="s">
        <v>4958</v>
      </c>
      <c r="D1252" s="3" t="s">
        <v>7314</v>
      </c>
      <c r="E1252" t="s">
        <v>4967</v>
      </c>
      <c r="F1252" s="3" t="s">
        <v>4968</v>
      </c>
      <c r="G1252" s="10">
        <v>0</v>
      </c>
      <c r="H1252" s="3" t="s">
        <v>24</v>
      </c>
      <c r="I1252" t="s">
        <v>4963</v>
      </c>
      <c r="J1252" s="3" t="s">
        <v>55</v>
      </c>
      <c r="K1252" t="s">
        <v>23</v>
      </c>
      <c r="L1252" s="3" t="s">
        <v>5839</v>
      </c>
      <c r="M1252" t="s">
        <v>23</v>
      </c>
      <c r="N1252" s="8">
        <v>0.26047399999999998</v>
      </c>
    </row>
    <row r="1253" spans="1:14" hidden="1" x14ac:dyDescent="0.55000000000000004">
      <c r="A1253" s="3" t="s">
        <v>4815</v>
      </c>
      <c r="B1253" s="3" t="s">
        <v>4958</v>
      </c>
      <c r="C1253" t="s">
        <v>4958</v>
      </c>
      <c r="D1253" s="3" t="s">
        <v>7314</v>
      </c>
      <c r="E1253" t="s">
        <v>4969</v>
      </c>
      <c r="F1253" s="3" t="s">
        <v>4970</v>
      </c>
      <c r="G1253" s="10">
        <v>0</v>
      </c>
      <c r="H1253" s="3" t="s">
        <v>24</v>
      </c>
      <c r="I1253" t="s">
        <v>4963</v>
      </c>
      <c r="J1253" s="3" t="s">
        <v>55</v>
      </c>
      <c r="K1253" t="s">
        <v>23</v>
      </c>
      <c r="L1253" s="3" t="s">
        <v>5839</v>
      </c>
      <c r="M1253" t="s">
        <v>23</v>
      </c>
      <c r="N1253" s="8">
        <v>0.26047399999999998</v>
      </c>
    </row>
    <row r="1254" spans="1:14" hidden="1" x14ac:dyDescent="0.55000000000000004">
      <c r="A1254" s="3" t="s">
        <v>4815</v>
      </c>
      <c r="B1254" s="3" t="s">
        <v>4971</v>
      </c>
      <c r="C1254" t="s">
        <v>4971</v>
      </c>
      <c r="D1254" s="3" t="s">
        <v>7314</v>
      </c>
      <c r="E1254" t="s">
        <v>4972</v>
      </c>
      <c r="F1254" s="3" t="s">
        <v>4973</v>
      </c>
      <c r="G1254" s="10">
        <v>0</v>
      </c>
      <c r="H1254" s="3" t="s">
        <v>19</v>
      </c>
      <c r="I1254" t="s">
        <v>23</v>
      </c>
      <c r="J1254" s="3" t="s">
        <v>23</v>
      </c>
      <c r="K1254" t="s">
        <v>23</v>
      </c>
      <c r="L1254" s="3" t="s">
        <v>23</v>
      </c>
      <c r="M1254" t="s">
        <v>23</v>
      </c>
      <c r="N1254" s="8" t="s">
        <v>23</v>
      </c>
    </row>
    <row r="1255" spans="1:14" hidden="1" x14ac:dyDescent="0.55000000000000004">
      <c r="A1255" s="3" t="s">
        <v>4815</v>
      </c>
      <c r="B1255" s="3" t="s">
        <v>4971</v>
      </c>
      <c r="C1255" t="s">
        <v>4971</v>
      </c>
      <c r="D1255" s="3" t="s">
        <v>7314</v>
      </c>
      <c r="E1255" t="s">
        <v>4972</v>
      </c>
      <c r="F1255" s="3" t="s">
        <v>4973</v>
      </c>
      <c r="G1255" s="10">
        <v>0</v>
      </c>
      <c r="H1255" s="3" t="s">
        <v>24</v>
      </c>
      <c r="I1255" t="s">
        <v>4984</v>
      </c>
      <c r="J1255" s="3" t="s">
        <v>29</v>
      </c>
      <c r="K1255" t="s">
        <v>23</v>
      </c>
      <c r="L1255" s="3" t="s">
        <v>5840</v>
      </c>
      <c r="M1255" t="s">
        <v>23</v>
      </c>
      <c r="N1255" s="8">
        <v>0.21818599999999999</v>
      </c>
    </row>
    <row r="1256" spans="1:14" hidden="1" x14ac:dyDescent="0.55000000000000004">
      <c r="A1256" s="3" t="s">
        <v>4815</v>
      </c>
      <c r="B1256" s="3" t="s">
        <v>4971</v>
      </c>
      <c r="C1256" t="s">
        <v>4971</v>
      </c>
      <c r="D1256" s="3" t="s">
        <v>7314</v>
      </c>
      <c r="E1256" t="s">
        <v>4985</v>
      </c>
      <c r="F1256" s="3" t="s">
        <v>4986</v>
      </c>
      <c r="G1256" s="10">
        <v>0</v>
      </c>
      <c r="H1256" s="3" t="s">
        <v>19</v>
      </c>
      <c r="I1256" t="s">
        <v>23</v>
      </c>
      <c r="J1256" s="3" t="s">
        <v>23</v>
      </c>
      <c r="K1256" t="s">
        <v>23</v>
      </c>
      <c r="L1256" s="3" t="s">
        <v>23</v>
      </c>
      <c r="M1256" t="s">
        <v>23</v>
      </c>
      <c r="N1256" s="8" t="s">
        <v>23</v>
      </c>
    </row>
    <row r="1257" spans="1:14" hidden="1" x14ac:dyDescent="0.55000000000000004">
      <c r="A1257" s="3" t="s">
        <v>4815</v>
      </c>
      <c r="B1257" s="3" t="s">
        <v>4971</v>
      </c>
      <c r="C1257" t="s">
        <v>4971</v>
      </c>
      <c r="D1257" s="3" t="s">
        <v>7314</v>
      </c>
      <c r="E1257" t="s">
        <v>4985</v>
      </c>
      <c r="F1257" s="3" t="s">
        <v>4986</v>
      </c>
      <c r="G1257" s="10">
        <v>0</v>
      </c>
      <c r="H1257" s="3" t="s">
        <v>24</v>
      </c>
      <c r="I1257" t="s">
        <v>4984</v>
      </c>
      <c r="J1257" s="3" t="s">
        <v>29</v>
      </c>
      <c r="K1257" t="s">
        <v>23</v>
      </c>
      <c r="L1257" s="3" t="s">
        <v>5840</v>
      </c>
      <c r="M1257" t="s">
        <v>23</v>
      </c>
      <c r="N1257" s="8">
        <v>0.21818599999999999</v>
      </c>
    </row>
    <row r="1258" spans="1:14" hidden="1" x14ac:dyDescent="0.55000000000000004">
      <c r="A1258" s="3" t="s">
        <v>4815</v>
      </c>
      <c r="B1258" s="3" t="s">
        <v>4987</v>
      </c>
      <c r="C1258" t="s">
        <v>4988</v>
      </c>
      <c r="D1258" s="3" t="s">
        <v>7314</v>
      </c>
      <c r="E1258" t="s">
        <v>4989</v>
      </c>
      <c r="F1258" s="3" t="s">
        <v>4990</v>
      </c>
      <c r="G1258" s="10">
        <v>0</v>
      </c>
      <c r="H1258" s="3" t="s">
        <v>24</v>
      </c>
      <c r="I1258" t="s">
        <v>5003</v>
      </c>
      <c r="J1258" s="3" t="s">
        <v>29</v>
      </c>
      <c r="K1258" t="s">
        <v>23</v>
      </c>
      <c r="L1258" s="3" t="s">
        <v>5840</v>
      </c>
      <c r="M1258" t="s">
        <v>23</v>
      </c>
      <c r="N1258" s="8">
        <v>0.25116699999999997</v>
      </c>
    </row>
    <row r="1259" spans="1:14" hidden="1" x14ac:dyDescent="0.55000000000000004">
      <c r="A1259" s="3" t="s">
        <v>4815</v>
      </c>
      <c r="B1259" s="3" t="s">
        <v>5010</v>
      </c>
      <c r="C1259" t="s">
        <v>5016</v>
      </c>
      <c r="D1259" s="3" t="s">
        <v>7314</v>
      </c>
      <c r="E1259" t="s">
        <v>5011</v>
      </c>
      <c r="F1259" s="3" t="s">
        <v>5012</v>
      </c>
      <c r="G1259" s="10">
        <v>0</v>
      </c>
      <c r="H1259" s="3" t="s">
        <v>24</v>
      </c>
      <c r="I1259" t="s">
        <v>5015</v>
      </c>
      <c r="J1259" s="3" t="s">
        <v>29</v>
      </c>
      <c r="K1259" t="s">
        <v>23</v>
      </c>
      <c r="L1259" s="3" t="s">
        <v>5840</v>
      </c>
      <c r="M1259" t="s">
        <v>23</v>
      </c>
      <c r="N1259" s="8">
        <v>0.26050000000000001</v>
      </c>
    </row>
    <row r="1260" spans="1:14" hidden="1" x14ac:dyDescent="0.55000000000000004">
      <c r="A1260" s="3" t="s">
        <v>4815</v>
      </c>
      <c r="B1260" s="3" t="s">
        <v>5016</v>
      </c>
      <c r="C1260" t="s">
        <v>5016</v>
      </c>
      <c r="D1260" s="3" t="s">
        <v>7314</v>
      </c>
      <c r="E1260" t="s">
        <v>5017</v>
      </c>
      <c r="F1260" s="3" t="s">
        <v>5018</v>
      </c>
      <c r="G1260" s="10">
        <v>0</v>
      </c>
      <c r="H1260" s="3" t="s">
        <v>24</v>
      </c>
      <c r="I1260" t="s">
        <v>5015</v>
      </c>
      <c r="J1260" s="3" t="s">
        <v>29</v>
      </c>
      <c r="K1260" t="s">
        <v>23</v>
      </c>
      <c r="L1260" s="3" t="s">
        <v>5840</v>
      </c>
      <c r="M1260" t="s">
        <v>23</v>
      </c>
      <c r="N1260" s="8">
        <v>0.26050000000000001</v>
      </c>
    </row>
    <row r="1261" spans="1:14" hidden="1" x14ac:dyDescent="0.55000000000000004">
      <c r="A1261" s="3" t="s">
        <v>4815</v>
      </c>
      <c r="B1261" s="3" t="s">
        <v>5019</v>
      </c>
      <c r="C1261" t="s">
        <v>5019</v>
      </c>
      <c r="D1261" s="3" t="s">
        <v>7314</v>
      </c>
      <c r="E1261" t="s">
        <v>5020</v>
      </c>
      <c r="F1261" s="3" t="s">
        <v>5021</v>
      </c>
      <c r="G1261" s="10">
        <v>0</v>
      </c>
      <c r="H1261" s="3" t="s">
        <v>24</v>
      </c>
      <c r="I1261" t="s">
        <v>5024</v>
      </c>
      <c r="J1261" s="3" t="s">
        <v>76</v>
      </c>
      <c r="K1261" t="s">
        <v>5841</v>
      </c>
      <c r="L1261" s="3" t="s">
        <v>5840</v>
      </c>
      <c r="M1261" t="s">
        <v>6259</v>
      </c>
      <c r="N1261" s="8">
        <v>0.2555</v>
      </c>
    </row>
    <row r="1262" spans="1:14" hidden="1" x14ac:dyDescent="0.55000000000000004">
      <c r="A1262" s="3" t="s">
        <v>4815</v>
      </c>
      <c r="B1262" s="3" t="s">
        <v>5019</v>
      </c>
      <c r="C1262" t="s">
        <v>5019</v>
      </c>
      <c r="D1262" s="3" t="s">
        <v>7314</v>
      </c>
      <c r="E1262" t="s">
        <v>5027</v>
      </c>
      <c r="F1262" s="3" t="s">
        <v>5028</v>
      </c>
      <c r="G1262" s="10">
        <v>0</v>
      </c>
      <c r="H1262" s="3" t="s">
        <v>24</v>
      </c>
      <c r="I1262" t="s">
        <v>5024</v>
      </c>
      <c r="J1262" s="3" t="s">
        <v>76</v>
      </c>
      <c r="K1262" t="s">
        <v>5841</v>
      </c>
      <c r="L1262" s="3" t="s">
        <v>5840</v>
      </c>
      <c r="M1262" t="s">
        <v>6259</v>
      </c>
      <c r="N1262" s="8">
        <v>0.2555</v>
      </c>
    </row>
    <row r="1263" spans="1:14" hidden="1" x14ac:dyDescent="0.55000000000000004">
      <c r="A1263" s="3" t="s">
        <v>4815</v>
      </c>
      <c r="B1263" s="3" t="s">
        <v>5019</v>
      </c>
      <c r="C1263" t="s">
        <v>5019</v>
      </c>
      <c r="D1263" s="3" t="s">
        <v>7314</v>
      </c>
      <c r="E1263" t="s">
        <v>5029</v>
      </c>
      <c r="F1263" s="3" t="s">
        <v>5030</v>
      </c>
      <c r="G1263" s="10">
        <v>0</v>
      </c>
      <c r="H1263" s="3" t="s">
        <v>24</v>
      </c>
      <c r="I1263" t="s">
        <v>5024</v>
      </c>
      <c r="J1263" s="3" t="s">
        <v>76</v>
      </c>
      <c r="K1263" t="s">
        <v>5841</v>
      </c>
      <c r="L1263" s="3" t="s">
        <v>5840</v>
      </c>
      <c r="M1263" t="s">
        <v>6259</v>
      </c>
      <c r="N1263" s="8">
        <v>0.2555</v>
      </c>
    </row>
    <row r="1264" spans="1:14" hidden="1" x14ac:dyDescent="0.55000000000000004">
      <c r="A1264" s="3" t="s">
        <v>4815</v>
      </c>
      <c r="B1264" s="3" t="s">
        <v>5019</v>
      </c>
      <c r="C1264" t="s">
        <v>5019</v>
      </c>
      <c r="D1264" s="3" t="s">
        <v>7314</v>
      </c>
      <c r="E1264" t="s">
        <v>5031</v>
      </c>
      <c r="F1264" s="3" t="s">
        <v>5032</v>
      </c>
      <c r="G1264" s="10">
        <v>1</v>
      </c>
      <c r="H1264" s="3" t="s">
        <v>19</v>
      </c>
      <c r="I1264" t="s">
        <v>5035</v>
      </c>
      <c r="J1264" s="3" t="s">
        <v>64</v>
      </c>
      <c r="K1264" t="s">
        <v>5858</v>
      </c>
      <c r="L1264" s="3" t="s">
        <v>5859</v>
      </c>
      <c r="M1264" t="s">
        <v>6260</v>
      </c>
      <c r="N1264" s="8">
        <v>0.12095499999999999</v>
      </c>
    </row>
    <row r="1265" spans="1:14" hidden="1" x14ac:dyDescent="0.55000000000000004">
      <c r="A1265" s="3" t="s">
        <v>4815</v>
      </c>
      <c r="B1265" s="3" t="s">
        <v>5019</v>
      </c>
      <c r="C1265" t="s">
        <v>5019</v>
      </c>
      <c r="D1265" s="3" t="s">
        <v>7314</v>
      </c>
      <c r="E1265" t="s">
        <v>5031</v>
      </c>
      <c r="F1265" s="3" t="s">
        <v>5032</v>
      </c>
      <c r="G1265" s="10">
        <v>1</v>
      </c>
      <c r="H1265" s="3" t="s">
        <v>19</v>
      </c>
      <c r="I1265" t="s">
        <v>5035</v>
      </c>
      <c r="J1265" s="3" t="s">
        <v>64</v>
      </c>
      <c r="K1265" t="s">
        <v>5858</v>
      </c>
      <c r="L1265" s="3" t="s">
        <v>5859</v>
      </c>
      <c r="M1265" t="s">
        <v>6261</v>
      </c>
      <c r="N1265" s="8">
        <v>0.12095499999999999</v>
      </c>
    </row>
    <row r="1266" spans="1:14" hidden="1" x14ac:dyDescent="0.55000000000000004">
      <c r="A1266" s="3" t="s">
        <v>4815</v>
      </c>
      <c r="B1266" s="3" t="s">
        <v>5019</v>
      </c>
      <c r="C1266" t="s">
        <v>5019</v>
      </c>
      <c r="D1266" s="3" t="s">
        <v>7314</v>
      </c>
      <c r="E1266" t="s">
        <v>5031</v>
      </c>
      <c r="F1266" s="3" t="s">
        <v>5032</v>
      </c>
      <c r="G1266" s="10">
        <v>1</v>
      </c>
      <c r="H1266" s="3" t="s">
        <v>19</v>
      </c>
      <c r="I1266" t="s">
        <v>5035</v>
      </c>
      <c r="J1266" s="3" t="s">
        <v>64</v>
      </c>
      <c r="K1266" t="s">
        <v>5858</v>
      </c>
      <c r="L1266" s="3" t="s">
        <v>5861</v>
      </c>
      <c r="M1266" t="s">
        <v>6260</v>
      </c>
      <c r="N1266" s="8">
        <v>0.12095499999999999</v>
      </c>
    </row>
    <row r="1267" spans="1:14" hidden="1" x14ac:dyDescent="0.55000000000000004">
      <c r="A1267" s="3" t="s">
        <v>4815</v>
      </c>
      <c r="B1267" s="3" t="s">
        <v>5019</v>
      </c>
      <c r="C1267" t="s">
        <v>5019</v>
      </c>
      <c r="D1267" s="3" t="s">
        <v>7314</v>
      </c>
      <c r="E1267" t="s">
        <v>5031</v>
      </c>
      <c r="F1267" s="3" t="s">
        <v>5032</v>
      </c>
      <c r="G1267" s="10">
        <v>1</v>
      </c>
      <c r="H1267" s="3" t="s">
        <v>19</v>
      </c>
      <c r="I1267" t="s">
        <v>5035</v>
      </c>
      <c r="J1267" s="3" t="s">
        <v>64</v>
      </c>
      <c r="K1267" t="s">
        <v>5858</v>
      </c>
      <c r="L1267" s="3" t="s">
        <v>5861</v>
      </c>
      <c r="M1267" t="s">
        <v>6261</v>
      </c>
      <c r="N1267" s="8">
        <v>0.12095499999999999</v>
      </c>
    </row>
    <row r="1268" spans="1:14" hidden="1" x14ac:dyDescent="0.55000000000000004">
      <c r="A1268" s="3" t="s">
        <v>4815</v>
      </c>
      <c r="B1268" s="3" t="s">
        <v>5019</v>
      </c>
      <c r="C1268" t="s">
        <v>5019</v>
      </c>
      <c r="D1268" s="3" t="s">
        <v>7314</v>
      </c>
      <c r="E1268" t="s">
        <v>5031</v>
      </c>
      <c r="F1268" s="3" t="s">
        <v>5032</v>
      </c>
      <c r="G1268" s="10">
        <v>1</v>
      </c>
      <c r="H1268" s="3" t="s">
        <v>19</v>
      </c>
      <c r="I1268" t="s">
        <v>5035</v>
      </c>
      <c r="J1268" s="3" t="s">
        <v>64</v>
      </c>
      <c r="K1268" t="s">
        <v>5858</v>
      </c>
      <c r="L1268" s="3" t="s">
        <v>5862</v>
      </c>
      <c r="M1268" t="s">
        <v>6260</v>
      </c>
      <c r="N1268" s="8">
        <v>0.12095499999999999</v>
      </c>
    </row>
    <row r="1269" spans="1:14" hidden="1" x14ac:dyDescent="0.55000000000000004">
      <c r="A1269" s="3" t="s">
        <v>4815</v>
      </c>
      <c r="B1269" s="3" t="s">
        <v>5019</v>
      </c>
      <c r="C1269" t="s">
        <v>5019</v>
      </c>
      <c r="D1269" s="3" t="s">
        <v>7314</v>
      </c>
      <c r="E1269" t="s">
        <v>5031</v>
      </c>
      <c r="F1269" s="3" t="s">
        <v>5032</v>
      </c>
      <c r="G1269" s="10">
        <v>1</v>
      </c>
      <c r="H1269" s="3" t="s">
        <v>19</v>
      </c>
      <c r="I1269" t="s">
        <v>5035</v>
      </c>
      <c r="J1269" s="3" t="s">
        <v>64</v>
      </c>
      <c r="K1269" t="s">
        <v>5858</v>
      </c>
      <c r="L1269" s="3" t="s">
        <v>5862</v>
      </c>
      <c r="M1269" t="s">
        <v>6261</v>
      </c>
      <c r="N1269" s="8">
        <v>0.12095499999999999</v>
      </c>
    </row>
    <row r="1270" spans="1:14" hidden="1" x14ac:dyDescent="0.55000000000000004">
      <c r="A1270" s="3" t="s">
        <v>4815</v>
      </c>
      <c r="B1270" s="3" t="s">
        <v>5019</v>
      </c>
      <c r="C1270" t="s">
        <v>5019</v>
      </c>
      <c r="D1270" s="3" t="s">
        <v>7314</v>
      </c>
      <c r="E1270" t="s">
        <v>5031</v>
      </c>
      <c r="F1270" s="3" t="s">
        <v>5032</v>
      </c>
      <c r="G1270" s="10">
        <v>1</v>
      </c>
      <c r="H1270" s="3" t="s">
        <v>24</v>
      </c>
      <c r="I1270" t="s">
        <v>5024</v>
      </c>
      <c r="J1270" s="3" t="s">
        <v>76</v>
      </c>
      <c r="K1270" t="s">
        <v>5841</v>
      </c>
      <c r="L1270" s="3" t="s">
        <v>5840</v>
      </c>
      <c r="M1270" t="s">
        <v>6259</v>
      </c>
      <c r="N1270" s="8">
        <v>0.2555</v>
      </c>
    </row>
    <row r="1271" spans="1:14" hidden="1" x14ac:dyDescent="0.55000000000000004">
      <c r="A1271" s="3" t="s">
        <v>4815</v>
      </c>
      <c r="B1271" s="3" t="s">
        <v>5041</v>
      </c>
      <c r="C1271" t="s">
        <v>4971</v>
      </c>
      <c r="D1271" s="3" t="s">
        <v>7314</v>
      </c>
      <c r="E1271" t="s">
        <v>5042</v>
      </c>
      <c r="F1271" s="3" t="s">
        <v>5043</v>
      </c>
      <c r="G1271" s="10">
        <v>1</v>
      </c>
      <c r="H1271" s="3" t="s">
        <v>19</v>
      </c>
      <c r="I1271" t="s">
        <v>5046</v>
      </c>
      <c r="J1271" s="3" t="s">
        <v>1610</v>
      </c>
      <c r="K1271" t="s">
        <v>5985</v>
      </c>
      <c r="L1271" s="3" t="s">
        <v>6188</v>
      </c>
      <c r="M1271" t="s">
        <v>6262</v>
      </c>
      <c r="N1271" s="8">
        <v>5.5856999999999997E-2</v>
      </c>
    </row>
    <row r="1272" spans="1:14" hidden="1" x14ac:dyDescent="0.55000000000000004">
      <c r="A1272" s="3" t="s">
        <v>4815</v>
      </c>
      <c r="B1272" s="3" t="s">
        <v>5041</v>
      </c>
      <c r="C1272" t="s">
        <v>4971</v>
      </c>
      <c r="D1272" s="3" t="s">
        <v>7314</v>
      </c>
      <c r="E1272" t="s">
        <v>5042</v>
      </c>
      <c r="F1272" s="3" t="s">
        <v>5043</v>
      </c>
      <c r="G1272" s="10">
        <v>1</v>
      </c>
      <c r="H1272" s="3" t="s">
        <v>24</v>
      </c>
      <c r="I1272" t="s">
        <v>5049</v>
      </c>
      <c r="J1272" s="3" t="s">
        <v>76</v>
      </c>
      <c r="K1272" t="s">
        <v>5841</v>
      </c>
      <c r="L1272" s="3" t="s">
        <v>5840</v>
      </c>
      <c r="M1272" t="s">
        <v>6249</v>
      </c>
      <c r="N1272" s="8">
        <v>0.192167</v>
      </c>
    </row>
    <row r="1273" spans="1:14" hidden="1" x14ac:dyDescent="0.55000000000000004">
      <c r="A1273" s="3" t="s">
        <v>4815</v>
      </c>
      <c r="B1273" s="3" t="s">
        <v>5041</v>
      </c>
      <c r="C1273" t="s">
        <v>4971</v>
      </c>
      <c r="D1273" s="3" t="s">
        <v>7314</v>
      </c>
      <c r="E1273" t="s">
        <v>5052</v>
      </c>
      <c r="F1273" s="3" t="s">
        <v>5053</v>
      </c>
      <c r="G1273" s="10">
        <v>0</v>
      </c>
      <c r="H1273" s="3" t="s">
        <v>19</v>
      </c>
      <c r="I1273" t="s">
        <v>5046</v>
      </c>
      <c r="J1273" s="3" t="s">
        <v>1610</v>
      </c>
      <c r="K1273" t="s">
        <v>5985</v>
      </c>
      <c r="L1273" s="3" t="s">
        <v>6188</v>
      </c>
      <c r="M1273" t="s">
        <v>6262</v>
      </c>
      <c r="N1273" s="8">
        <v>5.5856999999999997E-2</v>
      </c>
    </row>
    <row r="1274" spans="1:14" hidden="1" x14ac:dyDescent="0.55000000000000004">
      <c r="A1274" s="3" t="s">
        <v>4815</v>
      </c>
      <c r="B1274" s="3" t="s">
        <v>5041</v>
      </c>
      <c r="C1274" t="s">
        <v>4971</v>
      </c>
      <c r="D1274" s="3" t="s">
        <v>7314</v>
      </c>
      <c r="E1274" t="s">
        <v>5052</v>
      </c>
      <c r="F1274" s="3" t="s">
        <v>5053</v>
      </c>
      <c r="G1274" s="10">
        <v>0</v>
      </c>
      <c r="H1274" s="3" t="s">
        <v>24</v>
      </c>
      <c r="I1274" t="s">
        <v>5049</v>
      </c>
      <c r="J1274" s="3" t="s">
        <v>76</v>
      </c>
      <c r="K1274" t="s">
        <v>5841</v>
      </c>
      <c r="L1274" s="3" t="s">
        <v>5840</v>
      </c>
      <c r="M1274" t="s">
        <v>6249</v>
      </c>
      <c r="N1274" s="8">
        <v>0.192167</v>
      </c>
    </row>
    <row r="1275" spans="1:14" hidden="1" x14ac:dyDescent="0.55000000000000004">
      <c r="A1275" s="3" t="s">
        <v>4815</v>
      </c>
      <c r="B1275" s="3" t="s">
        <v>5054</v>
      </c>
      <c r="C1275" t="s">
        <v>4971</v>
      </c>
      <c r="D1275" s="3" t="s">
        <v>7314</v>
      </c>
      <c r="E1275" t="s">
        <v>5055</v>
      </c>
      <c r="F1275" s="3" t="s">
        <v>5056</v>
      </c>
      <c r="G1275" s="10">
        <v>0</v>
      </c>
      <c r="H1275" s="3" t="s">
        <v>19</v>
      </c>
      <c r="I1275" t="s">
        <v>5059</v>
      </c>
      <c r="J1275" s="3" t="s">
        <v>1610</v>
      </c>
      <c r="K1275" t="s">
        <v>5985</v>
      </c>
      <c r="L1275" s="3" t="s">
        <v>6188</v>
      </c>
      <c r="M1275" t="s">
        <v>6263</v>
      </c>
      <c r="N1275" s="8">
        <v>5.6356999999999997E-2</v>
      </c>
    </row>
    <row r="1276" spans="1:14" hidden="1" x14ac:dyDescent="0.55000000000000004">
      <c r="A1276" s="3" t="s">
        <v>4815</v>
      </c>
      <c r="B1276" s="3" t="s">
        <v>5054</v>
      </c>
      <c r="C1276" t="s">
        <v>4971</v>
      </c>
      <c r="D1276" s="3" t="s">
        <v>7314</v>
      </c>
      <c r="E1276" t="s">
        <v>5055</v>
      </c>
      <c r="F1276" s="3" t="s">
        <v>5056</v>
      </c>
      <c r="G1276" s="10">
        <v>0</v>
      </c>
      <c r="H1276" s="3" t="s">
        <v>24</v>
      </c>
      <c r="I1276" t="s">
        <v>5062</v>
      </c>
      <c r="J1276" s="3" t="s">
        <v>76</v>
      </c>
      <c r="K1276" t="s">
        <v>5841</v>
      </c>
      <c r="L1276" s="3" t="s">
        <v>5840</v>
      </c>
      <c r="M1276" t="s">
        <v>6249</v>
      </c>
      <c r="N1276" s="8">
        <v>0.192167</v>
      </c>
    </row>
    <row r="1277" spans="1:14" hidden="1" x14ac:dyDescent="0.55000000000000004">
      <c r="A1277" s="3" t="s">
        <v>4815</v>
      </c>
      <c r="B1277" s="3" t="s">
        <v>5054</v>
      </c>
      <c r="C1277" t="s">
        <v>4971</v>
      </c>
      <c r="D1277" s="3" t="s">
        <v>7314</v>
      </c>
      <c r="E1277" t="s">
        <v>5065</v>
      </c>
      <c r="F1277" s="3" t="s">
        <v>5066</v>
      </c>
      <c r="G1277" s="10">
        <v>0</v>
      </c>
      <c r="H1277" s="3" t="s">
        <v>19</v>
      </c>
      <c r="I1277" t="s">
        <v>5069</v>
      </c>
      <c r="J1277" s="3" t="s">
        <v>1610</v>
      </c>
      <c r="K1277" t="s">
        <v>5985</v>
      </c>
      <c r="L1277" s="3" t="s">
        <v>6188</v>
      </c>
      <c r="M1277" t="s">
        <v>6263</v>
      </c>
      <c r="N1277" s="8">
        <v>5.6356999999999997E-2</v>
      </c>
    </row>
    <row r="1278" spans="1:14" hidden="1" x14ac:dyDescent="0.55000000000000004">
      <c r="A1278" s="3" t="s">
        <v>4815</v>
      </c>
      <c r="B1278" s="3" t="s">
        <v>5054</v>
      </c>
      <c r="C1278" t="s">
        <v>4971</v>
      </c>
      <c r="D1278" s="3" t="s">
        <v>7314</v>
      </c>
      <c r="E1278" t="s">
        <v>5065</v>
      </c>
      <c r="F1278" s="3" t="s">
        <v>5066</v>
      </c>
      <c r="G1278" s="10">
        <v>0</v>
      </c>
      <c r="H1278" s="3" t="s">
        <v>24</v>
      </c>
      <c r="I1278" t="s">
        <v>5062</v>
      </c>
      <c r="J1278" s="3" t="s">
        <v>76</v>
      </c>
      <c r="K1278" t="s">
        <v>5841</v>
      </c>
      <c r="L1278" s="3" t="s">
        <v>5840</v>
      </c>
      <c r="M1278" t="s">
        <v>6249</v>
      </c>
      <c r="N1278" s="8">
        <v>0.192167</v>
      </c>
    </row>
    <row r="1279" spans="1:14" hidden="1" x14ac:dyDescent="0.55000000000000004">
      <c r="A1279" s="3" t="s">
        <v>4815</v>
      </c>
      <c r="B1279" s="3" t="s">
        <v>5054</v>
      </c>
      <c r="C1279" t="s">
        <v>4971</v>
      </c>
      <c r="D1279" s="3" t="s">
        <v>7314</v>
      </c>
      <c r="E1279" t="s">
        <v>5070</v>
      </c>
      <c r="F1279" s="3" t="s">
        <v>5071</v>
      </c>
      <c r="G1279" s="10">
        <v>1</v>
      </c>
      <c r="H1279" s="3" t="s">
        <v>19</v>
      </c>
      <c r="I1279" t="s">
        <v>5074</v>
      </c>
      <c r="J1279" s="3" t="s">
        <v>1610</v>
      </c>
      <c r="K1279" t="s">
        <v>5985</v>
      </c>
      <c r="L1279" s="3" t="s">
        <v>6188</v>
      </c>
      <c r="M1279" t="s">
        <v>6263</v>
      </c>
      <c r="N1279" s="8">
        <v>5.6356999999999997E-2</v>
      </c>
    </row>
    <row r="1280" spans="1:14" hidden="1" x14ac:dyDescent="0.55000000000000004">
      <c r="A1280" s="3" t="s">
        <v>4815</v>
      </c>
      <c r="B1280" s="3" t="s">
        <v>5054</v>
      </c>
      <c r="C1280" t="s">
        <v>4971</v>
      </c>
      <c r="D1280" s="3" t="s">
        <v>7314</v>
      </c>
      <c r="E1280" t="s">
        <v>5070</v>
      </c>
      <c r="F1280" s="3" t="s">
        <v>5071</v>
      </c>
      <c r="G1280" s="10">
        <v>1</v>
      </c>
      <c r="H1280" s="3" t="s">
        <v>24</v>
      </c>
      <c r="I1280" t="s">
        <v>5062</v>
      </c>
      <c r="J1280" s="3" t="s">
        <v>76</v>
      </c>
      <c r="K1280" t="s">
        <v>5841</v>
      </c>
      <c r="L1280" s="3" t="s">
        <v>5840</v>
      </c>
      <c r="M1280" t="s">
        <v>6249</v>
      </c>
      <c r="N1280" s="8">
        <v>0.192167</v>
      </c>
    </row>
    <row r="1281" spans="1:14" hidden="1" x14ac:dyDescent="0.55000000000000004">
      <c r="A1281" s="3" t="s">
        <v>4815</v>
      </c>
      <c r="B1281" s="3" t="s">
        <v>5075</v>
      </c>
      <c r="C1281" t="s">
        <v>5075</v>
      </c>
      <c r="D1281" s="3" t="s">
        <v>7314</v>
      </c>
      <c r="E1281" t="s">
        <v>5076</v>
      </c>
      <c r="F1281" s="3" t="s">
        <v>5077</v>
      </c>
      <c r="G1281" s="10">
        <v>1</v>
      </c>
      <c r="H1281" s="3" t="s">
        <v>19</v>
      </c>
      <c r="I1281" t="s">
        <v>5080</v>
      </c>
      <c r="J1281" s="3" t="s">
        <v>64</v>
      </c>
      <c r="K1281" t="s">
        <v>5858</v>
      </c>
      <c r="L1281" s="3" t="s">
        <v>6245</v>
      </c>
      <c r="M1281" t="s">
        <v>6264</v>
      </c>
      <c r="N1281" s="8">
        <v>6.5659999999999996E-2</v>
      </c>
    </row>
    <row r="1282" spans="1:14" hidden="1" x14ac:dyDescent="0.55000000000000004">
      <c r="A1282" s="3" t="s">
        <v>4815</v>
      </c>
      <c r="B1282" s="3" t="s">
        <v>5075</v>
      </c>
      <c r="C1282" t="s">
        <v>5075</v>
      </c>
      <c r="D1282" s="3" t="s">
        <v>7314</v>
      </c>
      <c r="E1282" t="s">
        <v>5076</v>
      </c>
      <c r="F1282" s="3" t="s">
        <v>5077</v>
      </c>
      <c r="G1282" s="10">
        <v>1</v>
      </c>
      <c r="H1282" s="3" t="s">
        <v>24</v>
      </c>
      <c r="I1282" t="s">
        <v>5087</v>
      </c>
      <c r="J1282" s="3" t="s">
        <v>55</v>
      </c>
      <c r="K1282" t="s">
        <v>23</v>
      </c>
      <c r="L1282" s="3" t="s">
        <v>5839</v>
      </c>
      <c r="M1282" t="s">
        <v>23</v>
      </c>
      <c r="N1282" s="8">
        <v>0.21887100000000001</v>
      </c>
    </row>
    <row r="1283" spans="1:14" hidden="1" x14ac:dyDescent="0.55000000000000004">
      <c r="A1283" s="3" t="s">
        <v>4815</v>
      </c>
      <c r="B1283" s="3" t="s">
        <v>5088</v>
      </c>
      <c r="C1283" t="s">
        <v>4988</v>
      </c>
      <c r="D1283" s="3" t="s">
        <v>7314</v>
      </c>
      <c r="E1283" t="s">
        <v>5089</v>
      </c>
      <c r="F1283" s="3" t="s">
        <v>5090</v>
      </c>
      <c r="G1283" s="10">
        <v>0</v>
      </c>
      <c r="H1283" s="3" t="s">
        <v>24</v>
      </c>
      <c r="I1283" t="s">
        <v>5093</v>
      </c>
      <c r="J1283" s="3" t="s">
        <v>29</v>
      </c>
      <c r="K1283" t="s">
        <v>23</v>
      </c>
      <c r="L1283" s="3" t="s">
        <v>5840</v>
      </c>
      <c r="M1283" t="s">
        <v>23</v>
      </c>
      <c r="N1283" s="8">
        <v>0.25116699999999997</v>
      </c>
    </row>
    <row r="1284" spans="1:14" hidden="1" x14ac:dyDescent="0.55000000000000004">
      <c r="A1284" s="3" t="s">
        <v>4815</v>
      </c>
      <c r="B1284" s="3" t="s">
        <v>5088</v>
      </c>
      <c r="C1284" t="s">
        <v>4988</v>
      </c>
      <c r="D1284" s="3" t="s">
        <v>7314</v>
      </c>
      <c r="E1284" t="s">
        <v>5094</v>
      </c>
      <c r="F1284" s="3" t="s">
        <v>5095</v>
      </c>
      <c r="G1284" s="10">
        <v>0</v>
      </c>
      <c r="H1284" s="3" t="s">
        <v>24</v>
      </c>
      <c r="I1284" t="s">
        <v>5093</v>
      </c>
      <c r="J1284" s="3" t="s">
        <v>29</v>
      </c>
      <c r="K1284" t="s">
        <v>23</v>
      </c>
      <c r="L1284" s="3" t="s">
        <v>5840</v>
      </c>
      <c r="M1284" t="s">
        <v>23</v>
      </c>
      <c r="N1284" s="8">
        <v>0.25116699999999997</v>
      </c>
    </row>
    <row r="1285" spans="1:14" hidden="1" x14ac:dyDescent="0.55000000000000004">
      <c r="A1285" s="3" t="s">
        <v>4815</v>
      </c>
      <c r="B1285" s="3" t="s">
        <v>5088</v>
      </c>
      <c r="C1285" t="s">
        <v>4988</v>
      </c>
      <c r="D1285" s="3" t="s">
        <v>7314</v>
      </c>
      <c r="E1285" t="s">
        <v>5096</v>
      </c>
      <c r="F1285" s="3" t="s">
        <v>5097</v>
      </c>
      <c r="G1285" s="10">
        <v>0</v>
      </c>
      <c r="H1285" s="3" t="s">
        <v>24</v>
      </c>
      <c r="I1285" t="s">
        <v>5093</v>
      </c>
      <c r="J1285" s="3" t="s">
        <v>29</v>
      </c>
      <c r="K1285" t="s">
        <v>23</v>
      </c>
      <c r="L1285" s="3" t="s">
        <v>5840</v>
      </c>
      <c r="M1285" t="s">
        <v>23</v>
      </c>
      <c r="N1285" s="8">
        <v>0.25116699999999997</v>
      </c>
    </row>
    <row r="1286" spans="1:14" hidden="1" x14ac:dyDescent="0.55000000000000004">
      <c r="A1286" s="3" t="s">
        <v>4815</v>
      </c>
      <c r="B1286" s="3" t="s">
        <v>5098</v>
      </c>
      <c r="C1286" t="s">
        <v>4971</v>
      </c>
      <c r="D1286" s="3" t="s">
        <v>7314</v>
      </c>
      <c r="E1286" t="s">
        <v>5099</v>
      </c>
      <c r="F1286" s="3" t="s">
        <v>5100</v>
      </c>
      <c r="G1286" s="10">
        <v>1</v>
      </c>
      <c r="H1286" s="3" t="s">
        <v>19</v>
      </c>
      <c r="I1286" t="s">
        <v>5103</v>
      </c>
      <c r="J1286" s="3" t="s">
        <v>1610</v>
      </c>
      <c r="K1286" t="s">
        <v>5985</v>
      </c>
      <c r="L1286" s="3" t="s">
        <v>6188</v>
      </c>
      <c r="M1286" t="s">
        <v>6262</v>
      </c>
      <c r="N1286" s="8">
        <v>5.5856999999999997E-2</v>
      </c>
    </row>
    <row r="1287" spans="1:14" hidden="1" x14ac:dyDescent="0.55000000000000004">
      <c r="A1287" s="3" t="s">
        <v>4815</v>
      </c>
      <c r="B1287" s="3" t="s">
        <v>5098</v>
      </c>
      <c r="C1287" t="s">
        <v>4971</v>
      </c>
      <c r="D1287" s="3" t="s">
        <v>7314</v>
      </c>
      <c r="E1287" t="s">
        <v>5099</v>
      </c>
      <c r="F1287" s="3" t="s">
        <v>5100</v>
      </c>
      <c r="G1287" s="10">
        <v>1</v>
      </c>
      <c r="H1287" s="3" t="s">
        <v>24</v>
      </c>
      <c r="I1287" t="s">
        <v>5106</v>
      </c>
      <c r="J1287" s="3" t="s">
        <v>76</v>
      </c>
      <c r="K1287" t="s">
        <v>5841</v>
      </c>
      <c r="L1287" s="3" t="s">
        <v>5840</v>
      </c>
      <c r="M1287" t="s">
        <v>6249</v>
      </c>
      <c r="N1287" s="8">
        <v>0.192167</v>
      </c>
    </row>
    <row r="1288" spans="1:14" hidden="1" x14ac:dyDescent="0.55000000000000004">
      <c r="A1288" s="3" t="s">
        <v>4815</v>
      </c>
      <c r="B1288" s="3" t="s">
        <v>5098</v>
      </c>
      <c r="C1288" t="s">
        <v>4971</v>
      </c>
      <c r="D1288" s="3" t="s">
        <v>7314</v>
      </c>
      <c r="E1288" t="s">
        <v>5109</v>
      </c>
      <c r="F1288" s="3" t="s">
        <v>5110</v>
      </c>
      <c r="G1288" s="10">
        <v>0</v>
      </c>
      <c r="H1288" s="3" t="s">
        <v>19</v>
      </c>
      <c r="I1288" t="s">
        <v>5103</v>
      </c>
      <c r="J1288" s="3" t="s">
        <v>1610</v>
      </c>
      <c r="K1288" t="s">
        <v>5985</v>
      </c>
      <c r="L1288" s="3" t="s">
        <v>6188</v>
      </c>
      <c r="M1288" t="s">
        <v>6262</v>
      </c>
      <c r="N1288" s="8">
        <v>5.5856999999999997E-2</v>
      </c>
    </row>
    <row r="1289" spans="1:14" hidden="1" x14ac:dyDescent="0.55000000000000004">
      <c r="A1289" s="3" t="s">
        <v>4815</v>
      </c>
      <c r="B1289" s="3" t="s">
        <v>5098</v>
      </c>
      <c r="C1289" t="s">
        <v>4971</v>
      </c>
      <c r="D1289" s="3" t="s">
        <v>7314</v>
      </c>
      <c r="E1289" t="s">
        <v>5109</v>
      </c>
      <c r="F1289" s="3" t="s">
        <v>5110</v>
      </c>
      <c r="G1289" s="10">
        <v>0</v>
      </c>
      <c r="H1289" s="3" t="s">
        <v>24</v>
      </c>
      <c r="I1289" t="s">
        <v>5106</v>
      </c>
      <c r="J1289" s="3" t="s">
        <v>76</v>
      </c>
      <c r="K1289" t="s">
        <v>5841</v>
      </c>
      <c r="L1289" s="3" t="s">
        <v>5840</v>
      </c>
      <c r="M1289" t="s">
        <v>6249</v>
      </c>
      <c r="N1289" s="8">
        <v>0.192167</v>
      </c>
    </row>
    <row r="1290" spans="1:14" hidden="1" x14ac:dyDescent="0.55000000000000004">
      <c r="A1290" s="3" t="s">
        <v>4815</v>
      </c>
      <c r="B1290" s="3" t="s">
        <v>5111</v>
      </c>
      <c r="C1290" t="s">
        <v>5111</v>
      </c>
      <c r="D1290" s="3" t="s">
        <v>7314</v>
      </c>
      <c r="E1290" t="s">
        <v>5112</v>
      </c>
      <c r="F1290" s="3" t="s">
        <v>5113</v>
      </c>
      <c r="G1290" s="10">
        <v>0</v>
      </c>
      <c r="H1290" s="3" t="s">
        <v>24</v>
      </c>
      <c r="I1290" t="s">
        <v>5116</v>
      </c>
      <c r="J1290" s="3" t="s">
        <v>55</v>
      </c>
      <c r="K1290" t="s">
        <v>23</v>
      </c>
      <c r="L1290" s="3" t="s">
        <v>5839</v>
      </c>
      <c r="M1290" t="s">
        <v>23</v>
      </c>
      <c r="N1290" s="8">
        <v>0.29209299999999999</v>
      </c>
    </row>
    <row r="1291" spans="1:14" hidden="1" x14ac:dyDescent="0.55000000000000004">
      <c r="A1291" s="3" t="s">
        <v>4815</v>
      </c>
      <c r="B1291" s="3" t="s">
        <v>5120</v>
      </c>
      <c r="C1291" t="s">
        <v>5120</v>
      </c>
      <c r="D1291" s="3" t="s">
        <v>7314</v>
      </c>
      <c r="E1291" t="s">
        <v>5121</v>
      </c>
      <c r="F1291" s="3" t="s">
        <v>5122</v>
      </c>
      <c r="G1291" s="10">
        <v>0</v>
      </c>
      <c r="H1291" s="3" t="s">
        <v>24</v>
      </c>
      <c r="I1291" t="s">
        <v>5125</v>
      </c>
      <c r="J1291" s="3" t="s">
        <v>29</v>
      </c>
      <c r="K1291" t="s">
        <v>23</v>
      </c>
      <c r="L1291" s="3" t="s">
        <v>5840</v>
      </c>
      <c r="M1291" t="s">
        <v>23</v>
      </c>
      <c r="N1291" s="8">
        <v>0.25716299999999997</v>
      </c>
    </row>
    <row r="1292" spans="1:14" hidden="1" x14ac:dyDescent="0.55000000000000004">
      <c r="A1292" s="3" t="s">
        <v>4815</v>
      </c>
      <c r="B1292" s="3" t="s">
        <v>5120</v>
      </c>
      <c r="C1292" t="s">
        <v>5120</v>
      </c>
      <c r="D1292" s="3" t="s">
        <v>7314</v>
      </c>
      <c r="E1292" t="s">
        <v>5126</v>
      </c>
      <c r="F1292" s="3" t="s">
        <v>5127</v>
      </c>
      <c r="G1292" s="10">
        <v>1</v>
      </c>
      <c r="H1292" s="3" t="s">
        <v>19</v>
      </c>
      <c r="I1292" t="s">
        <v>5134</v>
      </c>
      <c r="J1292" s="3" t="s">
        <v>5135</v>
      </c>
      <c r="K1292" t="s">
        <v>6265</v>
      </c>
      <c r="L1292" s="3" t="s">
        <v>6266</v>
      </c>
      <c r="M1292" t="s">
        <v>6267</v>
      </c>
      <c r="N1292" s="8">
        <v>3.2910000000000002E-2</v>
      </c>
    </row>
    <row r="1293" spans="1:14" hidden="1" x14ac:dyDescent="0.55000000000000004">
      <c r="A1293" s="3" t="s">
        <v>4815</v>
      </c>
      <c r="B1293" s="3" t="s">
        <v>5120</v>
      </c>
      <c r="C1293" t="s">
        <v>5120</v>
      </c>
      <c r="D1293" s="3" t="s">
        <v>7314</v>
      </c>
      <c r="E1293" t="s">
        <v>5126</v>
      </c>
      <c r="F1293" s="3" t="s">
        <v>5127</v>
      </c>
      <c r="G1293" s="10">
        <v>1</v>
      </c>
      <c r="H1293" s="3" t="s">
        <v>19</v>
      </c>
      <c r="I1293" t="s">
        <v>5134</v>
      </c>
      <c r="J1293" s="3" t="s">
        <v>5135</v>
      </c>
      <c r="K1293" t="s">
        <v>6265</v>
      </c>
      <c r="L1293" s="3" t="s">
        <v>6268</v>
      </c>
      <c r="M1293" t="s">
        <v>6267</v>
      </c>
      <c r="N1293" s="8">
        <v>3.2910000000000002E-2</v>
      </c>
    </row>
    <row r="1294" spans="1:14" hidden="1" x14ac:dyDescent="0.55000000000000004">
      <c r="A1294" s="3" t="s">
        <v>4815</v>
      </c>
      <c r="B1294" s="3" t="s">
        <v>5120</v>
      </c>
      <c r="C1294" t="s">
        <v>5120</v>
      </c>
      <c r="D1294" s="3" t="s">
        <v>7314</v>
      </c>
      <c r="E1294" t="s">
        <v>5126</v>
      </c>
      <c r="F1294" s="3" t="s">
        <v>5127</v>
      </c>
      <c r="G1294" s="10">
        <v>1</v>
      </c>
      <c r="H1294" s="3" t="s">
        <v>24</v>
      </c>
      <c r="I1294" t="s">
        <v>5125</v>
      </c>
      <c r="J1294" s="3" t="s">
        <v>29</v>
      </c>
      <c r="K1294" t="s">
        <v>23</v>
      </c>
      <c r="L1294" s="3" t="s">
        <v>5840</v>
      </c>
      <c r="M1294" t="s">
        <v>23</v>
      </c>
      <c r="N1294" s="8">
        <v>0.25716299999999997</v>
      </c>
    </row>
    <row r="1295" spans="1:14" hidden="1" x14ac:dyDescent="0.55000000000000004">
      <c r="A1295" s="3" t="s">
        <v>4815</v>
      </c>
      <c r="B1295" s="3" t="s">
        <v>4988</v>
      </c>
      <c r="C1295" t="s">
        <v>4988</v>
      </c>
      <c r="D1295" s="3" t="s">
        <v>7314</v>
      </c>
      <c r="E1295" t="s">
        <v>5140</v>
      </c>
      <c r="F1295" s="3" t="s">
        <v>5141</v>
      </c>
      <c r="G1295" s="10">
        <v>0</v>
      </c>
      <c r="H1295" s="3" t="s">
        <v>24</v>
      </c>
      <c r="I1295" t="s">
        <v>5000</v>
      </c>
      <c r="J1295" s="3" t="s">
        <v>76</v>
      </c>
      <c r="K1295" t="s">
        <v>5841</v>
      </c>
      <c r="L1295" s="3" t="s">
        <v>5840</v>
      </c>
      <c r="M1295" t="s">
        <v>6269</v>
      </c>
      <c r="N1295" s="8">
        <v>0.25116699999999997</v>
      </c>
    </row>
    <row r="1296" spans="1:14" hidden="1" x14ac:dyDescent="0.55000000000000004">
      <c r="A1296" s="3" t="s">
        <v>4815</v>
      </c>
      <c r="B1296" s="3" t="s">
        <v>4988</v>
      </c>
      <c r="C1296" t="s">
        <v>4988</v>
      </c>
      <c r="D1296" s="3" t="s">
        <v>7314</v>
      </c>
      <c r="E1296" t="s">
        <v>5140</v>
      </c>
      <c r="F1296" s="3" t="s">
        <v>5141</v>
      </c>
      <c r="G1296" s="10">
        <v>0</v>
      </c>
      <c r="H1296" s="3" t="s">
        <v>24</v>
      </c>
      <c r="I1296" t="s">
        <v>5000</v>
      </c>
      <c r="J1296" s="3" t="s">
        <v>76</v>
      </c>
      <c r="K1296" t="s">
        <v>5841</v>
      </c>
      <c r="L1296" s="3" t="s">
        <v>5840</v>
      </c>
      <c r="M1296" t="s">
        <v>6270</v>
      </c>
      <c r="N1296" s="8">
        <v>0.25116699999999997</v>
      </c>
    </row>
    <row r="1297" spans="1:14" hidden="1" x14ac:dyDescent="0.55000000000000004">
      <c r="A1297" s="3" t="s">
        <v>4815</v>
      </c>
      <c r="B1297" s="3" t="s">
        <v>5144</v>
      </c>
      <c r="C1297" t="s">
        <v>4971</v>
      </c>
      <c r="D1297" s="3" t="s">
        <v>7314</v>
      </c>
      <c r="E1297" t="s">
        <v>5145</v>
      </c>
      <c r="F1297" s="3" t="s">
        <v>5146</v>
      </c>
      <c r="G1297" s="10">
        <v>1</v>
      </c>
      <c r="H1297" s="3" t="s">
        <v>19</v>
      </c>
      <c r="I1297" t="s">
        <v>5149</v>
      </c>
      <c r="J1297" s="3" t="s">
        <v>1610</v>
      </c>
      <c r="K1297" t="s">
        <v>5985</v>
      </c>
      <c r="L1297" s="3" t="s">
        <v>6188</v>
      </c>
      <c r="M1297" t="s">
        <v>6271</v>
      </c>
      <c r="N1297" s="8">
        <v>5.5856999999999997E-2</v>
      </c>
    </row>
    <row r="1298" spans="1:14" hidden="1" x14ac:dyDescent="0.55000000000000004">
      <c r="A1298" s="3" t="s">
        <v>4815</v>
      </c>
      <c r="B1298" s="3" t="s">
        <v>5144</v>
      </c>
      <c r="C1298" t="s">
        <v>4971</v>
      </c>
      <c r="D1298" s="3" t="s">
        <v>7314</v>
      </c>
      <c r="E1298" t="s">
        <v>5145</v>
      </c>
      <c r="F1298" s="3" t="s">
        <v>5146</v>
      </c>
      <c r="G1298" s="10">
        <v>1</v>
      </c>
      <c r="H1298" s="3" t="s">
        <v>24</v>
      </c>
      <c r="I1298" t="s">
        <v>5152</v>
      </c>
      <c r="J1298" s="3" t="s">
        <v>76</v>
      </c>
      <c r="K1298" t="s">
        <v>5841</v>
      </c>
      <c r="L1298" s="3" t="s">
        <v>5877</v>
      </c>
      <c r="M1298" t="s">
        <v>6258</v>
      </c>
      <c r="N1298" s="8">
        <v>0.23283300000000001</v>
      </c>
    </row>
    <row r="1299" spans="1:14" hidden="1" x14ac:dyDescent="0.55000000000000004">
      <c r="A1299" s="3" t="s">
        <v>4815</v>
      </c>
      <c r="B1299" s="3" t="s">
        <v>5144</v>
      </c>
      <c r="C1299" t="s">
        <v>4971</v>
      </c>
      <c r="D1299" s="3" t="s">
        <v>7314</v>
      </c>
      <c r="E1299" t="s">
        <v>5145</v>
      </c>
      <c r="F1299" s="3" t="s">
        <v>5146</v>
      </c>
      <c r="G1299" s="10">
        <v>1</v>
      </c>
      <c r="H1299" s="3" t="s">
        <v>24</v>
      </c>
      <c r="I1299" t="s">
        <v>5152</v>
      </c>
      <c r="J1299" s="3" t="s">
        <v>76</v>
      </c>
      <c r="K1299" t="s">
        <v>5841</v>
      </c>
      <c r="L1299" s="3" t="s">
        <v>5878</v>
      </c>
      <c r="M1299" t="s">
        <v>6258</v>
      </c>
      <c r="N1299" s="8">
        <v>0.23283300000000001</v>
      </c>
    </row>
    <row r="1300" spans="1:14" hidden="1" x14ac:dyDescent="0.55000000000000004">
      <c r="A1300" s="3" t="s">
        <v>4815</v>
      </c>
      <c r="B1300" s="3" t="s">
        <v>5155</v>
      </c>
      <c r="C1300" t="s">
        <v>5155</v>
      </c>
      <c r="D1300" s="3" t="s">
        <v>7314</v>
      </c>
      <c r="E1300" t="s">
        <v>5156</v>
      </c>
      <c r="F1300" s="3" t="s">
        <v>5157</v>
      </c>
      <c r="G1300" s="10">
        <v>0</v>
      </c>
      <c r="H1300" s="3" t="s">
        <v>24</v>
      </c>
      <c r="I1300" t="s">
        <v>5160</v>
      </c>
      <c r="J1300" s="3" t="s">
        <v>29</v>
      </c>
      <c r="K1300" t="s">
        <v>23</v>
      </c>
      <c r="L1300" s="3" t="s">
        <v>5840</v>
      </c>
      <c r="M1300" t="s">
        <v>23</v>
      </c>
      <c r="N1300" s="8">
        <v>0.25383299999999998</v>
      </c>
    </row>
    <row r="1301" spans="1:14" hidden="1" x14ac:dyDescent="0.55000000000000004">
      <c r="A1301" s="3" t="s">
        <v>4815</v>
      </c>
      <c r="B1301" s="3" t="s">
        <v>4817</v>
      </c>
      <c r="C1301" t="s">
        <v>4817</v>
      </c>
      <c r="D1301" s="3" t="s">
        <v>7314</v>
      </c>
      <c r="E1301" t="s">
        <v>5161</v>
      </c>
      <c r="F1301" s="3" t="s">
        <v>5162</v>
      </c>
      <c r="G1301" s="10">
        <v>1</v>
      </c>
      <c r="H1301" s="3" t="s">
        <v>19</v>
      </c>
      <c r="I1301" t="s">
        <v>5165</v>
      </c>
      <c r="J1301" s="3" t="s">
        <v>4824</v>
      </c>
      <c r="K1301" t="s">
        <v>6242</v>
      </c>
      <c r="L1301" s="3" t="s">
        <v>6243</v>
      </c>
      <c r="M1301" t="s">
        <v>6272</v>
      </c>
      <c r="N1301" s="8">
        <v>3.4113999999999998E-2</v>
      </c>
    </row>
    <row r="1302" spans="1:14" hidden="1" x14ac:dyDescent="0.55000000000000004">
      <c r="A1302" s="3" t="s">
        <v>4815</v>
      </c>
      <c r="B1302" s="3" t="s">
        <v>4817</v>
      </c>
      <c r="C1302" t="s">
        <v>4817</v>
      </c>
      <c r="D1302" s="3" t="s">
        <v>7314</v>
      </c>
      <c r="E1302" t="s">
        <v>5161</v>
      </c>
      <c r="F1302" s="3" t="s">
        <v>5162</v>
      </c>
      <c r="G1302" s="10">
        <v>1</v>
      </c>
      <c r="H1302" s="3" t="s">
        <v>24</v>
      </c>
      <c r="I1302" t="s">
        <v>5168</v>
      </c>
      <c r="J1302" s="3" t="s">
        <v>76</v>
      </c>
      <c r="K1302" t="s">
        <v>5841</v>
      </c>
      <c r="L1302" s="3" t="s">
        <v>5840</v>
      </c>
      <c r="M1302" t="s">
        <v>6251</v>
      </c>
      <c r="N1302" s="8">
        <v>0.23799999999999999</v>
      </c>
    </row>
    <row r="1303" spans="1:14" hidden="1" x14ac:dyDescent="0.55000000000000004">
      <c r="A1303" s="3" t="s">
        <v>4815</v>
      </c>
      <c r="B1303" s="3" t="s">
        <v>4817</v>
      </c>
      <c r="C1303" t="s">
        <v>4817</v>
      </c>
      <c r="D1303" s="3" t="s">
        <v>7314</v>
      </c>
      <c r="E1303" t="s">
        <v>5171</v>
      </c>
      <c r="F1303" s="3" t="s">
        <v>5172</v>
      </c>
      <c r="G1303" s="10">
        <v>0</v>
      </c>
      <c r="H1303" s="3" t="s">
        <v>19</v>
      </c>
      <c r="I1303" t="s">
        <v>5165</v>
      </c>
      <c r="J1303" s="3" t="s">
        <v>4824</v>
      </c>
      <c r="K1303" t="s">
        <v>6242</v>
      </c>
      <c r="L1303" s="3" t="s">
        <v>6243</v>
      </c>
      <c r="M1303" t="s">
        <v>6272</v>
      </c>
      <c r="N1303" s="8">
        <v>3.4113999999999998E-2</v>
      </c>
    </row>
    <row r="1304" spans="1:14" hidden="1" x14ac:dyDescent="0.55000000000000004">
      <c r="A1304" s="3" t="s">
        <v>4815</v>
      </c>
      <c r="B1304" s="3" t="s">
        <v>4817</v>
      </c>
      <c r="C1304" t="s">
        <v>4817</v>
      </c>
      <c r="D1304" s="3" t="s">
        <v>7314</v>
      </c>
      <c r="E1304" t="s">
        <v>5171</v>
      </c>
      <c r="F1304" s="3" t="s">
        <v>5172</v>
      </c>
      <c r="G1304" s="10">
        <v>0</v>
      </c>
      <c r="H1304" s="3" t="s">
        <v>24</v>
      </c>
      <c r="I1304" t="s">
        <v>5168</v>
      </c>
      <c r="J1304" s="3" t="s">
        <v>76</v>
      </c>
      <c r="K1304" t="s">
        <v>5841</v>
      </c>
      <c r="L1304" s="3" t="s">
        <v>5840</v>
      </c>
      <c r="M1304" t="s">
        <v>6251</v>
      </c>
      <c r="N1304" s="8">
        <v>0.23799999999999999</v>
      </c>
    </row>
    <row r="1305" spans="1:14" hidden="1" x14ac:dyDescent="0.55000000000000004">
      <c r="A1305" s="3" t="s">
        <v>4815</v>
      </c>
      <c r="B1305" s="3" t="s">
        <v>5173</v>
      </c>
      <c r="C1305" t="s">
        <v>4971</v>
      </c>
      <c r="D1305" s="3" t="s">
        <v>7314</v>
      </c>
      <c r="E1305" t="s">
        <v>5174</v>
      </c>
      <c r="F1305" s="3" t="s">
        <v>5175</v>
      </c>
      <c r="G1305" s="10">
        <v>1</v>
      </c>
      <c r="H1305" s="3" t="s">
        <v>19</v>
      </c>
      <c r="I1305" t="s">
        <v>5178</v>
      </c>
      <c r="J1305" s="3" t="s">
        <v>1610</v>
      </c>
      <c r="K1305" t="s">
        <v>5985</v>
      </c>
      <c r="L1305" s="3" t="s">
        <v>6188</v>
      </c>
      <c r="M1305" t="s">
        <v>6273</v>
      </c>
      <c r="N1305" s="8">
        <v>6.4333000000000001E-2</v>
      </c>
    </row>
    <row r="1306" spans="1:14" hidden="1" x14ac:dyDescent="0.55000000000000004">
      <c r="A1306" s="3" t="s">
        <v>4815</v>
      </c>
      <c r="B1306" s="3" t="s">
        <v>5173</v>
      </c>
      <c r="C1306" t="s">
        <v>4971</v>
      </c>
      <c r="D1306" s="3" t="s">
        <v>7314</v>
      </c>
      <c r="E1306" t="s">
        <v>5174</v>
      </c>
      <c r="F1306" s="3" t="s">
        <v>5175</v>
      </c>
      <c r="G1306" s="10">
        <v>1</v>
      </c>
      <c r="H1306" s="3" t="s">
        <v>24</v>
      </c>
      <c r="I1306" t="s">
        <v>5181</v>
      </c>
      <c r="J1306" s="3" t="s">
        <v>76</v>
      </c>
      <c r="K1306" t="s">
        <v>5841</v>
      </c>
      <c r="L1306" s="3" t="s">
        <v>5877</v>
      </c>
      <c r="M1306" t="s">
        <v>6258</v>
      </c>
      <c r="N1306" s="8">
        <v>0.23283300000000001</v>
      </c>
    </row>
    <row r="1307" spans="1:14" hidden="1" x14ac:dyDescent="0.55000000000000004">
      <c r="A1307" s="3" t="s">
        <v>4815</v>
      </c>
      <c r="B1307" s="3" t="s">
        <v>5173</v>
      </c>
      <c r="C1307" t="s">
        <v>4971</v>
      </c>
      <c r="D1307" s="3" t="s">
        <v>7314</v>
      </c>
      <c r="E1307" t="s">
        <v>5174</v>
      </c>
      <c r="F1307" s="3" t="s">
        <v>5175</v>
      </c>
      <c r="G1307" s="10">
        <v>1</v>
      </c>
      <c r="H1307" s="3" t="s">
        <v>24</v>
      </c>
      <c r="I1307" t="s">
        <v>5181</v>
      </c>
      <c r="J1307" s="3" t="s">
        <v>76</v>
      </c>
      <c r="K1307" t="s">
        <v>5841</v>
      </c>
      <c r="L1307" s="3" t="s">
        <v>5878</v>
      </c>
      <c r="M1307" t="s">
        <v>6258</v>
      </c>
      <c r="N1307" s="8">
        <v>0.23283300000000001</v>
      </c>
    </row>
    <row r="1308" spans="1:14" hidden="1" x14ac:dyDescent="0.55000000000000004">
      <c r="A1308" s="3" t="s">
        <v>4815</v>
      </c>
      <c r="B1308" s="3" t="s">
        <v>5184</v>
      </c>
      <c r="C1308" t="s">
        <v>5184</v>
      </c>
      <c r="D1308" s="3" t="s">
        <v>7314</v>
      </c>
      <c r="E1308" t="s">
        <v>5185</v>
      </c>
      <c r="F1308" s="3" t="s">
        <v>5186</v>
      </c>
      <c r="G1308" s="10">
        <v>0</v>
      </c>
      <c r="H1308" s="3" t="s">
        <v>24</v>
      </c>
      <c r="I1308" t="s">
        <v>5189</v>
      </c>
      <c r="J1308" s="3" t="s">
        <v>29</v>
      </c>
      <c r="K1308" t="s">
        <v>23</v>
      </c>
      <c r="L1308" s="3" t="s">
        <v>5840</v>
      </c>
      <c r="M1308" t="s">
        <v>23</v>
      </c>
      <c r="N1308" s="8">
        <v>0.21784400000000001</v>
      </c>
    </row>
    <row r="1309" spans="1:14" hidden="1" x14ac:dyDescent="0.55000000000000004">
      <c r="A1309" s="3" t="s">
        <v>4815</v>
      </c>
      <c r="B1309" s="3" t="s">
        <v>5190</v>
      </c>
      <c r="C1309" t="s">
        <v>4988</v>
      </c>
      <c r="D1309" s="3" t="s">
        <v>7314</v>
      </c>
      <c r="E1309" t="s">
        <v>5191</v>
      </c>
      <c r="F1309" s="3" t="s">
        <v>5192</v>
      </c>
      <c r="G1309" s="10">
        <v>0</v>
      </c>
      <c r="H1309" s="3" t="s">
        <v>19</v>
      </c>
      <c r="I1309" t="s">
        <v>5195</v>
      </c>
      <c r="J1309" s="3" t="s">
        <v>5196</v>
      </c>
      <c r="K1309" t="s">
        <v>6274</v>
      </c>
      <c r="L1309" s="3" t="s">
        <v>5867</v>
      </c>
      <c r="M1309" t="s">
        <v>6275</v>
      </c>
      <c r="N1309" s="8">
        <v>2.0986000000000001E-2</v>
      </c>
    </row>
    <row r="1310" spans="1:14" hidden="1" x14ac:dyDescent="0.55000000000000004">
      <c r="A1310" s="3" t="s">
        <v>4815</v>
      </c>
      <c r="B1310" s="3" t="s">
        <v>5190</v>
      </c>
      <c r="C1310" t="s">
        <v>4988</v>
      </c>
      <c r="D1310" s="3" t="s">
        <v>7314</v>
      </c>
      <c r="E1310" t="s">
        <v>5191</v>
      </c>
      <c r="F1310" s="3" t="s">
        <v>5192</v>
      </c>
      <c r="G1310" s="10">
        <v>0</v>
      </c>
      <c r="H1310" s="3" t="s">
        <v>24</v>
      </c>
      <c r="I1310" t="s">
        <v>5000</v>
      </c>
      <c r="J1310" s="3" t="s">
        <v>76</v>
      </c>
      <c r="K1310" t="s">
        <v>5841</v>
      </c>
      <c r="L1310" s="3" t="s">
        <v>5840</v>
      </c>
      <c r="M1310" t="s">
        <v>6269</v>
      </c>
      <c r="N1310" s="8">
        <v>0.25116699999999997</v>
      </c>
    </row>
    <row r="1311" spans="1:14" hidden="1" x14ac:dyDescent="0.55000000000000004">
      <c r="A1311" s="3" t="s">
        <v>4815</v>
      </c>
      <c r="B1311" s="3" t="s">
        <v>5190</v>
      </c>
      <c r="C1311" t="s">
        <v>4988</v>
      </c>
      <c r="D1311" s="3" t="s">
        <v>7314</v>
      </c>
      <c r="E1311" t="s">
        <v>5191</v>
      </c>
      <c r="F1311" s="3" t="s">
        <v>5192</v>
      </c>
      <c r="G1311" s="10">
        <v>0</v>
      </c>
      <c r="H1311" s="3" t="s">
        <v>24</v>
      </c>
      <c r="I1311" t="s">
        <v>5000</v>
      </c>
      <c r="J1311" s="3" t="s">
        <v>76</v>
      </c>
      <c r="K1311" t="s">
        <v>5841</v>
      </c>
      <c r="L1311" s="3" t="s">
        <v>5840</v>
      </c>
      <c r="M1311" t="s">
        <v>6270</v>
      </c>
      <c r="N1311" s="8">
        <v>0.25116699999999997</v>
      </c>
    </row>
    <row r="1312" spans="1:14" hidden="1" x14ac:dyDescent="0.55000000000000004">
      <c r="A1312" s="3" t="s">
        <v>4815</v>
      </c>
      <c r="B1312" s="3" t="s">
        <v>5190</v>
      </c>
      <c r="C1312" t="s">
        <v>4988</v>
      </c>
      <c r="D1312" s="3" t="s">
        <v>7314</v>
      </c>
      <c r="E1312" t="s">
        <v>5197</v>
      </c>
      <c r="F1312" s="3" t="s">
        <v>5198</v>
      </c>
      <c r="G1312" s="10">
        <v>1</v>
      </c>
      <c r="H1312" s="3" t="s">
        <v>19</v>
      </c>
      <c r="I1312" t="s">
        <v>5201</v>
      </c>
      <c r="J1312" s="3" t="s">
        <v>1610</v>
      </c>
      <c r="K1312" t="s">
        <v>5985</v>
      </c>
      <c r="L1312" s="3" t="s">
        <v>6188</v>
      </c>
      <c r="M1312" t="s">
        <v>6276</v>
      </c>
      <c r="N1312" s="8">
        <v>2.2214000000000001E-2</v>
      </c>
    </row>
    <row r="1313" spans="1:14" hidden="1" x14ac:dyDescent="0.55000000000000004">
      <c r="A1313" s="3" t="s">
        <v>4815</v>
      </c>
      <c r="B1313" s="3" t="s">
        <v>5190</v>
      </c>
      <c r="C1313" t="s">
        <v>4988</v>
      </c>
      <c r="D1313" s="3" t="s">
        <v>7314</v>
      </c>
      <c r="E1313" t="s">
        <v>5197</v>
      </c>
      <c r="F1313" s="3" t="s">
        <v>5198</v>
      </c>
      <c r="G1313" s="10">
        <v>1</v>
      </c>
      <c r="H1313" s="3" t="s">
        <v>24</v>
      </c>
      <c r="I1313" t="s">
        <v>5000</v>
      </c>
      <c r="J1313" s="3" t="s">
        <v>76</v>
      </c>
      <c r="K1313" t="s">
        <v>5841</v>
      </c>
      <c r="L1313" s="3" t="s">
        <v>5840</v>
      </c>
      <c r="M1313" t="s">
        <v>6269</v>
      </c>
      <c r="N1313" s="8">
        <v>0.25116699999999997</v>
      </c>
    </row>
    <row r="1314" spans="1:14" hidden="1" x14ac:dyDescent="0.55000000000000004">
      <c r="A1314" s="3" t="s">
        <v>4815</v>
      </c>
      <c r="B1314" s="3" t="s">
        <v>5190</v>
      </c>
      <c r="C1314" t="s">
        <v>4988</v>
      </c>
      <c r="D1314" s="3" t="s">
        <v>7314</v>
      </c>
      <c r="E1314" t="s">
        <v>5197</v>
      </c>
      <c r="F1314" s="3" t="s">
        <v>5198</v>
      </c>
      <c r="G1314" s="10">
        <v>1</v>
      </c>
      <c r="H1314" s="3" t="s">
        <v>24</v>
      </c>
      <c r="I1314" t="s">
        <v>5000</v>
      </c>
      <c r="J1314" s="3" t="s">
        <v>76</v>
      </c>
      <c r="K1314" t="s">
        <v>5841</v>
      </c>
      <c r="L1314" s="3" t="s">
        <v>5840</v>
      </c>
      <c r="M1314" t="s">
        <v>6270</v>
      </c>
      <c r="N1314" s="8">
        <v>0.25116699999999997</v>
      </c>
    </row>
    <row r="1315" spans="1:14" hidden="1" x14ac:dyDescent="0.55000000000000004">
      <c r="A1315" s="3" t="s">
        <v>4815</v>
      </c>
      <c r="B1315" s="3" t="s">
        <v>5190</v>
      </c>
      <c r="C1315" t="s">
        <v>4988</v>
      </c>
      <c r="D1315" s="3" t="s">
        <v>7314</v>
      </c>
      <c r="E1315" t="s">
        <v>5202</v>
      </c>
      <c r="F1315" s="3" t="s">
        <v>5203</v>
      </c>
      <c r="G1315" s="10">
        <v>0</v>
      </c>
      <c r="H1315" s="3" t="s">
        <v>24</v>
      </c>
      <c r="I1315" t="s">
        <v>5000</v>
      </c>
      <c r="J1315" s="3" t="s">
        <v>76</v>
      </c>
      <c r="K1315" t="s">
        <v>5841</v>
      </c>
      <c r="L1315" s="3" t="s">
        <v>5840</v>
      </c>
      <c r="M1315" t="s">
        <v>6269</v>
      </c>
      <c r="N1315" s="8">
        <v>0.25116699999999997</v>
      </c>
    </row>
    <row r="1316" spans="1:14" hidden="1" x14ac:dyDescent="0.55000000000000004">
      <c r="A1316" s="3" t="s">
        <v>4815</v>
      </c>
      <c r="B1316" s="3" t="s">
        <v>5190</v>
      </c>
      <c r="C1316" t="s">
        <v>4988</v>
      </c>
      <c r="D1316" s="3" t="s">
        <v>7314</v>
      </c>
      <c r="E1316" t="s">
        <v>5202</v>
      </c>
      <c r="F1316" s="3" t="s">
        <v>5203</v>
      </c>
      <c r="G1316" s="10">
        <v>0</v>
      </c>
      <c r="H1316" s="3" t="s">
        <v>24</v>
      </c>
      <c r="I1316" t="s">
        <v>5000</v>
      </c>
      <c r="J1316" s="3" t="s">
        <v>76</v>
      </c>
      <c r="K1316" t="s">
        <v>5841</v>
      </c>
      <c r="L1316" s="3" t="s">
        <v>5840</v>
      </c>
      <c r="M1316" t="s">
        <v>6270</v>
      </c>
      <c r="N1316" s="8">
        <v>0.25116699999999997</v>
      </c>
    </row>
    <row r="1317" spans="1:14" hidden="1" x14ac:dyDescent="0.55000000000000004">
      <c r="A1317" s="3" t="s">
        <v>4815</v>
      </c>
      <c r="B1317" s="3" t="s">
        <v>5190</v>
      </c>
      <c r="C1317" t="s">
        <v>4988</v>
      </c>
      <c r="D1317" s="3" t="s">
        <v>7314</v>
      </c>
      <c r="E1317" t="s">
        <v>5204</v>
      </c>
      <c r="F1317" s="3" t="s">
        <v>5205</v>
      </c>
      <c r="G1317" s="10">
        <v>0</v>
      </c>
      <c r="H1317" s="3" t="s">
        <v>19</v>
      </c>
      <c r="I1317" t="s">
        <v>5208</v>
      </c>
      <c r="J1317" s="3" t="s">
        <v>5196</v>
      </c>
      <c r="K1317" t="s">
        <v>6274</v>
      </c>
      <c r="L1317" s="3" t="s">
        <v>5867</v>
      </c>
      <c r="M1317" t="s">
        <v>6277</v>
      </c>
      <c r="N1317" s="8">
        <v>2.0986000000000001E-2</v>
      </c>
    </row>
    <row r="1318" spans="1:14" hidden="1" x14ac:dyDescent="0.55000000000000004">
      <c r="A1318" s="3" t="s">
        <v>4815</v>
      </c>
      <c r="B1318" s="3" t="s">
        <v>5190</v>
      </c>
      <c r="C1318" t="s">
        <v>4988</v>
      </c>
      <c r="D1318" s="3" t="s">
        <v>7314</v>
      </c>
      <c r="E1318" t="s">
        <v>5204</v>
      </c>
      <c r="F1318" s="3" t="s">
        <v>5205</v>
      </c>
      <c r="G1318" s="10">
        <v>0</v>
      </c>
      <c r="H1318" s="3" t="s">
        <v>24</v>
      </c>
      <c r="I1318" t="s">
        <v>5000</v>
      </c>
      <c r="J1318" s="3" t="s">
        <v>76</v>
      </c>
      <c r="K1318" t="s">
        <v>5841</v>
      </c>
      <c r="L1318" s="3" t="s">
        <v>5840</v>
      </c>
      <c r="M1318" t="s">
        <v>6269</v>
      </c>
      <c r="N1318" s="8">
        <v>0.25116699999999997</v>
      </c>
    </row>
    <row r="1319" spans="1:14" hidden="1" x14ac:dyDescent="0.55000000000000004">
      <c r="A1319" s="3" t="s">
        <v>4815</v>
      </c>
      <c r="B1319" s="3" t="s">
        <v>5190</v>
      </c>
      <c r="C1319" t="s">
        <v>4988</v>
      </c>
      <c r="D1319" s="3" t="s">
        <v>7314</v>
      </c>
      <c r="E1319" t="s">
        <v>5204</v>
      </c>
      <c r="F1319" s="3" t="s">
        <v>5205</v>
      </c>
      <c r="G1319" s="10">
        <v>0</v>
      </c>
      <c r="H1319" s="3" t="s">
        <v>24</v>
      </c>
      <c r="I1319" t="s">
        <v>5000</v>
      </c>
      <c r="J1319" s="3" t="s">
        <v>76</v>
      </c>
      <c r="K1319" t="s">
        <v>5841</v>
      </c>
      <c r="L1319" s="3" t="s">
        <v>5840</v>
      </c>
      <c r="M1319" t="s">
        <v>6270</v>
      </c>
      <c r="N1319" s="8">
        <v>0.25116699999999997</v>
      </c>
    </row>
    <row r="1320" spans="1:14" hidden="1" x14ac:dyDescent="0.55000000000000004">
      <c r="A1320" s="3" t="s">
        <v>4815</v>
      </c>
      <c r="B1320" s="3" t="s">
        <v>5209</v>
      </c>
      <c r="C1320" t="s">
        <v>7391</v>
      </c>
      <c r="D1320" s="3" t="s">
        <v>7314</v>
      </c>
      <c r="E1320" t="s">
        <v>5210</v>
      </c>
      <c r="F1320" s="3" t="s">
        <v>5211</v>
      </c>
      <c r="G1320" s="10">
        <v>1</v>
      </c>
      <c r="H1320" s="3" t="s">
        <v>19</v>
      </c>
      <c r="I1320" t="s">
        <v>5214</v>
      </c>
      <c r="J1320" s="3" t="s">
        <v>64</v>
      </c>
      <c r="K1320" t="s">
        <v>5858</v>
      </c>
      <c r="L1320" s="3" t="s">
        <v>6245</v>
      </c>
      <c r="M1320" t="s">
        <v>6278</v>
      </c>
      <c r="N1320" s="8">
        <v>0.119648</v>
      </c>
    </row>
    <row r="1321" spans="1:14" hidden="1" x14ac:dyDescent="0.55000000000000004">
      <c r="A1321" s="3" t="s">
        <v>4815</v>
      </c>
      <c r="B1321" s="3" t="s">
        <v>5209</v>
      </c>
      <c r="C1321" t="s">
        <v>7391</v>
      </c>
      <c r="D1321" s="3" t="s">
        <v>7314</v>
      </c>
      <c r="E1321" t="s">
        <v>5210</v>
      </c>
      <c r="F1321" s="3" t="s">
        <v>5211</v>
      </c>
      <c r="G1321" s="10">
        <v>1</v>
      </c>
      <c r="H1321" s="3" t="s">
        <v>24</v>
      </c>
      <c r="I1321" t="s">
        <v>5218</v>
      </c>
      <c r="J1321" s="3" t="s">
        <v>76</v>
      </c>
      <c r="K1321" t="s">
        <v>5841</v>
      </c>
      <c r="L1321" s="3" t="s">
        <v>5840</v>
      </c>
      <c r="M1321" t="s">
        <v>6279</v>
      </c>
      <c r="N1321" s="8">
        <v>0.2455</v>
      </c>
    </row>
    <row r="1322" spans="1:14" hidden="1" x14ac:dyDescent="0.55000000000000004">
      <c r="A1322" s="3" t="s">
        <v>4815</v>
      </c>
      <c r="B1322" s="3" t="s">
        <v>5221</v>
      </c>
      <c r="C1322" t="s">
        <v>4988</v>
      </c>
      <c r="D1322" s="3" t="s">
        <v>7314</v>
      </c>
      <c r="E1322" t="s">
        <v>5222</v>
      </c>
      <c r="F1322" s="3" t="s">
        <v>5223</v>
      </c>
      <c r="G1322" s="10">
        <v>0</v>
      </c>
      <c r="H1322" s="3" t="s">
        <v>19</v>
      </c>
      <c r="I1322" t="s">
        <v>23</v>
      </c>
      <c r="J1322" s="3" t="s">
        <v>23</v>
      </c>
      <c r="K1322" t="s">
        <v>23</v>
      </c>
      <c r="L1322" s="3" t="s">
        <v>23</v>
      </c>
      <c r="M1322" t="s">
        <v>23</v>
      </c>
      <c r="N1322" s="8" t="s">
        <v>23</v>
      </c>
    </row>
    <row r="1323" spans="1:14" hidden="1" x14ac:dyDescent="0.55000000000000004">
      <c r="A1323" s="3" t="s">
        <v>4815</v>
      </c>
      <c r="B1323" s="3" t="s">
        <v>5221</v>
      </c>
      <c r="C1323" t="s">
        <v>4988</v>
      </c>
      <c r="D1323" s="3" t="s">
        <v>7314</v>
      </c>
      <c r="E1323" t="s">
        <v>5222</v>
      </c>
      <c r="F1323" s="3" t="s">
        <v>5223</v>
      </c>
      <c r="G1323" s="10">
        <v>0</v>
      </c>
      <c r="H1323" s="3" t="s">
        <v>24</v>
      </c>
      <c r="I1323" t="s">
        <v>5228</v>
      </c>
      <c r="J1323" s="3" t="s">
        <v>29</v>
      </c>
      <c r="K1323" t="s">
        <v>23</v>
      </c>
      <c r="L1323" s="3" t="s">
        <v>5840</v>
      </c>
      <c r="M1323" t="s">
        <v>23</v>
      </c>
      <c r="N1323" s="8">
        <v>0.25116699999999997</v>
      </c>
    </row>
    <row r="1324" spans="1:14" hidden="1" x14ac:dyDescent="0.55000000000000004">
      <c r="A1324" s="3" t="s">
        <v>4815</v>
      </c>
      <c r="B1324" s="3" t="s">
        <v>5221</v>
      </c>
      <c r="C1324" t="s">
        <v>4988</v>
      </c>
      <c r="D1324" s="3" t="s">
        <v>7314</v>
      </c>
      <c r="E1324" t="s">
        <v>5229</v>
      </c>
      <c r="F1324" s="3" t="s">
        <v>5230</v>
      </c>
      <c r="G1324" s="10">
        <v>0</v>
      </c>
      <c r="H1324" s="3" t="s">
        <v>24</v>
      </c>
      <c r="I1324" t="s">
        <v>5228</v>
      </c>
      <c r="J1324" s="3" t="s">
        <v>29</v>
      </c>
      <c r="K1324" t="s">
        <v>23</v>
      </c>
      <c r="L1324" s="3" t="s">
        <v>5840</v>
      </c>
      <c r="M1324" t="s">
        <v>23</v>
      </c>
      <c r="N1324" s="8">
        <v>0.25116699999999997</v>
      </c>
    </row>
    <row r="1325" spans="1:14" hidden="1" x14ac:dyDescent="0.55000000000000004">
      <c r="A1325" s="3" t="s">
        <v>4815</v>
      </c>
      <c r="B1325" s="3" t="s">
        <v>5221</v>
      </c>
      <c r="C1325" t="s">
        <v>4988</v>
      </c>
      <c r="D1325" s="3" t="s">
        <v>7314</v>
      </c>
      <c r="E1325" t="s">
        <v>5231</v>
      </c>
      <c r="F1325" s="3" t="s">
        <v>5232</v>
      </c>
      <c r="G1325" s="10">
        <v>0</v>
      </c>
      <c r="H1325" s="3" t="s">
        <v>24</v>
      </c>
      <c r="I1325" t="s">
        <v>5228</v>
      </c>
      <c r="J1325" s="3" t="s">
        <v>29</v>
      </c>
      <c r="K1325" t="s">
        <v>23</v>
      </c>
      <c r="L1325" s="3" t="s">
        <v>5840</v>
      </c>
      <c r="M1325" t="s">
        <v>23</v>
      </c>
      <c r="N1325" s="8">
        <v>0.25116699999999997</v>
      </c>
    </row>
    <row r="1326" spans="1:14" hidden="1" x14ac:dyDescent="0.55000000000000004">
      <c r="A1326" s="3" t="s">
        <v>4815</v>
      </c>
      <c r="B1326" s="3" t="s">
        <v>5221</v>
      </c>
      <c r="C1326" t="s">
        <v>4988</v>
      </c>
      <c r="D1326" s="3" t="s">
        <v>7314</v>
      </c>
      <c r="E1326" t="s">
        <v>5233</v>
      </c>
      <c r="F1326" s="3" t="s">
        <v>5234</v>
      </c>
      <c r="G1326" s="10">
        <v>0</v>
      </c>
      <c r="H1326" s="3" t="s">
        <v>24</v>
      </c>
      <c r="I1326" t="s">
        <v>5228</v>
      </c>
      <c r="J1326" s="3" t="s">
        <v>29</v>
      </c>
      <c r="K1326" t="s">
        <v>23</v>
      </c>
      <c r="L1326" s="3" t="s">
        <v>5840</v>
      </c>
      <c r="M1326" t="s">
        <v>23</v>
      </c>
      <c r="N1326" s="8">
        <v>0.25116699999999997</v>
      </c>
    </row>
    <row r="1327" spans="1:14" hidden="1" x14ac:dyDescent="0.55000000000000004">
      <c r="A1327" s="3" t="s">
        <v>4815</v>
      </c>
      <c r="B1327" s="3" t="s">
        <v>5221</v>
      </c>
      <c r="C1327" t="s">
        <v>4988</v>
      </c>
      <c r="D1327" s="3" t="s">
        <v>7314</v>
      </c>
      <c r="E1327" t="s">
        <v>5235</v>
      </c>
      <c r="F1327" s="3" t="s">
        <v>5236</v>
      </c>
      <c r="G1327" s="10">
        <v>0</v>
      </c>
      <c r="H1327" s="3" t="s">
        <v>24</v>
      </c>
      <c r="I1327" t="s">
        <v>5228</v>
      </c>
      <c r="J1327" s="3" t="s">
        <v>29</v>
      </c>
      <c r="K1327" t="s">
        <v>23</v>
      </c>
      <c r="L1327" s="3" t="s">
        <v>5840</v>
      </c>
      <c r="M1327" t="s">
        <v>23</v>
      </c>
      <c r="N1327" s="8">
        <v>0.25116699999999997</v>
      </c>
    </row>
    <row r="1328" spans="1:14" hidden="1" x14ac:dyDescent="0.55000000000000004">
      <c r="A1328" s="3" t="s">
        <v>4815</v>
      </c>
      <c r="B1328" s="3" t="s">
        <v>5237</v>
      </c>
      <c r="C1328" t="s">
        <v>5237</v>
      </c>
      <c r="D1328" s="3" t="s">
        <v>7314</v>
      </c>
      <c r="E1328" t="s">
        <v>5238</v>
      </c>
      <c r="F1328" s="3" t="s">
        <v>5239</v>
      </c>
      <c r="G1328" s="10">
        <v>0</v>
      </c>
      <c r="H1328" s="3" t="s">
        <v>24</v>
      </c>
      <c r="I1328" t="s">
        <v>4839</v>
      </c>
      <c r="J1328" s="3" t="s">
        <v>29</v>
      </c>
      <c r="K1328" t="s">
        <v>23</v>
      </c>
      <c r="L1328" s="3" t="s">
        <v>5840</v>
      </c>
      <c r="M1328" t="s">
        <v>23</v>
      </c>
      <c r="N1328" s="8">
        <v>0.2455</v>
      </c>
    </row>
    <row r="1329" spans="1:14" hidden="1" x14ac:dyDescent="0.55000000000000004">
      <c r="A1329" s="3" t="s">
        <v>4815</v>
      </c>
      <c r="B1329" s="3" t="s">
        <v>5240</v>
      </c>
      <c r="C1329" t="s">
        <v>5240</v>
      </c>
      <c r="D1329" s="3" t="s">
        <v>7314</v>
      </c>
      <c r="E1329" t="s">
        <v>5241</v>
      </c>
      <c r="F1329" s="3" t="s">
        <v>5242</v>
      </c>
      <c r="G1329" s="10">
        <v>0</v>
      </c>
      <c r="H1329" s="3" t="s">
        <v>24</v>
      </c>
      <c r="I1329" t="s">
        <v>5248</v>
      </c>
      <c r="J1329" s="3" t="s">
        <v>76</v>
      </c>
      <c r="K1329" t="s">
        <v>5841</v>
      </c>
      <c r="L1329" s="3" t="s">
        <v>5840</v>
      </c>
      <c r="M1329" t="s">
        <v>23</v>
      </c>
      <c r="N1329" s="8">
        <v>0.20050000000000001</v>
      </c>
    </row>
    <row r="1330" spans="1:14" hidden="1" x14ac:dyDescent="0.55000000000000004">
      <c r="A1330" s="3" t="s">
        <v>4815</v>
      </c>
      <c r="B1330" s="3" t="s">
        <v>5240</v>
      </c>
      <c r="C1330" t="s">
        <v>5240</v>
      </c>
      <c r="D1330" s="3" t="s">
        <v>7314</v>
      </c>
      <c r="E1330" t="s">
        <v>5249</v>
      </c>
      <c r="F1330" s="3" t="s">
        <v>5250</v>
      </c>
      <c r="G1330" s="10">
        <v>0</v>
      </c>
      <c r="H1330" s="3" t="s">
        <v>24</v>
      </c>
      <c r="I1330" t="s">
        <v>5248</v>
      </c>
      <c r="J1330" s="3" t="s">
        <v>76</v>
      </c>
      <c r="K1330" t="s">
        <v>5841</v>
      </c>
      <c r="L1330" s="3" t="s">
        <v>5840</v>
      </c>
      <c r="M1330" t="s">
        <v>23</v>
      </c>
      <c r="N1330" s="8">
        <v>0.20050000000000001</v>
      </c>
    </row>
    <row r="1331" spans="1:14" hidden="1" x14ac:dyDescent="0.55000000000000004">
      <c r="A1331" s="3" t="s">
        <v>4815</v>
      </c>
      <c r="B1331" s="3" t="s">
        <v>5240</v>
      </c>
      <c r="C1331" t="s">
        <v>5240</v>
      </c>
      <c r="D1331" s="3" t="s">
        <v>7314</v>
      </c>
      <c r="E1331" t="s">
        <v>5251</v>
      </c>
      <c r="F1331" s="3" t="s">
        <v>5252</v>
      </c>
      <c r="G1331" s="10">
        <v>0</v>
      </c>
      <c r="H1331" s="3" t="s">
        <v>24</v>
      </c>
      <c r="I1331" t="s">
        <v>5248</v>
      </c>
      <c r="J1331" s="3" t="s">
        <v>76</v>
      </c>
      <c r="K1331" t="s">
        <v>5841</v>
      </c>
      <c r="L1331" s="3" t="s">
        <v>5840</v>
      </c>
      <c r="M1331" t="s">
        <v>23</v>
      </c>
      <c r="N1331" s="8">
        <v>0.20050000000000001</v>
      </c>
    </row>
    <row r="1332" spans="1:14" hidden="1" x14ac:dyDescent="0.55000000000000004">
      <c r="A1332" s="3" t="s">
        <v>4815</v>
      </c>
      <c r="B1332" s="3" t="s">
        <v>5240</v>
      </c>
      <c r="C1332" t="s">
        <v>5240</v>
      </c>
      <c r="D1332" s="3" t="s">
        <v>7314</v>
      </c>
      <c r="E1332" t="s">
        <v>5253</v>
      </c>
      <c r="F1332" s="3" t="s">
        <v>5254</v>
      </c>
      <c r="G1332" s="10">
        <v>0</v>
      </c>
      <c r="H1332" s="3" t="s">
        <v>24</v>
      </c>
      <c r="I1332" t="s">
        <v>5248</v>
      </c>
      <c r="J1332" s="3" t="s">
        <v>76</v>
      </c>
      <c r="K1332" t="s">
        <v>5841</v>
      </c>
      <c r="L1332" s="3" t="s">
        <v>5840</v>
      </c>
      <c r="M1332" t="s">
        <v>23</v>
      </c>
      <c r="N1332" s="8">
        <v>0.20050000000000001</v>
      </c>
    </row>
    <row r="1333" spans="1:14" hidden="1" x14ac:dyDescent="0.55000000000000004">
      <c r="A1333" s="3" t="s">
        <v>4815</v>
      </c>
      <c r="B1333" s="3" t="s">
        <v>5240</v>
      </c>
      <c r="C1333" t="s">
        <v>5240</v>
      </c>
      <c r="D1333" s="3" t="s">
        <v>7314</v>
      </c>
      <c r="E1333" t="s">
        <v>5255</v>
      </c>
      <c r="F1333" s="3" t="s">
        <v>5256</v>
      </c>
      <c r="G1333" s="10">
        <v>0</v>
      </c>
      <c r="H1333" s="3" t="s">
        <v>24</v>
      </c>
      <c r="I1333" t="s">
        <v>5248</v>
      </c>
      <c r="J1333" s="3" t="s">
        <v>76</v>
      </c>
      <c r="K1333" t="s">
        <v>5841</v>
      </c>
      <c r="L1333" s="3" t="s">
        <v>5840</v>
      </c>
      <c r="M1333" t="s">
        <v>23</v>
      </c>
      <c r="N1333" s="8">
        <v>0.20050000000000001</v>
      </c>
    </row>
    <row r="1334" spans="1:14" hidden="1" x14ac:dyDescent="0.55000000000000004">
      <c r="A1334" s="3" t="s">
        <v>4815</v>
      </c>
      <c r="B1334" s="3" t="s">
        <v>5240</v>
      </c>
      <c r="C1334" t="s">
        <v>5240</v>
      </c>
      <c r="D1334" s="3" t="s">
        <v>7314</v>
      </c>
      <c r="E1334" t="s">
        <v>5257</v>
      </c>
      <c r="F1334" s="3" t="s">
        <v>5258</v>
      </c>
      <c r="G1334" s="10">
        <v>0</v>
      </c>
      <c r="H1334" s="3" t="s">
        <v>24</v>
      </c>
      <c r="I1334" t="s">
        <v>5248</v>
      </c>
      <c r="J1334" s="3" t="s">
        <v>76</v>
      </c>
      <c r="K1334" t="s">
        <v>5841</v>
      </c>
      <c r="L1334" s="3" t="s">
        <v>5840</v>
      </c>
      <c r="M1334" t="s">
        <v>23</v>
      </c>
      <c r="N1334" s="8">
        <v>0.20050000000000001</v>
      </c>
    </row>
    <row r="1335" spans="1:14" hidden="1" x14ac:dyDescent="0.55000000000000004">
      <c r="A1335" s="3" t="s">
        <v>4815</v>
      </c>
      <c r="B1335" s="3" t="s">
        <v>5240</v>
      </c>
      <c r="C1335" t="s">
        <v>5240</v>
      </c>
      <c r="D1335" s="3" t="s">
        <v>7314</v>
      </c>
      <c r="E1335" t="s">
        <v>5259</v>
      </c>
      <c r="F1335" s="3" t="s">
        <v>5260</v>
      </c>
      <c r="G1335" s="10">
        <v>0</v>
      </c>
      <c r="H1335" s="3" t="s">
        <v>24</v>
      </c>
      <c r="I1335" t="s">
        <v>5248</v>
      </c>
      <c r="J1335" s="3" t="s">
        <v>76</v>
      </c>
      <c r="K1335" t="s">
        <v>5841</v>
      </c>
      <c r="L1335" s="3" t="s">
        <v>5840</v>
      </c>
      <c r="M1335" t="s">
        <v>23</v>
      </c>
      <c r="N1335" s="8">
        <v>0.20050000000000001</v>
      </c>
    </row>
    <row r="1336" spans="1:14" hidden="1" x14ac:dyDescent="0.55000000000000004">
      <c r="A1336" s="3" t="s">
        <v>4815</v>
      </c>
      <c r="B1336" s="3" t="s">
        <v>5240</v>
      </c>
      <c r="C1336" t="s">
        <v>5240</v>
      </c>
      <c r="D1336" s="3" t="s">
        <v>7314</v>
      </c>
      <c r="E1336" t="s">
        <v>5261</v>
      </c>
      <c r="F1336" s="3" t="s">
        <v>5262</v>
      </c>
      <c r="G1336" s="10">
        <v>0</v>
      </c>
      <c r="H1336" s="3" t="s">
        <v>24</v>
      </c>
      <c r="I1336" t="s">
        <v>5248</v>
      </c>
      <c r="J1336" s="3" t="s">
        <v>76</v>
      </c>
      <c r="K1336" t="s">
        <v>5841</v>
      </c>
      <c r="L1336" s="3" t="s">
        <v>5840</v>
      </c>
      <c r="M1336" t="s">
        <v>23</v>
      </c>
      <c r="N1336" s="8">
        <v>0.20050000000000001</v>
      </c>
    </row>
    <row r="1337" spans="1:14" hidden="1" x14ac:dyDescent="0.55000000000000004">
      <c r="A1337" s="3" t="s">
        <v>4815</v>
      </c>
      <c r="B1337" s="3" t="s">
        <v>7390</v>
      </c>
      <c r="C1337" t="s">
        <v>5263</v>
      </c>
      <c r="D1337" s="3" t="s">
        <v>7314</v>
      </c>
      <c r="E1337" t="s">
        <v>5264</v>
      </c>
      <c r="F1337" s="3" t="s">
        <v>5265</v>
      </c>
      <c r="G1337" s="10">
        <v>0</v>
      </c>
      <c r="H1337" s="3" t="s">
        <v>24</v>
      </c>
      <c r="I1337" t="s">
        <v>5269</v>
      </c>
      <c r="J1337" s="3" t="s">
        <v>55</v>
      </c>
      <c r="K1337" t="s">
        <v>23</v>
      </c>
      <c r="L1337" s="3" t="s">
        <v>5839</v>
      </c>
      <c r="M1337" t="s">
        <v>23</v>
      </c>
      <c r="N1337" s="8">
        <v>0.18478600000000001</v>
      </c>
    </row>
    <row r="1338" spans="1:14" hidden="1" x14ac:dyDescent="0.55000000000000004">
      <c r="A1338" s="3" t="s">
        <v>4815</v>
      </c>
      <c r="B1338" s="3" t="s">
        <v>5263</v>
      </c>
      <c r="C1338" t="s">
        <v>5263</v>
      </c>
      <c r="D1338" s="3" t="s">
        <v>7314</v>
      </c>
      <c r="E1338" t="s">
        <v>5270</v>
      </c>
      <c r="F1338" s="3" t="s">
        <v>5271</v>
      </c>
      <c r="G1338" s="10">
        <v>0</v>
      </c>
      <c r="H1338" s="3" t="s">
        <v>24</v>
      </c>
      <c r="I1338" t="s">
        <v>5269</v>
      </c>
      <c r="J1338" s="3" t="s">
        <v>55</v>
      </c>
      <c r="K1338" t="s">
        <v>23</v>
      </c>
      <c r="L1338" s="3" t="s">
        <v>5839</v>
      </c>
      <c r="M1338" t="s">
        <v>23</v>
      </c>
      <c r="N1338" s="8">
        <v>0.18478600000000001</v>
      </c>
    </row>
    <row r="1339" spans="1:14" hidden="1" x14ac:dyDescent="0.55000000000000004">
      <c r="A1339" s="3" t="s">
        <v>4815</v>
      </c>
      <c r="B1339" s="3" t="s">
        <v>5272</v>
      </c>
      <c r="C1339" t="s">
        <v>4988</v>
      </c>
      <c r="D1339" s="3" t="s">
        <v>7314</v>
      </c>
      <c r="E1339" t="s">
        <v>5273</v>
      </c>
      <c r="F1339" s="3" t="s">
        <v>5274</v>
      </c>
      <c r="G1339" s="10">
        <v>0</v>
      </c>
      <c r="H1339" s="3" t="s">
        <v>24</v>
      </c>
      <c r="I1339" t="s">
        <v>5000</v>
      </c>
      <c r="J1339" s="3" t="s">
        <v>76</v>
      </c>
      <c r="K1339" t="s">
        <v>5841</v>
      </c>
      <c r="L1339" s="3" t="s">
        <v>5840</v>
      </c>
      <c r="M1339" t="s">
        <v>6269</v>
      </c>
      <c r="N1339" s="8">
        <v>0.25116699999999997</v>
      </c>
    </row>
    <row r="1340" spans="1:14" hidden="1" x14ac:dyDescent="0.55000000000000004">
      <c r="A1340" s="3" t="s">
        <v>4815</v>
      </c>
      <c r="B1340" s="3" t="s">
        <v>5272</v>
      </c>
      <c r="C1340" t="s">
        <v>4988</v>
      </c>
      <c r="D1340" s="3" t="s">
        <v>7314</v>
      </c>
      <c r="E1340" t="s">
        <v>5273</v>
      </c>
      <c r="F1340" s="3" t="s">
        <v>5274</v>
      </c>
      <c r="G1340" s="10">
        <v>0</v>
      </c>
      <c r="H1340" s="3" t="s">
        <v>24</v>
      </c>
      <c r="I1340" t="s">
        <v>5000</v>
      </c>
      <c r="J1340" s="3" t="s">
        <v>76</v>
      </c>
      <c r="K1340" t="s">
        <v>5841</v>
      </c>
      <c r="L1340" s="3" t="s">
        <v>5840</v>
      </c>
      <c r="M1340" t="s">
        <v>6270</v>
      </c>
      <c r="N1340" s="8">
        <v>0.25116699999999997</v>
      </c>
    </row>
    <row r="1341" spans="1:14" hidden="1" x14ac:dyDescent="0.55000000000000004">
      <c r="A1341" s="3" t="s">
        <v>4815</v>
      </c>
      <c r="B1341" s="3" t="s">
        <v>5275</v>
      </c>
      <c r="C1341" t="s">
        <v>4887</v>
      </c>
      <c r="D1341" s="3" t="s">
        <v>7314</v>
      </c>
      <c r="E1341" t="s">
        <v>5277</v>
      </c>
      <c r="F1341" s="3" t="s">
        <v>5278</v>
      </c>
      <c r="G1341" s="10">
        <v>0</v>
      </c>
      <c r="H1341" s="3" t="s">
        <v>24</v>
      </c>
      <c r="I1341" t="s">
        <v>5284</v>
      </c>
      <c r="J1341" s="3" t="s">
        <v>76</v>
      </c>
      <c r="K1341" t="s">
        <v>5841</v>
      </c>
      <c r="L1341" s="3" t="s">
        <v>5840</v>
      </c>
      <c r="M1341" t="s">
        <v>23</v>
      </c>
      <c r="N1341" s="8">
        <v>0.20050000000000001</v>
      </c>
    </row>
    <row r="1342" spans="1:14" hidden="1" x14ac:dyDescent="0.55000000000000004">
      <c r="A1342" s="3" t="s">
        <v>4815</v>
      </c>
      <c r="B1342" s="3" t="s">
        <v>5275</v>
      </c>
      <c r="C1342" t="s">
        <v>4887</v>
      </c>
      <c r="D1342" s="3" t="s">
        <v>7314</v>
      </c>
      <c r="E1342" t="s">
        <v>5285</v>
      </c>
      <c r="F1342" s="3" t="s">
        <v>5286</v>
      </c>
      <c r="G1342" s="10">
        <v>0</v>
      </c>
      <c r="H1342" s="3" t="s">
        <v>24</v>
      </c>
      <c r="I1342" t="s">
        <v>5284</v>
      </c>
      <c r="J1342" s="3" t="s">
        <v>76</v>
      </c>
      <c r="K1342" t="s">
        <v>5841</v>
      </c>
      <c r="L1342" s="3" t="s">
        <v>5840</v>
      </c>
      <c r="M1342" t="s">
        <v>23</v>
      </c>
      <c r="N1342" s="8">
        <v>0.20050000000000001</v>
      </c>
    </row>
    <row r="1343" spans="1:14" hidden="1" x14ac:dyDescent="0.55000000000000004">
      <c r="A1343" s="3" t="s">
        <v>4815</v>
      </c>
      <c r="B1343" s="3" t="s">
        <v>5287</v>
      </c>
      <c r="C1343" t="s">
        <v>5287</v>
      </c>
      <c r="D1343" s="3" t="s">
        <v>7314</v>
      </c>
      <c r="E1343" t="s">
        <v>5288</v>
      </c>
      <c r="F1343" s="3" t="s">
        <v>5289</v>
      </c>
      <c r="G1343" s="10">
        <v>0</v>
      </c>
      <c r="H1343" s="3" t="s">
        <v>24</v>
      </c>
      <c r="I1343" t="s">
        <v>5292</v>
      </c>
      <c r="J1343" s="3" t="s">
        <v>29</v>
      </c>
      <c r="K1343" t="s">
        <v>23</v>
      </c>
      <c r="L1343" s="3" t="s">
        <v>5840</v>
      </c>
      <c r="M1343" t="s">
        <v>23</v>
      </c>
      <c r="N1343" s="8">
        <v>0.25766699999999998</v>
      </c>
    </row>
    <row r="1344" spans="1:14" hidden="1" x14ac:dyDescent="0.55000000000000004">
      <c r="A1344" s="3" t="s">
        <v>4815</v>
      </c>
      <c r="B1344" s="3" t="s">
        <v>5293</v>
      </c>
      <c r="C1344" t="s">
        <v>5293</v>
      </c>
      <c r="D1344" s="3" t="s">
        <v>7314</v>
      </c>
      <c r="E1344" t="s">
        <v>5294</v>
      </c>
      <c r="F1344" s="3" t="s">
        <v>5295</v>
      </c>
      <c r="G1344" s="10">
        <v>0</v>
      </c>
      <c r="H1344" s="3" t="s">
        <v>24</v>
      </c>
      <c r="I1344" t="s">
        <v>5298</v>
      </c>
      <c r="J1344" s="3" t="s">
        <v>29</v>
      </c>
      <c r="K1344" t="s">
        <v>23</v>
      </c>
      <c r="L1344" s="3" t="s">
        <v>5840</v>
      </c>
      <c r="M1344" t="s">
        <v>23</v>
      </c>
      <c r="N1344" s="8">
        <v>0.21856300000000001</v>
      </c>
    </row>
    <row r="1345" spans="1:14" hidden="1" x14ac:dyDescent="0.55000000000000004">
      <c r="A1345" s="3" t="s">
        <v>4815</v>
      </c>
      <c r="B1345" s="3" t="s">
        <v>5299</v>
      </c>
      <c r="C1345" t="s">
        <v>7387</v>
      </c>
      <c r="D1345" s="3" t="s">
        <v>7314</v>
      </c>
      <c r="E1345" t="s">
        <v>5300</v>
      </c>
      <c r="F1345" s="3" t="s">
        <v>5301</v>
      </c>
      <c r="G1345" s="10">
        <v>0</v>
      </c>
      <c r="H1345" s="3" t="s">
        <v>24</v>
      </c>
      <c r="I1345" t="s">
        <v>5304</v>
      </c>
      <c r="J1345" s="3" t="s">
        <v>29</v>
      </c>
      <c r="K1345" t="s">
        <v>23</v>
      </c>
      <c r="L1345" s="3" t="s">
        <v>5840</v>
      </c>
      <c r="M1345" t="s">
        <v>23</v>
      </c>
      <c r="N1345" s="8">
        <v>0.25766699999999998</v>
      </c>
    </row>
    <row r="1346" spans="1:14" hidden="1" x14ac:dyDescent="0.55000000000000004">
      <c r="A1346" s="3" t="s">
        <v>4815</v>
      </c>
      <c r="B1346" s="3" t="s">
        <v>5276</v>
      </c>
      <c r="C1346" t="s">
        <v>5276</v>
      </c>
      <c r="D1346" s="3" t="s">
        <v>7314</v>
      </c>
      <c r="E1346" t="s">
        <v>5305</v>
      </c>
      <c r="F1346" s="3" t="s">
        <v>5306</v>
      </c>
      <c r="G1346" s="10">
        <v>0</v>
      </c>
      <c r="H1346" s="3" t="s">
        <v>19</v>
      </c>
      <c r="I1346" t="s">
        <v>5309</v>
      </c>
      <c r="J1346" s="3" t="s">
        <v>1610</v>
      </c>
      <c r="K1346" t="s">
        <v>5985</v>
      </c>
      <c r="L1346" s="3" t="s">
        <v>6188</v>
      </c>
      <c r="M1346" t="s">
        <v>6280</v>
      </c>
      <c r="N1346" s="8">
        <v>5.0048000000000002E-2</v>
      </c>
    </row>
    <row r="1347" spans="1:14" hidden="1" x14ac:dyDescent="0.55000000000000004">
      <c r="A1347" s="3" t="s">
        <v>4815</v>
      </c>
      <c r="B1347" s="3" t="s">
        <v>5276</v>
      </c>
      <c r="C1347" t="s">
        <v>5276</v>
      </c>
      <c r="D1347" s="3" t="s">
        <v>7314</v>
      </c>
      <c r="E1347" t="s">
        <v>5305</v>
      </c>
      <c r="F1347" s="3" t="s">
        <v>5306</v>
      </c>
      <c r="G1347" s="10">
        <v>0</v>
      </c>
      <c r="H1347" s="3" t="s">
        <v>24</v>
      </c>
      <c r="I1347" t="s">
        <v>5317</v>
      </c>
      <c r="J1347" s="3" t="s">
        <v>76</v>
      </c>
      <c r="K1347" t="s">
        <v>5841</v>
      </c>
      <c r="L1347" s="3" t="s">
        <v>5840</v>
      </c>
      <c r="M1347" t="s">
        <v>6249</v>
      </c>
      <c r="N1347" s="8">
        <v>0.192167</v>
      </c>
    </row>
    <row r="1348" spans="1:14" hidden="1" x14ac:dyDescent="0.55000000000000004">
      <c r="A1348" s="3" t="s">
        <v>4815</v>
      </c>
      <c r="B1348" s="3" t="s">
        <v>5276</v>
      </c>
      <c r="C1348" t="s">
        <v>5276</v>
      </c>
      <c r="D1348" s="3" t="s">
        <v>7314</v>
      </c>
      <c r="E1348" t="s">
        <v>5318</v>
      </c>
      <c r="F1348" s="3" t="s">
        <v>5319</v>
      </c>
      <c r="G1348" s="10">
        <v>1</v>
      </c>
      <c r="H1348" s="3" t="s">
        <v>19</v>
      </c>
      <c r="I1348" t="s">
        <v>5309</v>
      </c>
      <c r="J1348" s="3" t="s">
        <v>1610</v>
      </c>
      <c r="K1348" t="s">
        <v>5985</v>
      </c>
      <c r="L1348" s="3" t="s">
        <v>6188</v>
      </c>
      <c r="M1348" t="s">
        <v>6280</v>
      </c>
      <c r="N1348" s="8">
        <v>5.0048000000000002E-2</v>
      </c>
    </row>
    <row r="1349" spans="1:14" hidden="1" x14ac:dyDescent="0.55000000000000004">
      <c r="A1349" s="3" t="s">
        <v>4815</v>
      </c>
      <c r="B1349" s="3" t="s">
        <v>5276</v>
      </c>
      <c r="C1349" t="s">
        <v>5276</v>
      </c>
      <c r="D1349" s="3" t="s">
        <v>7314</v>
      </c>
      <c r="E1349" t="s">
        <v>5318</v>
      </c>
      <c r="F1349" s="3" t="s">
        <v>5319</v>
      </c>
      <c r="G1349" s="10">
        <v>1</v>
      </c>
      <c r="H1349" s="3" t="s">
        <v>24</v>
      </c>
      <c r="I1349" t="s">
        <v>5317</v>
      </c>
      <c r="J1349" s="3" t="s">
        <v>76</v>
      </c>
      <c r="K1349" t="s">
        <v>5841</v>
      </c>
      <c r="L1349" s="3" t="s">
        <v>5840</v>
      </c>
      <c r="M1349" t="s">
        <v>6249</v>
      </c>
      <c r="N1349" s="8">
        <v>0.192167</v>
      </c>
    </row>
    <row r="1350" spans="1:14" hidden="1" x14ac:dyDescent="0.55000000000000004">
      <c r="A1350" s="3" t="s">
        <v>4815</v>
      </c>
      <c r="B1350" s="3" t="s">
        <v>5276</v>
      </c>
      <c r="C1350" t="s">
        <v>5276</v>
      </c>
      <c r="D1350" s="3" t="s">
        <v>7314</v>
      </c>
      <c r="E1350" t="s">
        <v>5320</v>
      </c>
      <c r="F1350" s="3" t="s">
        <v>5321</v>
      </c>
      <c r="G1350" s="10">
        <v>0</v>
      </c>
      <c r="H1350" s="3" t="s">
        <v>19</v>
      </c>
      <c r="I1350" t="s">
        <v>5309</v>
      </c>
      <c r="J1350" s="3" t="s">
        <v>1610</v>
      </c>
      <c r="K1350" t="s">
        <v>5985</v>
      </c>
      <c r="L1350" s="3" t="s">
        <v>6188</v>
      </c>
      <c r="M1350" t="s">
        <v>6280</v>
      </c>
      <c r="N1350" s="8">
        <v>5.0048000000000002E-2</v>
      </c>
    </row>
    <row r="1351" spans="1:14" hidden="1" x14ac:dyDescent="0.55000000000000004">
      <c r="A1351" s="3" t="s">
        <v>4815</v>
      </c>
      <c r="B1351" s="3" t="s">
        <v>5276</v>
      </c>
      <c r="C1351" t="s">
        <v>5276</v>
      </c>
      <c r="D1351" s="3" t="s">
        <v>7314</v>
      </c>
      <c r="E1351" t="s">
        <v>5320</v>
      </c>
      <c r="F1351" s="3" t="s">
        <v>5321</v>
      </c>
      <c r="G1351" s="10">
        <v>0</v>
      </c>
      <c r="H1351" s="3" t="s">
        <v>24</v>
      </c>
      <c r="I1351" t="s">
        <v>5317</v>
      </c>
      <c r="J1351" s="3" t="s">
        <v>76</v>
      </c>
      <c r="K1351" t="s">
        <v>5841</v>
      </c>
      <c r="L1351" s="3" t="s">
        <v>5840</v>
      </c>
      <c r="M1351" t="s">
        <v>6249</v>
      </c>
      <c r="N1351" s="8">
        <v>0.192167</v>
      </c>
    </row>
    <row r="1352" spans="1:14" hidden="1" x14ac:dyDescent="0.55000000000000004">
      <c r="A1352" s="3" t="s">
        <v>4815</v>
      </c>
      <c r="B1352" s="3" t="s">
        <v>5322</v>
      </c>
      <c r="C1352" t="s">
        <v>5322</v>
      </c>
      <c r="D1352" s="3" t="s">
        <v>7314</v>
      </c>
      <c r="E1352" t="s">
        <v>5323</v>
      </c>
      <c r="F1352" s="3" t="s">
        <v>5324</v>
      </c>
      <c r="G1352" s="10">
        <v>0</v>
      </c>
      <c r="H1352" s="3" t="s">
        <v>24</v>
      </c>
      <c r="I1352" t="s">
        <v>5327</v>
      </c>
      <c r="J1352" s="3" t="s">
        <v>29</v>
      </c>
      <c r="K1352" t="s">
        <v>23</v>
      </c>
      <c r="L1352" s="3" t="s">
        <v>5840</v>
      </c>
      <c r="M1352" t="s">
        <v>23</v>
      </c>
      <c r="N1352" s="8">
        <v>0.21853900000000001</v>
      </c>
    </row>
    <row r="1353" spans="1:14" hidden="1" x14ac:dyDescent="0.55000000000000004">
      <c r="A1353" s="9" t="s">
        <v>4815</v>
      </c>
      <c r="B1353" s="3" t="s">
        <v>5328</v>
      </c>
      <c r="C1353" t="s">
        <v>5328</v>
      </c>
      <c r="D1353" s="3" t="s">
        <v>7314</v>
      </c>
      <c r="E1353" t="s">
        <v>5329</v>
      </c>
      <c r="F1353" s="3" t="s">
        <v>5330</v>
      </c>
      <c r="G1353" s="10">
        <v>0</v>
      </c>
      <c r="H1353" s="3" t="s">
        <v>24</v>
      </c>
      <c r="I1353" t="s">
        <v>5333</v>
      </c>
      <c r="J1353" s="3" t="s">
        <v>55</v>
      </c>
      <c r="K1353" t="s">
        <v>23</v>
      </c>
      <c r="L1353" s="3" t="s">
        <v>5839</v>
      </c>
      <c r="M1353" t="s">
        <v>23</v>
      </c>
      <c r="N1353" s="8">
        <v>0.21743599999999999</v>
      </c>
    </row>
    <row r="1354" spans="1:14" hidden="1" x14ac:dyDescent="0.55000000000000004">
      <c r="A1354" s="3" t="s">
        <v>5334</v>
      </c>
      <c r="B1354" s="3" t="s">
        <v>5335</v>
      </c>
      <c r="C1354" t="s">
        <v>5335</v>
      </c>
      <c r="D1354" s="3" t="s">
        <v>7326</v>
      </c>
      <c r="E1354" t="s">
        <v>5336</v>
      </c>
      <c r="F1354" s="3" t="s">
        <v>5337</v>
      </c>
      <c r="G1354" s="10">
        <v>0</v>
      </c>
      <c r="H1354" s="3" t="s">
        <v>19</v>
      </c>
      <c r="I1354" t="s">
        <v>5340</v>
      </c>
      <c r="J1354" s="3" t="s">
        <v>3618</v>
      </c>
      <c r="K1354" t="s">
        <v>6281</v>
      </c>
      <c r="L1354" s="3" t="s">
        <v>6282</v>
      </c>
      <c r="M1354" t="s">
        <v>6283</v>
      </c>
      <c r="N1354" s="8">
        <v>0.13059999999999999</v>
      </c>
    </row>
    <row r="1355" spans="1:14" hidden="1" x14ac:dyDescent="0.55000000000000004">
      <c r="A1355" s="3" t="s">
        <v>5334</v>
      </c>
      <c r="B1355" s="3" t="s">
        <v>5335</v>
      </c>
      <c r="C1355" t="s">
        <v>5335</v>
      </c>
      <c r="D1355" s="3" t="s">
        <v>7326</v>
      </c>
      <c r="E1355" t="s">
        <v>5336</v>
      </c>
      <c r="F1355" s="3" t="s">
        <v>5337</v>
      </c>
      <c r="G1355" s="10">
        <v>0</v>
      </c>
      <c r="H1355" s="3" t="s">
        <v>19</v>
      </c>
      <c r="I1355" t="s">
        <v>3621</v>
      </c>
      <c r="J1355" s="3" t="s">
        <v>3622</v>
      </c>
      <c r="K1355" t="s">
        <v>6284</v>
      </c>
      <c r="L1355" s="3" t="s">
        <v>6285</v>
      </c>
      <c r="M1355" t="s">
        <v>6286</v>
      </c>
      <c r="N1355" s="8">
        <v>9.6430000000000005E-3</v>
      </c>
    </row>
    <row r="1356" spans="1:14" hidden="1" x14ac:dyDescent="0.55000000000000004">
      <c r="A1356" s="3" t="s">
        <v>5334</v>
      </c>
      <c r="B1356" s="3" t="s">
        <v>5335</v>
      </c>
      <c r="C1356" t="s">
        <v>5335</v>
      </c>
      <c r="D1356" s="3" t="s">
        <v>7326</v>
      </c>
      <c r="E1356" t="s">
        <v>5336</v>
      </c>
      <c r="F1356" s="3" t="s">
        <v>5337</v>
      </c>
      <c r="G1356" s="10">
        <v>0</v>
      </c>
      <c r="H1356" s="3" t="s">
        <v>19</v>
      </c>
      <c r="I1356" t="s">
        <v>3621</v>
      </c>
      <c r="J1356" s="3" t="s">
        <v>3622</v>
      </c>
      <c r="K1356" t="s">
        <v>6284</v>
      </c>
      <c r="L1356" s="3" t="s">
        <v>6285</v>
      </c>
      <c r="M1356" t="s">
        <v>6287</v>
      </c>
      <c r="N1356" s="8">
        <v>9.6430000000000005E-3</v>
      </c>
    </row>
    <row r="1357" spans="1:14" hidden="1" x14ac:dyDescent="0.55000000000000004">
      <c r="A1357" s="3" t="s">
        <v>5334</v>
      </c>
      <c r="B1357" s="3" t="s">
        <v>5335</v>
      </c>
      <c r="C1357" t="s">
        <v>5335</v>
      </c>
      <c r="D1357" s="3" t="s">
        <v>7326</v>
      </c>
      <c r="E1357" t="s">
        <v>5336</v>
      </c>
      <c r="F1357" s="3" t="s">
        <v>5337</v>
      </c>
      <c r="G1357" s="10">
        <v>0</v>
      </c>
      <c r="H1357" s="3" t="s">
        <v>19</v>
      </c>
      <c r="I1357" t="s">
        <v>3621</v>
      </c>
      <c r="J1357" s="3" t="s">
        <v>3622</v>
      </c>
      <c r="K1357" t="s">
        <v>6284</v>
      </c>
      <c r="L1357" s="3" t="s">
        <v>6288</v>
      </c>
      <c r="M1357" t="s">
        <v>6286</v>
      </c>
      <c r="N1357" s="8">
        <v>9.6430000000000005E-3</v>
      </c>
    </row>
    <row r="1358" spans="1:14" hidden="1" x14ac:dyDescent="0.55000000000000004">
      <c r="A1358" s="3" t="s">
        <v>5334</v>
      </c>
      <c r="B1358" s="3" t="s">
        <v>5335</v>
      </c>
      <c r="C1358" t="s">
        <v>5335</v>
      </c>
      <c r="D1358" s="3" t="s">
        <v>7326</v>
      </c>
      <c r="E1358" t="s">
        <v>5336</v>
      </c>
      <c r="F1358" s="3" t="s">
        <v>5337</v>
      </c>
      <c r="G1358" s="10">
        <v>0</v>
      </c>
      <c r="H1358" s="3" t="s">
        <v>19</v>
      </c>
      <c r="I1358" t="s">
        <v>3621</v>
      </c>
      <c r="J1358" s="3" t="s">
        <v>3622</v>
      </c>
      <c r="K1358" t="s">
        <v>6284</v>
      </c>
      <c r="L1358" s="3" t="s">
        <v>6288</v>
      </c>
      <c r="M1358" t="s">
        <v>6287</v>
      </c>
      <c r="N1358" s="8">
        <v>9.6430000000000005E-3</v>
      </c>
    </row>
    <row r="1359" spans="1:14" hidden="1" x14ac:dyDescent="0.55000000000000004">
      <c r="A1359" s="3" t="s">
        <v>5334</v>
      </c>
      <c r="B1359" s="3" t="s">
        <v>5335</v>
      </c>
      <c r="C1359" t="s">
        <v>5335</v>
      </c>
      <c r="D1359" s="3" t="s">
        <v>7326</v>
      </c>
      <c r="E1359" t="s">
        <v>5336</v>
      </c>
      <c r="F1359" s="3" t="s">
        <v>5337</v>
      </c>
      <c r="G1359" s="10">
        <v>0</v>
      </c>
      <c r="H1359" s="3" t="s">
        <v>24</v>
      </c>
      <c r="I1359" t="s">
        <v>5346</v>
      </c>
      <c r="J1359" s="3" t="s">
        <v>76</v>
      </c>
      <c r="K1359" t="s">
        <v>5841</v>
      </c>
      <c r="L1359" s="3" t="s">
        <v>5840</v>
      </c>
      <c r="M1359" t="s">
        <v>6289</v>
      </c>
      <c r="N1359" s="8">
        <v>0.29083300000000001</v>
      </c>
    </row>
    <row r="1360" spans="1:14" hidden="1" x14ac:dyDescent="0.55000000000000004">
      <c r="A1360" s="3" t="s">
        <v>5334</v>
      </c>
      <c r="B1360" s="3" t="s">
        <v>5349</v>
      </c>
      <c r="C1360" t="s">
        <v>5349</v>
      </c>
      <c r="D1360" s="3" t="s">
        <v>7326</v>
      </c>
      <c r="E1360" t="s">
        <v>5350</v>
      </c>
      <c r="F1360" s="3" t="s">
        <v>5351</v>
      </c>
      <c r="G1360" s="10">
        <v>0</v>
      </c>
      <c r="H1360" s="3" t="s">
        <v>24</v>
      </c>
      <c r="I1360" t="s">
        <v>5354</v>
      </c>
      <c r="J1360" s="3" t="s">
        <v>76</v>
      </c>
      <c r="K1360" t="s">
        <v>5841</v>
      </c>
      <c r="L1360" s="3" t="s">
        <v>5840</v>
      </c>
      <c r="M1360" t="s">
        <v>6290</v>
      </c>
      <c r="N1360" s="8">
        <v>0.26083299999999998</v>
      </c>
    </row>
    <row r="1361" spans="1:14" hidden="1" x14ac:dyDescent="0.55000000000000004">
      <c r="A1361" s="3" t="s">
        <v>5334</v>
      </c>
      <c r="B1361" s="3" t="s">
        <v>5349</v>
      </c>
      <c r="C1361" t="s">
        <v>5349</v>
      </c>
      <c r="D1361" s="3" t="s">
        <v>7326</v>
      </c>
      <c r="E1361" t="s">
        <v>5357</v>
      </c>
      <c r="F1361" s="3" t="s">
        <v>5358</v>
      </c>
      <c r="G1361" s="10">
        <v>0</v>
      </c>
      <c r="H1361" s="3" t="s">
        <v>24</v>
      </c>
      <c r="I1361" t="s">
        <v>5354</v>
      </c>
      <c r="J1361" s="3" t="s">
        <v>76</v>
      </c>
      <c r="K1361" t="s">
        <v>5841</v>
      </c>
      <c r="L1361" s="3" t="s">
        <v>5840</v>
      </c>
      <c r="M1361" t="s">
        <v>6290</v>
      </c>
      <c r="N1361" s="8">
        <v>0.26083299999999998</v>
      </c>
    </row>
    <row r="1362" spans="1:14" hidden="1" x14ac:dyDescent="0.55000000000000004">
      <c r="A1362" s="3" t="s">
        <v>5334</v>
      </c>
      <c r="B1362" s="3" t="s">
        <v>5349</v>
      </c>
      <c r="C1362" t="s">
        <v>5349</v>
      </c>
      <c r="D1362" s="3" t="s">
        <v>7326</v>
      </c>
      <c r="E1362" t="s">
        <v>5359</v>
      </c>
      <c r="F1362" s="3" t="s">
        <v>5360</v>
      </c>
      <c r="G1362" s="10">
        <v>0</v>
      </c>
      <c r="H1362" s="3" t="s">
        <v>24</v>
      </c>
      <c r="I1362" t="s">
        <v>5354</v>
      </c>
      <c r="J1362" s="3" t="s">
        <v>76</v>
      </c>
      <c r="K1362" t="s">
        <v>5841</v>
      </c>
      <c r="L1362" s="3" t="s">
        <v>5840</v>
      </c>
      <c r="M1362" t="s">
        <v>6290</v>
      </c>
      <c r="N1362" s="8">
        <v>0.26083299999999998</v>
      </c>
    </row>
    <row r="1363" spans="1:14" hidden="1" x14ac:dyDescent="0.55000000000000004">
      <c r="A1363" s="3" t="s">
        <v>5334</v>
      </c>
      <c r="B1363" s="3" t="s">
        <v>5349</v>
      </c>
      <c r="C1363" t="s">
        <v>5349</v>
      </c>
      <c r="D1363" s="3" t="s">
        <v>7326</v>
      </c>
      <c r="E1363" t="s">
        <v>5361</v>
      </c>
      <c r="F1363" s="3" t="s">
        <v>5362</v>
      </c>
      <c r="G1363" s="10">
        <v>1</v>
      </c>
      <c r="H1363" s="3" t="s">
        <v>19</v>
      </c>
      <c r="I1363" t="s">
        <v>3630</v>
      </c>
      <c r="J1363" s="3" t="s">
        <v>3631</v>
      </c>
      <c r="K1363" t="s">
        <v>6291</v>
      </c>
      <c r="L1363" s="3" t="s">
        <v>6292</v>
      </c>
      <c r="M1363" t="s">
        <v>6293</v>
      </c>
      <c r="N1363" s="8">
        <v>6.8030999999999994E-2</v>
      </c>
    </row>
    <row r="1364" spans="1:14" hidden="1" x14ac:dyDescent="0.55000000000000004">
      <c r="A1364" s="3" t="s">
        <v>5334</v>
      </c>
      <c r="B1364" s="3" t="s">
        <v>5349</v>
      </c>
      <c r="C1364" t="s">
        <v>5349</v>
      </c>
      <c r="D1364" s="3" t="s">
        <v>7326</v>
      </c>
      <c r="E1364" t="s">
        <v>5361</v>
      </c>
      <c r="F1364" s="3" t="s">
        <v>5362</v>
      </c>
      <c r="G1364" s="10">
        <v>1</v>
      </c>
      <c r="H1364" s="3" t="s">
        <v>24</v>
      </c>
      <c r="I1364" t="s">
        <v>5354</v>
      </c>
      <c r="J1364" s="3" t="s">
        <v>76</v>
      </c>
      <c r="K1364" t="s">
        <v>5841</v>
      </c>
      <c r="L1364" s="3" t="s">
        <v>5840</v>
      </c>
      <c r="M1364" t="s">
        <v>6290</v>
      </c>
      <c r="N1364" s="8">
        <v>0.26083299999999998</v>
      </c>
    </row>
    <row r="1365" spans="1:14" hidden="1" x14ac:dyDescent="0.55000000000000004">
      <c r="A1365" s="3" t="s">
        <v>5334</v>
      </c>
      <c r="B1365" s="3" t="s">
        <v>5349</v>
      </c>
      <c r="C1365" t="s">
        <v>5349</v>
      </c>
      <c r="D1365" s="3" t="s">
        <v>7326</v>
      </c>
      <c r="E1365" t="s">
        <v>5365</v>
      </c>
      <c r="F1365" s="3" t="s">
        <v>5366</v>
      </c>
      <c r="G1365" s="10">
        <v>0</v>
      </c>
      <c r="H1365" s="3" t="s">
        <v>24</v>
      </c>
      <c r="I1365" t="s">
        <v>5354</v>
      </c>
      <c r="J1365" s="3" t="s">
        <v>76</v>
      </c>
      <c r="K1365" t="s">
        <v>5841</v>
      </c>
      <c r="L1365" s="3" t="s">
        <v>5840</v>
      </c>
      <c r="M1365" t="s">
        <v>6290</v>
      </c>
      <c r="N1365" s="8">
        <v>0.26083299999999998</v>
      </c>
    </row>
    <row r="1366" spans="1:14" hidden="1" x14ac:dyDescent="0.55000000000000004">
      <c r="A1366" s="3" t="s">
        <v>5334</v>
      </c>
      <c r="B1366" s="3" t="s">
        <v>7393</v>
      </c>
      <c r="C1366" t="s">
        <v>5349</v>
      </c>
      <c r="D1366" s="3" t="s">
        <v>7326</v>
      </c>
      <c r="E1366" t="s">
        <v>5367</v>
      </c>
      <c r="F1366" s="3" t="s">
        <v>5368</v>
      </c>
      <c r="G1366" s="10">
        <v>0</v>
      </c>
      <c r="H1366" s="3" t="s">
        <v>24</v>
      </c>
      <c r="I1366" t="s">
        <v>5354</v>
      </c>
      <c r="J1366" s="3" t="s">
        <v>76</v>
      </c>
      <c r="K1366" t="s">
        <v>5841</v>
      </c>
      <c r="L1366" s="3" t="s">
        <v>5840</v>
      </c>
      <c r="M1366" t="s">
        <v>6290</v>
      </c>
      <c r="N1366" s="8">
        <v>0.26083299999999998</v>
      </c>
    </row>
    <row r="1367" spans="1:14" hidden="1" x14ac:dyDescent="0.55000000000000004">
      <c r="A1367" s="9" t="s">
        <v>5334</v>
      </c>
      <c r="B1367" s="3" t="s">
        <v>5349</v>
      </c>
      <c r="C1367" t="s">
        <v>5349</v>
      </c>
      <c r="D1367" s="3" t="s">
        <v>7326</v>
      </c>
      <c r="E1367" t="s">
        <v>5369</v>
      </c>
      <c r="F1367" s="3" t="s">
        <v>5370</v>
      </c>
      <c r="G1367" s="10">
        <v>0</v>
      </c>
      <c r="H1367" s="3" t="s">
        <v>24</v>
      </c>
      <c r="I1367" t="s">
        <v>5354</v>
      </c>
      <c r="J1367" s="3" t="s">
        <v>76</v>
      </c>
      <c r="K1367" t="s">
        <v>5841</v>
      </c>
      <c r="L1367" s="3" t="s">
        <v>5840</v>
      </c>
      <c r="M1367" t="s">
        <v>6290</v>
      </c>
      <c r="N1367" s="8">
        <v>0.26083299999999998</v>
      </c>
    </row>
    <row r="1368" spans="1:14" hidden="1" x14ac:dyDescent="0.55000000000000004">
      <c r="A1368" s="3" t="s">
        <v>5371</v>
      </c>
      <c r="B1368" s="3" t="s">
        <v>5372</v>
      </c>
      <c r="C1368" t="s">
        <v>5372</v>
      </c>
      <c r="D1368" s="3" t="s">
        <v>7329</v>
      </c>
      <c r="E1368" t="s">
        <v>5373</v>
      </c>
      <c r="F1368" s="3" t="s">
        <v>5374</v>
      </c>
      <c r="G1368" s="10">
        <v>1</v>
      </c>
      <c r="H1368" s="3" t="s">
        <v>19</v>
      </c>
      <c r="I1368" t="s">
        <v>5377</v>
      </c>
      <c r="J1368" s="3" t="s">
        <v>84</v>
      </c>
      <c r="K1368" t="s">
        <v>5842</v>
      </c>
      <c r="L1368" s="3" t="s">
        <v>5843</v>
      </c>
      <c r="M1368" t="s">
        <v>6294</v>
      </c>
      <c r="N1368" s="8">
        <v>4.8980999999999997E-2</v>
      </c>
    </row>
    <row r="1369" spans="1:14" hidden="1" x14ac:dyDescent="0.55000000000000004">
      <c r="A1369" s="3" t="s">
        <v>5371</v>
      </c>
      <c r="B1369" s="3" t="s">
        <v>5372</v>
      </c>
      <c r="C1369" t="s">
        <v>5372</v>
      </c>
      <c r="D1369" s="3" t="s">
        <v>7329</v>
      </c>
      <c r="E1369" t="s">
        <v>5373</v>
      </c>
      <c r="F1369" s="3" t="s">
        <v>5374</v>
      </c>
      <c r="G1369" s="10">
        <v>1</v>
      </c>
      <c r="H1369" s="3" t="s">
        <v>24</v>
      </c>
      <c r="I1369" t="s">
        <v>5380</v>
      </c>
      <c r="J1369" s="3" t="s">
        <v>46</v>
      </c>
      <c r="K1369" t="s">
        <v>5836</v>
      </c>
      <c r="L1369" s="3" t="s">
        <v>5837</v>
      </c>
      <c r="M1369" t="s">
        <v>6295</v>
      </c>
      <c r="N1369" s="8">
        <v>0.25573299999999999</v>
      </c>
    </row>
    <row r="1370" spans="1:14" hidden="1" x14ac:dyDescent="0.55000000000000004">
      <c r="A1370" s="3" t="s">
        <v>5371</v>
      </c>
      <c r="B1370" s="3" t="s">
        <v>5372</v>
      </c>
      <c r="C1370" t="s">
        <v>5372</v>
      </c>
      <c r="D1370" s="3" t="s">
        <v>7329</v>
      </c>
      <c r="E1370" t="s">
        <v>5383</v>
      </c>
      <c r="F1370" s="3" t="s">
        <v>5384</v>
      </c>
      <c r="G1370" s="10">
        <v>0</v>
      </c>
      <c r="H1370" s="3" t="s">
        <v>19</v>
      </c>
      <c r="I1370" t="s">
        <v>5377</v>
      </c>
      <c r="J1370" s="3" t="s">
        <v>84</v>
      </c>
      <c r="K1370" t="s">
        <v>5842</v>
      </c>
      <c r="L1370" s="3" t="s">
        <v>5843</v>
      </c>
      <c r="M1370" t="s">
        <v>6294</v>
      </c>
      <c r="N1370" s="8">
        <v>4.8980999999999997E-2</v>
      </c>
    </row>
    <row r="1371" spans="1:14" hidden="1" x14ac:dyDescent="0.55000000000000004">
      <c r="A1371" s="3" t="s">
        <v>5371</v>
      </c>
      <c r="B1371" s="3" t="s">
        <v>5372</v>
      </c>
      <c r="C1371" t="s">
        <v>5372</v>
      </c>
      <c r="D1371" s="3" t="s">
        <v>7329</v>
      </c>
      <c r="E1371" t="s">
        <v>5383</v>
      </c>
      <c r="F1371" s="3" t="s">
        <v>5384</v>
      </c>
      <c r="G1371" s="10">
        <v>0</v>
      </c>
      <c r="H1371" s="3" t="s">
        <v>24</v>
      </c>
      <c r="I1371" t="s">
        <v>5380</v>
      </c>
      <c r="J1371" s="3" t="s">
        <v>46</v>
      </c>
      <c r="K1371" t="s">
        <v>5836</v>
      </c>
      <c r="L1371" s="3" t="s">
        <v>5837</v>
      </c>
      <c r="M1371" t="s">
        <v>6295</v>
      </c>
      <c r="N1371" s="8">
        <v>0.25573299999999999</v>
      </c>
    </row>
    <row r="1372" spans="1:14" hidden="1" x14ac:dyDescent="0.55000000000000004">
      <c r="A1372" s="3" t="s">
        <v>5371</v>
      </c>
      <c r="B1372" s="3" t="s">
        <v>5372</v>
      </c>
      <c r="C1372" t="s">
        <v>5372</v>
      </c>
      <c r="D1372" s="3" t="s">
        <v>7329</v>
      </c>
      <c r="E1372" t="s">
        <v>5385</v>
      </c>
      <c r="F1372" s="3" t="s">
        <v>5386</v>
      </c>
      <c r="G1372" s="10">
        <v>0</v>
      </c>
      <c r="H1372" s="3" t="s">
        <v>19</v>
      </c>
      <c r="I1372" t="s">
        <v>5377</v>
      </c>
      <c r="J1372" s="3" t="s">
        <v>84</v>
      </c>
      <c r="K1372" t="s">
        <v>5842</v>
      </c>
      <c r="L1372" s="3" t="s">
        <v>5843</v>
      </c>
      <c r="M1372" t="s">
        <v>6294</v>
      </c>
      <c r="N1372" s="8">
        <v>4.8980999999999997E-2</v>
      </c>
    </row>
    <row r="1373" spans="1:14" hidden="1" x14ac:dyDescent="0.55000000000000004">
      <c r="A1373" s="3" t="s">
        <v>5371</v>
      </c>
      <c r="B1373" s="3" t="s">
        <v>5372</v>
      </c>
      <c r="C1373" t="s">
        <v>5372</v>
      </c>
      <c r="D1373" s="3" t="s">
        <v>7329</v>
      </c>
      <c r="E1373" t="s">
        <v>5385</v>
      </c>
      <c r="F1373" s="3" t="s">
        <v>5386</v>
      </c>
      <c r="G1373" s="10">
        <v>0</v>
      </c>
      <c r="H1373" s="3" t="s">
        <v>24</v>
      </c>
      <c r="I1373" t="s">
        <v>5380</v>
      </c>
      <c r="J1373" s="3" t="s">
        <v>46</v>
      </c>
      <c r="K1373" t="s">
        <v>5836</v>
      </c>
      <c r="L1373" s="3" t="s">
        <v>5837</v>
      </c>
      <c r="M1373" t="s">
        <v>6295</v>
      </c>
      <c r="N1373" s="8">
        <v>0.25573299999999999</v>
      </c>
    </row>
    <row r="1374" spans="1:14" hidden="1" x14ac:dyDescent="0.55000000000000004">
      <c r="A1374" s="3" t="s">
        <v>5371</v>
      </c>
      <c r="B1374" s="3" t="s">
        <v>5372</v>
      </c>
      <c r="C1374" t="s">
        <v>5372</v>
      </c>
      <c r="D1374" s="3" t="s">
        <v>7329</v>
      </c>
      <c r="E1374" t="s">
        <v>5387</v>
      </c>
      <c r="F1374" s="3" t="s">
        <v>5388</v>
      </c>
      <c r="G1374" s="10">
        <v>0</v>
      </c>
      <c r="H1374" s="3" t="s">
        <v>19</v>
      </c>
      <c r="I1374" t="s">
        <v>5377</v>
      </c>
      <c r="J1374" s="3" t="s">
        <v>84</v>
      </c>
      <c r="K1374" t="s">
        <v>5842</v>
      </c>
      <c r="L1374" s="3" t="s">
        <v>5843</v>
      </c>
      <c r="M1374" t="s">
        <v>6294</v>
      </c>
      <c r="N1374" s="8">
        <v>4.8980999999999997E-2</v>
      </c>
    </row>
    <row r="1375" spans="1:14" hidden="1" x14ac:dyDescent="0.55000000000000004">
      <c r="A1375" s="3" t="s">
        <v>5371</v>
      </c>
      <c r="B1375" s="3" t="s">
        <v>5372</v>
      </c>
      <c r="C1375" t="s">
        <v>5372</v>
      </c>
      <c r="D1375" s="3" t="s">
        <v>7329</v>
      </c>
      <c r="E1375" t="s">
        <v>5387</v>
      </c>
      <c r="F1375" s="3" t="s">
        <v>5388</v>
      </c>
      <c r="G1375" s="10">
        <v>0</v>
      </c>
      <c r="H1375" s="3" t="s">
        <v>24</v>
      </c>
      <c r="I1375" t="s">
        <v>5380</v>
      </c>
      <c r="J1375" s="3" t="s">
        <v>46</v>
      </c>
      <c r="K1375" t="s">
        <v>5836</v>
      </c>
      <c r="L1375" s="3" t="s">
        <v>5837</v>
      </c>
      <c r="M1375" t="s">
        <v>6295</v>
      </c>
      <c r="N1375" s="8">
        <v>0.25573299999999999</v>
      </c>
    </row>
    <row r="1376" spans="1:14" hidden="1" x14ac:dyDescent="0.55000000000000004">
      <c r="A1376" s="3" t="s">
        <v>5371</v>
      </c>
      <c r="B1376" s="3" t="s">
        <v>5372</v>
      </c>
      <c r="C1376" t="s">
        <v>5372</v>
      </c>
      <c r="D1376" s="3" t="s">
        <v>7329</v>
      </c>
      <c r="E1376" t="s">
        <v>5389</v>
      </c>
      <c r="F1376" s="3" t="s">
        <v>5390</v>
      </c>
      <c r="G1376" s="10">
        <v>0</v>
      </c>
      <c r="H1376" s="3" t="s">
        <v>24</v>
      </c>
      <c r="I1376" t="s">
        <v>5393</v>
      </c>
      <c r="J1376" s="3" t="s">
        <v>40</v>
      </c>
      <c r="K1376" t="s">
        <v>23</v>
      </c>
      <c r="L1376" s="3" t="s">
        <v>5835</v>
      </c>
      <c r="M1376" t="s">
        <v>23</v>
      </c>
      <c r="N1376" s="8">
        <v>0.218274</v>
      </c>
    </row>
    <row r="1377" spans="1:14" hidden="1" x14ac:dyDescent="0.55000000000000004">
      <c r="A1377" s="3" t="s">
        <v>5371</v>
      </c>
      <c r="B1377" s="3" t="s">
        <v>5394</v>
      </c>
      <c r="C1377" t="s">
        <v>5372</v>
      </c>
      <c r="D1377" s="3" t="s">
        <v>7329</v>
      </c>
      <c r="E1377" t="s">
        <v>5395</v>
      </c>
      <c r="F1377" s="3" t="s">
        <v>5396</v>
      </c>
      <c r="G1377" s="10">
        <v>1</v>
      </c>
      <c r="H1377" s="3" t="s">
        <v>19</v>
      </c>
      <c r="I1377" t="s">
        <v>5399</v>
      </c>
      <c r="J1377" s="3" t="s">
        <v>84</v>
      </c>
      <c r="K1377" t="s">
        <v>5842</v>
      </c>
      <c r="L1377" s="3" t="s">
        <v>5843</v>
      </c>
      <c r="M1377" t="s">
        <v>6296</v>
      </c>
      <c r="N1377" s="8">
        <v>4.8980999999999997E-2</v>
      </c>
    </row>
    <row r="1378" spans="1:14" hidden="1" x14ac:dyDescent="0.55000000000000004">
      <c r="A1378" s="3" t="s">
        <v>5371</v>
      </c>
      <c r="B1378" s="3" t="s">
        <v>5394</v>
      </c>
      <c r="C1378" t="s">
        <v>5372</v>
      </c>
      <c r="D1378" s="3" t="s">
        <v>7329</v>
      </c>
      <c r="E1378" t="s">
        <v>5395</v>
      </c>
      <c r="F1378" s="3" t="s">
        <v>5396</v>
      </c>
      <c r="G1378" s="10">
        <v>1</v>
      </c>
      <c r="H1378" s="3" t="s">
        <v>24</v>
      </c>
      <c r="I1378" t="s">
        <v>5402</v>
      </c>
      <c r="J1378" s="3" t="s">
        <v>46</v>
      </c>
      <c r="K1378" t="s">
        <v>5836</v>
      </c>
      <c r="L1378" s="3" t="s">
        <v>5837</v>
      </c>
      <c r="M1378" t="s">
        <v>6295</v>
      </c>
      <c r="N1378" s="8">
        <v>0.25573299999999999</v>
      </c>
    </row>
    <row r="1379" spans="1:14" hidden="1" x14ac:dyDescent="0.55000000000000004">
      <c r="A1379" s="3" t="s">
        <v>5371</v>
      </c>
      <c r="B1379" s="3" t="s">
        <v>5405</v>
      </c>
      <c r="C1379" t="s">
        <v>5406</v>
      </c>
      <c r="D1379" s="3" t="s">
        <v>7329</v>
      </c>
      <c r="E1379" t="s">
        <v>5407</v>
      </c>
      <c r="F1379" s="3" t="s">
        <v>5408</v>
      </c>
      <c r="G1379" s="10">
        <v>0</v>
      </c>
      <c r="H1379" s="3" t="s">
        <v>24</v>
      </c>
      <c r="I1379" t="s">
        <v>5411</v>
      </c>
      <c r="J1379" s="3" t="s">
        <v>138</v>
      </c>
      <c r="K1379" t="s">
        <v>23</v>
      </c>
      <c r="L1379" s="3" t="s">
        <v>5837</v>
      </c>
      <c r="M1379" t="s">
        <v>23</v>
      </c>
      <c r="N1379" s="8">
        <v>0.239533</v>
      </c>
    </row>
    <row r="1380" spans="1:14" hidden="1" x14ac:dyDescent="0.55000000000000004">
      <c r="A1380" s="3" t="s">
        <v>5371</v>
      </c>
      <c r="B1380" s="3" t="s">
        <v>5405</v>
      </c>
      <c r="C1380" t="s">
        <v>5406</v>
      </c>
      <c r="D1380" s="3" t="s">
        <v>7329</v>
      </c>
      <c r="E1380" t="s">
        <v>5412</v>
      </c>
      <c r="F1380" s="3" t="s">
        <v>5413</v>
      </c>
      <c r="G1380" s="10">
        <v>0</v>
      </c>
      <c r="H1380" s="3" t="s">
        <v>24</v>
      </c>
      <c r="I1380" t="s">
        <v>5411</v>
      </c>
      <c r="J1380" s="3" t="s">
        <v>138</v>
      </c>
      <c r="K1380" t="s">
        <v>23</v>
      </c>
      <c r="L1380" s="3" t="s">
        <v>5837</v>
      </c>
      <c r="M1380" t="s">
        <v>23</v>
      </c>
      <c r="N1380" s="8">
        <v>0.239533</v>
      </c>
    </row>
    <row r="1381" spans="1:14" hidden="1" x14ac:dyDescent="0.55000000000000004">
      <c r="A1381" s="3" t="s">
        <v>5371</v>
      </c>
      <c r="B1381" s="3" t="s">
        <v>5405</v>
      </c>
      <c r="C1381" t="s">
        <v>5406</v>
      </c>
      <c r="D1381" s="3" t="s">
        <v>7329</v>
      </c>
      <c r="E1381" t="s">
        <v>5414</v>
      </c>
      <c r="F1381" s="3" t="s">
        <v>5415</v>
      </c>
      <c r="G1381" s="10">
        <v>0</v>
      </c>
      <c r="H1381" s="3" t="s">
        <v>24</v>
      </c>
      <c r="I1381" t="s">
        <v>5411</v>
      </c>
      <c r="J1381" s="3" t="s">
        <v>138</v>
      </c>
      <c r="K1381" t="s">
        <v>23</v>
      </c>
      <c r="L1381" s="3" t="s">
        <v>5837</v>
      </c>
      <c r="M1381" t="s">
        <v>23</v>
      </c>
      <c r="N1381" s="8">
        <v>0.239533</v>
      </c>
    </row>
    <row r="1382" spans="1:14" hidden="1" x14ac:dyDescent="0.55000000000000004">
      <c r="A1382" s="3" t="s">
        <v>5371</v>
      </c>
      <c r="B1382" s="3" t="s">
        <v>5405</v>
      </c>
      <c r="C1382" t="s">
        <v>5406</v>
      </c>
      <c r="D1382" s="3" t="s">
        <v>7329</v>
      </c>
      <c r="E1382" t="s">
        <v>5416</v>
      </c>
      <c r="F1382" s="3" t="s">
        <v>5417</v>
      </c>
      <c r="G1382" s="10">
        <v>0</v>
      </c>
      <c r="H1382" s="3" t="s">
        <v>24</v>
      </c>
      <c r="I1382" t="s">
        <v>5411</v>
      </c>
      <c r="J1382" s="3" t="s">
        <v>138</v>
      </c>
      <c r="K1382" t="s">
        <v>23</v>
      </c>
      <c r="L1382" s="3" t="s">
        <v>5837</v>
      </c>
      <c r="M1382" t="s">
        <v>23</v>
      </c>
      <c r="N1382" s="8">
        <v>0.239533</v>
      </c>
    </row>
    <row r="1383" spans="1:14" hidden="1" x14ac:dyDescent="0.55000000000000004">
      <c r="A1383" s="3" t="s">
        <v>5371</v>
      </c>
      <c r="B1383" s="3" t="s">
        <v>5418</v>
      </c>
      <c r="C1383" t="s">
        <v>5372</v>
      </c>
      <c r="D1383" s="3" t="s">
        <v>7329</v>
      </c>
      <c r="E1383" t="s">
        <v>5419</v>
      </c>
      <c r="F1383" s="3" t="s">
        <v>5420</v>
      </c>
      <c r="G1383" s="10">
        <v>0</v>
      </c>
      <c r="H1383" s="3" t="s">
        <v>19</v>
      </c>
      <c r="I1383" t="s">
        <v>5423</v>
      </c>
      <c r="J1383" s="3" t="s">
        <v>89</v>
      </c>
      <c r="K1383" t="s">
        <v>5849</v>
      </c>
      <c r="L1383" s="3" t="s">
        <v>5850</v>
      </c>
      <c r="M1383" t="s">
        <v>6297</v>
      </c>
      <c r="N1383" s="8">
        <v>4.5818999999999999E-2</v>
      </c>
    </row>
    <row r="1384" spans="1:14" hidden="1" x14ac:dyDescent="0.55000000000000004">
      <c r="A1384" s="3" t="s">
        <v>5371</v>
      </c>
      <c r="B1384" s="3" t="s">
        <v>5418</v>
      </c>
      <c r="C1384" t="s">
        <v>5372</v>
      </c>
      <c r="D1384" s="3" t="s">
        <v>7329</v>
      </c>
      <c r="E1384" t="s">
        <v>5419</v>
      </c>
      <c r="F1384" s="3" t="s">
        <v>5420</v>
      </c>
      <c r="G1384" s="10">
        <v>0</v>
      </c>
      <c r="H1384" s="3" t="s">
        <v>24</v>
      </c>
      <c r="I1384" t="s">
        <v>5426</v>
      </c>
      <c r="J1384" s="3" t="s">
        <v>40</v>
      </c>
      <c r="K1384" t="s">
        <v>23</v>
      </c>
      <c r="L1384" s="3" t="s">
        <v>5835</v>
      </c>
      <c r="M1384" t="s">
        <v>23</v>
      </c>
      <c r="N1384" s="8">
        <v>0.218274</v>
      </c>
    </row>
    <row r="1385" spans="1:14" hidden="1" x14ac:dyDescent="0.55000000000000004">
      <c r="A1385" s="3" t="s">
        <v>5371</v>
      </c>
      <c r="B1385" s="3" t="s">
        <v>7394</v>
      </c>
      <c r="C1385" t="s">
        <v>5372</v>
      </c>
      <c r="D1385" s="3" t="s">
        <v>7329</v>
      </c>
      <c r="E1385" t="s">
        <v>5427</v>
      </c>
      <c r="F1385" s="3" t="s">
        <v>5428</v>
      </c>
      <c r="G1385" s="10">
        <v>1</v>
      </c>
      <c r="H1385" s="3" t="s">
        <v>19</v>
      </c>
      <c r="I1385" t="s">
        <v>5423</v>
      </c>
      <c r="J1385" s="3" t="s">
        <v>89</v>
      </c>
      <c r="K1385" t="s">
        <v>5849</v>
      </c>
      <c r="L1385" s="3" t="s">
        <v>5850</v>
      </c>
      <c r="M1385" t="s">
        <v>6297</v>
      </c>
      <c r="N1385" s="8">
        <v>4.5818999999999999E-2</v>
      </c>
    </row>
    <row r="1386" spans="1:14" hidden="1" x14ac:dyDescent="0.55000000000000004">
      <c r="A1386" s="3" t="s">
        <v>5371</v>
      </c>
      <c r="B1386" s="3" t="s">
        <v>7394</v>
      </c>
      <c r="C1386" t="s">
        <v>5372</v>
      </c>
      <c r="D1386" s="3" t="s">
        <v>7329</v>
      </c>
      <c r="E1386" t="s">
        <v>5427</v>
      </c>
      <c r="F1386" s="3" t="s">
        <v>5428</v>
      </c>
      <c r="G1386" s="10">
        <v>1</v>
      </c>
      <c r="H1386" s="3" t="s">
        <v>24</v>
      </c>
      <c r="I1386" t="s">
        <v>5426</v>
      </c>
      <c r="J1386" s="3" t="s">
        <v>40</v>
      </c>
      <c r="K1386" t="s">
        <v>23</v>
      </c>
      <c r="L1386" s="3" t="s">
        <v>5835</v>
      </c>
      <c r="M1386" t="s">
        <v>23</v>
      </c>
      <c r="N1386" s="8">
        <v>0.218274</v>
      </c>
    </row>
    <row r="1387" spans="1:14" hidden="1" x14ac:dyDescent="0.55000000000000004">
      <c r="A1387" s="3" t="s">
        <v>5371</v>
      </c>
      <c r="B1387" s="3" t="s">
        <v>5430</v>
      </c>
      <c r="C1387" t="s">
        <v>5429</v>
      </c>
      <c r="D1387" s="3" t="s">
        <v>7329</v>
      </c>
      <c r="E1387" t="s">
        <v>5431</v>
      </c>
      <c r="F1387" s="3" t="s">
        <v>5432</v>
      </c>
      <c r="G1387" s="10">
        <v>1</v>
      </c>
      <c r="H1387" s="3" t="s">
        <v>19</v>
      </c>
      <c r="I1387" t="s">
        <v>5435</v>
      </c>
      <c r="J1387" s="3" t="s">
        <v>84</v>
      </c>
      <c r="K1387" t="s">
        <v>5842</v>
      </c>
      <c r="L1387" s="3" t="s">
        <v>5843</v>
      </c>
      <c r="M1387" t="s">
        <v>6298</v>
      </c>
      <c r="N1387" s="8">
        <v>4.8395000000000001E-2</v>
      </c>
    </row>
    <row r="1388" spans="1:14" hidden="1" x14ac:dyDescent="0.55000000000000004">
      <c r="A1388" s="3" t="s">
        <v>5371</v>
      </c>
      <c r="B1388" s="3" t="s">
        <v>5430</v>
      </c>
      <c r="C1388" t="s">
        <v>5429</v>
      </c>
      <c r="D1388" s="3" t="s">
        <v>7329</v>
      </c>
      <c r="E1388" t="s">
        <v>5431</v>
      </c>
      <c r="F1388" s="3" t="s">
        <v>5432</v>
      </c>
      <c r="G1388" s="10">
        <v>1</v>
      </c>
      <c r="H1388" s="3" t="s">
        <v>24</v>
      </c>
      <c r="I1388" t="s">
        <v>5438</v>
      </c>
      <c r="J1388" s="3" t="s">
        <v>46</v>
      </c>
      <c r="K1388" t="s">
        <v>5836</v>
      </c>
      <c r="L1388" s="3" t="s">
        <v>5837</v>
      </c>
      <c r="M1388" t="s">
        <v>6299</v>
      </c>
      <c r="N1388" s="8">
        <v>0.21546699999999999</v>
      </c>
    </row>
    <row r="1389" spans="1:14" hidden="1" x14ac:dyDescent="0.55000000000000004">
      <c r="A1389" s="3" t="s">
        <v>5371</v>
      </c>
      <c r="B1389" s="3" t="s">
        <v>5430</v>
      </c>
      <c r="C1389" t="s">
        <v>5429</v>
      </c>
      <c r="D1389" s="3" t="s">
        <v>7329</v>
      </c>
      <c r="E1389" t="s">
        <v>5441</v>
      </c>
      <c r="F1389" s="3" t="s">
        <v>5442</v>
      </c>
      <c r="G1389" s="10">
        <v>0</v>
      </c>
      <c r="H1389" s="3" t="s">
        <v>19</v>
      </c>
      <c r="I1389" t="s">
        <v>5445</v>
      </c>
      <c r="J1389" s="3" t="s">
        <v>84</v>
      </c>
      <c r="K1389" t="s">
        <v>5842</v>
      </c>
      <c r="L1389" s="3" t="s">
        <v>5843</v>
      </c>
      <c r="M1389" t="s">
        <v>6300</v>
      </c>
      <c r="N1389" s="8">
        <v>4.8395000000000001E-2</v>
      </c>
    </row>
    <row r="1390" spans="1:14" hidden="1" x14ac:dyDescent="0.55000000000000004">
      <c r="A1390" s="3" t="s">
        <v>5371</v>
      </c>
      <c r="B1390" s="3" t="s">
        <v>5430</v>
      </c>
      <c r="C1390" t="s">
        <v>5429</v>
      </c>
      <c r="D1390" s="3" t="s">
        <v>7329</v>
      </c>
      <c r="E1390" t="s">
        <v>5441</v>
      </c>
      <c r="F1390" s="3" t="s">
        <v>5442</v>
      </c>
      <c r="G1390" s="10">
        <v>0</v>
      </c>
      <c r="H1390" s="3" t="s">
        <v>24</v>
      </c>
      <c r="I1390" t="s">
        <v>5438</v>
      </c>
      <c r="J1390" s="3" t="s">
        <v>46</v>
      </c>
      <c r="K1390" t="s">
        <v>5836</v>
      </c>
      <c r="L1390" s="3" t="s">
        <v>5837</v>
      </c>
      <c r="M1390" t="s">
        <v>6299</v>
      </c>
      <c r="N1390" s="8">
        <v>0.21546699999999999</v>
      </c>
    </row>
    <row r="1391" spans="1:14" hidden="1" x14ac:dyDescent="0.55000000000000004">
      <c r="A1391" s="3" t="s">
        <v>5371</v>
      </c>
      <c r="B1391" s="3" t="s">
        <v>5430</v>
      </c>
      <c r="C1391" t="s">
        <v>5429</v>
      </c>
      <c r="D1391" s="3" t="s">
        <v>7329</v>
      </c>
      <c r="E1391" t="s">
        <v>5446</v>
      </c>
      <c r="F1391" s="3" t="s">
        <v>5447</v>
      </c>
      <c r="G1391" s="10">
        <v>0</v>
      </c>
      <c r="H1391" s="3" t="s">
        <v>19</v>
      </c>
      <c r="I1391" t="s">
        <v>5435</v>
      </c>
      <c r="J1391" s="3" t="s">
        <v>84</v>
      </c>
      <c r="K1391" t="s">
        <v>5842</v>
      </c>
      <c r="L1391" s="3" t="s">
        <v>5843</v>
      </c>
      <c r="M1391" t="s">
        <v>6298</v>
      </c>
      <c r="N1391" s="8">
        <v>4.8395000000000001E-2</v>
      </c>
    </row>
    <row r="1392" spans="1:14" hidden="1" x14ac:dyDescent="0.55000000000000004">
      <c r="A1392" s="3" t="s">
        <v>5371</v>
      </c>
      <c r="B1392" s="3" t="s">
        <v>5430</v>
      </c>
      <c r="C1392" t="s">
        <v>5429</v>
      </c>
      <c r="D1392" s="3" t="s">
        <v>7329</v>
      </c>
      <c r="E1392" t="s">
        <v>5446</v>
      </c>
      <c r="F1392" s="3" t="s">
        <v>5447</v>
      </c>
      <c r="G1392" s="10">
        <v>0</v>
      </c>
      <c r="H1392" s="3" t="s">
        <v>24</v>
      </c>
      <c r="I1392" t="s">
        <v>5438</v>
      </c>
      <c r="J1392" s="3" t="s">
        <v>46</v>
      </c>
      <c r="K1392" t="s">
        <v>5836</v>
      </c>
      <c r="L1392" s="3" t="s">
        <v>5837</v>
      </c>
      <c r="M1392" t="s">
        <v>6299</v>
      </c>
      <c r="N1392" s="8">
        <v>0.21546699999999999</v>
      </c>
    </row>
    <row r="1393" spans="1:14" hidden="1" x14ac:dyDescent="0.55000000000000004">
      <c r="A1393" s="3" t="s">
        <v>5371</v>
      </c>
      <c r="B1393" s="3" t="s">
        <v>5430</v>
      </c>
      <c r="C1393" t="s">
        <v>5429</v>
      </c>
      <c r="D1393" s="3" t="s">
        <v>7329</v>
      </c>
      <c r="E1393" t="s">
        <v>5448</v>
      </c>
      <c r="F1393" s="3" t="s">
        <v>5449</v>
      </c>
      <c r="G1393" s="10">
        <v>0</v>
      </c>
      <c r="H1393" s="3" t="s">
        <v>19</v>
      </c>
      <c r="I1393" t="s">
        <v>5435</v>
      </c>
      <c r="J1393" s="3" t="s">
        <v>84</v>
      </c>
      <c r="K1393" t="s">
        <v>5842</v>
      </c>
      <c r="L1393" s="3" t="s">
        <v>5843</v>
      </c>
      <c r="M1393" t="s">
        <v>6298</v>
      </c>
      <c r="N1393" s="8">
        <v>4.8395000000000001E-2</v>
      </c>
    </row>
    <row r="1394" spans="1:14" hidden="1" x14ac:dyDescent="0.55000000000000004">
      <c r="A1394" s="3" t="s">
        <v>5371</v>
      </c>
      <c r="B1394" s="3" t="s">
        <v>5430</v>
      </c>
      <c r="C1394" t="s">
        <v>5429</v>
      </c>
      <c r="D1394" s="3" t="s">
        <v>7329</v>
      </c>
      <c r="E1394" t="s">
        <v>5448</v>
      </c>
      <c r="F1394" s="3" t="s">
        <v>5449</v>
      </c>
      <c r="G1394" s="10">
        <v>0</v>
      </c>
      <c r="H1394" s="3" t="s">
        <v>24</v>
      </c>
      <c r="I1394" t="s">
        <v>5438</v>
      </c>
      <c r="J1394" s="3" t="s">
        <v>46</v>
      </c>
      <c r="K1394" t="s">
        <v>5836</v>
      </c>
      <c r="L1394" s="3" t="s">
        <v>5837</v>
      </c>
      <c r="M1394" t="s">
        <v>6299</v>
      </c>
      <c r="N1394" s="8">
        <v>0.21546699999999999</v>
      </c>
    </row>
    <row r="1395" spans="1:14" hidden="1" x14ac:dyDescent="0.55000000000000004">
      <c r="A1395" s="3" t="s">
        <v>5371</v>
      </c>
      <c r="B1395" s="3" t="s">
        <v>5430</v>
      </c>
      <c r="C1395" t="s">
        <v>5429</v>
      </c>
      <c r="D1395" s="3" t="s">
        <v>7329</v>
      </c>
      <c r="E1395" t="s">
        <v>5450</v>
      </c>
      <c r="F1395" s="3" t="s">
        <v>5451</v>
      </c>
      <c r="G1395" s="10">
        <v>0</v>
      </c>
      <c r="H1395" s="3" t="s">
        <v>19</v>
      </c>
      <c r="I1395" t="s">
        <v>5435</v>
      </c>
      <c r="J1395" s="3" t="s">
        <v>84</v>
      </c>
      <c r="K1395" t="s">
        <v>5842</v>
      </c>
      <c r="L1395" s="3" t="s">
        <v>5843</v>
      </c>
      <c r="M1395" t="s">
        <v>6298</v>
      </c>
      <c r="N1395" s="8">
        <v>4.8395000000000001E-2</v>
      </c>
    </row>
    <row r="1396" spans="1:14" hidden="1" x14ac:dyDescent="0.55000000000000004">
      <c r="A1396" s="3" t="s">
        <v>5371</v>
      </c>
      <c r="B1396" s="3" t="s">
        <v>5430</v>
      </c>
      <c r="C1396" t="s">
        <v>5429</v>
      </c>
      <c r="D1396" s="3" t="s">
        <v>7329</v>
      </c>
      <c r="E1396" t="s">
        <v>5450</v>
      </c>
      <c r="F1396" s="3" t="s">
        <v>5451</v>
      </c>
      <c r="G1396" s="10">
        <v>0</v>
      </c>
      <c r="H1396" s="3" t="s">
        <v>24</v>
      </c>
      <c r="I1396" t="s">
        <v>5438</v>
      </c>
      <c r="J1396" s="3" t="s">
        <v>46</v>
      </c>
      <c r="K1396" t="s">
        <v>5836</v>
      </c>
      <c r="L1396" s="3" t="s">
        <v>5837</v>
      </c>
      <c r="M1396" t="s">
        <v>6299</v>
      </c>
      <c r="N1396" s="8">
        <v>0.21546699999999999</v>
      </c>
    </row>
    <row r="1397" spans="1:14" hidden="1" x14ac:dyDescent="0.55000000000000004">
      <c r="A1397" s="3" t="s">
        <v>5371</v>
      </c>
      <c r="B1397" s="3" t="s">
        <v>5430</v>
      </c>
      <c r="C1397" t="s">
        <v>5429</v>
      </c>
      <c r="D1397" s="3" t="s">
        <v>7329</v>
      </c>
      <c r="E1397" t="s">
        <v>5452</v>
      </c>
      <c r="F1397" s="3" t="s">
        <v>5453</v>
      </c>
      <c r="G1397" s="10">
        <v>0</v>
      </c>
      <c r="H1397" s="3" t="s">
        <v>19</v>
      </c>
      <c r="I1397" t="s">
        <v>5445</v>
      </c>
      <c r="J1397" s="3" t="s">
        <v>84</v>
      </c>
      <c r="K1397" t="s">
        <v>5842</v>
      </c>
      <c r="L1397" s="3" t="s">
        <v>5843</v>
      </c>
      <c r="M1397" t="s">
        <v>6300</v>
      </c>
      <c r="N1397" s="8">
        <v>4.8395000000000001E-2</v>
      </c>
    </row>
    <row r="1398" spans="1:14" hidden="1" x14ac:dyDescent="0.55000000000000004">
      <c r="A1398" s="3" t="s">
        <v>5371</v>
      </c>
      <c r="B1398" s="3" t="s">
        <v>5430</v>
      </c>
      <c r="C1398" t="s">
        <v>5429</v>
      </c>
      <c r="D1398" s="3" t="s">
        <v>7329</v>
      </c>
      <c r="E1398" t="s">
        <v>5452</v>
      </c>
      <c r="F1398" s="3" t="s">
        <v>5453</v>
      </c>
      <c r="G1398" s="10">
        <v>0</v>
      </c>
      <c r="H1398" s="3" t="s">
        <v>24</v>
      </c>
      <c r="I1398" t="s">
        <v>5438</v>
      </c>
      <c r="J1398" s="3" t="s">
        <v>46</v>
      </c>
      <c r="K1398" t="s">
        <v>5836</v>
      </c>
      <c r="L1398" s="3" t="s">
        <v>5837</v>
      </c>
      <c r="M1398" t="s">
        <v>6299</v>
      </c>
      <c r="N1398" s="8">
        <v>0.21546699999999999</v>
      </c>
    </row>
    <row r="1399" spans="1:14" hidden="1" x14ac:dyDescent="0.55000000000000004">
      <c r="A1399" s="3" t="s">
        <v>5371</v>
      </c>
      <c r="B1399" s="3" t="s">
        <v>5430</v>
      </c>
      <c r="C1399" t="s">
        <v>5429</v>
      </c>
      <c r="D1399" s="3" t="s">
        <v>7329</v>
      </c>
      <c r="E1399" t="s">
        <v>5454</v>
      </c>
      <c r="F1399" s="3" t="s">
        <v>5455</v>
      </c>
      <c r="G1399" s="10">
        <v>0</v>
      </c>
      <c r="H1399" s="3" t="s">
        <v>19</v>
      </c>
      <c r="I1399" t="s">
        <v>5445</v>
      </c>
      <c r="J1399" s="3" t="s">
        <v>84</v>
      </c>
      <c r="K1399" t="s">
        <v>5842</v>
      </c>
      <c r="L1399" s="3" t="s">
        <v>5843</v>
      </c>
      <c r="M1399" t="s">
        <v>6300</v>
      </c>
      <c r="N1399" s="8">
        <v>4.8395000000000001E-2</v>
      </c>
    </row>
    <row r="1400" spans="1:14" hidden="1" x14ac:dyDescent="0.55000000000000004">
      <c r="A1400" s="3" t="s">
        <v>5371</v>
      </c>
      <c r="B1400" s="3" t="s">
        <v>5430</v>
      </c>
      <c r="C1400" t="s">
        <v>5429</v>
      </c>
      <c r="D1400" s="3" t="s">
        <v>7329</v>
      </c>
      <c r="E1400" t="s">
        <v>5454</v>
      </c>
      <c r="F1400" s="3" t="s">
        <v>5455</v>
      </c>
      <c r="G1400" s="10">
        <v>0</v>
      </c>
      <c r="H1400" s="3" t="s">
        <v>24</v>
      </c>
      <c r="I1400" t="s">
        <v>5438</v>
      </c>
      <c r="J1400" s="3" t="s">
        <v>46</v>
      </c>
      <c r="K1400" t="s">
        <v>5836</v>
      </c>
      <c r="L1400" s="3" t="s">
        <v>5837</v>
      </c>
      <c r="M1400" t="s">
        <v>6299</v>
      </c>
      <c r="N1400" s="8">
        <v>0.21546699999999999</v>
      </c>
    </row>
    <row r="1401" spans="1:14" hidden="1" x14ac:dyDescent="0.55000000000000004">
      <c r="A1401" s="3" t="s">
        <v>5371</v>
      </c>
      <c r="B1401" s="3" t="s">
        <v>5456</v>
      </c>
      <c r="C1401" t="s">
        <v>5456</v>
      </c>
      <c r="D1401" s="3" t="s">
        <v>7329</v>
      </c>
      <c r="E1401" t="s">
        <v>5457</v>
      </c>
      <c r="F1401" s="3" t="s">
        <v>5458</v>
      </c>
      <c r="G1401" s="10">
        <v>0</v>
      </c>
      <c r="H1401" s="3" t="s">
        <v>19</v>
      </c>
      <c r="I1401" t="s">
        <v>5461</v>
      </c>
      <c r="J1401" s="3" t="s">
        <v>84</v>
      </c>
      <c r="K1401" t="s">
        <v>5842</v>
      </c>
      <c r="L1401" s="3" t="s">
        <v>5843</v>
      </c>
      <c r="M1401" t="s">
        <v>6301</v>
      </c>
      <c r="N1401" s="8">
        <v>4.6775999999999998E-2</v>
      </c>
    </row>
    <row r="1402" spans="1:14" hidden="1" x14ac:dyDescent="0.55000000000000004">
      <c r="A1402" s="3" t="s">
        <v>5371</v>
      </c>
      <c r="B1402" s="3" t="s">
        <v>5456</v>
      </c>
      <c r="C1402" t="s">
        <v>5456</v>
      </c>
      <c r="D1402" s="3" t="s">
        <v>7329</v>
      </c>
      <c r="E1402" t="s">
        <v>5457</v>
      </c>
      <c r="F1402" s="3" t="s">
        <v>5458</v>
      </c>
      <c r="G1402" s="10">
        <v>0</v>
      </c>
      <c r="H1402" s="3" t="s">
        <v>24</v>
      </c>
      <c r="I1402" t="s">
        <v>5467</v>
      </c>
      <c r="J1402" s="3" t="s">
        <v>46</v>
      </c>
      <c r="K1402" t="s">
        <v>5836</v>
      </c>
      <c r="L1402" s="3" t="s">
        <v>5837</v>
      </c>
      <c r="M1402" t="s">
        <v>6302</v>
      </c>
      <c r="N1402" s="8">
        <v>0.22523299999999999</v>
      </c>
    </row>
    <row r="1403" spans="1:14" hidden="1" x14ac:dyDescent="0.55000000000000004">
      <c r="A1403" s="3" t="s">
        <v>5371</v>
      </c>
      <c r="B1403" s="3" t="s">
        <v>5456</v>
      </c>
      <c r="C1403" t="s">
        <v>5456</v>
      </c>
      <c r="D1403" s="3" t="s">
        <v>7329</v>
      </c>
      <c r="E1403" t="s">
        <v>5470</v>
      </c>
      <c r="F1403" s="3" t="s">
        <v>5471</v>
      </c>
      <c r="G1403" s="10">
        <v>1</v>
      </c>
      <c r="H1403" s="3" t="s">
        <v>19</v>
      </c>
      <c r="I1403" t="s">
        <v>5474</v>
      </c>
      <c r="J1403" s="3" t="s">
        <v>84</v>
      </c>
      <c r="K1403" t="s">
        <v>5842</v>
      </c>
      <c r="L1403" s="3" t="s">
        <v>5843</v>
      </c>
      <c r="M1403" t="s">
        <v>6303</v>
      </c>
      <c r="N1403" s="8">
        <v>4.6775999999999998E-2</v>
      </c>
    </row>
    <row r="1404" spans="1:14" hidden="1" x14ac:dyDescent="0.55000000000000004">
      <c r="A1404" s="3" t="s">
        <v>5371</v>
      </c>
      <c r="B1404" s="3" t="s">
        <v>5456</v>
      </c>
      <c r="C1404" t="s">
        <v>5456</v>
      </c>
      <c r="D1404" s="3" t="s">
        <v>7329</v>
      </c>
      <c r="E1404" t="s">
        <v>5470</v>
      </c>
      <c r="F1404" s="3" t="s">
        <v>5471</v>
      </c>
      <c r="G1404" s="10">
        <v>1</v>
      </c>
      <c r="H1404" s="3" t="s">
        <v>24</v>
      </c>
      <c r="I1404" t="s">
        <v>5467</v>
      </c>
      <c r="J1404" s="3" t="s">
        <v>46</v>
      </c>
      <c r="K1404" t="s">
        <v>5836</v>
      </c>
      <c r="L1404" s="3" t="s">
        <v>5837</v>
      </c>
      <c r="M1404" t="s">
        <v>6302</v>
      </c>
      <c r="N1404" s="8">
        <v>0.22523299999999999</v>
      </c>
    </row>
    <row r="1405" spans="1:14" hidden="1" x14ac:dyDescent="0.55000000000000004">
      <c r="A1405" s="3" t="s">
        <v>5371</v>
      </c>
      <c r="B1405" s="3" t="s">
        <v>5456</v>
      </c>
      <c r="C1405" t="s">
        <v>5456</v>
      </c>
      <c r="D1405" s="3" t="s">
        <v>7329</v>
      </c>
      <c r="E1405" t="s">
        <v>5475</v>
      </c>
      <c r="F1405" s="3" t="s">
        <v>5476</v>
      </c>
      <c r="G1405" s="10">
        <v>0</v>
      </c>
      <c r="H1405" s="3" t="s">
        <v>19</v>
      </c>
      <c r="I1405" t="s">
        <v>5474</v>
      </c>
      <c r="J1405" s="3" t="s">
        <v>84</v>
      </c>
      <c r="K1405" t="s">
        <v>5842</v>
      </c>
      <c r="L1405" s="3" t="s">
        <v>5843</v>
      </c>
      <c r="M1405" t="s">
        <v>6303</v>
      </c>
      <c r="N1405" s="8">
        <v>4.6775999999999998E-2</v>
      </c>
    </row>
    <row r="1406" spans="1:14" hidden="1" x14ac:dyDescent="0.55000000000000004">
      <c r="A1406" s="3" t="s">
        <v>5371</v>
      </c>
      <c r="B1406" s="3" t="s">
        <v>5456</v>
      </c>
      <c r="C1406" t="s">
        <v>5456</v>
      </c>
      <c r="D1406" s="3" t="s">
        <v>7329</v>
      </c>
      <c r="E1406" t="s">
        <v>5475</v>
      </c>
      <c r="F1406" s="3" t="s">
        <v>5476</v>
      </c>
      <c r="G1406" s="10">
        <v>0</v>
      </c>
      <c r="H1406" s="3" t="s">
        <v>24</v>
      </c>
      <c r="I1406" t="s">
        <v>5467</v>
      </c>
      <c r="J1406" s="3" t="s">
        <v>46</v>
      </c>
      <c r="K1406" t="s">
        <v>5836</v>
      </c>
      <c r="L1406" s="3" t="s">
        <v>5837</v>
      </c>
      <c r="M1406" t="s">
        <v>6302</v>
      </c>
      <c r="N1406" s="8">
        <v>0.22523299999999999</v>
      </c>
    </row>
    <row r="1407" spans="1:14" hidden="1" x14ac:dyDescent="0.55000000000000004">
      <c r="A1407" s="3" t="s">
        <v>5371</v>
      </c>
      <c r="B1407" s="3" t="s">
        <v>5456</v>
      </c>
      <c r="C1407" t="s">
        <v>5456</v>
      </c>
      <c r="D1407" s="3" t="s">
        <v>7329</v>
      </c>
      <c r="E1407" t="s">
        <v>5477</v>
      </c>
      <c r="F1407" s="3" t="s">
        <v>5478</v>
      </c>
      <c r="G1407" s="10">
        <v>0</v>
      </c>
      <c r="H1407" s="3" t="s">
        <v>19</v>
      </c>
      <c r="I1407" t="s">
        <v>5474</v>
      </c>
      <c r="J1407" s="3" t="s">
        <v>84</v>
      </c>
      <c r="K1407" t="s">
        <v>5842</v>
      </c>
      <c r="L1407" s="3" t="s">
        <v>5843</v>
      </c>
      <c r="M1407" t="s">
        <v>6303</v>
      </c>
      <c r="N1407" s="8">
        <v>4.6775999999999998E-2</v>
      </c>
    </row>
    <row r="1408" spans="1:14" hidden="1" x14ac:dyDescent="0.55000000000000004">
      <c r="A1408" s="3" t="s">
        <v>5371</v>
      </c>
      <c r="B1408" s="3" t="s">
        <v>5456</v>
      </c>
      <c r="C1408" t="s">
        <v>5456</v>
      </c>
      <c r="D1408" s="3" t="s">
        <v>7329</v>
      </c>
      <c r="E1408" t="s">
        <v>5477</v>
      </c>
      <c r="F1408" s="3" t="s">
        <v>5478</v>
      </c>
      <c r="G1408" s="10">
        <v>0</v>
      </c>
      <c r="H1408" s="3" t="s">
        <v>24</v>
      </c>
      <c r="I1408" t="s">
        <v>5467</v>
      </c>
      <c r="J1408" s="3" t="s">
        <v>46</v>
      </c>
      <c r="K1408" t="s">
        <v>5836</v>
      </c>
      <c r="L1408" s="3" t="s">
        <v>5837</v>
      </c>
      <c r="M1408" t="s">
        <v>6302</v>
      </c>
      <c r="N1408" s="8">
        <v>0.22523299999999999</v>
      </c>
    </row>
    <row r="1409" spans="1:14" hidden="1" x14ac:dyDescent="0.55000000000000004">
      <c r="A1409" s="3" t="s">
        <v>5371</v>
      </c>
      <c r="B1409" s="3" t="s">
        <v>5456</v>
      </c>
      <c r="C1409" t="s">
        <v>5456</v>
      </c>
      <c r="D1409" s="3" t="s">
        <v>7329</v>
      </c>
      <c r="E1409" t="s">
        <v>5479</v>
      </c>
      <c r="F1409" s="3" t="s">
        <v>5480</v>
      </c>
      <c r="G1409" s="10">
        <v>0</v>
      </c>
      <c r="H1409" s="3" t="s">
        <v>19</v>
      </c>
      <c r="I1409" t="s">
        <v>5483</v>
      </c>
      <c r="J1409" s="3" t="s">
        <v>84</v>
      </c>
      <c r="K1409" t="s">
        <v>5842</v>
      </c>
      <c r="L1409" s="3" t="s">
        <v>5843</v>
      </c>
      <c r="M1409" t="s">
        <v>6301</v>
      </c>
      <c r="N1409" s="8">
        <v>4.6775999999999998E-2</v>
      </c>
    </row>
    <row r="1410" spans="1:14" hidden="1" x14ac:dyDescent="0.55000000000000004">
      <c r="A1410" s="3" t="s">
        <v>5371</v>
      </c>
      <c r="B1410" s="3" t="s">
        <v>5456</v>
      </c>
      <c r="C1410" t="s">
        <v>5456</v>
      </c>
      <c r="D1410" s="3" t="s">
        <v>7329</v>
      </c>
      <c r="E1410" t="s">
        <v>5479</v>
      </c>
      <c r="F1410" s="3" t="s">
        <v>5480</v>
      </c>
      <c r="G1410" s="10">
        <v>0</v>
      </c>
      <c r="H1410" s="3" t="s">
        <v>24</v>
      </c>
      <c r="I1410" t="s">
        <v>5467</v>
      </c>
      <c r="J1410" s="3" t="s">
        <v>46</v>
      </c>
      <c r="K1410" t="s">
        <v>5836</v>
      </c>
      <c r="L1410" s="3" t="s">
        <v>5837</v>
      </c>
      <c r="M1410" t="s">
        <v>6302</v>
      </c>
      <c r="N1410" s="8">
        <v>0.22523299999999999</v>
      </c>
    </row>
    <row r="1411" spans="1:14" hidden="1" x14ac:dyDescent="0.55000000000000004">
      <c r="A1411" s="3" t="s">
        <v>5371</v>
      </c>
      <c r="B1411" s="3" t="s">
        <v>5456</v>
      </c>
      <c r="C1411" t="s">
        <v>5456</v>
      </c>
      <c r="D1411" s="3" t="s">
        <v>7329</v>
      </c>
      <c r="E1411" t="s">
        <v>5487</v>
      </c>
      <c r="F1411" s="3" t="s">
        <v>5488</v>
      </c>
      <c r="G1411" s="10">
        <v>0</v>
      </c>
      <c r="H1411" s="3" t="s">
        <v>19</v>
      </c>
      <c r="I1411" t="s">
        <v>5474</v>
      </c>
      <c r="J1411" s="3" t="s">
        <v>84</v>
      </c>
      <c r="K1411" t="s">
        <v>5842</v>
      </c>
      <c r="L1411" s="3" t="s">
        <v>5843</v>
      </c>
      <c r="M1411" t="s">
        <v>6303</v>
      </c>
      <c r="N1411" s="8">
        <v>4.6775999999999998E-2</v>
      </c>
    </row>
    <row r="1412" spans="1:14" hidden="1" x14ac:dyDescent="0.55000000000000004">
      <c r="A1412" s="3" t="s">
        <v>5371</v>
      </c>
      <c r="B1412" s="3" t="s">
        <v>5456</v>
      </c>
      <c r="C1412" t="s">
        <v>5456</v>
      </c>
      <c r="D1412" s="3" t="s">
        <v>7329</v>
      </c>
      <c r="E1412" t="s">
        <v>5487</v>
      </c>
      <c r="F1412" s="3" t="s">
        <v>5488</v>
      </c>
      <c r="G1412" s="10">
        <v>0</v>
      </c>
      <c r="H1412" s="3" t="s">
        <v>24</v>
      </c>
      <c r="I1412" t="s">
        <v>5467</v>
      </c>
      <c r="J1412" s="3" t="s">
        <v>46</v>
      </c>
      <c r="K1412" t="s">
        <v>5836</v>
      </c>
      <c r="L1412" s="3" t="s">
        <v>5837</v>
      </c>
      <c r="M1412" t="s">
        <v>6302</v>
      </c>
      <c r="N1412" s="8">
        <v>0.22523299999999999</v>
      </c>
    </row>
    <row r="1413" spans="1:14" hidden="1" x14ac:dyDescent="0.55000000000000004">
      <c r="A1413" s="3" t="s">
        <v>5371</v>
      </c>
      <c r="B1413" s="3" t="s">
        <v>5456</v>
      </c>
      <c r="C1413" t="s">
        <v>5456</v>
      </c>
      <c r="D1413" s="3" t="s">
        <v>7329</v>
      </c>
      <c r="E1413" t="s">
        <v>5489</v>
      </c>
      <c r="F1413" s="3" t="s">
        <v>5490</v>
      </c>
      <c r="G1413" s="10">
        <v>0</v>
      </c>
      <c r="H1413" s="3" t="s">
        <v>19</v>
      </c>
      <c r="I1413" t="s">
        <v>5483</v>
      </c>
      <c r="J1413" s="3" t="s">
        <v>84</v>
      </c>
      <c r="K1413" t="s">
        <v>5842</v>
      </c>
      <c r="L1413" s="3" t="s">
        <v>5843</v>
      </c>
      <c r="M1413" t="s">
        <v>6301</v>
      </c>
      <c r="N1413" s="8">
        <v>4.6775999999999998E-2</v>
      </c>
    </row>
    <row r="1414" spans="1:14" hidden="1" x14ac:dyDescent="0.55000000000000004">
      <c r="A1414" s="3" t="s">
        <v>5371</v>
      </c>
      <c r="B1414" s="3" t="s">
        <v>5456</v>
      </c>
      <c r="C1414" t="s">
        <v>5456</v>
      </c>
      <c r="D1414" s="3" t="s">
        <v>7329</v>
      </c>
      <c r="E1414" t="s">
        <v>5489</v>
      </c>
      <c r="F1414" s="3" t="s">
        <v>5490</v>
      </c>
      <c r="G1414" s="10">
        <v>0</v>
      </c>
      <c r="H1414" s="3" t="s">
        <v>24</v>
      </c>
      <c r="I1414" t="s">
        <v>5467</v>
      </c>
      <c r="J1414" s="3" t="s">
        <v>46</v>
      </c>
      <c r="K1414" t="s">
        <v>5836</v>
      </c>
      <c r="L1414" s="3" t="s">
        <v>5837</v>
      </c>
      <c r="M1414" t="s">
        <v>6302</v>
      </c>
      <c r="N1414" s="8">
        <v>0.22523299999999999</v>
      </c>
    </row>
    <row r="1415" spans="1:14" hidden="1" x14ac:dyDescent="0.55000000000000004">
      <c r="A1415" s="3" t="s">
        <v>5371</v>
      </c>
      <c r="B1415" s="3" t="s">
        <v>5456</v>
      </c>
      <c r="C1415" t="s">
        <v>5456</v>
      </c>
      <c r="D1415" s="3" t="s">
        <v>7329</v>
      </c>
      <c r="E1415" t="s">
        <v>5491</v>
      </c>
      <c r="F1415" s="3" t="s">
        <v>5492</v>
      </c>
      <c r="G1415" s="10">
        <v>0</v>
      </c>
      <c r="H1415" s="3" t="s">
        <v>19</v>
      </c>
      <c r="I1415" t="s">
        <v>5474</v>
      </c>
      <c r="J1415" s="3" t="s">
        <v>84</v>
      </c>
      <c r="K1415" t="s">
        <v>5842</v>
      </c>
      <c r="L1415" s="3" t="s">
        <v>5843</v>
      </c>
      <c r="M1415" t="s">
        <v>6303</v>
      </c>
      <c r="N1415" s="8">
        <v>4.6775999999999998E-2</v>
      </c>
    </row>
    <row r="1416" spans="1:14" hidden="1" x14ac:dyDescent="0.55000000000000004">
      <c r="A1416" s="3" t="s">
        <v>5371</v>
      </c>
      <c r="B1416" s="3" t="s">
        <v>5456</v>
      </c>
      <c r="C1416" t="s">
        <v>5456</v>
      </c>
      <c r="D1416" s="3" t="s">
        <v>7329</v>
      </c>
      <c r="E1416" t="s">
        <v>5491</v>
      </c>
      <c r="F1416" s="3" t="s">
        <v>5492</v>
      </c>
      <c r="G1416" s="10">
        <v>0</v>
      </c>
      <c r="H1416" s="3" t="s">
        <v>24</v>
      </c>
      <c r="I1416" t="s">
        <v>5467</v>
      </c>
      <c r="J1416" s="3" t="s">
        <v>46</v>
      </c>
      <c r="K1416" t="s">
        <v>5836</v>
      </c>
      <c r="L1416" s="3" t="s">
        <v>5837</v>
      </c>
      <c r="M1416" t="s">
        <v>6302</v>
      </c>
      <c r="N1416" s="8">
        <v>0.22523299999999999</v>
      </c>
    </row>
    <row r="1417" spans="1:14" hidden="1" x14ac:dyDescent="0.55000000000000004">
      <c r="A1417" s="3" t="s">
        <v>5371</v>
      </c>
      <c r="B1417" s="3" t="s">
        <v>5456</v>
      </c>
      <c r="C1417" t="s">
        <v>5456</v>
      </c>
      <c r="D1417" s="3" t="s">
        <v>7329</v>
      </c>
      <c r="E1417" t="s">
        <v>5493</v>
      </c>
      <c r="F1417" s="3" t="s">
        <v>5494</v>
      </c>
      <c r="G1417" s="10">
        <v>0</v>
      </c>
      <c r="H1417" s="3" t="s">
        <v>19</v>
      </c>
      <c r="I1417" t="s">
        <v>5483</v>
      </c>
      <c r="J1417" s="3" t="s">
        <v>84</v>
      </c>
      <c r="K1417" t="s">
        <v>5842</v>
      </c>
      <c r="L1417" s="3" t="s">
        <v>5843</v>
      </c>
      <c r="M1417" t="s">
        <v>6301</v>
      </c>
      <c r="N1417" s="8">
        <v>4.6775999999999998E-2</v>
      </c>
    </row>
    <row r="1418" spans="1:14" hidden="1" x14ac:dyDescent="0.55000000000000004">
      <c r="A1418" s="3" t="s">
        <v>5371</v>
      </c>
      <c r="B1418" s="3" t="s">
        <v>5456</v>
      </c>
      <c r="C1418" t="s">
        <v>5456</v>
      </c>
      <c r="D1418" s="3" t="s">
        <v>7329</v>
      </c>
      <c r="E1418" t="s">
        <v>5493</v>
      </c>
      <c r="F1418" s="3" t="s">
        <v>5494</v>
      </c>
      <c r="G1418" s="10">
        <v>0</v>
      </c>
      <c r="H1418" s="3" t="s">
        <v>24</v>
      </c>
      <c r="I1418" t="s">
        <v>5467</v>
      </c>
      <c r="J1418" s="3" t="s">
        <v>46</v>
      </c>
      <c r="K1418" t="s">
        <v>5836</v>
      </c>
      <c r="L1418" s="3" t="s">
        <v>5837</v>
      </c>
      <c r="M1418" t="s">
        <v>6302</v>
      </c>
      <c r="N1418" s="8">
        <v>0.22523299999999999</v>
      </c>
    </row>
    <row r="1419" spans="1:14" hidden="1" x14ac:dyDescent="0.55000000000000004">
      <c r="A1419" s="3" t="s">
        <v>5371</v>
      </c>
      <c r="B1419" s="3" t="s">
        <v>5456</v>
      </c>
      <c r="C1419" t="s">
        <v>5456</v>
      </c>
      <c r="D1419" s="3" t="s">
        <v>7329</v>
      </c>
      <c r="E1419" t="s">
        <v>5495</v>
      </c>
      <c r="F1419" s="3" t="s">
        <v>5496</v>
      </c>
      <c r="G1419" s="10">
        <v>0</v>
      </c>
      <c r="H1419" s="3" t="s">
        <v>19</v>
      </c>
      <c r="I1419" t="s">
        <v>5474</v>
      </c>
      <c r="J1419" s="3" t="s">
        <v>84</v>
      </c>
      <c r="K1419" t="s">
        <v>5842</v>
      </c>
      <c r="L1419" s="3" t="s">
        <v>5843</v>
      </c>
      <c r="M1419" t="s">
        <v>6303</v>
      </c>
      <c r="N1419" s="8">
        <v>4.6775999999999998E-2</v>
      </c>
    </row>
    <row r="1420" spans="1:14" hidden="1" x14ac:dyDescent="0.55000000000000004">
      <c r="A1420" s="3" t="s">
        <v>5371</v>
      </c>
      <c r="B1420" s="3" t="s">
        <v>5456</v>
      </c>
      <c r="C1420" t="s">
        <v>5456</v>
      </c>
      <c r="D1420" s="3" t="s">
        <v>7329</v>
      </c>
      <c r="E1420" t="s">
        <v>5495</v>
      </c>
      <c r="F1420" s="3" t="s">
        <v>5496</v>
      </c>
      <c r="G1420" s="10">
        <v>0</v>
      </c>
      <c r="H1420" s="3" t="s">
        <v>24</v>
      </c>
      <c r="I1420" t="s">
        <v>5467</v>
      </c>
      <c r="J1420" s="3" t="s">
        <v>46</v>
      </c>
      <c r="K1420" t="s">
        <v>5836</v>
      </c>
      <c r="L1420" s="3" t="s">
        <v>5837</v>
      </c>
      <c r="M1420" t="s">
        <v>6302</v>
      </c>
      <c r="N1420" s="8">
        <v>0.22523299999999999</v>
      </c>
    </row>
    <row r="1421" spans="1:14" hidden="1" x14ac:dyDescent="0.55000000000000004">
      <c r="A1421" s="3" t="s">
        <v>5371</v>
      </c>
      <c r="B1421" s="3" t="s">
        <v>5456</v>
      </c>
      <c r="C1421" t="s">
        <v>5456</v>
      </c>
      <c r="D1421" s="3" t="s">
        <v>7329</v>
      </c>
      <c r="E1421" t="s">
        <v>5497</v>
      </c>
      <c r="F1421" s="3" t="s">
        <v>5498</v>
      </c>
      <c r="G1421" s="10">
        <v>0</v>
      </c>
      <c r="H1421" s="3" t="s">
        <v>24</v>
      </c>
      <c r="I1421" t="s">
        <v>5467</v>
      </c>
      <c r="J1421" s="3" t="s">
        <v>46</v>
      </c>
      <c r="K1421" t="s">
        <v>5836</v>
      </c>
      <c r="L1421" s="3" t="s">
        <v>5837</v>
      </c>
      <c r="M1421" t="s">
        <v>6302</v>
      </c>
      <c r="N1421" s="8">
        <v>0.22523299999999999</v>
      </c>
    </row>
    <row r="1422" spans="1:14" hidden="1" x14ac:dyDescent="0.55000000000000004">
      <c r="A1422" s="3" t="s">
        <v>5371</v>
      </c>
      <c r="B1422" s="3" t="s">
        <v>5406</v>
      </c>
      <c r="C1422" t="s">
        <v>5406</v>
      </c>
      <c r="D1422" s="3" t="s">
        <v>7329</v>
      </c>
      <c r="E1422" t="s">
        <v>5499</v>
      </c>
      <c r="F1422" s="3" t="s">
        <v>5500</v>
      </c>
      <c r="G1422" s="10">
        <v>0</v>
      </c>
      <c r="H1422" s="3" t="s">
        <v>19</v>
      </c>
      <c r="I1422" t="s">
        <v>5503</v>
      </c>
      <c r="J1422" s="3" t="s">
        <v>89</v>
      </c>
      <c r="K1422" t="s">
        <v>5849</v>
      </c>
      <c r="L1422" s="3" t="s">
        <v>5850</v>
      </c>
      <c r="M1422" t="s">
        <v>6304</v>
      </c>
      <c r="N1422" s="8">
        <v>4.5088000000000003E-2</v>
      </c>
    </row>
    <row r="1423" spans="1:14" hidden="1" x14ac:dyDescent="0.55000000000000004">
      <c r="A1423" s="3" t="s">
        <v>5371</v>
      </c>
      <c r="B1423" s="3" t="s">
        <v>5406</v>
      </c>
      <c r="C1423" t="s">
        <v>5406</v>
      </c>
      <c r="D1423" s="3" t="s">
        <v>7329</v>
      </c>
      <c r="E1423" t="s">
        <v>5499</v>
      </c>
      <c r="F1423" s="3" t="s">
        <v>5500</v>
      </c>
      <c r="G1423" s="10">
        <v>0</v>
      </c>
      <c r="H1423" s="3" t="s">
        <v>24</v>
      </c>
      <c r="I1423" t="s">
        <v>5506</v>
      </c>
      <c r="J1423" s="3" t="s">
        <v>46</v>
      </c>
      <c r="K1423" t="s">
        <v>5836</v>
      </c>
      <c r="L1423" s="3" t="s">
        <v>5837</v>
      </c>
      <c r="M1423" t="s">
        <v>6305</v>
      </c>
      <c r="N1423" s="8">
        <v>0.22120000000000001</v>
      </c>
    </row>
    <row r="1424" spans="1:14" hidden="1" x14ac:dyDescent="0.55000000000000004">
      <c r="A1424" s="3" t="s">
        <v>5371</v>
      </c>
      <c r="B1424" s="3" t="s">
        <v>5406</v>
      </c>
      <c r="C1424" t="s">
        <v>5406</v>
      </c>
      <c r="D1424" s="3" t="s">
        <v>7329</v>
      </c>
      <c r="E1424" t="s">
        <v>5509</v>
      </c>
      <c r="F1424" s="3" t="s">
        <v>5510</v>
      </c>
      <c r="G1424" s="10">
        <v>1</v>
      </c>
      <c r="H1424" s="3" t="s">
        <v>19</v>
      </c>
      <c r="I1424" t="s">
        <v>5503</v>
      </c>
      <c r="J1424" s="3" t="s">
        <v>89</v>
      </c>
      <c r="K1424" t="s">
        <v>5849</v>
      </c>
      <c r="L1424" s="3" t="s">
        <v>5850</v>
      </c>
      <c r="M1424" t="s">
        <v>6304</v>
      </c>
      <c r="N1424" s="8">
        <v>4.5088000000000003E-2</v>
      </c>
    </row>
    <row r="1425" spans="1:14" hidden="1" x14ac:dyDescent="0.55000000000000004">
      <c r="A1425" s="3" t="s">
        <v>5371</v>
      </c>
      <c r="B1425" s="3" t="s">
        <v>5406</v>
      </c>
      <c r="C1425" t="s">
        <v>5406</v>
      </c>
      <c r="D1425" s="3" t="s">
        <v>7329</v>
      </c>
      <c r="E1425" t="s">
        <v>5509</v>
      </c>
      <c r="F1425" s="3" t="s">
        <v>5510</v>
      </c>
      <c r="G1425" s="10">
        <v>1</v>
      </c>
      <c r="H1425" s="3" t="s">
        <v>24</v>
      </c>
      <c r="I1425" t="s">
        <v>5506</v>
      </c>
      <c r="J1425" s="3" t="s">
        <v>46</v>
      </c>
      <c r="K1425" t="s">
        <v>5836</v>
      </c>
      <c r="L1425" s="3" t="s">
        <v>5837</v>
      </c>
      <c r="M1425" t="s">
        <v>6305</v>
      </c>
      <c r="N1425" s="8">
        <v>0.22120000000000001</v>
      </c>
    </row>
    <row r="1426" spans="1:14" hidden="1" x14ac:dyDescent="0.55000000000000004">
      <c r="A1426" s="3" t="s">
        <v>5371</v>
      </c>
      <c r="B1426" s="3" t="s">
        <v>5406</v>
      </c>
      <c r="C1426" t="s">
        <v>5406</v>
      </c>
      <c r="D1426" s="3" t="s">
        <v>7329</v>
      </c>
      <c r="E1426" t="s">
        <v>5511</v>
      </c>
      <c r="F1426" s="3" t="s">
        <v>5512</v>
      </c>
      <c r="G1426" s="10">
        <v>0</v>
      </c>
      <c r="H1426" s="3" t="s">
        <v>19</v>
      </c>
      <c r="I1426" t="s">
        <v>5503</v>
      </c>
      <c r="J1426" s="3" t="s">
        <v>89</v>
      </c>
      <c r="K1426" t="s">
        <v>5849</v>
      </c>
      <c r="L1426" s="3" t="s">
        <v>5850</v>
      </c>
      <c r="M1426" t="s">
        <v>6304</v>
      </c>
      <c r="N1426" s="8">
        <v>4.5088000000000003E-2</v>
      </c>
    </row>
    <row r="1427" spans="1:14" hidden="1" x14ac:dyDescent="0.55000000000000004">
      <c r="A1427" s="3" t="s">
        <v>5371</v>
      </c>
      <c r="B1427" s="3" t="s">
        <v>5406</v>
      </c>
      <c r="C1427" t="s">
        <v>5406</v>
      </c>
      <c r="D1427" s="3" t="s">
        <v>7329</v>
      </c>
      <c r="E1427" t="s">
        <v>5511</v>
      </c>
      <c r="F1427" s="3" t="s">
        <v>5512</v>
      </c>
      <c r="G1427" s="10">
        <v>0</v>
      </c>
      <c r="H1427" s="3" t="s">
        <v>24</v>
      </c>
      <c r="I1427" t="s">
        <v>5506</v>
      </c>
      <c r="J1427" s="3" t="s">
        <v>46</v>
      </c>
      <c r="K1427" t="s">
        <v>5836</v>
      </c>
      <c r="L1427" s="3" t="s">
        <v>5837</v>
      </c>
      <c r="M1427" t="s">
        <v>6305</v>
      </c>
      <c r="N1427" s="8">
        <v>0.22120000000000001</v>
      </c>
    </row>
    <row r="1428" spans="1:14" hidden="1" x14ac:dyDescent="0.55000000000000004">
      <c r="A1428" s="9" t="s">
        <v>5371</v>
      </c>
      <c r="B1428" s="3" t="s">
        <v>5513</v>
      </c>
      <c r="C1428" t="s">
        <v>5429</v>
      </c>
      <c r="D1428" s="3" t="s">
        <v>7329</v>
      </c>
      <c r="E1428" t="s">
        <v>5514</v>
      </c>
      <c r="F1428" s="3" t="s">
        <v>5515</v>
      </c>
      <c r="G1428" s="10">
        <v>0</v>
      </c>
      <c r="H1428" s="3" t="s">
        <v>24</v>
      </c>
      <c r="I1428" t="s">
        <v>5518</v>
      </c>
      <c r="J1428" s="3" t="s">
        <v>40</v>
      </c>
      <c r="K1428" t="s">
        <v>23</v>
      </c>
      <c r="L1428" s="3" t="s">
        <v>5835</v>
      </c>
      <c r="M1428" t="s">
        <v>23</v>
      </c>
      <c r="N1428" s="8">
        <v>0.21935499999999999</v>
      </c>
    </row>
    <row r="1429" spans="1:14" hidden="1" x14ac:dyDescent="0.55000000000000004">
      <c r="A1429" s="3" t="s">
        <v>5519</v>
      </c>
      <c r="B1429" s="3" t="s">
        <v>5520</v>
      </c>
      <c r="C1429" t="s">
        <v>5520</v>
      </c>
      <c r="D1429" s="3" t="s">
        <v>7319</v>
      </c>
      <c r="E1429" t="s">
        <v>5521</v>
      </c>
      <c r="F1429" s="3" t="s">
        <v>5522</v>
      </c>
      <c r="G1429" s="10">
        <v>0</v>
      </c>
      <c r="H1429" s="3" t="s">
        <v>24</v>
      </c>
      <c r="I1429" t="s">
        <v>5525</v>
      </c>
      <c r="J1429" s="3" t="s">
        <v>55</v>
      </c>
      <c r="K1429" t="s">
        <v>23</v>
      </c>
      <c r="L1429" s="3" t="s">
        <v>5839</v>
      </c>
      <c r="M1429" t="s">
        <v>23</v>
      </c>
      <c r="N1429" s="8">
        <v>0.296736</v>
      </c>
    </row>
    <row r="1430" spans="1:14" hidden="1" x14ac:dyDescent="0.55000000000000004">
      <c r="A1430" s="3" t="s">
        <v>5519</v>
      </c>
      <c r="B1430" s="3" t="s">
        <v>5520</v>
      </c>
      <c r="C1430" t="s">
        <v>5520</v>
      </c>
      <c r="D1430" s="3" t="s">
        <v>7319</v>
      </c>
      <c r="E1430" t="s">
        <v>5526</v>
      </c>
      <c r="F1430" s="3" t="s">
        <v>5527</v>
      </c>
      <c r="G1430" s="10">
        <v>0</v>
      </c>
      <c r="H1430" s="3" t="s">
        <v>24</v>
      </c>
      <c r="I1430" t="s">
        <v>5525</v>
      </c>
      <c r="J1430" s="3" t="s">
        <v>55</v>
      </c>
      <c r="K1430" t="s">
        <v>23</v>
      </c>
      <c r="L1430" s="3" t="s">
        <v>5839</v>
      </c>
      <c r="M1430" t="s">
        <v>23</v>
      </c>
      <c r="N1430" s="8">
        <v>0.296736</v>
      </c>
    </row>
    <row r="1431" spans="1:14" hidden="1" x14ac:dyDescent="0.55000000000000004">
      <c r="A1431" s="3" t="s">
        <v>5519</v>
      </c>
      <c r="B1431" s="3" t="s">
        <v>5520</v>
      </c>
      <c r="C1431" t="s">
        <v>5520</v>
      </c>
      <c r="D1431" s="3" t="s">
        <v>7319</v>
      </c>
      <c r="E1431" t="s">
        <v>5529</v>
      </c>
      <c r="F1431" s="3" t="s">
        <v>5530</v>
      </c>
      <c r="G1431" s="10">
        <v>0</v>
      </c>
      <c r="H1431" s="3" t="s">
        <v>24</v>
      </c>
      <c r="I1431" t="s">
        <v>5533</v>
      </c>
      <c r="J1431" s="3" t="s">
        <v>55</v>
      </c>
      <c r="K1431" t="s">
        <v>23</v>
      </c>
      <c r="L1431" s="3" t="s">
        <v>5839</v>
      </c>
      <c r="M1431" t="s">
        <v>23</v>
      </c>
      <c r="N1431" s="8">
        <v>0.29677500000000001</v>
      </c>
    </row>
    <row r="1432" spans="1:14" hidden="1" x14ac:dyDescent="0.55000000000000004">
      <c r="A1432" s="3" t="s">
        <v>5519</v>
      </c>
      <c r="B1432" s="3" t="s">
        <v>5528</v>
      </c>
      <c r="C1432" t="s">
        <v>5520</v>
      </c>
      <c r="D1432" s="3" t="s">
        <v>7319</v>
      </c>
      <c r="E1432" t="s">
        <v>5537</v>
      </c>
      <c r="F1432" s="3" t="s">
        <v>5538</v>
      </c>
      <c r="G1432" s="10">
        <v>0</v>
      </c>
      <c r="H1432" s="3" t="s">
        <v>24</v>
      </c>
      <c r="I1432" t="s">
        <v>5533</v>
      </c>
      <c r="J1432" s="3" t="s">
        <v>55</v>
      </c>
      <c r="K1432" t="s">
        <v>23</v>
      </c>
      <c r="L1432" s="3" t="s">
        <v>5839</v>
      </c>
      <c r="M1432" t="s">
        <v>23</v>
      </c>
      <c r="N1432" s="8">
        <v>0.29677500000000001</v>
      </c>
    </row>
    <row r="1433" spans="1:14" hidden="1" x14ac:dyDescent="0.55000000000000004">
      <c r="A1433" s="3" t="s">
        <v>5519</v>
      </c>
      <c r="B1433" s="3" t="s">
        <v>5539</v>
      </c>
      <c r="C1433" t="s">
        <v>5539</v>
      </c>
      <c r="D1433" s="3" t="s">
        <v>7319</v>
      </c>
      <c r="E1433" t="s">
        <v>5540</v>
      </c>
      <c r="F1433" s="3" t="s">
        <v>5541</v>
      </c>
      <c r="G1433" s="10">
        <v>0</v>
      </c>
      <c r="H1433" s="3" t="s">
        <v>24</v>
      </c>
      <c r="I1433" t="s">
        <v>5553</v>
      </c>
      <c r="J1433" s="3" t="s">
        <v>55</v>
      </c>
      <c r="K1433" t="s">
        <v>23</v>
      </c>
      <c r="L1433" s="3" t="s">
        <v>5839</v>
      </c>
      <c r="M1433" t="s">
        <v>23</v>
      </c>
      <c r="N1433" s="8">
        <v>0.294458</v>
      </c>
    </row>
    <row r="1434" spans="1:14" hidden="1" x14ac:dyDescent="0.55000000000000004">
      <c r="A1434" s="3" t="s">
        <v>5519</v>
      </c>
      <c r="B1434" s="3" t="s">
        <v>5557</v>
      </c>
      <c r="C1434" t="s">
        <v>5557</v>
      </c>
      <c r="D1434" s="3" t="s">
        <v>7319</v>
      </c>
      <c r="E1434" t="s">
        <v>5558</v>
      </c>
      <c r="F1434" s="3" t="s">
        <v>5559</v>
      </c>
      <c r="G1434" s="10">
        <v>0</v>
      </c>
      <c r="H1434" s="3" t="s">
        <v>19</v>
      </c>
      <c r="I1434" t="s">
        <v>5562</v>
      </c>
      <c r="J1434" s="3" t="s">
        <v>1486</v>
      </c>
      <c r="K1434" t="s">
        <v>5972</v>
      </c>
      <c r="L1434" s="3" t="s">
        <v>5973</v>
      </c>
      <c r="M1434" t="s">
        <v>6306</v>
      </c>
      <c r="N1434" s="8">
        <v>6.7797999999999997E-2</v>
      </c>
    </row>
    <row r="1435" spans="1:14" hidden="1" x14ac:dyDescent="0.55000000000000004">
      <c r="A1435" s="3" t="s">
        <v>5519</v>
      </c>
      <c r="B1435" s="3" t="s">
        <v>5557</v>
      </c>
      <c r="C1435" t="s">
        <v>5557</v>
      </c>
      <c r="D1435" s="3" t="s">
        <v>7319</v>
      </c>
      <c r="E1435" t="s">
        <v>5558</v>
      </c>
      <c r="F1435" s="3" t="s">
        <v>5559</v>
      </c>
      <c r="G1435" s="10">
        <v>0</v>
      </c>
      <c r="H1435" s="3" t="s">
        <v>24</v>
      </c>
      <c r="I1435" t="s">
        <v>5565</v>
      </c>
      <c r="J1435" s="3" t="s">
        <v>76</v>
      </c>
      <c r="K1435" t="s">
        <v>5841</v>
      </c>
      <c r="L1435" s="3" t="s">
        <v>5840</v>
      </c>
      <c r="M1435" t="s">
        <v>6307</v>
      </c>
      <c r="N1435" s="8">
        <v>0.29416700000000001</v>
      </c>
    </row>
    <row r="1436" spans="1:14" hidden="1" x14ac:dyDescent="0.55000000000000004">
      <c r="A1436" s="3" t="s">
        <v>5519</v>
      </c>
      <c r="B1436" s="3" t="s">
        <v>5557</v>
      </c>
      <c r="C1436" t="s">
        <v>5557</v>
      </c>
      <c r="D1436" s="3" t="s">
        <v>7319</v>
      </c>
      <c r="E1436" t="s">
        <v>5568</v>
      </c>
      <c r="F1436" s="3" t="s">
        <v>5569</v>
      </c>
      <c r="G1436" s="10">
        <v>0</v>
      </c>
      <c r="H1436" s="3" t="s">
        <v>19</v>
      </c>
      <c r="I1436" t="s">
        <v>5562</v>
      </c>
      <c r="J1436" s="3" t="s">
        <v>1486</v>
      </c>
      <c r="K1436" t="s">
        <v>5972</v>
      </c>
      <c r="L1436" s="3" t="s">
        <v>5973</v>
      </c>
      <c r="M1436" t="s">
        <v>6306</v>
      </c>
      <c r="N1436" s="8">
        <v>6.7797999999999997E-2</v>
      </c>
    </row>
    <row r="1437" spans="1:14" hidden="1" x14ac:dyDescent="0.55000000000000004">
      <c r="A1437" s="3" t="s">
        <v>5519</v>
      </c>
      <c r="B1437" s="3" t="s">
        <v>5557</v>
      </c>
      <c r="C1437" t="s">
        <v>5557</v>
      </c>
      <c r="D1437" s="3" t="s">
        <v>7319</v>
      </c>
      <c r="E1437" t="s">
        <v>5568</v>
      </c>
      <c r="F1437" s="3" t="s">
        <v>5569</v>
      </c>
      <c r="G1437" s="10">
        <v>0</v>
      </c>
      <c r="H1437" s="3" t="s">
        <v>24</v>
      </c>
      <c r="I1437" t="s">
        <v>5565</v>
      </c>
      <c r="J1437" s="3" t="s">
        <v>76</v>
      </c>
      <c r="K1437" t="s">
        <v>5841</v>
      </c>
      <c r="L1437" s="3" t="s">
        <v>5840</v>
      </c>
      <c r="M1437" t="s">
        <v>6307</v>
      </c>
      <c r="N1437" s="8">
        <v>0.29416700000000001</v>
      </c>
    </row>
    <row r="1438" spans="1:14" hidden="1" x14ac:dyDescent="0.55000000000000004">
      <c r="A1438" s="3" t="s">
        <v>5519</v>
      </c>
      <c r="B1438" s="3" t="s">
        <v>5570</v>
      </c>
      <c r="C1438" t="s">
        <v>5571</v>
      </c>
      <c r="D1438" s="3" t="s">
        <v>7319</v>
      </c>
      <c r="E1438" t="s">
        <v>5572</v>
      </c>
      <c r="F1438" s="3" t="s">
        <v>5573</v>
      </c>
      <c r="G1438" s="10">
        <v>1</v>
      </c>
      <c r="H1438" s="3" t="s">
        <v>19</v>
      </c>
      <c r="I1438" t="s">
        <v>5577</v>
      </c>
      <c r="J1438" s="3" t="s">
        <v>5578</v>
      </c>
      <c r="K1438" t="s">
        <v>6308</v>
      </c>
      <c r="L1438" s="3" t="s">
        <v>6309</v>
      </c>
      <c r="M1438" t="s">
        <v>6310</v>
      </c>
      <c r="N1438" s="8">
        <v>6.679E-3</v>
      </c>
    </row>
    <row r="1439" spans="1:14" hidden="1" x14ac:dyDescent="0.55000000000000004">
      <c r="A1439" s="3" t="s">
        <v>5519</v>
      </c>
      <c r="B1439" s="3" t="s">
        <v>5570</v>
      </c>
      <c r="C1439" t="s">
        <v>5571</v>
      </c>
      <c r="D1439" s="3" t="s">
        <v>7319</v>
      </c>
      <c r="E1439" t="s">
        <v>5572</v>
      </c>
      <c r="F1439" s="3" t="s">
        <v>5573</v>
      </c>
      <c r="G1439" s="10">
        <v>1</v>
      </c>
      <c r="H1439" s="3" t="s">
        <v>24</v>
      </c>
      <c r="I1439" t="s">
        <v>5588</v>
      </c>
      <c r="J1439" s="3" t="s">
        <v>76</v>
      </c>
      <c r="K1439" t="s">
        <v>5841</v>
      </c>
      <c r="L1439" s="3" t="s">
        <v>5840</v>
      </c>
      <c r="M1439" t="s">
        <v>6311</v>
      </c>
      <c r="N1439" s="8">
        <v>0.29416700000000001</v>
      </c>
    </row>
    <row r="1440" spans="1:14" hidden="1" x14ac:dyDescent="0.55000000000000004">
      <c r="A1440" s="3" t="s">
        <v>5519</v>
      </c>
      <c r="B1440" s="3" t="s">
        <v>7395</v>
      </c>
      <c r="C1440" t="s">
        <v>5571</v>
      </c>
      <c r="D1440" s="3" t="s">
        <v>7319</v>
      </c>
      <c r="E1440" t="s">
        <v>5591</v>
      </c>
      <c r="F1440" s="3" t="s">
        <v>5592</v>
      </c>
      <c r="G1440" s="10">
        <v>1</v>
      </c>
      <c r="H1440" s="3" t="s">
        <v>19</v>
      </c>
      <c r="I1440" t="s">
        <v>5595</v>
      </c>
      <c r="J1440" s="3" t="s">
        <v>5578</v>
      </c>
      <c r="K1440" t="s">
        <v>6308</v>
      </c>
      <c r="L1440" s="3" t="s">
        <v>6309</v>
      </c>
      <c r="M1440" t="s">
        <v>6312</v>
      </c>
      <c r="N1440" s="8">
        <v>7.6360000000000004E-3</v>
      </c>
    </row>
    <row r="1441" spans="1:14" hidden="1" x14ac:dyDescent="0.55000000000000004">
      <c r="A1441" s="3" t="s">
        <v>5519</v>
      </c>
      <c r="B1441" s="3" t="s">
        <v>7395</v>
      </c>
      <c r="C1441" t="s">
        <v>5571</v>
      </c>
      <c r="D1441" s="3" t="s">
        <v>7319</v>
      </c>
      <c r="E1441" t="s">
        <v>5591</v>
      </c>
      <c r="F1441" s="3" t="s">
        <v>5592</v>
      </c>
      <c r="G1441" s="10">
        <v>1</v>
      </c>
      <c r="H1441" s="3" t="s">
        <v>24</v>
      </c>
      <c r="I1441" t="s">
        <v>5598</v>
      </c>
      <c r="J1441" s="3" t="s">
        <v>76</v>
      </c>
      <c r="K1441" t="s">
        <v>5841</v>
      </c>
      <c r="L1441" s="3" t="s">
        <v>5840</v>
      </c>
      <c r="M1441" t="s">
        <v>6311</v>
      </c>
      <c r="N1441" s="8">
        <v>0.29416700000000001</v>
      </c>
    </row>
    <row r="1442" spans="1:14" hidden="1" x14ac:dyDescent="0.55000000000000004">
      <c r="A1442" s="3" t="s">
        <v>5519</v>
      </c>
      <c r="B1442" s="3" t="s">
        <v>5571</v>
      </c>
      <c r="C1442" t="s">
        <v>5571</v>
      </c>
      <c r="D1442" s="3" t="s">
        <v>7319</v>
      </c>
      <c r="E1442" t="s">
        <v>5601</v>
      </c>
      <c r="F1442" s="3" t="s">
        <v>5602</v>
      </c>
      <c r="G1442" s="10">
        <v>0</v>
      </c>
      <c r="H1442" s="3" t="s">
        <v>19</v>
      </c>
      <c r="I1442" t="s">
        <v>5595</v>
      </c>
      <c r="J1442" s="3" t="s">
        <v>5578</v>
      </c>
      <c r="K1442" t="s">
        <v>6308</v>
      </c>
      <c r="L1442" s="3" t="s">
        <v>6309</v>
      </c>
      <c r="M1442" t="s">
        <v>6312</v>
      </c>
      <c r="N1442" s="8">
        <v>7.6360000000000004E-3</v>
      </c>
    </row>
    <row r="1443" spans="1:14" hidden="1" x14ac:dyDescent="0.55000000000000004">
      <c r="A1443" s="3" t="s">
        <v>5519</v>
      </c>
      <c r="B1443" s="3" t="s">
        <v>5571</v>
      </c>
      <c r="C1443" t="s">
        <v>5571</v>
      </c>
      <c r="D1443" s="3" t="s">
        <v>7319</v>
      </c>
      <c r="E1443" t="s">
        <v>5601</v>
      </c>
      <c r="F1443" s="3" t="s">
        <v>5602</v>
      </c>
      <c r="G1443" s="10">
        <v>0</v>
      </c>
      <c r="H1443" s="3" t="s">
        <v>24</v>
      </c>
      <c r="I1443" t="s">
        <v>5598</v>
      </c>
      <c r="J1443" s="3" t="s">
        <v>76</v>
      </c>
      <c r="K1443" t="s">
        <v>5841</v>
      </c>
      <c r="L1443" s="3" t="s">
        <v>5840</v>
      </c>
      <c r="M1443" t="s">
        <v>6311</v>
      </c>
      <c r="N1443" s="8">
        <v>0.29416700000000001</v>
      </c>
    </row>
    <row r="1444" spans="1:14" hidden="1" x14ac:dyDescent="0.55000000000000004">
      <c r="A1444" s="3" t="s">
        <v>5519</v>
      </c>
      <c r="B1444" s="3" t="s">
        <v>7395</v>
      </c>
      <c r="C1444" t="s">
        <v>5571</v>
      </c>
      <c r="D1444" s="3" t="s">
        <v>7319</v>
      </c>
      <c r="E1444" t="s">
        <v>5603</v>
      </c>
      <c r="F1444" s="3" t="s">
        <v>5604</v>
      </c>
      <c r="G1444" s="10">
        <v>0</v>
      </c>
      <c r="H1444" s="3" t="s">
        <v>19</v>
      </c>
      <c r="I1444" t="s">
        <v>5595</v>
      </c>
      <c r="J1444" s="3" t="s">
        <v>5578</v>
      </c>
      <c r="K1444" t="s">
        <v>6308</v>
      </c>
      <c r="L1444" s="3" t="s">
        <v>6309</v>
      </c>
      <c r="M1444" t="s">
        <v>6312</v>
      </c>
      <c r="N1444" s="8">
        <v>7.6360000000000004E-3</v>
      </c>
    </row>
    <row r="1445" spans="1:14" hidden="1" x14ac:dyDescent="0.55000000000000004">
      <c r="A1445" s="3" t="s">
        <v>5519</v>
      </c>
      <c r="B1445" s="3" t="s">
        <v>7395</v>
      </c>
      <c r="C1445" t="s">
        <v>5571</v>
      </c>
      <c r="D1445" s="3" t="s">
        <v>7319</v>
      </c>
      <c r="E1445" t="s">
        <v>5603</v>
      </c>
      <c r="F1445" s="3" t="s">
        <v>5604</v>
      </c>
      <c r="G1445" s="10">
        <v>0</v>
      </c>
      <c r="H1445" s="3" t="s">
        <v>24</v>
      </c>
      <c r="I1445" t="s">
        <v>5598</v>
      </c>
      <c r="J1445" s="3" t="s">
        <v>76</v>
      </c>
      <c r="K1445" t="s">
        <v>5841</v>
      </c>
      <c r="L1445" s="3" t="s">
        <v>5840</v>
      </c>
      <c r="M1445" t="s">
        <v>6311</v>
      </c>
      <c r="N1445" s="8">
        <v>0.29416700000000001</v>
      </c>
    </row>
    <row r="1446" spans="1:14" hidden="1" x14ac:dyDescent="0.55000000000000004">
      <c r="A1446" s="3" t="s">
        <v>5519</v>
      </c>
      <c r="B1446" s="3" t="s">
        <v>5605</v>
      </c>
      <c r="C1446" t="s">
        <v>5605</v>
      </c>
      <c r="D1446" s="3" t="s">
        <v>7319</v>
      </c>
      <c r="E1446" t="s">
        <v>5606</v>
      </c>
      <c r="F1446" s="3" t="s">
        <v>5607</v>
      </c>
      <c r="G1446" s="10">
        <v>0</v>
      </c>
      <c r="H1446" s="3" t="s">
        <v>24</v>
      </c>
      <c r="I1446" t="s">
        <v>5615</v>
      </c>
      <c r="J1446" s="3" t="s">
        <v>55</v>
      </c>
      <c r="K1446" t="s">
        <v>23</v>
      </c>
      <c r="L1446" s="3" t="s">
        <v>5839</v>
      </c>
      <c r="M1446" t="s">
        <v>23</v>
      </c>
      <c r="N1446" s="8">
        <v>0.29343799999999998</v>
      </c>
    </row>
    <row r="1447" spans="1:14" hidden="1" x14ac:dyDescent="0.55000000000000004">
      <c r="A1447" s="3" t="s">
        <v>5519</v>
      </c>
      <c r="B1447" s="3" t="s">
        <v>5605</v>
      </c>
      <c r="C1447" t="s">
        <v>5605</v>
      </c>
      <c r="D1447" s="3" t="s">
        <v>7319</v>
      </c>
      <c r="E1447" t="s">
        <v>5616</v>
      </c>
      <c r="F1447" s="3" t="s">
        <v>5617</v>
      </c>
      <c r="G1447" s="10">
        <v>0</v>
      </c>
      <c r="H1447" s="3" t="s">
        <v>24</v>
      </c>
      <c r="I1447" t="s">
        <v>5615</v>
      </c>
      <c r="J1447" s="3" t="s">
        <v>55</v>
      </c>
      <c r="K1447" t="s">
        <v>23</v>
      </c>
      <c r="L1447" s="3" t="s">
        <v>5839</v>
      </c>
      <c r="M1447" t="s">
        <v>23</v>
      </c>
      <c r="N1447" s="8">
        <v>0.29343799999999998</v>
      </c>
    </row>
    <row r="1448" spans="1:14" hidden="1" x14ac:dyDescent="0.55000000000000004">
      <c r="A1448" s="3" t="s">
        <v>5519</v>
      </c>
      <c r="B1448" s="3" t="s">
        <v>5605</v>
      </c>
      <c r="C1448" t="s">
        <v>5605</v>
      </c>
      <c r="D1448" s="3" t="s">
        <v>7319</v>
      </c>
      <c r="E1448" t="s">
        <v>5618</v>
      </c>
      <c r="F1448" s="3" t="s">
        <v>5619</v>
      </c>
      <c r="G1448" s="10">
        <v>1</v>
      </c>
      <c r="H1448" s="3" t="s">
        <v>19</v>
      </c>
      <c r="I1448" t="s">
        <v>5562</v>
      </c>
      <c r="J1448" s="3" t="s">
        <v>1486</v>
      </c>
      <c r="K1448" t="s">
        <v>5972</v>
      </c>
      <c r="L1448" s="3" t="s">
        <v>5973</v>
      </c>
      <c r="M1448" t="s">
        <v>6306</v>
      </c>
      <c r="N1448" s="8">
        <v>6.7797999999999997E-2</v>
      </c>
    </row>
    <row r="1449" spans="1:14" hidden="1" x14ac:dyDescent="0.55000000000000004">
      <c r="A1449" s="3" t="s">
        <v>5519</v>
      </c>
      <c r="B1449" s="3" t="s">
        <v>5605</v>
      </c>
      <c r="C1449" t="s">
        <v>5605</v>
      </c>
      <c r="D1449" s="3" t="s">
        <v>7319</v>
      </c>
      <c r="E1449" t="s">
        <v>5618</v>
      </c>
      <c r="F1449" s="3" t="s">
        <v>5619</v>
      </c>
      <c r="G1449" s="10">
        <v>1</v>
      </c>
      <c r="H1449" s="3" t="s">
        <v>19</v>
      </c>
      <c r="I1449" t="s">
        <v>5622</v>
      </c>
      <c r="J1449" s="3" t="s">
        <v>5623</v>
      </c>
      <c r="K1449" t="s">
        <v>6313</v>
      </c>
      <c r="L1449" s="3" t="s">
        <v>6306</v>
      </c>
      <c r="M1449" t="s">
        <v>6314</v>
      </c>
      <c r="N1449" s="8">
        <v>1.5598000000000001E-2</v>
      </c>
    </row>
    <row r="1450" spans="1:14" hidden="1" x14ac:dyDescent="0.55000000000000004">
      <c r="A1450" s="3" t="s">
        <v>5519</v>
      </c>
      <c r="B1450" s="3" t="s">
        <v>5605</v>
      </c>
      <c r="C1450" t="s">
        <v>5605</v>
      </c>
      <c r="D1450" s="3" t="s">
        <v>7319</v>
      </c>
      <c r="E1450" t="s">
        <v>5618</v>
      </c>
      <c r="F1450" s="3" t="s">
        <v>5619</v>
      </c>
      <c r="G1450" s="10">
        <v>1</v>
      </c>
      <c r="H1450" s="3" t="s">
        <v>24</v>
      </c>
      <c r="I1450" t="s">
        <v>5615</v>
      </c>
      <c r="J1450" s="3" t="s">
        <v>55</v>
      </c>
      <c r="K1450" t="s">
        <v>23</v>
      </c>
      <c r="L1450" s="3" t="s">
        <v>5839</v>
      </c>
      <c r="M1450" t="s">
        <v>23</v>
      </c>
      <c r="N1450" s="8">
        <v>0.29343799999999998</v>
      </c>
    </row>
    <row r="1451" spans="1:14" hidden="1" x14ac:dyDescent="0.55000000000000004">
      <c r="A1451" s="3" t="s">
        <v>5519</v>
      </c>
      <c r="B1451" s="3" t="s">
        <v>5631</v>
      </c>
      <c r="C1451" t="s">
        <v>5631</v>
      </c>
      <c r="D1451" s="3" t="s">
        <v>7319</v>
      </c>
      <c r="E1451" t="s">
        <v>5632</v>
      </c>
      <c r="F1451" s="3" t="s">
        <v>5633</v>
      </c>
      <c r="G1451" s="10">
        <v>1</v>
      </c>
      <c r="H1451" s="3" t="s">
        <v>19</v>
      </c>
      <c r="I1451" t="s">
        <v>5636</v>
      </c>
      <c r="J1451" s="3" t="s">
        <v>5578</v>
      </c>
      <c r="K1451" t="s">
        <v>6308</v>
      </c>
      <c r="L1451" s="3" t="s">
        <v>6309</v>
      </c>
      <c r="M1451" t="s">
        <v>6315</v>
      </c>
      <c r="N1451" s="8">
        <v>9.1070000000000005E-3</v>
      </c>
    </row>
    <row r="1452" spans="1:14" hidden="1" x14ac:dyDescent="0.55000000000000004">
      <c r="A1452" s="3" t="s">
        <v>5519</v>
      </c>
      <c r="B1452" s="3" t="s">
        <v>5631</v>
      </c>
      <c r="C1452" t="s">
        <v>5631</v>
      </c>
      <c r="D1452" s="3" t="s">
        <v>7319</v>
      </c>
      <c r="E1452" t="s">
        <v>5632</v>
      </c>
      <c r="F1452" s="3" t="s">
        <v>5633</v>
      </c>
      <c r="G1452" s="10">
        <v>1</v>
      </c>
      <c r="H1452" s="3" t="s">
        <v>24</v>
      </c>
      <c r="I1452" t="s">
        <v>5639</v>
      </c>
      <c r="J1452" s="3" t="s">
        <v>76</v>
      </c>
      <c r="K1452" t="s">
        <v>5841</v>
      </c>
      <c r="L1452" s="3" t="s">
        <v>5840</v>
      </c>
      <c r="M1452" t="s">
        <v>6311</v>
      </c>
      <c r="N1452" s="8">
        <v>0.29416700000000001</v>
      </c>
    </row>
    <row r="1453" spans="1:14" hidden="1" x14ac:dyDescent="0.55000000000000004">
      <c r="A1453" s="3" t="s">
        <v>5519</v>
      </c>
      <c r="B1453" s="3" t="s">
        <v>5631</v>
      </c>
      <c r="C1453" t="s">
        <v>5631</v>
      </c>
      <c r="D1453" s="3" t="s">
        <v>7319</v>
      </c>
      <c r="E1453" t="s">
        <v>5642</v>
      </c>
      <c r="F1453" s="3" t="s">
        <v>5643</v>
      </c>
      <c r="G1453" s="10">
        <v>0</v>
      </c>
      <c r="H1453" s="3" t="s">
        <v>24</v>
      </c>
      <c r="I1453" t="s">
        <v>5639</v>
      </c>
      <c r="J1453" s="3" t="s">
        <v>76</v>
      </c>
      <c r="K1453" t="s">
        <v>5841</v>
      </c>
      <c r="L1453" s="3" t="s">
        <v>5840</v>
      </c>
      <c r="M1453" t="s">
        <v>6311</v>
      </c>
      <c r="N1453" s="8">
        <v>0.29416700000000001</v>
      </c>
    </row>
    <row r="1454" spans="1:14" hidden="1" x14ac:dyDescent="0.55000000000000004">
      <c r="A1454" s="3" t="s">
        <v>5519</v>
      </c>
      <c r="B1454" s="3" t="s">
        <v>5631</v>
      </c>
      <c r="C1454" t="s">
        <v>5631</v>
      </c>
      <c r="D1454" s="3" t="s">
        <v>7319</v>
      </c>
      <c r="E1454" t="s">
        <v>5644</v>
      </c>
      <c r="F1454" s="3" t="s">
        <v>5645</v>
      </c>
      <c r="G1454" s="10">
        <v>0</v>
      </c>
      <c r="H1454" s="3" t="s">
        <v>19</v>
      </c>
      <c r="I1454" t="s">
        <v>5636</v>
      </c>
      <c r="J1454" s="3" t="s">
        <v>5578</v>
      </c>
      <c r="K1454" t="s">
        <v>6308</v>
      </c>
      <c r="L1454" s="3" t="s">
        <v>6309</v>
      </c>
      <c r="M1454" t="s">
        <v>6315</v>
      </c>
      <c r="N1454" s="8">
        <v>9.1070000000000005E-3</v>
      </c>
    </row>
    <row r="1455" spans="1:14" hidden="1" x14ac:dyDescent="0.55000000000000004">
      <c r="A1455" s="3" t="s">
        <v>5519</v>
      </c>
      <c r="B1455" s="3" t="s">
        <v>5631</v>
      </c>
      <c r="C1455" t="s">
        <v>5631</v>
      </c>
      <c r="D1455" s="3" t="s">
        <v>7319</v>
      </c>
      <c r="E1455" t="s">
        <v>5644</v>
      </c>
      <c r="F1455" s="3" t="s">
        <v>5645</v>
      </c>
      <c r="G1455" s="10">
        <v>0</v>
      </c>
      <c r="H1455" s="3" t="s">
        <v>24</v>
      </c>
      <c r="I1455" t="s">
        <v>5639</v>
      </c>
      <c r="J1455" s="3" t="s">
        <v>76</v>
      </c>
      <c r="K1455" t="s">
        <v>5841</v>
      </c>
      <c r="L1455" s="3" t="s">
        <v>5840</v>
      </c>
      <c r="M1455" t="s">
        <v>6311</v>
      </c>
      <c r="N1455" s="8">
        <v>0.29416700000000001</v>
      </c>
    </row>
    <row r="1456" spans="1:14" hidden="1" x14ac:dyDescent="0.55000000000000004">
      <c r="A1456" s="3" t="s">
        <v>5519</v>
      </c>
      <c r="B1456" s="3" t="s">
        <v>5631</v>
      </c>
      <c r="C1456" t="s">
        <v>5631</v>
      </c>
      <c r="D1456" s="3" t="s">
        <v>7319</v>
      </c>
      <c r="E1456" t="s">
        <v>5646</v>
      </c>
      <c r="F1456" s="3" t="s">
        <v>5647</v>
      </c>
      <c r="G1456" s="10">
        <v>0</v>
      </c>
      <c r="H1456" s="3" t="s">
        <v>24</v>
      </c>
      <c r="I1456" t="s">
        <v>5639</v>
      </c>
      <c r="J1456" s="3" t="s">
        <v>76</v>
      </c>
      <c r="K1456" t="s">
        <v>5841</v>
      </c>
      <c r="L1456" s="3" t="s">
        <v>5840</v>
      </c>
      <c r="M1456" t="s">
        <v>6311</v>
      </c>
      <c r="N1456" s="8">
        <v>0.29416700000000001</v>
      </c>
    </row>
    <row r="1457" spans="1:14" hidden="1" x14ac:dyDescent="0.55000000000000004">
      <c r="A1457" s="3" t="s">
        <v>5519</v>
      </c>
      <c r="B1457" s="3" t="s">
        <v>5648</v>
      </c>
      <c r="C1457" t="s">
        <v>4181</v>
      </c>
      <c r="D1457" s="3" t="s">
        <v>7319</v>
      </c>
      <c r="E1457" t="s">
        <v>5649</v>
      </c>
      <c r="F1457" s="3" t="s">
        <v>5650</v>
      </c>
      <c r="G1457" s="10">
        <v>0</v>
      </c>
      <c r="H1457" s="3" t="s">
        <v>24</v>
      </c>
      <c r="I1457" t="s">
        <v>5653</v>
      </c>
      <c r="J1457" s="3" t="s">
        <v>76</v>
      </c>
      <c r="K1457" t="s">
        <v>5841</v>
      </c>
      <c r="L1457" s="3" t="s">
        <v>5840</v>
      </c>
      <c r="M1457" t="s">
        <v>6316</v>
      </c>
      <c r="N1457" s="8">
        <v>0.29083300000000001</v>
      </c>
    </row>
    <row r="1458" spans="1:14" hidden="1" x14ac:dyDescent="0.55000000000000004">
      <c r="A1458" s="3" t="s">
        <v>5519</v>
      </c>
      <c r="B1458" s="3" t="s">
        <v>5648</v>
      </c>
      <c r="C1458" t="s">
        <v>4181</v>
      </c>
      <c r="D1458" s="3" t="s">
        <v>7319</v>
      </c>
      <c r="E1458" t="s">
        <v>5656</v>
      </c>
      <c r="F1458" s="3" t="s">
        <v>5657</v>
      </c>
      <c r="G1458" s="10">
        <v>1</v>
      </c>
      <c r="H1458" s="3" t="s">
        <v>19</v>
      </c>
      <c r="I1458" t="s">
        <v>5660</v>
      </c>
      <c r="J1458" s="3" t="s">
        <v>5578</v>
      </c>
      <c r="K1458" t="s">
        <v>6308</v>
      </c>
      <c r="L1458" s="3" t="s">
        <v>6309</v>
      </c>
      <c r="M1458" t="s">
        <v>6317</v>
      </c>
      <c r="N1458" s="8">
        <v>2.1426000000000001E-2</v>
      </c>
    </row>
    <row r="1459" spans="1:14" hidden="1" x14ac:dyDescent="0.55000000000000004">
      <c r="A1459" s="9" t="s">
        <v>5519</v>
      </c>
      <c r="B1459" s="3" t="s">
        <v>5648</v>
      </c>
      <c r="C1459" t="s">
        <v>4181</v>
      </c>
      <c r="D1459" s="3" t="s">
        <v>7319</v>
      </c>
      <c r="E1459" t="s">
        <v>5656</v>
      </c>
      <c r="F1459" s="3" t="s">
        <v>5657</v>
      </c>
      <c r="G1459" s="10">
        <v>1</v>
      </c>
      <c r="H1459" s="3" t="s">
        <v>24</v>
      </c>
      <c r="I1459" t="s">
        <v>5653</v>
      </c>
      <c r="J1459" s="3" t="s">
        <v>76</v>
      </c>
      <c r="K1459" t="s">
        <v>5841</v>
      </c>
      <c r="L1459" s="3" t="s">
        <v>5840</v>
      </c>
      <c r="M1459" t="s">
        <v>6316</v>
      </c>
      <c r="N1459" s="8">
        <v>0.29083300000000001</v>
      </c>
    </row>
    <row r="1460" spans="1:14" hidden="1" x14ac:dyDescent="0.55000000000000004">
      <c r="A1460" s="3" t="s">
        <v>5661</v>
      </c>
      <c r="B1460" s="3" t="s">
        <v>5662</v>
      </c>
      <c r="C1460" t="s">
        <v>5662</v>
      </c>
      <c r="D1460" s="3" t="s">
        <v>7312</v>
      </c>
      <c r="E1460" t="s">
        <v>5663</v>
      </c>
      <c r="F1460" s="3" t="s">
        <v>5664</v>
      </c>
      <c r="G1460" s="10">
        <v>0</v>
      </c>
      <c r="H1460" s="3" t="s">
        <v>24</v>
      </c>
      <c r="I1460" t="s">
        <v>5667</v>
      </c>
      <c r="J1460" s="3" t="s">
        <v>29</v>
      </c>
      <c r="K1460" t="s">
        <v>23</v>
      </c>
      <c r="L1460" s="3" t="s">
        <v>5840</v>
      </c>
      <c r="M1460" t="s">
        <v>23</v>
      </c>
      <c r="N1460" s="8">
        <v>0.18282899999999999</v>
      </c>
    </row>
    <row r="1461" spans="1:14" hidden="1" x14ac:dyDescent="0.55000000000000004">
      <c r="A1461" s="3" t="s">
        <v>5661</v>
      </c>
      <c r="B1461" s="3" t="s">
        <v>5668</v>
      </c>
      <c r="C1461" t="s">
        <v>5668</v>
      </c>
      <c r="D1461" s="3" t="s">
        <v>7312</v>
      </c>
      <c r="E1461" t="s">
        <v>5669</v>
      </c>
      <c r="F1461" s="3" t="s">
        <v>5670</v>
      </c>
      <c r="G1461" s="10">
        <v>0</v>
      </c>
      <c r="H1461" s="3" t="s">
        <v>24</v>
      </c>
      <c r="I1461" t="s">
        <v>5673</v>
      </c>
      <c r="J1461" s="3" t="s">
        <v>29</v>
      </c>
      <c r="K1461" t="s">
        <v>23</v>
      </c>
      <c r="L1461" s="3" t="s">
        <v>5840</v>
      </c>
      <c r="M1461" t="s">
        <v>23</v>
      </c>
      <c r="N1461" s="8">
        <v>0.18435399999999999</v>
      </c>
    </row>
    <row r="1462" spans="1:14" hidden="1" x14ac:dyDescent="0.55000000000000004">
      <c r="A1462" s="3" t="s">
        <v>5661</v>
      </c>
      <c r="B1462" s="3" t="s">
        <v>5668</v>
      </c>
      <c r="C1462" t="s">
        <v>5668</v>
      </c>
      <c r="D1462" s="3" t="s">
        <v>7312</v>
      </c>
      <c r="E1462" t="s">
        <v>5674</v>
      </c>
      <c r="F1462" s="3" t="s">
        <v>5675</v>
      </c>
      <c r="G1462" s="10">
        <v>0</v>
      </c>
      <c r="H1462" s="3" t="s">
        <v>24</v>
      </c>
      <c r="I1462" t="s">
        <v>5673</v>
      </c>
      <c r="J1462" s="3" t="s">
        <v>29</v>
      </c>
      <c r="K1462" t="s">
        <v>23</v>
      </c>
      <c r="L1462" s="3" t="s">
        <v>5840</v>
      </c>
      <c r="M1462" t="s">
        <v>23</v>
      </c>
      <c r="N1462" s="8">
        <v>0.18435399999999999</v>
      </c>
    </row>
    <row r="1463" spans="1:14" hidden="1" x14ac:dyDescent="0.55000000000000004">
      <c r="A1463" s="3" t="s">
        <v>5661</v>
      </c>
      <c r="B1463" s="3" t="s">
        <v>5668</v>
      </c>
      <c r="C1463" t="s">
        <v>5668</v>
      </c>
      <c r="D1463" s="3" t="s">
        <v>7312</v>
      </c>
      <c r="E1463" t="s">
        <v>5676</v>
      </c>
      <c r="F1463" s="3" t="s">
        <v>5677</v>
      </c>
      <c r="G1463" s="10">
        <v>0</v>
      </c>
      <c r="H1463" s="3" t="s">
        <v>24</v>
      </c>
      <c r="I1463" t="s">
        <v>5673</v>
      </c>
      <c r="J1463" s="3" t="s">
        <v>29</v>
      </c>
      <c r="K1463" t="s">
        <v>23</v>
      </c>
      <c r="L1463" s="3" t="s">
        <v>5840</v>
      </c>
      <c r="M1463" t="s">
        <v>23</v>
      </c>
      <c r="N1463" s="8">
        <v>0.18435399999999999</v>
      </c>
    </row>
    <row r="1464" spans="1:14" hidden="1" x14ac:dyDescent="0.55000000000000004">
      <c r="A1464" s="3" t="s">
        <v>5661</v>
      </c>
      <c r="B1464" s="3" t="s">
        <v>5668</v>
      </c>
      <c r="C1464" t="s">
        <v>5668</v>
      </c>
      <c r="D1464" s="3" t="s">
        <v>7312</v>
      </c>
      <c r="E1464" t="s">
        <v>5678</v>
      </c>
      <c r="F1464" s="3" t="s">
        <v>5679</v>
      </c>
      <c r="G1464" s="10">
        <v>0</v>
      </c>
      <c r="H1464" s="3" t="s">
        <v>24</v>
      </c>
      <c r="I1464" t="s">
        <v>5673</v>
      </c>
      <c r="J1464" s="3" t="s">
        <v>29</v>
      </c>
      <c r="K1464" t="s">
        <v>23</v>
      </c>
      <c r="L1464" s="3" t="s">
        <v>5840</v>
      </c>
      <c r="M1464" t="s">
        <v>23</v>
      </c>
      <c r="N1464" s="8">
        <v>0.18435399999999999</v>
      </c>
    </row>
    <row r="1465" spans="1:14" hidden="1" x14ac:dyDescent="0.55000000000000004">
      <c r="A1465" s="3" t="s">
        <v>5661</v>
      </c>
      <c r="B1465" s="3" t="s">
        <v>5680</v>
      </c>
      <c r="C1465" t="s">
        <v>5680</v>
      </c>
      <c r="D1465" s="3" t="s">
        <v>7312</v>
      </c>
      <c r="E1465" t="s">
        <v>5681</v>
      </c>
      <c r="F1465" s="3" t="s">
        <v>5682</v>
      </c>
      <c r="G1465" s="10">
        <v>0</v>
      </c>
      <c r="H1465" s="3" t="s">
        <v>24</v>
      </c>
      <c r="I1465" t="s">
        <v>5685</v>
      </c>
      <c r="J1465" s="3" t="s">
        <v>29</v>
      </c>
      <c r="K1465" t="s">
        <v>23</v>
      </c>
      <c r="L1465" s="3" t="s">
        <v>5840</v>
      </c>
      <c r="M1465" t="s">
        <v>23</v>
      </c>
      <c r="N1465" s="8">
        <v>0.18341499999999999</v>
      </c>
    </row>
    <row r="1466" spans="1:14" hidden="1" x14ac:dyDescent="0.55000000000000004">
      <c r="A1466" s="3" t="s">
        <v>5661</v>
      </c>
      <c r="B1466" s="3" t="s">
        <v>7396</v>
      </c>
      <c r="C1466" t="s">
        <v>5686</v>
      </c>
      <c r="D1466" s="3" t="s">
        <v>7312</v>
      </c>
      <c r="E1466" t="s">
        <v>5687</v>
      </c>
      <c r="F1466" s="3" t="s">
        <v>5688</v>
      </c>
      <c r="G1466" s="10">
        <v>0</v>
      </c>
      <c r="H1466" s="3" t="s">
        <v>19</v>
      </c>
      <c r="I1466" t="s">
        <v>5693</v>
      </c>
      <c r="J1466" s="3" t="s">
        <v>1567</v>
      </c>
      <c r="K1466" t="s">
        <v>6318</v>
      </c>
      <c r="L1466" s="3" t="s">
        <v>6003</v>
      </c>
      <c r="M1466" t="s">
        <v>6319</v>
      </c>
      <c r="N1466" s="8">
        <v>3.1764000000000001E-2</v>
      </c>
    </row>
    <row r="1467" spans="1:14" hidden="1" x14ac:dyDescent="0.55000000000000004">
      <c r="A1467" s="3" t="s">
        <v>5661</v>
      </c>
      <c r="B1467" s="3" t="s">
        <v>7396</v>
      </c>
      <c r="C1467" t="s">
        <v>5686</v>
      </c>
      <c r="D1467" s="3" t="s">
        <v>7312</v>
      </c>
      <c r="E1467" t="s">
        <v>5699</v>
      </c>
      <c r="F1467" s="3" t="s">
        <v>5700</v>
      </c>
      <c r="G1467" s="10">
        <v>0</v>
      </c>
      <c r="H1467" s="3" t="s">
        <v>19</v>
      </c>
      <c r="I1467" t="s">
        <v>5693</v>
      </c>
      <c r="J1467" s="3" t="s">
        <v>1567</v>
      </c>
      <c r="K1467" t="s">
        <v>6318</v>
      </c>
      <c r="L1467" s="3" t="s">
        <v>6003</v>
      </c>
      <c r="M1467" t="s">
        <v>6319</v>
      </c>
      <c r="N1467" s="8">
        <v>3.1764000000000001E-2</v>
      </c>
    </row>
    <row r="1468" spans="1:14" hidden="1" x14ac:dyDescent="0.55000000000000004">
      <c r="A1468" s="3" t="s">
        <v>5661</v>
      </c>
      <c r="B1468" s="3" t="s">
        <v>7396</v>
      </c>
      <c r="C1468" t="s">
        <v>5686</v>
      </c>
      <c r="D1468" s="3" t="s">
        <v>7312</v>
      </c>
      <c r="E1468" t="s">
        <v>5703</v>
      </c>
      <c r="F1468" s="3" t="s">
        <v>5704</v>
      </c>
      <c r="G1468" s="10">
        <v>0</v>
      </c>
      <c r="H1468" s="3" t="s">
        <v>19</v>
      </c>
      <c r="I1468" t="s">
        <v>5693</v>
      </c>
      <c r="J1468" s="3" t="s">
        <v>1567</v>
      </c>
      <c r="K1468" t="s">
        <v>6318</v>
      </c>
      <c r="L1468" s="3" t="s">
        <v>6003</v>
      </c>
      <c r="M1468" t="s">
        <v>6319</v>
      </c>
      <c r="N1468" s="8">
        <v>3.1764000000000001E-2</v>
      </c>
    </row>
    <row r="1469" spans="1:14" hidden="1" x14ac:dyDescent="0.55000000000000004">
      <c r="A1469" s="3" t="s">
        <v>5661</v>
      </c>
      <c r="B1469" s="3" t="s">
        <v>7396</v>
      </c>
      <c r="C1469" t="s">
        <v>5686</v>
      </c>
      <c r="D1469" s="3" t="s">
        <v>7312</v>
      </c>
      <c r="E1469" t="s">
        <v>5705</v>
      </c>
      <c r="F1469" s="3" t="s">
        <v>5706</v>
      </c>
      <c r="G1469" s="10">
        <v>0</v>
      </c>
      <c r="H1469" s="3" t="s">
        <v>19</v>
      </c>
      <c r="I1469" t="s">
        <v>5693</v>
      </c>
      <c r="J1469" s="3" t="s">
        <v>1567</v>
      </c>
      <c r="K1469" t="s">
        <v>6318</v>
      </c>
      <c r="L1469" s="3" t="s">
        <v>6003</v>
      </c>
      <c r="M1469" t="s">
        <v>6319</v>
      </c>
      <c r="N1469" s="8">
        <v>3.1764000000000001E-2</v>
      </c>
    </row>
    <row r="1470" spans="1:14" hidden="1" x14ac:dyDescent="0.55000000000000004">
      <c r="A1470" s="3" t="s">
        <v>5661</v>
      </c>
      <c r="B1470" s="3" t="s">
        <v>7396</v>
      </c>
      <c r="C1470" t="s">
        <v>5686</v>
      </c>
      <c r="D1470" s="3" t="s">
        <v>7312</v>
      </c>
      <c r="E1470" t="s">
        <v>5707</v>
      </c>
      <c r="F1470" s="3" t="s">
        <v>5708</v>
      </c>
      <c r="G1470" s="10">
        <v>1</v>
      </c>
      <c r="H1470" s="3" t="s">
        <v>19</v>
      </c>
      <c r="I1470" t="s">
        <v>5693</v>
      </c>
      <c r="J1470" s="3" t="s">
        <v>1567</v>
      </c>
      <c r="K1470" t="s">
        <v>6318</v>
      </c>
      <c r="L1470" s="3" t="s">
        <v>6003</v>
      </c>
      <c r="M1470" t="s">
        <v>6319</v>
      </c>
      <c r="N1470" s="8">
        <v>3.1764000000000001E-2</v>
      </c>
    </row>
    <row r="1471" spans="1:14" hidden="1" x14ac:dyDescent="0.55000000000000004">
      <c r="A1471" s="3" t="s">
        <v>5661</v>
      </c>
      <c r="B1471" s="3" t="s">
        <v>5709</v>
      </c>
      <c r="C1471" t="s">
        <v>5709</v>
      </c>
      <c r="D1471" s="3" t="s">
        <v>7312</v>
      </c>
      <c r="E1471" t="s">
        <v>5710</v>
      </c>
      <c r="F1471" s="3" t="s">
        <v>5711</v>
      </c>
      <c r="G1471" s="10">
        <v>1</v>
      </c>
      <c r="H1471" s="3" t="s">
        <v>19</v>
      </c>
      <c r="I1471" t="s">
        <v>5716</v>
      </c>
      <c r="J1471" s="3" t="s">
        <v>1567</v>
      </c>
      <c r="K1471" t="s">
        <v>6318</v>
      </c>
      <c r="L1471" s="3" t="s">
        <v>6320</v>
      </c>
      <c r="M1471" t="s">
        <v>6321</v>
      </c>
      <c r="N1471" s="8">
        <v>1.7033E-2</v>
      </c>
    </row>
    <row r="1472" spans="1:14" hidden="1" x14ac:dyDescent="0.55000000000000004">
      <c r="A1472" s="3" t="s">
        <v>5661</v>
      </c>
      <c r="B1472" s="3" t="s">
        <v>5709</v>
      </c>
      <c r="C1472" t="s">
        <v>5709</v>
      </c>
      <c r="D1472" s="3" t="s">
        <v>7312</v>
      </c>
      <c r="E1472" t="s">
        <v>5710</v>
      </c>
      <c r="F1472" s="3" t="s">
        <v>5711</v>
      </c>
      <c r="G1472" s="10">
        <v>1</v>
      </c>
      <c r="H1472" s="3" t="s">
        <v>24</v>
      </c>
      <c r="I1472" t="s">
        <v>5719</v>
      </c>
      <c r="J1472" s="3" t="s">
        <v>76</v>
      </c>
      <c r="K1472" t="s">
        <v>5841</v>
      </c>
      <c r="L1472" s="3" t="s">
        <v>5840</v>
      </c>
      <c r="M1472" t="s">
        <v>6322</v>
      </c>
      <c r="N1472" s="8">
        <v>0.1865</v>
      </c>
    </row>
    <row r="1473" spans="1:14" hidden="1" x14ac:dyDescent="0.55000000000000004">
      <c r="A1473" s="3" t="s">
        <v>5661</v>
      </c>
      <c r="B1473" s="3" t="s">
        <v>5709</v>
      </c>
      <c r="C1473" t="s">
        <v>5709</v>
      </c>
      <c r="D1473" s="3" t="s">
        <v>7312</v>
      </c>
      <c r="E1473" t="s">
        <v>5722</v>
      </c>
      <c r="F1473" s="3" t="s">
        <v>5723</v>
      </c>
      <c r="G1473" s="10">
        <v>0</v>
      </c>
      <c r="H1473" s="3" t="s">
        <v>19</v>
      </c>
      <c r="I1473" t="s">
        <v>5716</v>
      </c>
      <c r="J1473" s="3" t="s">
        <v>1567</v>
      </c>
      <c r="K1473" t="s">
        <v>6318</v>
      </c>
      <c r="L1473" s="3" t="s">
        <v>6320</v>
      </c>
      <c r="M1473" t="s">
        <v>6321</v>
      </c>
      <c r="N1473" s="8">
        <v>1.7033E-2</v>
      </c>
    </row>
    <row r="1474" spans="1:14" hidden="1" x14ac:dyDescent="0.55000000000000004">
      <c r="A1474" s="3" t="s">
        <v>5661</v>
      </c>
      <c r="B1474" s="3" t="s">
        <v>5709</v>
      </c>
      <c r="C1474" t="s">
        <v>5709</v>
      </c>
      <c r="D1474" s="3" t="s">
        <v>7312</v>
      </c>
      <c r="E1474" t="s">
        <v>5722</v>
      </c>
      <c r="F1474" s="3" t="s">
        <v>5723</v>
      </c>
      <c r="G1474" s="10">
        <v>0</v>
      </c>
      <c r="H1474" s="3" t="s">
        <v>24</v>
      </c>
      <c r="I1474" t="s">
        <v>5719</v>
      </c>
      <c r="J1474" s="3" t="s">
        <v>76</v>
      </c>
      <c r="K1474" t="s">
        <v>5841</v>
      </c>
      <c r="L1474" s="3" t="s">
        <v>5840</v>
      </c>
      <c r="M1474" t="s">
        <v>6322</v>
      </c>
      <c r="N1474" s="8">
        <v>0.1865</v>
      </c>
    </row>
    <row r="1475" spans="1:14" hidden="1" x14ac:dyDescent="0.55000000000000004">
      <c r="A1475" s="3" t="s">
        <v>5661</v>
      </c>
      <c r="B1475" s="3" t="s">
        <v>5709</v>
      </c>
      <c r="C1475" t="s">
        <v>5709</v>
      </c>
      <c r="D1475" s="3" t="s">
        <v>7312</v>
      </c>
      <c r="E1475" t="s">
        <v>5724</v>
      </c>
      <c r="F1475" s="3" t="s">
        <v>5725</v>
      </c>
      <c r="G1475" s="10">
        <v>0</v>
      </c>
      <c r="H1475" s="3" t="s">
        <v>19</v>
      </c>
      <c r="I1475" t="s">
        <v>5716</v>
      </c>
      <c r="J1475" s="3" t="s">
        <v>1567</v>
      </c>
      <c r="K1475" t="s">
        <v>6318</v>
      </c>
      <c r="L1475" s="3" t="s">
        <v>6320</v>
      </c>
      <c r="M1475" t="s">
        <v>6321</v>
      </c>
      <c r="N1475" s="8">
        <v>1.7033E-2</v>
      </c>
    </row>
    <row r="1476" spans="1:14" hidden="1" x14ac:dyDescent="0.55000000000000004">
      <c r="A1476" s="3" t="s">
        <v>5661</v>
      </c>
      <c r="B1476" s="3" t="s">
        <v>5709</v>
      </c>
      <c r="C1476" t="s">
        <v>5709</v>
      </c>
      <c r="D1476" s="3" t="s">
        <v>7312</v>
      </c>
      <c r="E1476" t="s">
        <v>5724</v>
      </c>
      <c r="F1476" s="3" t="s">
        <v>5725</v>
      </c>
      <c r="G1476" s="10">
        <v>0</v>
      </c>
      <c r="H1476" s="3" t="s">
        <v>24</v>
      </c>
      <c r="I1476" t="s">
        <v>5719</v>
      </c>
      <c r="J1476" s="3" t="s">
        <v>76</v>
      </c>
      <c r="K1476" t="s">
        <v>5841</v>
      </c>
      <c r="L1476" s="3" t="s">
        <v>5840</v>
      </c>
      <c r="M1476" t="s">
        <v>6322</v>
      </c>
      <c r="N1476" s="8">
        <v>0.1865</v>
      </c>
    </row>
    <row r="1477" spans="1:14" hidden="1" x14ac:dyDescent="0.55000000000000004">
      <c r="A1477" s="3" t="s">
        <v>5661</v>
      </c>
      <c r="B1477" s="3" t="s">
        <v>5709</v>
      </c>
      <c r="C1477" t="s">
        <v>5709</v>
      </c>
      <c r="D1477" s="3" t="s">
        <v>7312</v>
      </c>
      <c r="E1477" t="s">
        <v>5726</v>
      </c>
      <c r="F1477" s="3" t="s">
        <v>5727</v>
      </c>
      <c r="G1477" s="10">
        <v>0</v>
      </c>
      <c r="H1477" s="3" t="s">
        <v>19</v>
      </c>
      <c r="I1477" t="s">
        <v>5716</v>
      </c>
      <c r="J1477" s="3" t="s">
        <v>1567</v>
      </c>
      <c r="K1477" t="s">
        <v>6318</v>
      </c>
      <c r="L1477" s="3" t="s">
        <v>6320</v>
      </c>
      <c r="M1477" t="s">
        <v>6321</v>
      </c>
      <c r="N1477" s="8">
        <v>1.7033E-2</v>
      </c>
    </row>
    <row r="1478" spans="1:14" hidden="1" x14ac:dyDescent="0.55000000000000004">
      <c r="A1478" s="3" t="s">
        <v>5661</v>
      </c>
      <c r="B1478" s="3" t="s">
        <v>5709</v>
      </c>
      <c r="C1478" t="s">
        <v>5709</v>
      </c>
      <c r="D1478" s="3" t="s">
        <v>7312</v>
      </c>
      <c r="E1478" t="s">
        <v>5726</v>
      </c>
      <c r="F1478" s="3" t="s">
        <v>5727</v>
      </c>
      <c r="G1478" s="10">
        <v>0</v>
      </c>
      <c r="H1478" s="3" t="s">
        <v>24</v>
      </c>
      <c r="I1478" t="s">
        <v>5719</v>
      </c>
      <c r="J1478" s="3" t="s">
        <v>76</v>
      </c>
      <c r="K1478" t="s">
        <v>5841</v>
      </c>
      <c r="L1478" s="3" t="s">
        <v>5840</v>
      </c>
      <c r="M1478" t="s">
        <v>6322</v>
      </c>
      <c r="N1478" s="8">
        <v>0.1865</v>
      </c>
    </row>
    <row r="1479" spans="1:14" hidden="1" x14ac:dyDescent="0.55000000000000004">
      <c r="A1479" s="3" t="s">
        <v>5661</v>
      </c>
      <c r="B1479" s="3" t="s">
        <v>5709</v>
      </c>
      <c r="C1479" t="s">
        <v>5709</v>
      </c>
      <c r="D1479" s="3" t="s">
        <v>7312</v>
      </c>
      <c r="E1479" t="s">
        <v>5728</v>
      </c>
      <c r="F1479" s="3" t="s">
        <v>5729</v>
      </c>
      <c r="G1479" s="10">
        <v>0</v>
      </c>
      <c r="H1479" s="3" t="s">
        <v>19</v>
      </c>
      <c r="I1479" t="s">
        <v>5716</v>
      </c>
      <c r="J1479" s="3" t="s">
        <v>1567</v>
      </c>
      <c r="K1479" t="s">
        <v>6318</v>
      </c>
      <c r="L1479" s="3" t="s">
        <v>6320</v>
      </c>
      <c r="M1479" t="s">
        <v>6321</v>
      </c>
      <c r="N1479" s="8">
        <v>1.7033E-2</v>
      </c>
    </row>
    <row r="1480" spans="1:14" hidden="1" x14ac:dyDescent="0.55000000000000004">
      <c r="A1480" s="3" t="s">
        <v>5661</v>
      </c>
      <c r="B1480" s="3" t="s">
        <v>5709</v>
      </c>
      <c r="C1480" t="s">
        <v>5709</v>
      </c>
      <c r="D1480" s="3" t="s">
        <v>7312</v>
      </c>
      <c r="E1480" t="s">
        <v>5728</v>
      </c>
      <c r="F1480" s="3" t="s">
        <v>5729</v>
      </c>
      <c r="G1480" s="10">
        <v>0</v>
      </c>
      <c r="H1480" s="3" t="s">
        <v>24</v>
      </c>
      <c r="I1480" t="s">
        <v>5719</v>
      </c>
      <c r="J1480" s="3" t="s">
        <v>76</v>
      </c>
      <c r="K1480" t="s">
        <v>5841</v>
      </c>
      <c r="L1480" s="3" t="s">
        <v>5840</v>
      </c>
      <c r="M1480" t="s">
        <v>6322</v>
      </c>
      <c r="N1480" s="8">
        <v>0.1865</v>
      </c>
    </row>
    <row r="1481" spans="1:14" hidden="1" x14ac:dyDescent="0.55000000000000004">
      <c r="A1481" s="3" t="s">
        <v>5661</v>
      </c>
      <c r="B1481" s="3" t="s">
        <v>5709</v>
      </c>
      <c r="C1481" t="s">
        <v>5709</v>
      </c>
      <c r="D1481" s="3" t="s">
        <v>7312</v>
      </c>
      <c r="E1481" t="s">
        <v>5730</v>
      </c>
      <c r="F1481" s="3" t="s">
        <v>5731</v>
      </c>
      <c r="G1481" s="10">
        <v>0</v>
      </c>
      <c r="H1481" s="3" t="s">
        <v>19</v>
      </c>
      <c r="I1481" t="s">
        <v>5716</v>
      </c>
      <c r="J1481" s="3" t="s">
        <v>1567</v>
      </c>
      <c r="K1481" t="s">
        <v>6318</v>
      </c>
      <c r="L1481" s="3" t="s">
        <v>6320</v>
      </c>
      <c r="M1481" t="s">
        <v>6321</v>
      </c>
      <c r="N1481" s="8">
        <v>1.7033E-2</v>
      </c>
    </row>
    <row r="1482" spans="1:14" hidden="1" x14ac:dyDescent="0.55000000000000004">
      <c r="A1482" s="3" t="s">
        <v>5661</v>
      </c>
      <c r="B1482" s="3" t="s">
        <v>5709</v>
      </c>
      <c r="C1482" t="s">
        <v>5709</v>
      </c>
      <c r="D1482" s="3" t="s">
        <v>7312</v>
      </c>
      <c r="E1482" t="s">
        <v>5730</v>
      </c>
      <c r="F1482" s="3" t="s">
        <v>5731</v>
      </c>
      <c r="G1482" s="10">
        <v>0</v>
      </c>
      <c r="H1482" s="3" t="s">
        <v>24</v>
      </c>
      <c r="I1482" t="s">
        <v>5719</v>
      </c>
      <c r="J1482" s="3" t="s">
        <v>76</v>
      </c>
      <c r="K1482" t="s">
        <v>5841</v>
      </c>
      <c r="L1482" s="3" t="s">
        <v>5840</v>
      </c>
      <c r="M1482" t="s">
        <v>6322</v>
      </c>
      <c r="N1482" s="8">
        <v>0.1865</v>
      </c>
    </row>
    <row r="1483" spans="1:14" hidden="1" x14ac:dyDescent="0.55000000000000004">
      <c r="A1483" s="3" t="s">
        <v>5661</v>
      </c>
      <c r="B1483" s="3" t="s">
        <v>5709</v>
      </c>
      <c r="C1483" t="s">
        <v>5709</v>
      </c>
      <c r="D1483" s="3" t="s">
        <v>7312</v>
      </c>
      <c r="E1483" t="s">
        <v>5732</v>
      </c>
      <c r="F1483" s="3" t="s">
        <v>5733</v>
      </c>
      <c r="G1483" s="10">
        <v>0</v>
      </c>
      <c r="H1483" s="3" t="s">
        <v>19</v>
      </c>
      <c r="I1483" t="s">
        <v>5716</v>
      </c>
      <c r="J1483" s="3" t="s">
        <v>1567</v>
      </c>
      <c r="K1483" t="s">
        <v>6318</v>
      </c>
      <c r="L1483" s="3" t="s">
        <v>6320</v>
      </c>
      <c r="M1483" t="s">
        <v>6321</v>
      </c>
      <c r="N1483" s="8">
        <v>1.7033E-2</v>
      </c>
    </row>
    <row r="1484" spans="1:14" hidden="1" x14ac:dyDescent="0.55000000000000004">
      <c r="A1484" s="3" t="s">
        <v>5661</v>
      </c>
      <c r="B1484" s="3" t="s">
        <v>5709</v>
      </c>
      <c r="C1484" t="s">
        <v>5709</v>
      </c>
      <c r="D1484" s="3" t="s">
        <v>7312</v>
      </c>
      <c r="E1484" t="s">
        <v>5732</v>
      </c>
      <c r="F1484" s="3" t="s">
        <v>5733</v>
      </c>
      <c r="G1484" s="10">
        <v>0</v>
      </c>
      <c r="H1484" s="3" t="s">
        <v>24</v>
      </c>
      <c r="I1484" t="s">
        <v>5719</v>
      </c>
      <c r="J1484" s="3" t="s">
        <v>76</v>
      </c>
      <c r="K1484" t="s">
        <v>5841</v>
      </c>
      <c r="L1484" s="3" t="s">
        <v>5840</v>
      </c>
      <c r="M1484" t="s">
        <v>6322</v>
      </c>
      <c r="N1484" s="8">
        <v>0.1865</v>
      </c>
    </row>
    <row r="1485" spans="1:14" hidden="1" x14ac:dyDescent="0.55000000000000004">
      <c r="A1485" s="9" t="s">
        <v>5661</v>
      </c>
      <c r="B1485" s="3" t="s">
        <v>5734</v>
      </c>
      <c r="C1485" t="s">
        <v>5734</v>
      </c>
      <c r="D1485" s="3" t="s">
        <v>7312</v>
      </c>
      <c r="E1485" t="s">
        <v>5735</v>
      </c>
      <c r="F1485" s="3" t="s">
        <v>5736</v>
      </c>
      <c r="G1485" s="10">
        <v>0</v>
      </c>
      <c r="H1485" s="3" t="s">
        <v>24</v>
      </c>
      <c r="I1485" t="s">
        <v>5739</v>
      </c>
      <c r="J1485" s="3" t="s">
        <v>55</v>
      </c>
      <c r="K1485" t="s">
        <v>23</v>
      </c>
      <c r="L1485" s="3" t="s">
        <v>5835</v>
      </c>
      <c r="M1485" t="s">
        <v>23</v>
      </c>
      <c r="N1485" s="8">
        <v>0.183613</v>
      </c>
    </row>
    <row r="1486" spans="1:14" hidden="1" x14ac:dyDescent="0.55000000000000004">
      <c r="A1486" s="3" t="s">
        <v>5746</v>
      </c>
      <c r="B1486" s="3" t="s">
        <v>5747</v>
      </c>
      <c r="C1486" t="s">
        <v>5747</v>
      </c>
      <c r="D1486" s="3" t="s">
        <v>7329</v>
      </c>
      <c r="E1486" t="s">
        <v>5748</v>
      </c>
      <c r="F1486" s="3" t="s">
        <v>5749</v>
      </c>
      <c r="G1486" s="10">
        <v>0</v>
      </c>
      <c r="H1486" s="3" t="s">
        <v>24</v>
      </c>
      <c r="I1486" t="s">
        <v>5752</v>
      </c>
      <c r="J1486" s="3" t="s">
        <v>40</v>
      </c>
      <c r="K1486" t="s">
        <v>23</v>
      </c>
      <c r="L1486" s="3" t="s">
        <v>5835</v>
      </c>
      <c r="M1486" t="s">
        <v>23</v>
      </c>
      <c r="N1486" s="8">
        <v>0.18360299999999999</v>
      </c>
    </row>
    <row r="1487" spans="1:14" hidden="1" x14ac:dyDescent="0.55000000000000004">
      <c r="A1487" s="3" t="s">
        <v>5746</v>
      </c>
      <c r="B1487" s="3" t="s">
        <v>5753</v>
      </c>
      <c r="C1487" t="s">
        <v>5747</v>
      </c>
      <c r="D1487" s="3" t="s">
        <v>7329</v>
      </c>
      <c r="E1487" t="s">
        <v>5754</v>
      </c>
      <c r="F1487" s="3" t="s">
        <v>5755</v>
      </c>
      <c r="G1487" s="10">
        <v>0</v>
      </c>
      <c r="H1487" s="3" t="s">
        <v>24</v>
      </c>
      <c r="I1487" t="s">
        <v>5758</v>
      </c>
      <c r="J1487" s="3" t="s">
        <v>40</v>
      </c>
      <c r="K1487" t="s">
        <v>23</v>
      </c>
      <c r="L1487" s="3" t="s">
        <v>5835</v>
      </c>
      <c r="M1487" t="s">
        <v>23</v>
      </c>
      <c r="N1487" s="8">
        <v>0.183833</v>
      </c>
    </row>
    <row r="1488" spans="1:14" hidden="1" x14ac:dyDescent="0.55000000000000004">
      <c r="A1488" s="9" t="s">
        <v>5746</v>
      </c>
      <c r="B1488" s="3" t="s">
        <v>5759</v>
      </c>
      <c r="C1488" t="s">
        <v>4396</v>
      </c>
      <c r="D1488" s="3" t="s">
        <v>7329</v>
      </c>
      <c r="E1488" t="s">
        <v>5760</v>
      </c>
      <c r="F1488" s="3" t="s">
        <v>5761</v>
      </c>
      <c r="G1488" s="10">
        <v>0</v>
      </c>
      <c r="H1488" s="3" t="s">
        <v>24</v>
      </c>
      <c r="I1488" t="s">
        <v>5764</v>
      </c>
      <c r="J1488" s="3" t="s">
        <v>138</v>
      </c>
      <c r="K1488" t="s">
        <v>23</v>
      </c>
      <c r="L1488" s="3" t="s">
        <v>5837</v>
      </c>
      <c r="M1488" t="s">
        <v>23</v>
      </c>
      <c r="N1488" s="8">
        <v>0.184285</v>
      </c>
    </row>
    <row r="1489" spans="1:14" hidden="1" x14ac:dyDescent="0.55000000000000004">
      <c r="A1489" s="3" t="s">
        <v>5765</v>
      </c>
      <c r="B1489" s="3" t="s">
        <v>5766</v>
      </c>
      <c r="C1489" t="s">
        <v>5766</v>
      </c>
      <c r="D1489" s="3" t="s">
        <v>7326</v>
      </c>
      <c r="E1489" t="s">
        <v>5767</v>
      </c>
      <c r="F1489" s="3" t="s">
        <v>5768</v>
      </c>
      <c r="G1489" s="10">
        <v>0</v>
      </c>
      <c r="H1489" s="3" t="s">
        <v>24</v>
      </c>
      <c r="I1489" t="s">
        <v>5771</v>
      </c>
      <c r="J1489" s="3" t="s">
        <v>55</v>
      </c>
      <c r="K1489" t="s">
        <v>23</v>
      </c>
      <c r="L1489" s="3" t="s">
        <v>5839</v>
      </c>
      <c r="M1489" t="s">
        <v>23</v>
      </c>
      <c r="N1489" s="8">
        <v>0.2177</v>
      </c>
    </row>
    <row r="1490" spans="1:14" hidden="1" x14ac:dyDescent="0.55000000000000004">
      <c r="A1490" s="3" t="s">
        <v>5765</v>
      </c>
      <c r="B1490" s="3" t="s">
        <v>5766</v>
      </c>
      <c r="C1490" t="s">
        <v>5766</v>
      </c>
      <c r="D1490" s="3" t="s">
        <v>7326</v>
      </c>
      <c r="E1490" t="s">
        <v>5772</v>
      </c>
      <c r="F1490" s="3" t="s">
        <v>5773</v>
      </c>
      <c r="G1490" s="10">
        <v>0</v>
      </c>
      <c r="H1490" s="3" t="s">
        <v>24</v>
      </c>
      <c r="I1490" t="s">
        <v>5771</v>
      </c>
      <c r="J1490" s="3" t="s">
        <v>55</v>
      </c>
      <c r="K1490" t="s">
        <v>23</v>
      </c>
      <c r="L1490" s="3" t="s">
        <v>5839</v>
      </c>
      <c r="M1490" t="s">
        <v>23</v>
      </c>
      <c r="N1490" s="8">
        <v>0.2177</v>
      </c>
    </row>
    <row r="1491" spans="1:14" hidden="1" x14ac:dyDescent="0.55000000000000004">
      <c r="A1491" s="3" t="s">
        <v>5765</v>
      </c>
      <c r="B1491" s="3" t="s">
        <v>7397</v>
      </c>
      <c r="C1491" t="s">
        <v>5766</v>
      </c>
      <c r="D1491" s="3" t="s">
        <v>7326</v>
      </c>
      <c r="E1491" t="s">
        <v>5774</v>
      </c>
      <c r="F1491" s="3" t="s">
        <v>5775</v>
      </c>
      <c r="G1491" s="10">
        <v>0</v>
      </c>
      <c r="H1491" s="3" t="s">
        <v>24</v>
      </c>
      <c r="I1491" t="s">
        <v>5771</v>
      </c>
      <c r="J1491" s="3" t="s">
        <v>55</v>
      </c>
      <c r="K1491" t="s">
        <v>23</v>
      </c>
      <c r="L1491" s="3" t="s">
        <v>5839</v>
      </c>
      <c r="M1491" t="s">
        <v>23</v>
      </c>
      <c r="N1491" s="8">
        <v>0.2177</v>
      </c>
    </row>
    <row r="1492" spans="1:14" hidden="1" x14ac:dyDescent="0.55000000000000004">
      <c r="A1492" s="3" t="s">
        <v>5765</v>
      </c>
      <c r="B1492" s="3" t="s">
        <v>5776</v>
      </c>
      <c r="C1492" t="s">
        <v>5776</v>
      </c>
      <c r="D1492" s="3" t="s">
        <v>7326</v>
      </c>
      <c r="E1492" t="s">
        <v>5777</v>
      </c>
      <c r="F1492" s="3" t="s">
        <v>5778</v>
      </c>
      <c r="G1492" s="10">
        <v>1</v>
      </c>
      <c r="H1492" s="3" t="s">
        <v>19</v>
      </c>
      <c r="I1492" t="s">
        <v>5780</v>
      </c>
      <c r="J1492" s="3" t="s">
        <v>693</v>
      </c>
      <c r="K1492" t="s">
        <v>6228</v>
      </c>
      <c r="L1492" s="3" t="s">
        <v>6323</v>
      </c>
      <c r="M1492" t="s">
        <v>6324</v>
      </c>
      <c r="N1492" s="8">
        <v>3.3730999999999997E-2</v>
      </c>
    </row>
    <row r="1493" spans="1:14" hidden="1" x14ac:dyDescent="0.55000000000000004">
      <c r="A1493" s="3" t="s">
        <v>5765</v>
      </c>
      <c r="B1493" s="3" t="s">
        <v>5776</v>
      </c>
      <c r="C1493" t="s">
        <v>5776</v>
      </c>
      <c r="D1493" s="3" t="s">
        <v>7326</v>
      </c>
      <c r="E1493" t="s">
        <v>5777</v>
      </c>
      <c r="F1493" s="3" t="s">
        <v>5778</v>
      </c>
      <c r="G1493" s="10">
        <v>1</v>
      </c>
      <c r="H1493" s="3" t="s">
        <v>24</v>
      </c>
      <c r="I1493" t="s">
        <v>5783</v>
      </c>
      <c r="J1493" s="3" t="s">
        <v>55</v>
      </c>
      <c r="K1493" t="s">
        <v>23</v>
      </c>
      <c r="L1493" s="3" t="s">
        <v>5839</v>
      </c>
      <c r="M1493" t="s">
        <v>23</v>
      </c>
      <c r="N1493" s="8">
        <v>0.184477</v>
      </c>
    </row>
    <row r="1494" spans="1:14" hidden="1" x14ac:dyDescent="0.55000000000000004">
      <c r="A1494" s="3" t="s">
        <v>5765</v>
      </c>
      <c r="B1494" s="3" t="s">
        <v>5776</v>
      </c>
      <c r="C1494" t="s">
        <v>5776</v>
      </c>
      <c r="D1494" s="3" t="s">
        <v>7326</v>
      </c>
      <c r="E1494" t="s">
        <v>5784</v>
      </c>
      <c r="F1494" s="3" t="s">
        <v>5785</v>
      </c>
      <c r="G1494" s="10">
        <v>0</v>
      </c>
      <c r="H1494" s="3" t="s">
        <v>24</v>
      </c>
      <c r="I1494" t="s">
        <v>5783</v>
      </c>
      <c r="J1494" s="3" t="s">
        <v>55</v>
      </c>
      <c r="K1494" t="s">
        <v>23</v>
      </c>
      <c r="L1494" s="3" t="s">
        <v>5839</v>
      </c>
      <c r="M1494" t="s">
        <v>23</v>
      </c>
      <c r="N1494" s="8">
        <v>0.184477</v>
      </c>
    </row>
    <row r="1495" spans="1:14" hidden="1" x14ac:dyDescent="0.55000000000000004">
      <c r="A1495" s="3" t="s">
        <v>5765</v>
      </c>
      <c r="B1495" s="3" t="s">
        <v>5786</v>
      </c>
      <c r="C1495" t="s">
        <v>5786</v>
      </c>
      <c r="D1495" s="3" t="s">
        <v>7326</v>
      </c>
      <c r="E1495" t="s">
        <v>5787</v>
      </c>
      <c r="F1495" s="3" t="s">
        <v>5788</v>
      </c>
      <c r="G1495" s="10">
        <v>0</v>
      </c>
      <c r="H1495" s="3" t="s">
        <v>24</v>
      </c>
      <c r="I1495" t="s">
        <v>5792</v>
      </c>
      <c r="J1495" s="3" t="s">
        <v>29</v>
      </c>
      <c r="K1495" t="s">
        <v>23</v>
      </c>
      <c r="L1495" s="3" t="s">
        <v>5840</v>
      </c>
      <c r="M1495" t="s">
        <v>23</v>
      </c>
      <c r="N1495" s="8">
        <v>0.258216</v>
      </c>
    </row>
    <row r="1496" spans="1:14" hidden="1" x14ac:dyDescent="0.55000000000000004">
      <c r="A1496" s="3" t="s">
        <v>5765</v>
      </c>
      <c r="B1496" s="3" t="s">
        <v>5793</v>
      </c>
      <c r="C1496" t="s">
        <v>5793</v>
      </c>
      <c r="D1496" s="3" t="s">
        <v>7326</v>
      </c>
      <c r="E1496" t="s">
        <v>5794</v>
      </c>
      <c r="F1496" s="3" t="s">
        <v>5795</v>
      </c>
      <c r="G1496" s="10">
        <v>0</v>
      </c>
      <c r="H1496" s="3" t="s">
        <v>24</v>
      </c>
      <c r="I1496" t="s">
        <v>5798</v>
      </c>
      <c r="J1496" s="3" t="s">
        <v>55</v>
      </c>
      <c r="K1496" t="s">
        <v>23</v>
      </c>
      <c r="L1496" s="3" t="s">
        <v>5839</v>
      </c>
      <c r="M1496" t="s">
        <v>23</v>
      </c>
      <c r="N1496" s="8">
        <v>0.21748300000000001</v>
      </c>
    </row>
    <row r="1497" spans="1:14" hidden="1" x14ac:dyDescent="0.55000000000000004">
      <c r="A1497" s="3" t="s">
        <v>5765</v>
      </c>
      <c r="B1497" s="3" t="s">
        <v>5799</v>
      </c>
      <c r="C1497" t="s">
        <v>5799</v>
      </c>
      <c r="D1497" s="3" t="s">
        <v>7326</v>
      </c>
      <c r="E1497" t="s">
        <v>5800</v>
      </c>
      <c r="F1497" s="3" t="s">
        <v>5801</v>
      </c>
      <c r="G1497" s="10">
        <v>0</v>
      </c>
      <c r="H1497" s="3" t="s">
        <v>24</v>
      </c>
      <c r="I1497" t="s">
        <v>5804</v>
      </c>
      <c r="J1497" s="3" t="s">
        <v>55</v>
      </c>
      <c r="K1497" t="s">
        <v>23</v>
      </c>
      <c r="L1497" s="3" t="s">
        <v>5839</v>
      </c>
      <c r="M1497" t="s">
        <v>23</v>
      </c>
      <c r="N1497" s="8">
        <v>0.18440699999999999</v>
      </c>
    </row>
    <row r="1498" spans="1:14" hidden="1" x14ac:dyDescent="0.55000000000000004">
      <c r="A1498" s="3" t="s">
        <v>5765</v>
      </c>
      <c r="B1498" s="3" t="s">
        <v>5805</v>
      </c>
      <c r="C1498" t="s">
        <v>5805</v>
      </c>
      <c r="D1498" s="3" t="s">
        <v>7326</v>
      </c>
      <c r="E1498" t="s">
        <v>5806</v>
      </c>
      <c r="F1498" s="3" t="s">
        <v>5807</v>
      </c>
      <c r="G1498" s="10">
        <v>0</v>
      </c>
      <c r="H1498" s="3" t="s">
        <v>19</v>
      </c>
      <c r="I1498" t="s">
        <v>5810</v>
      </c>
      <c r="J1498" s="3" t="s">
        <v>3631</v>
      </c>
      <c r="K1498" t="s">
        <v>6291</v>
      </c>
      <c r="L1498" s="3" t="s">
        <v>6292</v>
      </c>
      <c r="M1498" t="s">
        <v>6325</v>
      </c>
      <c r="N1498" s="8">
        <v>2.7206999999999999E-2</v>
      </c>
    </row>
    <row r="1499" spans="1:14" hidden="1" x14ac:dyDescent="0.55000000000000004">
      <c r="A1499" s="3" t="s">
        <v>5765</v>
      </c>
      <c r="B1499" s="3" t="s">
        <v>5805</v>
      </c>
      <c r="C1499" t="s">
        <v>5805</v>
      </c>
      <c r="D1499" s="3" t="s">
        <v>7326</v>
      </c>
      <c r="E1499" t="s">
        <v>5806</v>
      </c>
      <c r="F1499" s="3" t="s">
        <v>5807</v>
      </c>
      <c r="G1499" s="10">
        <v>0</v>
      </c>
      <c r="H1499" s="3" t="s">
        <v>24</v>
      </c>
      <c r="I1499" t="s">
        <v>5813</v>
      </c>
      <c r="J1499" s="3" t="s">
        <v>29</v>
      </c>
      <c r="K1499" t="s">
        <v>23</v>
      </c>
      <c r="L1499" s="3" t="s">
        <v>5840</v>
      </c>
      <c r="M1499" t="s">
        <v>23</v>
      </c>
      <c r="N1499" s="8">
        <v>0.21963099999999999</v>
      </c>
    </row>
    <row r="1500" spans="1:14" hidden="1" x14ac:dyDescent="0.55000000000000004">
      <c r="A1500" s="3" t="s">
        <v>5765</v>
      </c>
      <c r="B1500" s="3" t="s">
        <v>5814</v>
      </c>
      <c r="C1500" t="s">
        <v>5814</v>
      </c>
      <c r="D1500" s="3" t="s">
        <v>7326</v>
      </c>
      <c r="E1500" t="s">
        <v>5815</v>
      </c>
      <c r="F1500" s="3" t="s">
        <v>5816</v>
      </c>
      <c r="G1500" s="10">
        <v>0</v>
      </c>
      <c r="H1500" s="3" t="s">
        <v>24</v>
      </c>
      <c r="I1500" t="s">
        <v>5819</v>
      </c>
      <c r="J1500" s="3" t="s">
        <v>55</v>
      </c>
      <c r="K1500" t="s">
        <v>23</v>
      </c>
      <c r="L1500" s="3" t="s">
        <v>5839</v>
      </c>
      <c r="M1500" t="s">
        <v>23</v>
      </c>
      <c r="N1500" s="8">
        <v>0.21853500000000001</v>
      </c>
    </row>
    <row r="1501" spans="1:14" hidden="1" x14ac:dyDescent="0.55000000000000004">
      <c r="A1501" s="3" t="s">
        <v>5765</v>
      </c>
      <c r="B1501" s="3" t="s">
        <v>5820</v>
      </c>
      <c r="C1501" t="s">
        <v>5820</v>
      </c>
      <c r="D1501" s="3" t="s">
        <v>7326</v>
      </c>
      <c r="E1501" t="s">
        <v>5821</v>
      </c>
      <c r="F1501" s="3" t="s">
        <v>5822</v>
      </c>
      <c r="G1501" s="10">
        <v>0</v>
      </c>
      <c r="H1501" s="3" t="s">
        <v>24</v>
      </c>
      <c r="I1501" t="s">
        <v>5825</v>
      </c>
      <c r="J1501" s="3" t="s">
        <v>29</v>
      </c>
      <c r="K1501" t="s">
        <v>23</v>
      </c>
      <c r="L1501" s="3" t="s">
        <v>5840</v>
      </c>
      <c r="M1501" t="s">
        <v>23</v>
      </c>
      <c r="N1501" s="8">
        <v>0.218192</v>
      </c>
    </row>
    <row r="1502" spans="1:14" hidden="1" x14ac:dyDescent="0.55000000000000004">
      <c r="A1502" s="9" t="s">
        <v>5765</v>
      </c>
      <c r="B1502" s="3" t="s">
        <v>5820</v>
      </c>
      <c r="C1502" t="s">
        <v>5820</v>
      </c>
      <c r="D1502" s="3" t="s">
        <v>7326</v>
      </c>
      <c r="E1502" t="s">
        <v>5826</v>
      </c>
      <c r="F1502" s="3" t="s">
        <v>5827</v>
      </c>
      <c r="G1502" s="10">
        <v>0</v>
      </c>
      <c r="H1502" s="3" t="s">
        <v>24</v>
      </c>
      <c r="I1502" t="s">
        <v>5825</v>
      </c>
      <c r="J1502" s="3" t="s">
        <v>29</v>
      </c>
      <c r="K1502" t="s">
        <v>23</v>
      </c>
      <c r="L1502" s="3" t="s">
        <v>5840</v>
      </c>
      <c r="M1502" t="s">
        <v>23</v>
      </c>
      <c r="N1502" s="8">
        <v>0.218192</v>
      </c>
    </row>
    <row r="1504" spans="1:14" x14ac:dyDescent="0.55000000000000004">
      <c r="N1504" s="64"/>
    </row>
  </sheetData>
  <autoFilter ref="A1:N1502" xr:uid="{4F38D407-C552-4D9B-8687-9E068A407695}">
    <filterColumn colId="4">
      <filters>
        <filter val="MO04"/>
      </filters>
    </filterColumn>
  </autoFilter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3572D44B-B8C2-4E07-A287-D01F9893686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G2:G1502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835647D9052E438A2FCAD4CE6620ED" ma:contentTypeVersion="19" ma:contentTypeDescription="Create a new document." ma:contentTypeScope="" ma:versionID="cec3fd16325756f8125b38cc1207b4a3">
  <xsd:schema xmlns:xsd="http://www.w3.org/2001/XMLSchema" xmlns:xs="http://www.w3.org/2001/XMLSchema" xmlns:p="http://schemas.microsoft.com/office/2006/metadata/properties" xmlns:ns2="1ce827ea-80d3-4469-8c59-1a20b483edec" xmlns:ns3="5c96722d-5e47-4143-9064-663487508d24" targetNamespace="http://schemas.microsoft.com/office/2006/metadata/properties" ma:root="true" ma:fieldsID="5abd2c693e98cb5019dcab7c4afabe8b" ns2:_="" ns3:_="">
    <xsd:import namespace="1ce827ea-80d3-4469-8c59-1a20b483edec"/>
    <xsd:import namespace="5c96722d-5e47-4143-9064-663487508d2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Customer_x0020_Name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e827ea-80d3-4469-8c59-1a20b483ede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dca52d5-e669-4283-b9f9-d0cb2d7f9165}" ma:internalName="TaxCatchAll" ma:showField="CatchAllData" ma:web="1ce827ea-80d3-4469-8c59-1a20b483ed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96722d-5e47-4143-9064-663487508d24" elementFormDefault="qualified">
    <xsd:import namespace="http://schemas.microsoft.com/office/2006/documentManagement/types"/>
    <xsd:import namespace="http://schemas.microsoft.com/office/infopath/2007/PartnerControls"/>
    <xsd:element name="Customer_x0020_Name" ma:index="10" nillable="true" ma:displayName="Customer" ma:description="Designate the Customer(s) to which the file applies" ma:internalName="Customer_x0020_Nam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stco"/>
                    <xsd:enumeration value="PFJ"/>
                    <xsd:enumeration value="MOC"/>
                    <xsd:enumeration value="UPS"/>
                    <xsd:enumeration value="Other"/>
                  </xsd:restriction>
                </xsd:simpleType>
              </xsd:element>
            </xsd:sequence>
          </xsd:extension>
        </xsd:complexContent>
      </xsd:complexType>
    </xsd:element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5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071a690-6fce-4c3e-9b55-4279ca7842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ce827ea-80d3-4469-8c59-1a20b483edec" xsi:nil="true"/>
    <lcf76f155ced4ddcb4097134ff3c332f xmlns="5c96722d-5e47-4143-9064-663487508d24">
      <Terms xmlns="http://schemas.microsoft.com/office/infopath/2007/PartnerControls"/>
    </lcf76f155ced4ddcb4097134ff3c332f>
    <Customer_x0020_Name xmlns="5c96722d-5e47-4143-9064-663487508d2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2604A1-9028-4F0E-B643-86CE62F58FE5}"/>
</file>

<file path=customXml/itemProps2.xml><?xml version="1.0" encoding="utf-8"?>
<ds:datastoreItem xmlns:ds="http://schemas.openxmlformats.org/officeDocument/2006/customXml" ds:itemID="{A27AE550-3A49-4B73-8CEB-117FBF395CAF}">
  <ds:schemaRefs>
    <ds:schemaRef ds:uri="http://schemas.microsoft.com/office/2006/metadata/properties"/>
    <ds:schemaRef ds:uri="http://schemas.microsoft.com/office/infopath/2007/PartnerControls"/>
    <ds:schemaRef ds:uri="ab730e4e-4e52-4957-bf85-b1bedf111605"/>
    <ds:schemaRef ds:uri="1ce827ea-80d3-4469-8c59-1a20b483edec"/>
    <ds:schemaRef ds:uri="5c96722d-5e47-4143-9064-663487508d24"/>
  </ds:schemaRefs>
</ds:datastoreItem>
</file>

<file path=customXml/itemProps3.xml><?xml version="1.0" encoding="utf-8"?>
<ds:datastoreItem xmlns:ds="http://schemas.openxmlformats.org/officeDocument/2006/customXml" ds:itemID="{FA22C3BF-0192-473B-9B9D-3ABABDA0CEB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Shipping Line Items</vt:lpstr>
      <vt:lpstr>Costing Detail</vt:lpstr>
      <vt:lpstr>Paths and Tariffs</vt:lpstr>
      <vt:lpstr>Tariff Cross 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Kelley</dc:creator>
  <cp:lastModifiedBy>J.  Alexander</cp:lastModifiedBy>
  <dcterms:created xsi:type="dcterms:W3CDTF">2024-02-29T14:55:48Z</dcterms:created>
  <dcterms:modified xsi:type="dcterms:W3CDTF">2025-12-30T17:57:06Z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0x010100E7835647D9052E438A2FCAD4CE6620ED</vt:lpwstr>
  </property>
  <property fmtid="{D5CDD505-2E9C-101B-9397-08002B2CF9AE}" pid="3" name="MediaServiceImageTags">
    <vt:lpwstr/>
  </property>
</Properties>
</file>